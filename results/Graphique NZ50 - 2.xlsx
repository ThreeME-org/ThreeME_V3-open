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23" i="2" l="1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I526" i="2" l="1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L528" i="2" l="1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F507" i="2" l="1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L507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L510" i="2"/>
  <c r="AD510" i="2"/>
  <c r="V510" i="2"/>
  <c r="N510" i="2"/>
  <c r="F510" i="2"/>
  <c r="AH507" i="2"/>
  <c r="Z507" i="2"/>
  <c r="R507" i="2"/>
  <c r="J507" i="2"/>
  <c r="AL506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L509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L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L494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L481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E508" i="2" s="1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I508" i="2" s="1"/>
  <c r="AA481" i="2"/>
  <c r="AA508" i="2" s="1"/>
  <c r="S481" i="2"/>
  <c r="S508" i="2" s="1"/>
  <c r="K481" i="2"/>
  <c r="K508" i="2" s="1"/>
  <c r="D487" i="2"/>
  <c r="AL487" i="2"/>
  <c r="AD487" i="2"/>
  <c r="V487" i="2"/>
  <c r="N487" i="2"/>
  <c r="F487" i="2"/>
  <c r="AH481" i="2"/>
  <c r="Z481" i="2"/>
  <c r="R481" i="2"/>
  <c r="J481" i="2"/>
  <c r="AE476" i="2"/>
  <c r="AL453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L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L473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L472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L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L475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L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L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M508" i="2" l="1"/>
  <c r="P511" i="2"/>
  <c r="AL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AL508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L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AL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L283" i="2"/>
  <c r="E292" i="2" s="1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L282" i="2"/>
  <c r="E291" i="2" s="1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L279" i="2"/>
  <c r="E288" i="2" s="1"/>
  <c r="AD279" i="2"/>
  <c r="V279" i="2"/>
  <c r="N279" i="2"/>
  <c r="F279" i="2"/>
  <c r="AI285" i="2"/>
  <c r="AA285" i="2"/>
  <c r="S285" i="2"/>
  <c r="K285" i="2"/>
  <c r="AL284" i="2"/>
  <c r="E293" i="2" s="1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L281" i="2"/>
  <c r="E290" i="2" s="1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L285" i="2"/>
  <c r="E294" i="2" s="1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L280" i="2"/>
  <c r="E289" i="2" s="1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L198" i="2" l="1"/>
  <c r="E107" i="2"/>
  <c r="AL259" i="2"/>
  <c r="AD216" i="2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AL216" i="2"/>
  <c r="E226" i="2" s="1"/>
  <c r="AL220" i="2"/>
  <c r="E230" i="2" s="1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L87" i="2"/>
  <c r="AL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AL258" i="2"/>
  <c r="E110" i="2"/>
  <c r="E119" i="2"/>
  <c r="AL65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AL257" i="2"/>
  <c r="AL99" i="2"/>
  <c r="AL98" i="2" s="1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AL244" i="2"/>
  <c r="AL261" i="2"/>
  <c r="E108" i="2"/>
  <c r="E117" i="2"/>
  <c r="AL60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AL256" i="2"/>
  <c r="E114" i="2"/>
  <c r="E122" i="2"/>
  <c r="AL218" i="2"/>
  <c r="E228" i="2" s="1"/>
  <c r="AL217" i="2"/>
  <c r="E227" i="2" s="1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AL260" i="2"/>
  <c r="AL197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E111" i="2"/>
  <c r="E120" i="2"/>
  <c r="AL210" i="2"/>
  <c r="AL209" i="2" s="1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AL255" i="2"/>
  <c r="AL235" i="2"/>
  <c r="E109" i="2"/>
  <c r="E118" i="2"/>
  <c r="AL219" i="2"/>
  <c r="E229" i="2" s="1"/>
  <c r="AL223" i="2"/>
  <c r="E233" i="2" s="1"/>
  <c r="AL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E112" i="2"/>
  <c r="E121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L222" i="2"/>
  <c r="E232" i="2" s="1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E113" i="2"/>
  <c r="L221" i="2"/>
  <c r="AL254" i="2"/>
  <c r="L222" i="2"/>
  <c r="AA221" i="2"/>
  <c r="AL221" i="2"/>
  <c r="E231" i="2" s="1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<sst xmlns="http://schemas.openxmlformats.org/spreadsheetml/2006/main" count="400" uniqueCount="106">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</sst>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Données!$C$7:$AL$7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4.0853719645152269E-8</c:v>
                </c:pt>
                <c:pt idx="6">
                  <c:v>0</c:v>
                </c:pt>
                <c:pt idx="7">
                  <c:v>-2.3081836423336756E-2</c:v>
                </c:pt>
                <c:pt idx="8">
                  <c:v>-6.688401473795115E-2</c:v>
                </c:pt>
                <c:pt idx="9">
                  <c:v>-3.1818385200416362E-2</c:v>
                </c:pt>
                <c:pt idx="10">
                  <c:v>9.2150858239591987E-2</c:v>
                </c:pt>
                <c:pt idx="11">
                  <c:v>0.27632835292584945</c:v>
                </c:pt>
                <c:pt idx="12">
                  <c:v>0.50380878633736437</c:v>
                </c:pt>
                <c:pt idx="13">
                  <c:v>0.74266729818635258</c:v>
                </c:pt>
                <c:pt idx="14">
                  <c:v>0.97356447435350424</c:v>
                </c:pt>
                <c:pt idx="15">
                  <c:v>1.1877826102694378</c:v>
                </c:pt>
                <c:pt idx="16">
                  <c:v>1.3754040144718114</c:v>
                </c:pt>
                <c:pt idx="17">
                  <c:v>1.5272418388251112</c:v>
                </c:pt>
                <c:pt idx="18">
                  <c:v>1.6498872852997715</c:v>
                </c:pt>
                <c:pt idx="19">
                  <c:v>1.7497286652694388</c:v>
                </c:pt>
                <c:pt idx="20">
                  <c:v>1.8305775873178571</c:v>
                </c:pt>
                <c:pt idx="21">
                  <c:v>1.8916782725728931</c:v>
                </c:pt>
                <c:pt idx="22">
                  <c:v>1.9339429596455915</c:v>
                </c:pt>
                <c:pt idx="23">
                  <c:v>1.9603767694762524</c:v>
                </c:pt>
                <c:pt idx="24">
                  <c:v>1.9739710527276502</c:v>
                </c:pt>
                <c:pt idx="25">
                  <c:v>1.977485621492292</c:v>
                </c:pt>
                <c:pt idx="26">
                  <c:v>1.9666325964500009</c:v>
                </c:pt>
                <c:pt idx="27">
                  <c:v>1.940808664708997</c:v>
                </c:pt>
                <c:pt idx="28">
                  <c:v>1.9067919768573238</c:v>
                </c:pt>
                <c:pt idx="29">
                  <c:v>1.8715534984877384</c:v>
                </c:pt>
                <c:pt idx="30">
                  <c:v>1.8404471851014699</c:v>
                </c:pt>
                <c:pt idx="31">
                  <c:v>1.8159395002514733</c:v>
                </c:pt>
                <c:pt idx="32">
                  <c:v>1.8008411367286865</c:v>
                </c:pt>
                <c:pt idx="33">
                  <c:v>1.8023998342214778</c:v>
                </c:pt>
                <c:pt idx="34">
                  <c:v>1.8300195460657647</c:v>
                </c:pt>
                <c:pt idx="35">
                  <c:v>1.8951719330312347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4.0853748181147767E-9</c:v>
                </c:pt>
                <c:pt idx="6">
                  <c:v>3.9902802523791448E-9</c:v>
                </c:pt>
                <c:pt idx="7">
                  <c:v>-5.2912597207627358E-2</c:v>
                </c:pt>
                <c:pt idx="8">
                  <c:v>-0.1201781524273545</c:v>
                </c:pt>
                <c:pt idx="9">
                  <c:v>-0.13174447978422194</c:v>
                </c:pt>
                <c:pt idx="10">
                  <c:v>-0.11219685576611242</c:v>
                </c:pt>
                <c:pt idx="11">
                  <c:v>-7.5566318470479066E-2</c:v>
                </c:pt>
                <c:pt idx="12">
                  <c:v>-3.2127685764344549E-2</c:v>
                </c:pt>
                <c:pt idx="13">
                  <c:v>1.5641877149442193E-2</c:v>
                </c:pt>
                <c:pt idx="14">
                  <c:v>7.0542706982679698E-2</c:v>
                </c:pt>
                <c:pt idx="15">
                  <c:v>0.13408844912567089</c:v>
                </c:pt>
                <c:pt idx="16">
                  <c:v>0.19759548739535787</c:v>
                </c:pt>
                <c:pt idx="17">
                  <c:v>0.26073984912707027</c:v>
                </c:pt>
                <c:pt idx="18">
                  <c:v>0.32538927647034011</c:v>
                </c:pt>
                <c:pt idx="19">
                  <c:v>0.39411469457587328</c:v>
                </c:pt>
                <c:pt idx="20">
                  <c:v>0.46950245766633264</c:v>
                </c:pt>
                <c:pt idx="21">
                  <c:v>0.55319840366762396</c:v>
                </c:pt>
                <c:pt idx="22">
                  <c:v>0.64687911500215112</c:v>
                </c:pt>
                <c:pt idx="23">
                  <c:v>0.75234955830285455</c:v>
                </c:pt>
                <c:pt idx="24">
                  <c:v>0.87152614573129306</c:v>
                </c:pt>
                <c:pt idx="25">
                  <c:v>1.0067867708202674</c:v>
                </c:pt>
                <c:pt idx="26">
                  <c:v>1.1590630770300214</c:v>
                </c:pt>
                <c:pt idx="27">
                  <c:v>1.328732798313025</c:v>
                </c:pt>
                <c:pt idx="28">
                  <c:v>1.5178335346937277</c:v>
                </c:pt>
                <c:pt idx="29">
                  <c:v>1.7298428384273226</c:v>
                </c:pt>
                <c:pt idx="30">
                  <c:v>1.9694161748516756</c:v>
                </c:pt>
                <c:pt idx="31">
                  <c:v>2.2421841664323976</c:v>
                </c:pt>
                <c:pt idx="32">
                  <c:v>2.555731560078045</c:v>
                </c:pt>
                <c:pt idx="33">
                  <c:v>2.9214348306030615</c:v>
                </c:pt>
                <c:pt idx="34">
                  <c:v>3.3560600682917689</c:v>
                </c:pt>
                <c:pt idx="35">
                  <c:v>3.8846780923408173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Données!$C$12:$AL$12</c:f>
              <c:numCache>
                <c:formatCode>#\ ##0.0</c:formatCode>
                <c:ptCount val="36"/>
                <c:pt idx="0">
                  <c:v>0</c:v>
                </c:pt>
                <c:pt idx="1">
                  <c:v>-4.4658120765474342E-9</c:v>
                </c:pt>
                <c:pt idx="2">
                  <c:v>-4.3753604245366629E-9</c:v>
                </c:pt>
                <c:pt idx="3">
                  <c:v>-4.2803426478479161E-9</c:v>
                </c:pt>
                <c:pt idx="4">
                  <c:v>-1.2549885799874235E-8</c:v>
                </c:pt>
                <c:pt idx="5">
                  <c:v>-8.1707448802303045E-9</c:v>
                </c:pt>
                <c:pt idx="6">
                  <c:v>-1.596112565481666E-8</c:v>
                </c:pt>
                <c:pt idx="7">
                  <c:v>-0.14924010103194058</c:v>
                </c:pt>
                <c:pt idx="8">
                  <c:v>-0.26343559612031842</c:v>
                </c:pt>
                <c:pt idx="9">
                  <c:v>-0.14610085195912703</c:v>
                </c:pt>
                <c:pt idx="10">
                  <c:v>-0.12634097402856082</c:v>
                </c:pt>
                <c:pt idx="11">
                  <c:v>-0.20759770399113589</c:v>
                </c:pt>
                <c:pt idx="12">
                  <c:v>-0.37194935681220032</c:v>
                </c:pt>
                <c:pt idx="13">
                  <c:v>-0.57190859612749034</c:v>
                </c:pt>
                <c:pt idx="14">
                  <c:v>-0.7702204417011036</c:v>
                </c:pt>
                <c:pt idx="15">
                  <c:v>-0.96040949158170608</c:v>
                </c:pt>
                <c:pt idx="16">
                  <c:v>-1.1560003308776075</c:v>
                </c:pt>
                <c:pt idx="17">
                  <c:v>-1.3411408227591486</c:v>
                </c:pt>
                <c:pt idx="18">
                  <c:v>-1.5193245973153622</c:v>
                </c:pt>
                <c:pt idx="19">
                  <c:v>-1.6925707749249872</c:v>
                </c:pt>
                <c:pt idx="20">
                  <c:v>-1.8615836193155912</c:v>
                </c:pt>
                <c:pt idx="21">
                  <c:v>-2.0232523464450329</c:v>
                </c:pt>
                <c:pt idx="22">
                  <c:v>-2.1763790515153403</c:v>
                </c:pt>
                <c:pt idx="23">
                  <c:v>-2.3218341673493574</c:v>
                </c:pt>
                <c:pt idx="24">
                  <c:v>-2.4604712282713725</c:v>
                </c:pt>
                <c:pt idx="25">
                  <c:v>-2.59466132653584</c:v>
                </c:pt>
                <c:pt idx="26">
                  <c:v>-2.7160368990340134</c:v>
                </c:pt>
                <c:pt idx="27">
                  <c:v>-2.8239540078103889</c:v>
                </c:pt>
                <c:pt idx="28">
                  <c:v>-2.922783105374914</c:v>
                </c:pt>
                <c:pt idx="29">
                  <c:v>-3.0175473596649747</c:v>
                </c:pt>
                <c:pt idx="30">
                  <c:v>-3.1133049667017949</c:v>
                </c:pt>
                <c:pt idx="31">
                  <c:v>-3.2137786700486712</c:v>
                </c:pt>
                <c:pt idx="32">
                  <c:v>-3.3240909363552094</c:v>
                </c:pt>
                <c:pt idx="33">
                  <c:v>-3.4551113443054602</c:v>
                </c:pt>
                <c:pt idx="34">
                  <c:v>-3.6217627076004826</c:v>
                </c:pt>
                <c:pt idx="35">
                  <c:v>-3.8442261585441755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Données!$C$6:$AL$6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-6.2337024431258214E-9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-5.8157700877359275E-9</c:v>
                      </c:pt>
                      <c:pt idx="5">
                        <c:v>-5.6715299123766272E-9</c:v>
                      </c:pt>
                      <c:pt idx="6">
                        <c:v>0</c:v>
                      </c:pt>
                      <c:pt idx="7">
                        <c:v>-0.28911477561551768</c:v>
                      </c:pt>
                      <c:pt idx="8">
                        <c:v>-0.57178956675076886</c:v>
                      </c:pt>
                      <c:pt idx="9">
                        <c:v>-0.40058265509885782</c:v>
                      </c:pt>
                      <c:pt idx="10">
                        <c:v>-0.22303388002606894</c:v>
                      </c:pt>
                      <c:pt idx="11">
                        <c:v>-9.1325777342377013E-2</c:v>
                      </c:pt>
                      <c:pt idx="12">
                        <c:v>-1.227119274970212E-2</c:v>
                      </c:pt>
                      <c:pt idx="13">
                        <c:v>3.7641510449981652E-2</c:v>
                      </c:pt>
                      <c:pt idx="14">
                        <c:v>8.8508382820795539E-2</c:v>
                      </c:pt>
                      <c:pt idx="15">
                        <c:v>0.14079818251993004</c:v>
                      </c:pt>
                      <c:pt idx="16">
                        <c:v>0.15741592429610041</c:v>
                      </c:pt>
                      <c:pt idx="17">
                        <c:v>0.1474759801788128</c:v>
                      </c:pt>
                      <c:pt idx="18">
                        <c:v>0.11588618814974971</c:v>
                      </c:pt>
                      <c:pt idx="19">
                        <c:v>7.0080120093263254E-2</c:v>
                      </c:pt>
                      <c:pt idx="20">
                        <c:v>1.6294678266470797E-2</c:v>
                      </c:pt>
                      <c:pt idx="21">
                        <c:v>-4.0453770390647126E-2</c:v>
                      </c:pt>
                      <c:pt idx="22">
                        <c:v>-9.5888082149753195E-2</c:v>
                      </c:pt>
                      <c:pt idx="23">
                        <c:v>-0.14588884369940436</c:v>
                      </c:pt>
                      <c:pt idx="24">
                        <c:v>-0.18626587142483997</c:v>
                      </c:pt>
                      <c:pt idx="25">
                        <c:v>-0.2146722395520495</c:v>
                      </c:pt>
                      <c:pt idx="26">
                        <c:v>-0.22473165433811726</c:v>
                      </c:pt>
                      <c:pt idx="27">
                        <c:v>-0.21663406303208399</c:v>
                      </c:pt>
                      <c:pt idx="28">
                        <c:v>-0.18708672905159984</c:v>
                      </c:pt>
                      <c:pt idx="29">
                        <c:v>-0.13190126473167085</c:v>
                      </c:pt>
                      <c:pt idx="30">
                        <c:v>-4.7596540296956924E-2</c:v>
                      </c:pt>
                      <c:pt idx="31">
                        <c:v>6.8540620546797548E-2</c:v>
                      </c:pt>
                      <c:pt idx="32">
                        <c:v>0.2194577469861736</c:v>
                      </c:pt>
                      <c:pt idx="33">
                        <c:v>0.40922363850441901</c:v>
                      </c:pt>
                      <c:pt idx="34">
                        <c:v>0.64401128723541312</c:v>
                      </c:pt>
                      <c:pt idx="35">
                        <c:v>0.9328828403921241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4.4658107768258778E-10</c:v>
                      </c:pt>
                      <c:pt idx="2">
                        <c:v>4.3753642447311446E-10</c:v>
                      </c:pt>
                      <c:pt idx="3">
                        <c:v>1.2841039155242746E-9</c:v>
                      </c:pt>
                      <c:pt idx="4">
                        <c:v>2.0916480391454859E-9</c:v>
                      </c:pt>
                      <c:pt idx="5">
                        <c:v>2.0426862200575761E-9</c:v>
                      </c:pt>
                      <c:pt idx="6">
                        <c:v>2.3941696611500134E-9</c:v>
                      </c:pt>
                      <c:pt idx="7">
                        <c:v>-6.6088725811536839E-2</c:v>
                      </c:pt>
                      <c:pt idx="8">
                        <c:v>-0.11359658917019246</c:v>
                      </c:pt>
                      <c:pt idx="9">
                        <c:v>-0.12963666128857798</c:v>
                      </c:pt>
                      <c:pt idx="10">
                        <c:v>-0.12539739055760368</c:v>
                      </c:pt>
                      <c:pt idx="11">
                        <c:v>-9.168961152393941E-2</c:v>
                      </c:pt>
                      <c:pt idx="12">
                        <c:v>-5.2793188582409112E-2</c:v>
                      </c:pt>
                      <c:pt idx="13">
                        <c:v>-2.0932756417130351E-2</c:v>
                      </c:pt>
                      <c:pt idx="14">
                        <c:v>1.7742747545229684E-3</c:v>
                      </c:pt>
                      <c:pt idx="15">
                        <c:v>1.7043535226024226E-2</c:v>
                      </c:pt>
                      <c:pt idx="16">
                        <c:v>1.3303956029091683E-2</c:v>
                      </c:pt>
                      <c:pt idx="17">
                        <c:v>2.6050179864284054E-3</c:v>
                      </c:pt>
                      <c:pt idx="18">
                        <c:v>-7.6446085299116872E-3</c:v>
                      </c:pt>
                      <c:pt idx="19">
                        <c:v>-1.4867605239817431E-2</c:v>
                      </c:pt>
                      <c:pt idx="20">
                        <c:v>-1.9012705986537152E-2</c:v>
                      </c:pt>
                      <c:pt idx="21">
                        <c:v>-2.0756782553958828E-2</c:v>
                      </c:pt>
                      <c:pt idx="22">
                        <c:v>-2.0998037066799889E-2</c:v>
                      </c:pt>
                      <c:pt idx="23">
                        <c:v>-2.0160068901577025E-2</c:v>
                      </c:pt>
                      <c:pt idx="24">
                        <c:v>-1.8504859185125379E-2</c:v>
                      </c:pt>
                      <c:pt idx="25">
                        <c:v>-1.6484528333920816E-2</c:v>
                      </c:pt>
                      <c:pt idx="26">
                        <c:v>-1.4346299111890693E-2</c:v>
                      </c:pt>
                      <c:pt idx="27">
                        <c:v>-1.239418558819964E-2</c:v>
                      </c:pt>
                      <c:pt idx="28">
                        <c:v>-1.0049422678875597E-2</c:v>
                      </c:pt>
                      <c:pt idx="29">
                        <c:v>-6.8183290597919419E-3</c:v>
                      </c:pt>
                      <c:pt idx="30">
                        <c:v>-2.47710740589859E-3</c:v>
                      </c:pt>
                      <c:pt idx="31">
                        <c:v>2.9942109917123426E-3</c:v>
                      </c:pt>
                      <c:pt idx="32">
                        <c:v>9.7472455293723011E-3</c:v>
                      </c:pt>
                      <c:pt idx="33">
                        <c:v>1.8366893788324193E-2</c:v>
                      </c:pt>
                      <c:pt idx="34">
                        <c:v>2.9558384394080067E-2</c:v>
                      </c:pt>
                      <c:pt idx="35">
                        <c:v>4.4031211160786239E-2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Données!$C$9:$AL$9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Données!$C$11:$AL$11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Données!$C$5:$AL$5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-0.22523456194621927</c:v>
                </c:pt>
                <c:pt idx="8">
                  <c:v>-0.45049780897455927</c:v>
                </c:pt>
                <c:pt idx="9">
                  <c:v>-0.30966370578525693</c:v>
                </c:pt>
                <c:pt idx="10">
                  <c:v>-0.14638698245715842</c:v>
                </c:pt>
                <c:pt idx="11">
                  <c:v>-6.8356588520002148E-3</c:v>
                </c:pt>
                <c:pt idx="12">
                  <c:v>9.9731726276952593E-2</c:v>
                </c:pt>
                <c:pt idx="13">
                  <c:v>0.18640056889180912</c:v>
                </c:pt>
                <c:pt idx="14">
                  <c:v>0.27388673624948456</c:v>
                </c:pt>
                <c:pt idx="15">
                  <c:v>0.3614615744841343</c:v>
                </c:pt>
                <c:pt idx="16">
                  <c:v>0.41699918084712184</c:v>
                </c:pt>
                <c:pt idx="17">
                  <c:v>0.44684082960082527</c:v>
                </c:pt>
                <c:pt idx="18">
                  <c:v>0.45595193261491751</c:v>
                </c:pt>
                <c:pt idx="19">
                  <c:v>0.45127261622555093</c:v>
                </c:pt>
                <c:pt idx="20">
                  <c:v>0.43849643489730639</c:v>
                </c:pt>
                <c:pt idx="21">
                  <c:v>0.42162429054819484</c:v>
                </c:pt>
                <c:pt idx="22">
                  <c:v>0.40444305272659964</c:v>
                </c:pt>
                <c:pt idx="23">
                  <c:v>0.39089215463468108</c:v>
                </c:pt>
                <c:pt idx="24">
                  <c:v>0.38502599569165685</c:v>
                </c:pt>
                <c:pt idx="25">
                  <c:v>0.38961106577670712</c:v>
                </c:pt>
                <c:pt idx="26">
                  <c:v>0.40965882858514657</c:v>
                </c:pt>
                <c:pt idx="27">
                  <c:v>0.4455874552116379</c:v>
                </c:pt>
                <c:pt idx="28">
                  <c:v>0.5018423855732701</c:v>
                </c:pt>
                <c:pt idx="29">
                  <c:v>0.58384902743040534</c:v>
                </c:pt>
                <c:pt idx="30">
                  <c:v>0.69655839325135638</c:v>
                </c:pt>
                <c:pt idx="31">
                  <c:v>0.84434499663517126</c:v>
                </c:pt>
                <c:pt idx="32">
                  <c:v>1.032481760451498</c:v>
                </c:pt>
                <c:pt idx="33">
                  <c:v>1.2687232979693874</c:v>
                </c:pt>
                <c:pt idx="34">
                  <c:v>1.5643169067570462</c:v>
                </c:pt>
                <c:pt idx="35">
                  <c:v>1.9356238668278625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1.9528109018966511</c:v>
                </c:pt>
                <c:pt idx="2">
                  <c:v>1.996242311555374</c:v>
                </c:pt>
                <c:pt idx="3">
                  <c:v>2.14401492514944</c:v>
                </c:pt>
                <c:pt idx="4">
                  <c:v>2.0441230814926659</c:v>
                </c:pt>
                <c:pt idx="5">
                  <c:v>2.0926855101672359</c:v>
                </c:pt>
                <c:pt idx="6">
                  <c:v>2.2369857494631606</c:v>
                </c:pt>
                <c:pt idx="7">
                  <c:v>2.3543512337484085</c:v>
                </c:pt>
                <c:pt idx="8">
                  <c:v>2.4325059393328186</c:v>
                </c:pt>
                <c:pt idx="9">
                  <c:v>2.4890032504975901</c:v>
                </c:pt>
                <c:pt idx="10">
                  <c:v>2.5139131429076089</c:v>
                </c:pt>
                <c:pt idx="11">
                  <c:v>2.4699623944911986</c:v>
                </c:pt>
                <c:pt idx="12">
                  <c:v>2.3644325577594216</c:v>
                </c:pt>
                <c:pt idx="13">
                  <c:v>2.2166133019955847</c:v>
                </c:pt>
                <c:pt idx="14">
                  <c:v>2.0506706194384217</c:v>
                </c:pt>
                <c:pt idx="15">
                  <c:v>1.8810319289630728</c:v>
                </c:pt>
                <c:pt idx="16">
                  <c:v>1.6384388404330652</c:v>
                </c:pt>
                <c:pt idx="17">
                  <c:v>1.4272648859330106</c:v>
                </c:pt>
                <c:pt idx="18">
                  <c:v>1.2514372400033613</c:v>
                </c:pt>
                <c:pt idx="19">
                  <c:v>1.1141746610290548</c:v>
                </c:pt>
                <c:pt idx="20">
                  <c:v>1.0178627466816748</c:v>
                </c:pt>
                <c:pt idx="21">
                  <c:v>0.95564242716481562</c:v>
                </c:pt>
                <c:pt idx="22">
                  <c:v>0.93012644585215298</c:v>
                </c:pt>
                <c:pt idx="23">
                  <c:v>0.94224812685099746</c:v>
                </c:pt>
                <c:pt idx="24">
                  <c:v>0.9944681688148993</c:v>
                </c:pt>
                <c:pt idx="25">
                  <c:v>1.0886166288678556</c:v>
                </c:pt>
                <c:pt idx="26">
                  <c:v>1.210255218890155</c:v>
                </c:pt>
                <c:pt idx="27">
                  <c:v>1.3555643627638725</c:v>
                </c:pt>
                <c:pt idx="28">
                  <c:v>1.5195302707401437</c:v>
                </c:pt>
                <c:pt idx="29">
                  <c:v>1.6873770588992087</c:v>
                </c:pt>
                <c:pt idx="30">
                  <c:v>1.8531245588311318</c:v>
                </c:pt>
                <c:pt idx="31">
                  <c:v>2.0105043162395253</c:v>
                </c:pt>
                <c:pt idx="32">
                  <c:v>2.1547926545960827</c:v>
                </c:pt>
                <c:pt idx="33">
                  <c:v>2.2823028993307126</c:v>
                </c:pt>
                <c:pt idx="34">
                  <c:v>2.3898225075194013</c:v>
                </c:pt>
                <c:pt idx="35">
                  <c:v>2.4747814139599589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1.9528110017041689</c:v>
                </c:pt>
                <c:pt idx="2">
                  <c:v>1.9962422117053347</c:v>
                </c:pt>
                <c:pt idx="3">
                  <c:v>2.1440150211292197</c:v>
                </c:pt>
                <c:pt idx="4">
                  <c:v>2.0441229856067444</c:v>
                </c:pt>
                <c:pt idx="5">
                  <c:v>2.0926856022501106</c:v>
                </c:pt>
                <c:pt idx="6">
                  <c:v>2.2369857474454857</c:v>
                </c:pt>
                <c:pt idx="7">
                  <c:v>3.2678379674417002</c:v>
                </c:pt>
                <c:pt idx="8">
                  <c:v>3.2204774350497622</c:v>
                </c:pt>
                <c:pt idx="9">
                  <c:v>3.3949246224997953</c:v>
                </c:pt>
                <c:pt idx="10">
                  <c:v>3.5428809132109107</c:v>
                </c:pt>
                <c:pt idx="11">
                  <c:v>3.3337090952026305</c:v>
                </c:pt>
                <c:pt idx="12">
                  <c:v>3.1788631698757674</c:v>
                </c:pt>
                <c:pt idx="13">
                  <c:v>2.9845299107836176</c:v>
                </c:pt>
                <c:pt idx="14">
                  <c:v>2.7667066388669337</c:v>
                </c:pt>
                <c:pt idx="15">
                  <c:v>2.5361360407960776</c:v>
                </c:pt>
                <c:pt idx="16">
                  <c:v>2.3560709421801551</c:v>
                </c:pt>
                <c:pt idx="17">
                  <c:v>2.132185956841437</c:v>
                </c:pt>
                <c:pt idx="18">
                  <c:v>1.9148385658372735</c:v>
                </c:pt>
                <c:pt idx="19">
                  <c:v>1.7185142760213434</c:v>
                </c:pt>
                <c:pt idx="20">
                  <c:v>1.5519647670400927</c:v>
                </c:pt>
                <c:pt idx="21">
                  <c:v>1.416935899568772</c:v>
                </c:pt>
                <c:pt idx="22">
                  <c:v>1.3156346629458193</c:v>
                </c:pt>
                <c:pt idx="23">
                  <c:v>1.2438886874231558</c:v>
                </c:pt>
                <c:pt idx="24">
                  <c:v>1.2073903154989907</c:v>
                </c:pt>
                <c:pt idx="25">
                  <c:v>1.2113406729254539</c:v>
                </c:pt>
                <c:pt idx="26">
                  <c:v>1.2630152939460793</c:v>
                </c:pt>
                <c:pt idx="27">
                  <c:v>1.3580891001326645</c:v>
                </c:pt>
                <c:pt idx="28">
                  <c:v>1.4712995739712298</c:v>
                </c:pt>
                <c:pt idx="29">
                  <c:v>1.5944651616072836</c:v>
                </c:pt>
                <c:pt idx="30">
                  <c:v>1.7252632206038898</c:v>
                </c:pt>
                <c:pt idx="31">
                  <c:v>1.8673592720019894</c:v>
                </c:pt>
                <c:pt idx="32">
                  <c:v>2.0181632995645682</c:v>
                </c:pt>
                <c:pt idx="33">
                  <c:v>2.1660682415138632</c:v>
                </c:pt>
                <c:pt idx="34">
                  <c:v>2.31152896471436</c:v>
                </c:pt>
                <c:pt idx="35">
                  <c:v>2.4574803642620768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348.0186405</c:v>
                </c:pt>
                <c:pt idx="1">
                  <c:v>348.2828753</c:v>
                </c:pt>
                <c:pt idx="2">
                  <c:v>348.69084459999999</c:v>
                </c:pt>
                <c:pt idx="3">
                  <c:v>348.92196819999998</c:v>
                </c:pt>
                <c:pt idx="4">
                  <c:v>351.19290660000001</c:v>
                </c:pt>
                <c:pt idx="5">
                  <c:v>355.04232150000001</c:v>
                </c:pt>
                <c:pt idx="6">
                  <c:v>359.23289829999999</c:v>
                </c:pt>
                <c:pt idx="7">
                  <c:v>363.5112421</c:v>
                </c:pt>
                <c:pt idx="8">
                  <c:v>367.86726929999998</c:v>
                </c:pt>
                <c:pt idx="9">
                  <c:v>372.2950591</c:v>
                </c:pt>
                <c:pt idx="10">
                  <c:v>376.70954289999997</c:v>
                </c:pt>
                <c:pt idx="11">
                  <c:v>380.22014300000001</c:v>
                </c:pt>
                <c:pt idx="12">
                  <c:v>382.95278819999999</c:v>
                </c:pt>
                <c:pt idx="13">
                  <c:v>385.07680979999998</c:v>
                </c:pt>
                <c:pt idx="14">
                  <c:v>386.78594989999999</c:v>
                </c:pt>
                <c:pt idx="15">
                  <c:v>388.26377489999999</c:v>
                </c:pt>
                <c:pt idx="16">
                  <c:v>390.21900649999998</c:v>
                </c:pt>
                <c:pt idx="17">
                  <c:v>392.72864700000002</c:v>
                </c:pt>
                <c:pt idx="18">
                  <c:v>395.86954400000002</c:v>
                </c:pt>
                <c:pt idx="19">
                  <c:v>399.6513061</c:v>
                </c:pt>
                <c:pt idx="20">
                  <c:v>403.98743389999998</c:v>
                </c:pt>
                <c:pt idx="21">
                  <c:v>409.01772089999997</c:v>
                </c:pt>
                <c:pt idx="22">
                  <c:v>414.757881</c:v>
                </c:pt>
                <c:pt idx="23">
                  <c:v>421.23086610000001</c:v>
                </c:pt>
                <c:pt idx="24">
                  <c:v>428.44048780000003</c:v>
                </c:pt>
                <c:pt idx="25">
                  <c:v>436.13761979999998</c:v>
                </c:pt>
                <c:pt idx="26">
                  <c:v>444.5890958</c:v>
                </c:pt>
                <c:pt idx="27">
                  <c:v>453.83114119999999</c:v>
                </c:pt>
                <c:pt idx="28">
                  <c:v>463.87755909999998</c:v>
                </c:pt>
                <c:pt idx="29">
                  <c:v>474.65461390000002</c:v>
                </c:pt>
                <c:pt idx="30">
                  <c:v>486.03652499999998</c:v>
                </c:pt>
                <c:pt idx="31">
                  <c:v>497.89747519999997</c:v>
                </c:pt>
                <c:pt idx="32">
                  <c:v>510.12106940000001</c:v>
                </c:pt>
                <c:pt idx="33">
                  <c:v>522.59448499999996</c:v>
                </c:pt>
                <c:pt idx="34">
                  <c:v>535.20370760000003</c:v>
                </c:pt>
                <c:pt idx="35">
                  <c:v>547.8313015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348.01866310000003</c:v>
                </c:pt>
                <c:pt idx="1">
                  <c:v>348.28289740000002</c:v>
                </c:pt>
                <c:pt idx="2">
                  <c:v>348.69086609999999</c:v>
                </c:pt>
                <c:pt idx="3">
                  <c:v>348.92198919999998</c:v>
                </c:pt>
                <c:pt idx="4">
                  <c:v>351.19292739999997</c:v>
                </c:pt>
                <c:pt idx="5">
                  <c:v>355.04234229999997</c:v>
                </c:pt>
                <c:pt idx="6">
                  <c:v>359.2329191</c:v>
                </c:pt>
                <c:pt idx="7">
                  <c:v>348.75001709999998</c:v>
                </c:pt>
                <c:pt idx="8">
                  <c:v>337.7842387</c:v>
                </c:pt>
                <c:pt idx="9">
                  <c:v>328.01498650000002</c:v>
                </c:pt>
                <c:pt idx="10">
                  <c:v>318.71565320000002</c:v>
                </c:pt>
                <c:pt idx="11">
                  <c:v>309.92886090000002</c:v>
                </c:pt>
                <c:pt idx="12">
                  <c:v>301.35252159999999</c:v>
                </c:pt>
                <c:pt idx="13">
                  <c:v>292.94981319999999</c:v>
                </c:pt>
                <c:pt idx="14">
                  <c:v>284.78862179999999</c:v>
                </c:pt>
                <c:pt idx="15">
                  <c:v>276.88766670000001</c:v>
                </c:pt>
                <c:pt idx="16">
                  <c:v>269.0322506</c:v>
                </c:pt>
                <c:pt idx="17">
                  <c:v>261.34335679999998</c:v>
                </c:pt>
                <c:pt idx="18">
                  <c:v>253.8985744</c:v>
                </c:pt>
                <c:pt idx="19">
                  <c:v>246.73718160000001</c:v>
                </c:pt>
                <c:pt idx="20">
                  <c:v>239.82831630000001</c:v>
                </c:pt>
                <c:pt idx="21">
                  <c:v>233.26568689999999</c:v>
                </c:pt>
                <c:pt idx="22">
                  <c:v>227.0394728</c:v>
                </c:pt>
                <c:pt idx="23">
                  <c:v>221.11901330000001</c:v>
                </c:pt>
                <c:pt idx="24">
                  <c:v>215.45223659999999</c:v>
                </c:pt>
                <c:pt idx="25">
                  <c:v>209.8547121</c:v>
                </c:pt>
                <c:pt idx="26">
                  <c:v>204.4260496</c:v>
                </c:pt>
                <c:pt idx="27">
                  <c:v>199.14048589999999</c:v>
                </c:pt>
                <c:pt idx="28">
                  <c:v>193.93043890000001</c:v>
                </c:pt>
                <c:pt idx="29">
                  <c:v>188.68053599999999</c:v>
                </c:pt>
                <c:pt idx="30">
                  <c:v>183.25600990000001</c:v>
                </c:pt>
                <c:pt idx="31">
                  <c:v>177.5340909</c:v>
                </c:pt>
                <c:pt idx="32">
                  <c:v>171.4003836</c:v>
                </c:pt>
                <c:pt idx="33">
                  <c:v>164.7260714</c:v>
                </c:pt>
                <c:pt idx="34">
                  <c:v>157.3614579</c:v>
                </c:pt>
                <c:pt idx="35">
                  <c:v>149.1146517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118.3899419</c:v>
                </c:pt>
                <c:pt idx="2">
                  <c:v>117.193859</c:v>
                </c:pt>
                <c:pt idx="3">
                  <c:v>116.0659916</c:v>
                </c:pt>
                <c:pt idx="4">
                  <c:v>115.6044706</c:v>
                </c:pt>
                <c:pt idx="5">
                  <c:v>115.5697278</c:v>
                </c:pt>
                <c:pt idx="6">
                  <c:v>115.53520519999999</c:v>
                </c:pt>
                <c:pt idx="7">
                  <c:v>115.5125225</c:v>
                </c:pt>
                <c:pt idx="8">
                  <c:v>115.53396739999999</c:v>
                </c:pt>
                <c:pt idx="9">
                  <c:v>115.6038501</c:v>
                </c:pt>
                <c:pt idx="10">
                  <c:v>115.7565097</c:v>
                </c:pt>
                <c:pt idx="11">
                  <c:v>115.9116282</c:v>
                </c:pt>
                <c:pt idx="12">
                  <c:v>116.05635890000001</c:v>
                </c:pt>
                <c:pt idx="13">
                  <c:v>116.18885210000001</c:v>
                </c:pt>
                <c:pt idx="14">
                  <c:v>116.3009813</c:v>
                </c:pt>
                <c:pt idx="15">
                  <c:v>116.3827778</c:v>
                </c:pt>
                <c:pt idx="16">
                  <c:v>116.5924224</c:v>
                </c:pt>
                <c:pt idx="17">
                  <c:v>116.85086440000001</c:v>
                </c:pt>
                <c:pt idx="18">
                  <c:v>117.1467901</c:v>
                </c:pt>
                <c:pt idx="19">
                  <c:v>117.45867459999999</c:v>
                </c:pt>
                <c:pt idx="20">
                  <c:v>117.7421272</c:v>
                </c:pt>
                <c:pt idx="21">
                  <c:v>118.02858209999999</c:v>
                </c:pt>
                <c:pt idx="22">
                  <c:v>118.3096595</c:v>
                </c:pt>
                <c:pt idx="23">
                  <c:v>118.58634670000001</c:v>
                </c:pt>
                <c:pt idx="24">
                  <c:v>118.862945</c:v>
                </c:pt>
                <c:pt idx="25">
                  <c:v>119.0723508</c:v>
                </c:pt>
                <c:pt idx="26">
                  <c:v>119.2957025</c:v>
                </c:pt>
                <c:pt idx="27">
                  <c:v>119.539722</c:v>
                </c:pt>
                <c:pt idx="28">
                  <c:v>119.8118963</c:v>
                </c:pt>
                <c:pt idx="29">
                  <c:v>120.1197573</c:v>
                </c:pt>
                <c:pt idx="30">
                  <c:v>120.46768539999999</c:v>
                </c:pt>
                <c:pt idx="31">
                  <c:v>120.85587889999999</c:v>
                </c:pt>
                <c:pt idx="32">
                  <c:v>121.2772927</c:v>
                </c:pt>
                <c:pt idx="33">
                  <c:v>121.7232633</c:v>
                </c:pt>
                <c:pt idx="34">
                  <c:v>122.1842973</c:v>
                </c:pt>
                <c:pt idx="35">
                  <c:v>122.6499845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118.3899486</c:v>
                </c:pt>
                <c:pt idx="2">
                  <c:v>117.1938656</c:v>
                </c:pt>
                <c:pt idx="3">
                  <c:v>116.0659979</c:v>
                </c:pt>
                <c:pt idx="4">
                  <c:v>115.6044768</c:v>
                </c:pt>
                <c:pt idx="5">
                  <c:v>115.569734</c:v>
                </c:pt>
                <c:pt idx="6">
                  <c:v>115.53521139999999</c:v>
                </c:pt>
                <c:pt idx="7">
                  <c:v>110.94653889999999</c:v>
                </c:pt>
                <c:pt idx="8">
                  <c:v>106.4439027</c:v>
                </c:pt>
                <c:pt idx="9">
                  <c:v>101.973159</c:v>
                </c:pt>
                <c:pt idx="10">
                  <c:v>97.523112600000005</c:v>
                </c:pt>
                <c:pt idx="11">
                  <c:v>93.323353819999994</c:v>
                </c:pt>
                <c:pt idx="12">
                  <c:v>89.286021079999998</c:v>
                </c:pt>
                <c:pt idx="13">
                  <c:v>85.388673359999999</c:v>
                </c:pt>
                <c:pt idx="14">
                  <c:v>81.613847680000006</c:v>
                </c:pt>
                <c:pt idx="15">
                  <c:v>77.941652090000005</c:v>
                </c:pt>
                <c:pt idx="16">
                  <c:v>74.313272920000003</c:v>
                </c:pt>
                <c:pt idx="17">
                  <c:v>70.722791079999993</c:v>
                </c:pt>
                <c:pt idx="18">
                  <c:v>67.167292410000002</c:v>
                </c:pt>
                <c:pt idx="19">
                  <c:v>63.651550309999998</c:v>
                </c:pt>
                <c:pt idx="20">
                  <c:v>60.16726766</c:v>
                </c:pt>
                <c:pt idx="21">
                  <c:v>56.748851180000003</c:v>
                </c:pt>
                <c:pt idx="22">
                  <c:v>53.39374024</c:v>
                </c:pt>
                <c:pt idx="23">
                  <c:v>50.100845739999997</c:v>
                </c:pt>
                <c:pt idx="24">
                  <c:v>46.869367500000003</c:v>
                </c:pt>
                <c:pt idx="25">
                  <c:v>43.660316049999999</c:v>
                </c:pt>
                <c:pt idx="26">
                  <c:v>40.512520879999997</c:v>
                </c:pt>
                <c:pt idx="27">
                  <c:v>37.420203229999998</c:v>
                </c:pt>
                <c:pt idx="28">
                  <c:v>34.377491259999999</c:v>
                </c:pt>
                <c:pt idx="29">
                  <c:v>31.3780006</c:v>
                </c:pt>
                <c:pt idx="30">
                  <c:v>28.414412219999999</c:v>
                </c:pt>
                <c:pt idx="31">
                  <c:v>25.478747859999999</c:v>
                </c:pt>
                <c:pt idx="32">
                  <c:v>22.562928490000001</c:v>
                </c:pt>
                <c:pt idx="33">
                  <c:v>19.65919955</c:v>
                </c:pt>
                <c:pt idx="34">
                  <c:v>16.760259319999999</c:v>
                </c:pt>
                <c:pt idx="35">
                  <c:v>13.85898884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228.5281699944</c:v>
                      </c:pt>
                      <c:pt idx="1">
                        <c:v>229.8929486911</c:v>
                      </c:pt>
                      <c:pt idx="2">
                        <c:v>231.497000587</c:v>
                      </c:pt>
                      <c:pt idx="3">
                        <c:v>232.85599120700002</c:v>
                      </c:pt>
                      <c:pt idx="4">
                        <c:v>235.58845053700003</c:v>
                      </c:pt>
                      <c:pt idx="5">
                        <c:v>239.47260829790002</c:v>
                      </c:pt>
                      <c:pt idx="6">
                        <c:v>243.69770768929999</c:v>
                      </c:pt>
                      <c:pt idx="7">
                        <c:v>237.80347816659997</c:v>
                      </c:pt>
                      <c:pt idx="8">
                        <c:v>231.3403360209</c:v>
                      </c:pt>
                      <c:pt idx="9">
                        <c:v>226.0418275129</c:v>
                      </c:pt>
                      <c:pt idx="10">
                        <c:v>221.1925406272</c:v>
                      </c:pt>
                      <c:pt idx="11">
                        <c:v>216.60550711230002</c:v>
                      </c:pt>
                      <c:pt idx="12">
                        <c:v>212.06650055880002</c:v>
                      </c:pt>
                      <c:pt idx="13">
                        <c:v>207.56113984659999</c:v>
                      </c:pt>
                      <c:pt idx="14">
                        <c:v>203.17477414679999</c:v>
                      </c:pt>
                      <c:pt idx="15">
                        <c:v>198.94601458689999</c:v>
                      </c:pt>
                      <c:pt idx="16">
                        <c:v>194.71897764549999</c:v>
                      </c:pt>
                      <c:pt idx="17">
                        <c:v>190.6205657328</c:v>
                      </c:pt>
                      <c:pt idx="18">
                        <c:v>186.73128205259999</c:v>
                      </c:pt>
                      <c:pt idx="19">
                        <c:v>183.0856312713</c:v>
                      </c:pt>
                      <c:pt idx="20">
                        <c:v>179.66104856800001</c:v>
                      </c:pt>
                      <c:pt idx="21">
                        <c:v>176.5168356833</c:v>
                      </c:pt>
                      <c:pt idx="22">
                        <c:v>173.6457325552</c:v>
                      </c:pt>
                      <c:pt idx="23">
                        <c:v>171.01816756780002</c:v>
                      </c:pt>
                      <c:pt idx="24">
                        <c:v>168.58286916979998</c:v>
                      </c:pt>
                      <c:pt idx="25">
                        <c:v>166.19439601919998</c:v>
                      </c:pt>
                      <c:pt idx="26">
                        <c:v>163.91352875500002</c:v>
                      </c:pt>
                      <c:pt idx="27">
                        <c:v>161.72028266849998</c:v>
                      </c:pt>
                      <c:pt idx="28">
                        <c:v>159.55294767290002</c:v>
                      </c:pt>
                      <c:pt idx="29">
                        <c:v>157.3025354442</c:v>
                      </c:pt>
                      <c:pt idx="30">
                        <c:v>154.8415977235</c:v>
                      </c:pt>
                      <c:pt idx="31">
                        <c:v>152.05534309430001</c:v>
                      </c:pt>
                      <c:pt idx="32">
                        <c:v>148.83745507960001</c:v>
                      </c:pt>
                      <c:pt idx="33">
                        <c:v>145.0668719132</c:v>
                      </c:pt>
                      <c:pt idx="34">
                        <c:v>140.60119856200001</c:v>
                      </c:pt>
                      <c:pt idx="35">
                        <c:v>135.25566278380001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228.52815449439998</c:v>
                      </c:pt>
                      <c:pt idx="1">
                        <c:v>229.8929334911</c:v>
                      </c:pt>
                      <c:pt idx="2">
                        <c:v>231.49698558699998</c:v>
                      </c:pt>
                      <c:pt idx="3">
                        <c:v>232.855976607</c:v>
                      </c:pt>
                      <c:pt idx="4">
                        <c:v>235.58843603700001</c:v>
                      </c:pt>
                      <c:pt idx="5">
                        <c:v>239.4725937979</c:v>
                      </c:pt>
                      <c:pt idx="6">
                        <c:v>243.69769308929997</c:v>
                      </c:pt>
                      <c:pt idx="7">
                        <c:v>247.99871965879998</c:v>
                      </c:pt>
                      <c:pt idx="8">
                        <c:v>252.33330183090001</c:v>
                      </c:pt>
                      <c:pt idx="9">
                        <c:v>256.6912089045</c:v>
                      </c:pt>
                      <c:pt idx="10">
                        <c:v>260.95303325980001</c:v>
                      </c:pt>
                      <c:pt idx="11">
                        <c:v>264.30851483999999</c:v>
                      </c:pt>
                      <c:pt idx="12">
                        <c:v>266.89642931319997</c:v>
                      </c:pt>
                      <c:pt idx="13">
                        <c:v>268.88795770510001</c:v>
                      </c:pt>
                      <c:pt idx="14">
                        <c:v>270.48496870600002</c:v>
                      </c:pt>
                      <c:pt idx="15">
                        <c:v>271.88099714499998</c:v>
                      </c:pt>
                      <c:pt idx="16">
                        <c:v>273.62658407420003</c:v>
                      </c:pt>
                      <c:pt idx="17">
                        <c:v>275.87778259980001</c:v>
                      </c:pt>
                      <c:pt idx="18">
                        <c:v>278.72275385440003</c:v>
                      </c:pt>
                      <c:pt idx="19">
                        <c:v>282.19263148930003</c:v>
                      </c:pt>
                      <c:pt idx="20">
                        <c:v>286.24530673049998</c:v>
                      </c:pt>
                      <c:pt idx="21">
                        <c:v>290.98913884910002</c:v>
                      </c:pt>
                      <c:pt idx="22">
                        <c:v>296.44822149360004</c:v>
                      </c:pt>
                      <c:pt idx="23">
                        <c:v>302.64451937449996</c:v>
                      </c:pt>
                      <c:pt idx="24">
                        <c:v>309.57754279789998</c:v>
                      </c:pt>
                      <c:pt idx="25">
                        <c:v>317.06526892299996</c:v>
                      </c:pt>
                      <c:pt idx="26">
                        <c:v>325.29339325109999</c:v>
                      </c:pt>
                      <c:pt idx="27">
                        <c:v>334.29141922829996</c:v>
                      </c:pt>
                      <c:pt idx="28">
                        <c:v>344.06566281740004</c:v>
                      </c:pt>
                      <c:pt idx="29">
                        <c:v>354.53485656070001</c:v>
                      </c:pt>
                      <c:pt idx="30">
                        <c:v>365.56883953869999</c:v>
                      </c:pt>
                      <c:pt idx="31">
                        <c:v>377.04159626209997</c:v>
                      </c:pt>
                      <c:pt idx="32">
                        <c:v>388.84377673890003</c:v>
                      </c:pt>
                      <c:pt idx="33">
                        <c:v>400.87122173360001</c:v>
                      </c:pt>
                      <c:pt idx="34">
                        <c:v>413.01941027099997</c:v>
                      </c:pt>
                      <c:pt idx="35">
                        <c:v>425.18131703339998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6.1845112585886993E-12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-1.2642602785029814E-3</c:v>
                </c:pt>
                <c:pt idx="8">
                  <c:v>-2.6857733864496889E-3</c:v>
                </c:pt>
                <c:pt idx="9">
                  <c:v>-3.8952784465544413E-3</c:v>
                </c:pt>
                <c:pt idx="10">
                  <c:v>-5.0171198367572889E-3</c:v>
                </c:pt>
                <c:pt idx="11">
                  <c:v>-5.8921225983647437E-3</c:v>
                </c:pt>
                <c:pt idx="12">
                  <c:v>-6.6057472991338595E-3</c:v>
                </c:pt>
                <c:pt idx="13">
                  <c:v>-7.2011999057269077E-3</c:v>
                </c:pt>
                <c:pt idx="14">
                  <c:v>-7.7006831306316494E-3</c:v>
                </c:pt>
                <c:pt idx="15">
                  <c:v>-8.1288471023308606E-3</c:v>
                </c:pt>
                <c:pt idx="16">
                  <c:v>-8.6193412325040082E-3</c:v>
                </c:pt>
                <c:pt idx="17">
                  <c:v>-9.1655321380072971E-3</c:v>
                </c:pt>
                <c:pt idx="18">
                  <c:v>-9.7506545126022203E-3</c:v>
                </c:pt>
                <c:pt idx="19">
                  <c:v>-1.0358861977284209E-2</c:v>
                </c:pt>
                <c:pt idx="20">
                  <c:v>-1.0978605835288919E-2</c:v>
                </c:pt>
                <c:pt idx="21">
                  <c:v>-1.1596627181496379E-2</c:v>
                </c:pt>
                <c:pt idx="22">
                  <c:v>-1.2206063640967513E-2</c:v>
                </c:pt>
                <c:pt idx="23">
                  <c:v>-1.2802543221256537E-2</c:v>
                </c:pt>
                <c:pt idx="24">
                  <c:v>-1.3382081237705762E-2</c:v>
                </c:pt>
                <c:pt idx="25">
                  <c:v>-1.3946725834452646E-2</c:v>
                </c:pt>
                <c:pt idx="26">
                  <c:v>-1.4488926018354496E-2</c:v>
                </c:pt>
                <c:pt idx="27">
                  <c:v>-1.5003416369447851E-2</c:v>
                </c:pt>
                <c:pt idx="28">
                  <c:v>-1.5489853900532608E-2</c:v>
                </c:pt>
                <c:pt idx="29">
                  <c:v>-1.5946309772799139E-2</c:v>
                </c:pt>
                <c:pt idx="30">
                  <c:v>-1.6369972516833829E-2</c:v>
                </c:pt>
                <c:pt idx="31">
                  <c:v>-1.6757652131203671E-2</c:v>
                </c:pt>
                <c:pt idx="32">
                  <c:v>-1.7106521500616614E-2</c:v>
                </c:pt>
                <c:pt idx="33">
                  <c:v>-1.7414641701363167E-2</c:v>
                </c:pt>
                <c:pt idx="34">
                  <c:v>-1.7678604394480522E-2</c:v>
                </c:pt>
                <c:pt idx="35">
                  <c:v>-1.7891743210393735E-2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6.0549011479736649E-11</c:v>
                </c:pt>
                <c:pt idx="3">
                  <c:v>1.2098182695413478E-10</c:v>
                </c:pt>
                <c:pt idx="4">
                  <c:v>1.1981534397545314E-10</c:v>
                </c:pt>
                <c:pt idx="5">
                  <c:v>1.1830690128163033E-10</c:v>
                </c:pt>
                <c:pt idx="6">
                  <c:v>1.7550226011990854E-10</c:v>
                </c:pt>
                <c:pt idx="7">
                  <c:v>-3.843913907286103E-3</c:v>
                </c:pt>
                <c:pt idx="8">
                  <c:v>-8.6046436595846511E-3</c:v>
                </c:pt>
                <c:pt idx="9">
                  <c:v>-1.2696507916631071E-2</c:v>
                </c:pt>
                <c:pt idx="10">
                  <c:v>-1.6609117989190278E-2</c:v>
                </c:pt>
                <c:pt idx="11">
                  <c:v>-1.9807776376383344E-2</c:v>
                </c:pt>
                <c:pt idx="12">
                  <c:v>-2.2435581601205134E-2</c:v>
                </c:pt>
                <c:pt idx="13">
                  <c:v>-2.4569827188542798E-2</c:v>
                </c:pt>
                <c:pt idx="14">
                  <c:v>-2.6247712741547014E-2</c:v>
                </c:pt>
                <c:pt idx="15">
                  <c:v>-2.755138097018666E-2</c:v>
                </c:pt>
                <c:pt idx="16">
                  <c:v>-2.8940143068406279E-2</c:v>
                </c:pt>
                <c:pt idx="17">
                  <c:v>-3.0479771278979453E-2</c:v>
                </c:pt>
                <c:pt idx="18">
                  <c:v>-3.2137968174260567E-2</c:v>
                </c:pt>
                <c:pt idx="19">
                  <c:v>-3.3842568190355492E-2</c:v>
                </c:pt>
                <c:pt idx="20">
                  <c:v>-3.5520116699299435E-2</c:v>
                </c:pt>
                <c:pt idx="21">
                  <c:v>-3.7095139309517279E-2</c:v>
                </c:pt>
                <c:pt idx="22">
                  <c:v>-3.8509690026363827E-2</c:v>
                </c:pt>
                <c:pt idx="23">
                  <c:v>-3.9730182755752144E-2</c:v>
                </c:pt>
                <c:pt idx="24">
                  <c:v>-4.0732290645002361E-2</c:v>
                </c:pt>
                <c:pt idx="25">
                  <c:v>-4.1506436207715575E-2</c:v>
                </c:pt>
                <c:pt idx="26">
                  <c:v>-4.2000648238642184E-2</c:v>
                </c:pt>
                <c:pt idx="27">
                  <c:v>-4.2160089194389141E-2</c:v>
                </c:pt>
                <c:pt idx="28">
                  <c:v>-4.1947795834657443E-2</c:v>
                </c:pt>
                <c:pt idx="29">
                  <c:v>-4.1325141826887103E-2</c:v>
                </c:pt>
                <c:pt idx="30">
                  <c:v>-4.0241197865782091E-2</c:v>
                </c:pt>
                <c:pt idx="31">
                  <c:v>-3.8615294381311539E-2</c:v>
                </c:pt>
                <c:pt idx="32">
                  <c:v>-3.632885294451299E-2</c:v>
                </c:pt>
                <c:pt idx="33">
                  <c:v>-3.322422411956083E-2</c:v>
                </c:pt>
                <c:pt idx="34">
                  <c:v>-2.9071914019858147E-2</c:v>
                </c:pt>
                <c:pt idx="35">
                  <c:v>-2.3514110327508948E-2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-4.9476085674350404E-10</c:v>
                </c:pt>
                <c:pt idx="1">
                  <c:v>-1.5994059267282974E-9</c:v>
                </c:pt>
                <c:pt idx="2">
                  <c:v>-2.6299087013569225E-9</c:v>
                </c:pt>
                <c:pt idx="3">
                  <c:v>-3.6476932982257634E-9</c:v>
                </c:pt>
                <c:pt idx="4">
                  <c:v>-4.2146101235555212E-9</c:v>
                </c:pt>
                <c:pt idx="5">
                  <c:v>-4.5777042488895337E-9</c:v>
                </c:pt>
                <c:pt idx="6">
                  <c:v>-4.637015035471022E-9</c:v>
                </c:pt>
                <c:pt idx="7">
                  <c:v>-6.6592467650293009E-3</c:v>
                </c:pt>
                <c:pt idx="8">
                  <c:v>-1.2846582353276808E-2</c:v>
                </c:pt>
                <c:pt idx="9">
                  <c:v>-1.7490468956690413E-2</c:v>
                </c:pt>
                <c:pt idx="10">
                  <c:v>-2.1123144002856236E-2</c:v>
                </c:pt>
                <c:pt idx="11">
                  <c:v>-2.3121082142467199E-2</c:v>
                </c:pt>
                <c:pt idx="12">
                  <c:v>-2.4226364927036042E-2</c:v>
                </c:pt>
                <c:pt idx="13">
                  <c:v>-2.4783126154427963E-2</c:v>
                </c:pt>
                <c:pt idx="14">
                  <c:v>-2.4937739716656557E-2</c:v>
                </c:pt>
                <c:pt idx="15">
                  <c:v>-2.4789596662043181E-2</c:v>
                </c:pt>
                <c:pt idx="16">
                  <c:v>-2.5160978052744223E-2</c:v>
                </c:pt>
                <c:pt idx="17">
                  <c:v>-2.5751758565812279E-2</c:v>
                </c:pt>
                <c:pt idx="18">
                  <c:v>-2.6428155451252901E-2</c:v>
                </c:pt>
                <c:pt idx="19">
                  <c:v>-2.7090103545531371E-2</c:v>
                </c:pt>
                <c:pt idx="20">
                  <c:v>-2.766727013955695E-2</c:v>
                </c:pt>
                <c:pt idx="21">
                  <c:v>-2.8111751753624035E-2</c:v>
                </c:pt>
                <c:pt idx="22">
                  <c:v>-2.8410389082166105E-2</c:v>
                </c:pt>
                <c:pt idx="23">
                  <c:v>-2.8556117406108285E-2</c:v>
                </c:pt>
                <c:pt idx="24">
                  <c:v>-2.8537695618596134E-2</c:v>
                </c:pt>
                <c:pt idx="25">
                  <c:v>-2.8345055598538314E-2</c:v>
                </c:pt>
                <c:pt idx="26">
                  <c:v>-2.7959503938453607E-2</c:v>
                </c:pt>
                <c:pt idx="27">
                  <c:v>-2.7337400557996598E-2</c:v>
                </c:pt>
                <c:pt idx="28">
                  <c:v>-2.6454610630215897E-2</c:v>
                </c:pt>
                <c:pt idx="29">
                  <c:v>-2.5284287504240031E-2</c:v>
                </c:pt>
                <c:pt idx="30">
                  <c:v>-2.3787023422069176E-2</c:v>
                </c:pt>
                <c:pt idx="31">
                  <c:v>-2.1900899162340538E-2</c:v>
                </c:pt>
                <c:pt idx="32">
                  <c:v>-1.9535035450203721E-2</c:v>
                </c:pt>
                <c:pt idx="33">
                  <c:v>-1.6577052598864609E-2</c:v>
                </c:pt>
                <c:pt idx="34">
                  <c:v>-1.28712553530019E-2</c:v>
                </c:pt>
                <c:pt idx="35">
                  <c:v>-8.185847815639408E-3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6.1845112585886994E-11</c:v>
                </c:pt>
                <c:pt idx="1">
                  <c:v>6.1515617609873552E-11</c:v>
                </c:pt>
                <c:pt idx="2">
                  <c:v>6.1160672526587507E-11</c:v>
                </c:pt>
                <c:pt idx="3">
                  <c:v>1.215897866869109E-10</c:v>
                </c:pt>
                <c:pt idx="4">
                  <c:v>1.2041744188006992E-10</c:v>
                </c:pt>
                <c:pt idx="5">
                  <c:v>1.1890137669461506E-10</c:v>
                </c:pt>
                <c:pt idx="6">
                  <c:v>5.8696397605413693E-11</c:v>
                </c:pt>
                <c:pt idx="7">
                  <c:v>1.6084857719975238E-3</c:v>
                </c:pt>
                <c:pt idx="8">
                  <c:v>2.4733813016161888E-3</c:v>
                </c:pt>
                <c:pt idx="9">
                  <c:v>3.3451146387143307E-3</c:v>
                </c:pt>
                <c:pt idx="10">
                  <c:v>3.672613574339934E-3</c:v>
                </c:pt>
                <c:pt idx="11">
                  <c:v>2.840583370041126E-3</c:v>
                </c:pt>
                <c:pt idx="12">
                  <c:v>1.4858963116272674E-3</c:v>
                </c:pt>
                <c:pt idx="13">
                  <c:v>-2.4737507919199754E-6</c:v>
                </c:pt>
                <c:pt idx="14">
                  <c:v>-1.4036002428201254E-3</c:v>
                </c:pt>
                <c:pt idx="15">
                  <c:v>-2.657053410263691E-3</c:v>
                </c:pt>
                <c:pt idx="16">
                  <c:v>-3.4907840107748084E-3</c:v>
                </c:pt>
                <c:pt idx="17">
                  <c:v>-4.1628383630821402E-3</c:v>
                </c:pt>
                <c:pt idx="18">
                  <c:v>-4.8262042644068252E-3</c:v>
                </c:pt>
                <c:pt idx="19">
                  <c:v>-5.5201867594994779E-3</c:v>
                </c:pt>
                <c:pt idx="20">
                  <c:v>-6.2387191041093889E-3</c:v>
                </c:pt>
                <c:pt idx="21">
                  <c:v>-6.9460306113623502E-3</c:v>
                </c:pt>
                <c:pt idx="22">
                  <c:v>-7.6113202987848202E-3</c:v>
                </c:pt>
                <c:pt idx="23">
                  <c:v>-8.2138707321782866E-3</c:v>
                </c:pt>
                <c:pt idx="24">
                  <c:v>-8.7400570469784323E-3</c:v>
                </c:pt>
                <c:pt idx="25">
                  <c:v>-9.188138218096149E-3</c:v>
                </c:pt>
                <c:pt idx="26">
                  <c:v>-9.5228780036805318E-3</c:v>
                </c:pt>
                <c:pt idx="27">
                  <c:v>-9.701013902446029E-3</c:v>
                </c:pt>
                <c:pt idx="28">
                  <c:v>-9.7138506908100372E-3</c:v>
                </c:pt>
                <c:pt idx="29">
                  <c:v>-9.5570793948031169E-3</c:v>
                </c:pt>
                <c:pt idx="30">
                  <c:v>-9.223666581214077E-3</c:v>
                </c:pt>
                <c:pt idx="31">
                  <c:v>-8.6930641490321429E-3</c:v>
                </c:pt>
                <c:pt idx="32">
                  <c:v>-7.9354849550930529E-3</c:v>
                </c:pt>
                <c:pt idx="33">
                  <c:v>-6.9243517074376515E-3</c:v>
                </c:pt>
                <c:pt idx="34">
                  <c:v>-5.620860253051428E-3</c:v>
                </c:pt>
                <c:pt idx="35">
                  <c:v>-3.9565506231348038E-3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-6.1844892867927723E-12</c:v>
                </c:pt>
                <c:pt idx="1">
                  <c:v>-4.3060932326911484E-11</c:v>
                </c:pt>
                <c:pt idx="2">
                  <c:v>-8.5624941537222504E-11</c:v>
                </c:pt>
                <c:pt idx="3">
                  <c:v>-1.2766925442257331E-10</c:v>
                </c:pt>
                <c:pt idx="4">
                  <c:v>-1.565426744440909E-10</c:v>
                </c:pt>
                <c:pt idx="5">
                  <c:v>-1.842971782310329E-10</c:v>
                </c:pt>
                <c:pt idx="6">
                  <c:v>-1.8782845148417606E-10</c:v>
                </c:pt>
                <c:pt idx="7">
                  <c:v>-1.9175618435586135E-3</c:v>
                </c:pt>
                <c:pt idx="8">
                  <c:v>-4.2127411387711611E-3</c:v>
                </c:pt>
                <c:pt idx="9">
                  <c:v>-6.159741476556113E-3</c:v>
                </c:pt>
                <c:pt idx="10">
                  <c:v>-8.1655743466319142E-3</c:v>
                </c:pt>
                <c:pt idx="11">
                  <c:v>-9.9887239409737795E-3</c:v>
                </c:pt>
                <c:pt idx="12">
                  <c:v>-1.1679560605837006E-2</c:v>
                </c:pt>
                <c:pt idx="13">
                  <c:v>-1.3217597432430709E-2</c:v>
                </c:pt>
                <c:pt idx="14">
                  <c:v>-1.4572419090458354E-2</c:v>
                </c:pt>
                <c:pt idx="15">
                  <c:v>-1.5759543174964571E-2</c:v>
                </c:pt>
                <c:pt idx="16">
                  <c:v>-1.6935808453276434E-2</c:v>
                </c:pt>
                <c:pt idx="17">
                  <c:v>-1.8121579020357759E-2</c:v>
                </c:pt>
                <c:pt idx="18">
                  <c:v>-1.9320718511080508E-2</c:v>
                </c:pt>
                <c:pt idx="19">
                  <c:v>-2.0510759525976717E-2</c:v>
                </c:pt>
                <c:pt idx="20">
                  <c:v>-2.1667510483309293E-2</c:v>
                </c:pt>
                <c:pt idx="21">
                  <c:v>-2.2762906480746557E-2</c:v>
                </c:pt>
                <c:pt idx="22">
                  <c:v>-2.3777222652258491E-2</c:v>
                </c:pt>
                <c:pt idx="23">
                  <c:v>-2.4699310670063264E-2</c:v>
                </c:pt>
                <c:pt idx="24">
                  <c:v>-2.5521881960868499E-2</c:v>
                </c:pt>
                <c:pt idx="25">
                  <c:v>-2.624656520954257E-2</c:v>
                </c:pt>
                <c:pt idx="26">
                  <c:v>-2.6863004785771777E-2</c:v>
                </c:pt>
                <c:pt idx="27">
                  <c:v>-2.7349947601754031E-2</c:v>
                </c:pt>
                <c:pt idx="28">
                  <c:v>-2.770802559593805E-2</c:v>
                </c:pt>
                <c:pt idx="29">
                  <c:v>-2.7942114611290928E-2</c:v>
                </c:pt>
                <c:pt idx="30">
                  <c:v>-2.8056801710959298E-2</c:v>
                </c:pt>
                <c:pt idx="31">
                  <c:v>-2.8050531062588934E-2</c:v>
                </c:pt>
                <c:pt idx="32">
                  <c:v>-2.7918594340374161E-2</c:v>
                </c:pt>
                <c:pt idx="33">
                  <c:v>-2.7659451932534069E-2</c:v>
                </c:pt>
                <c:pt idx="34">
                  <c:v>-2.7267234459507562E-2</c:v>
                </c:pt>
                <c:pt idx="35">
                  <c:v>-2.6727462689032588E-2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0</c:v>
                </c:pt>
                <c:pt idx="1">
                  <c:v>-1.2303121854628785E-9</c:v>
                </c:pt>
                <c:pt idx="2">
                  <c:v>-2.446426727864548E-9</c:v>
                </c:pt>
                <c:pt idx="3">
                  <c:v>-3.6476932585571831E-9</c:v>
                </c:pt>
                <c:pt idx="4">
                  <c:v>-4.2146102163798105E-9</c:v>
                </c:pt>
                <c:pt idx="5">
                  <c:v>-4.7560564375714875E-9</c:v>
                </c:pt>
                <c:pt idx="6">
                  <c:v>-4.1087474533796353E-9</c:v>
                </c:pt>
                <c:pt idx="7">
                  <c:v>-1.2076496990501395E-2</c:v>
                </c:pt>
                <c:pt idx="8">
                  <c:v>-2.587635946771405E-2</c:v>
                </c:pt>
                <c:pt idx="9">
                  <c:v>-3.6896882037303458E-2</c:v>
                </c:pt>
                <c:pt idx="10">
                  <c:v>-4.724234279657602E-2</c:v>
                </c:pt>
                <c:pt idx="11">
                  <c:v>-5.5969122013485695E-2</c:v>
                </c:pt>
                <c:pt idx="12">
                  <c:v>-6.3461358319902739E-2</c:v>
                </c:pt>
                <c:pt idx="13">
                  <c:v>-6.9774224399684281E-2</c:v>
                </c:pt>
                <c:pt idx="14">
                  <c:v>-7.4862154524447666E-2</c:v>
                </c:pt>
                <c:pt idx="15">
                  <c:v>-7.8886421372900584E-2</c:v>
                </c:pt>
                <c:pt idx="16">
                  <c:v>-8.3147055025888705E-2</c:v>
                </c:pt>
                <c:pt idx="17">
                  <c:v>-8.7681479555462905E-2</c:v>
                </c:pt>
                <c:pt idx="18">
                  <c:v>-9.2463701012551081E-2</c:v>
                </c:pt>
                <c:pt idx="19">
                  <c:v>-9.7322479832071873E-2</c:v>
                </c:pt>
                <c:pt idx="20">
                  <c:v>-0.10207222215253742</c:v>
                </c:pt>
                <c:pt idx="21">
                  <c:v>-0.10651245573875068</c:v>
                </c:pt>
                <c:pt idx="22">
                  <c:v>-0.11051468603911296</c:v>
                </c:pt>
                <c:pt idx="23">
                  <c:v>-0.11400202434330298</c:v>
                </c:pt>
                <c:pt idx="24">
                  <c:v>-0.11691400632701898</c:v>
                </c:pt>
                <c:pt idx="25">
                  <c:v>-0.11923292107124683</c:v>
                </c:pt>
                <c:pt idx="26">
                  <c:v>-0.12083496094362933</c:v>
                </c:pt>
                <c:pt idx="27">
                  <c:v>-0.12155186774779669</c:v>
                </c:pt>
                <c:pt idx="28">
                  <c:v>-0.12131413652529788</c:v>
                </c:pt>
                <c:pt idx="29">
                  <c:v>-0.12005493309624449</c:v>
                </c:pt>
                <c:pt idx="30">
                  <c:v>-0.11767866215892464</c:v>
                </c:pt>
                <c:pt idx="31">
                  <c:v>-0.11401744050210394</c:v>
                </c:pt>
                <c:pt idx="32">
                  <c:v>-0.1088244894117526</c:v>
                </c:pt>
                <c:pt idx="33">
                  <c:v>-0.10179972216724298</c:v>
                </c:pt>
                <c:pt idx="34">
                  <c:v>-9.2509868177905741E-2</c:v>
                </c:pt>
                <c:pt idx="35">
                  <c:v>-8.0275714797689357E-2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-7.0943914452379481E-10</c:v>
                </c:pt>
                <c:pt idx="2">
                  <c:v>-1.1225177511286882E-9</c:v>
                </c:pt>
                <c:pt idx="3">
                  <c:v>-1.5945019251618038E-9</c:v>
                </c:pt>
                <c:pt idx="4">
                  <c:v>-1.7104500583468771E-9</c:v>
                </c:pt>
                <c:pt idx="5">
                  <c:v>-1.7530799701580099E-9</c:v>
                </c:pt>
                <c:pt idx="6">
                  <c:v>-1.6597996893898036E-9</c:v>
                </c:pt>
                <c:pt idx="7">
                  <c:v>-3.3176126465272225E-3</c:v>
                </c:pt>
                <c:pt idx="8">
                  <c:v>-6.7458668397206278E-3</c:v>
                </c:pt>
                <c:pt idx="9">
                  <c:v>-1.0384867228515577E-2</c:v>
                </c:pt>
                <c:pt idx="10">
                  <c:v>-1.4335038423012534E-2</c:v>
                </c:pt>
                <c:pt idx="11">
                  <c:v>-1.8031758384385539E-2</c:v>
                </c:pt>
                <c:pt idx="12">
                  <c:v>-2.1367137319156779E-2</c:v>
                </c:pt>
                <c:pt idx="13">
                  <c:v>-2.4287041235347858E-2</c:v>
                </c:pt>
                <c:pt idx="14">
                  <c:v>-2.678073831327632E-2</c:v>
                </c:pt>
                <c:pt idx="15">
                  <c:v>-2.8866938699119379E-2</c:v>
                </c:pt>
                <c:pt idx="16">
                  <c:v>-3.0994408161726106E-2</c:v>
                </c:pt>
                <c:pt idx="17">
                  <c:v>-3.3081301403799265E-2</c:v>
                </c:pt>
                <c:pt idx="18">
                  <c:v>-3.5162003737039323E-2</c:v>
                </c:pt>
                <c:pt idx="19">
                  <c:v>-3.7153020646840687E-2</c:v>
                </c:pt>
                <c:pt idx="20">
                  <c:v>-3.8960055588009794E-2</c:v>
                </c:pt>
                <c:pt idx="21">
                  <c:v>-4.0498885164945875E-2</c:v>
                </c:pt>
                <c:pt idx="22">
                  <c:v>-4.1737473775839404E-2</c:v>
                </c:pt>
                <c:pt idx="23">
                  <c:v>-4.2660981611521806E-2</c:v>
                </c:pt>
                <c:pt idx="24">
                  <c:v>-4.326604387926155E-2</c:v>
                </c:pt>
                <c:pt idx="25">
                  <c:v>-4.3579563068816787E-2</c:v>
                </c:pt>
                <c:pt idx="26">
                  <c:v>-4.3600013247162596E-2</c:v>
                </c:pt>
                <c:pt idx="27">
                  <c:v>-4.334918854159777E-2</c:v>
                </c:pt>
                <c:pt idx="28">
                  <c:v>-4.2853538914235288E-2</c:v>
                </c:pt>
                <c:pt idx="29">
                  <c:v>-4.2149690605238911E-2</c:v>
                </c:pt>
                <c:pt idx="30">
                  <c:v>-4.1274068159378161E-2</c:v>
                </c:pt>
                <c:pt idx="31">
                  <c:v>-4.025520488149615E-2</c:v>
                </c:pt>
                <c:pt idx="32">
                  <c:v>-3.9106063863270653E-2</c:v>
                </c:pt>
                <c:pt idx="33">
                  <c:v>-3.7832068217748975E-2</c:v>
                </c:pt>
                <c:pt idx="34">
                  <c:v>-3.6429716061481807E-2</c:v>
                </c:pt>
                <c:pt idx="35">
                  <c:v>-3.4885033021585132E-2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7.1734962029435488E-10</c:v>
                </c:pt>
                <c:pt idx="1">
                  <c:v>7.0943909411511236E-10</c:v>
                </c:pt>
                <c:pt idx="2">
                  <c:v>-7.0157352591195492E-10</c:v>
                </c:pt>
                <c:pt idx="3">
                  <c:v>-1.3865233446496276E-9</c:v>
                </c:pt>
                <c:pt idx="4">
                  <c:v>-1.3683599688952381E-9</c:v>
                </c:pt>
                <c:pt idx="5">
                  <c:v>-2.0227846509726343E-9</c:v>
                </c:pt>
                <c:pt idx="6">
                  <c:v>-2.6556795407631615E-9</c:v>
                </c:pt>
                <c:pt idx="7">
                  <c:v>-9.0826971145714537E-3</c:v>
                </c:pt>
                <c:pt idx="8">
                  <c:v>-1.8863370526956701E-2</c:v>
                </c:pt>
                <c:pt idx="9">
                  <c:v>-2.2391019254357682E-2</c:v>
                </c:pt>
                <c:pt idx="10">
                  <c:v>-2.3988795473315203E-2</c:v>
                </c:pt>
                <c:pt idx="11">
                  <c:v>-2.3756975528372117E-2</c:v>
                </c:pt>
                <c:pt idx="12">
                  <c:v>-2.2129404325270843E-2</c:v>
                </c:pt>
                <c:pt idx="13">
                  <c:v>-1.8898382106528208E-2</c:v>
                </c:pt>
                <c:pt idx="14">
                  <c:v>-1.3663213376224491E-2</c:v>
                </c:pt>
                <c:pt idx="15">
                  <c:v>-6.441783295319338E-3</c:v>
                </c:pt>
                <c:pt idx="16">
                  <c:v>9.8593145937504278E-4</c:v>
                </c:pt>
                <c:pt idx="17">
                  <c:v>8.854068030319559E-3</c:v>
                </c:pt>
                <c:pt idx="18">
                  <c:v>1.734029813683655E-2</c:v>
                </c:pt>
                <c:pt idx="19">
                  <c:v>2.6772579954268134E-2</c:v>
                </c:pt>
                <c:pt idx="20">
                  <c:v>3.7561314120841828E-2</c:v>
                </c:pt>
                <c:pt idx="21">
                  <c:v>5.0207948297492144E-2</c:v>
                </c:pt>
                <c:pt idx="22">
                  <c:v>6.5242297878102692E-2</c:v>
                </c:pt>
                <c:pt idx="23">
                  <c:v>8.3166222332611478E-2</c:v>
                </c:pt>
                <c:pt idx="24">
                  <c:v>0.10452951816769601</c:v>
                </c:pt>
                <c:pt idx="25">
                  <c:v>0.12994183631097156</c:v>
                </c:pt>
                <c:pt idx="26">
                  <c:v>0.16051202108949278</c:v>
                </c:pt>
                <c:pt idx="27">
                  <c:v>0.19732387567580889</c:v>
                </c:pt>
                <c:pt idx="28">
                  <c:v>0.24163838897199402</c:v>
                </c:pt>
                <c:pt idx="29">
                  <c:v>0.29503742113916021</c:v>
                </c:pt>
                <c:pt idx="30">
                  <c:v>0.35958504344445308</c:v>
                </c:pt>
                <c:pt idx="31">
                  <c:v>0.43812570574326654</c:v>
                </c:pt>
                <c:pt idx="32">
                  <c:v>0.53462179724798597</c:v>
                </c:pt>
                <c:pt idx="33">
                  <c:v>0.65458563215622656</c:v>
                </c:pt>
                <c:pt idx="34">
                  <c:v>0.80605412296723955</c:v>
                </c:pt>
                <c:pt idx="35">
                  <c:v>1.0012614608301882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-7.1734941641137608E-10</c:v>
                </c:pt>
                <c:pt idx="1">
                  <c:v>0</c:v>
                </c:pt>
                <c:pt idx="2">
                  <c:v>1.4031472512231106E-9</c:v>
                </c:pt>
                <c:pt idx="3">
                  <c:v>2.773046886336085E-9</c:v>
                </c:pt>
                <c:pt idx="4">
                  <c:v>3.3524820599122945E-9</c:v>
                </c:pt>
                <c:pt idx="5">
                  <c:v>3.9781431916280664E-9</c:v>
                </c:pt>
                <c:pt idx="6">
                  <c:v>3.917127176385195E-9</c:v>
                </c:pt>
                <c:pt idx="7">
                  <c:v>2.0019227024149412E-2</c:v>
                </c:pt>
                <c:pt idx="8">
                  <c:v>4.1615769862734853E-2</c:v>
                </c:pt>
                <c:pt idx="9">
                  <c:v>6.0993763187547158E-2</c:v>
                </c:pt>
                <c:pt idx="10">
                  <c:v>7.8710451917193267E-2</c:v>
                </c:pt>
                <c:pt idx="11">
                  <c:v>9.3385665249826139E-2</c:v>
                </c:pt>
                <c:pt idx="12">
                  <c:v>0.10596149144438975</c:v>
                </c:pt>
                <c:pt idx="13">
                  <c:v>0.11696978718042927</c:v>
                </c:pt>
                <c:pt idx="14">
                  <c:v>0.1266994196699279</c:v>
                </c:pt>
                <c:pt idx="15">
                  <c:v>0.13541450793374468</c:v>
                </c:pt>
                <c:pt idx="16">
                  <c:v>0.14408076614506593</c:v>
                </c:pt>
                <c:pt idx="17">
                  <c:v>0.15331526335943052</c:v>
                </c:pt>
                <c:pt idx="18">
                  <c:v>0.16290504100164685</c:v>
                </c:pt>
                <c:pt idx="19">
                  <c:v>0.17262012058057685</c:v>
                </c:pt>
                <c:pt idx="20">
                  <c:v>0.18225973954887897</c:v>
                </c:pt>
                <c:pt idx="21">
                  <c:v>0.19163319818412008</c:v>
                </c:pt>
                <c:pt idx="22">
                  <c:v>0.20061437473964477</c:v>
                </c:pt>
                <c:pt idx="23">
                  <c:v>0.20910714643066561</c:v>
                </c:pt>
                <c:pt idx="24">
                  <c:v>0.2170299267471785</c:v>
                </c:pt>
                <c:pt idx="25">
                  <c:v>0.22435041804553313</c:v>
                </c:pt>
                <c:pt idx="26">
                  <c:v>0.23118477291944317</c:v>
                </c:pt>
                <c:pt idx="27">
                  <c:v>0.23718461565867116</c:v>
                </c:pt>
                <c:pt idx="28">
                  <c:v>0.24224231995256099</c:v>
                </c:pt>
                <c:pt idx="29">
                  <c:v>0.24622831001125903</c:v>
                </c:pt>
                <c:pt idx="30">
                  <c:v>0.24896818899008274</c:v>
                </c:pt>
                <c:pt idx="31">
                  <c:v>0.25021770391399695</c:v>
                </c:pt>
                <c:pt idx="32">
                  <c:v>0.2496213592732032</c:v>
                </c:pt>
                <c:pt idx="33">
                  <c:v>0.24666316906564886</c:v>
                </c:pt>
                <c:pt idx="34">
                  <c:v>0.24058679490047666</c:v>
                </c:pt>
                <c:pt idx="35">
                  <c:v>0.23024872680873643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7.6189166095901317E-3</c:v>
                </c:pt>
                <c:pt idx="8">
                  <c:v>1.6006532753290115E-2</c:v>
                </c:pt>
                <c:pt idx="9">
                  <c:v>2.8217877653990309E-2</c:v>
                </c:pt>
                <c:pt idx="10">
                  <c:v>4.0386618083176895E-2</c:v>
                </c:pt>
                <c:pt idx="11">
                  <c:v>5.1596931706228588E-2</c:v>
                </c:pt>
                <c:pt idx="12">
                  <c:v>6.2464950226178484E-2</c:v>
                </c:pt>
                <c:pt idx="13">
                  <c:v>7.3784363657487972E-2</c:v>
                </c:pt>
                <c:pt idx="14">
                  <c:v>8.6255467561211718E-2</c:v>
                </c:pt>
                <c:pt idx="15">
                  <c:v>0.1001057862365704</c:v>
                </c:pt>
                <c:pt idx="16">
                  <c:v>0.11407228967877536</c:v>
                </c:pt>
                <c:pt idx="17">
                  <c:v>0.12908803057137286</c:v>
                </c:pt>
                <c:pt idx="18">
                  <c:v>0.14508333563348463</c:v>
                </c:pt>
                <c:pt idx="19">
                  <c:v>0.16223968017506207</c:v>
                </c:pt>
                <c:pt idx="20">
                  <c:v>0.18086099734390193</c:v>
                </c:pt>
                <c:pt idx="21">
                  <c:v>0.20134226142871325</c:v>
                </c:pt>
                <c:pt idx="22">
                  <c:v>0.22411919906278932</c:v>
                </c:pt>
                <c:pt idx="23">
                  <c:v>0.24961238726045254</c:v>
                </c:pt>
                <c:pt idx="24">
                  <c:v>0.27829340130269786</c:v>
                </c:pt>
                <c:pt idx="25">
                  <c:v>0.31071269144506264</c:v>
                </c:pt>
                <c:pt idx="26">
                  <c:v>0.34809678127629828</c:v>
                </c:pt>
                <c:pt idx="27">
                  <c:v>0.39115930254086417</c:v>
                </c:pt>
                <c:pt idx="28">
                  <c:v>0.44102717025691862</c:v>
                </c:pt>
                <c:pt idx="29">
                  <c:v>0.4991160405933992</c:v>
                </c:pt>
                <c:pt idx="30">
                  <c:v>0.56727916422803659</c:v>
                </c:pt>
                <c:pt idx="31">
                  <c:v>0.64808820445347082</c:v>
                </c:pt>
                <c:pt idx="32">
                  <c:v>0.74513709234297121</c:v>
                </c:pt>
                <c:pt idx="33">
                  <c:v>0.86341673326800472</c:v>
                </c:pt>
                <c:pt idx="34">
                  <c:v>1.0102112015481741</c:v>
                </c:pt>
                <c:pt idx="35">
                  <c:v>1.1966251548277791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2.6924997876407011E-11</c:v>
                </c:pt>
                <c:pt idx="1">
                  <c:v>3.3290529876349822E-11</c:v>
                </c:pt>
                <c:pt idx="2">
                  <c:v>2.6340770152832518E-11</c:v>
                </c:pt>
                <c:pt idx="3">
                  <c:v>2.6032135636359329E-11</c:v>
                </c:pt>
                <c:pt idx="4">
                  <c:v>2.569500957093701E-11</c:v>
                </c:pt>
                <c:pt idx="5">
                  <c:v>1.8995683674608384E-11</c:v>
                </c:pt>
                <c:pt idx="6">
                  <c:v>2.4945690187105461E-11</c:v>
                </c:pt>
                <c:pt idx="7">
                  <c:v>-6.2348165398207959E-4</c:v>
                </c:pt>
                <c:pt idx="8">
                  <c:v>-1.3186112929550675E-3</c:v>
                </c:pt>
                <c:pt idx="9">
                  <c:v>-1.9149992288039204E-3</c:v>
                </c:pt>
                <c:pt idx="10">
                  <c:v>-2.4648918825171929E-3</c:v>
                </c:pt>
                <c:pt idx="11">
                  <c:v>-2.9096497426594828E-3</c:v>
                </c:pt>
                <c:pt idx="12">
                  <c:v>-3.2874376310578542E-3</c:v>
                </c:pt>
                <c:pt idx="13">
                  <c:v>-3.6190748064200188E-3</c:v>
                </c:pt>
                <c:pt idx="14">
                  <c:v>-3.9145549936376069E-3</c:v>
                </c:pt>
                <c:pt idx="15">
                  <c:v>-4.1837804733404673E-3</c:v>
                </c:pt>
                <c:pt idx="16">
                  <c:v>-4.4886146431905973E-3</c:v>
                </c:pt>
                <c:pt idx="17">
                  <c:v>-4.8192020915441298E-3</c:v>
                </c:pt>
                <c:pt idx="18">
                  <c:v>-5.1661414774177026E-3</c:v>
                </c:pt>
                <c:pt idx="19">
                  <c:v>-5.5219893711537463E-3</c:v>
                </c:pt>
                <c:pt idx="20">
                  <c:v>-5.8816732859604962E-3</c:v>
                </c:pt>
                <c:pt idx="21">
                  <c:v>-6.2396814456258127E-3</c:v>
                </c:pt>
                <c:pt idx="22">
                  <c:v>-6.5932621495197853E-3</c:v>
                </c:pt>
                <c:pt idx="23">
                  <c:v>-6.9407061458375708E-3</c:v>
                </c:pt>
                <c:pt idx="24">
                  <c:v>-7.2805488484961999E-3</c:v>
                </c:pt>
                <c:pt idx="25">
                  <c:v>-7.6139034946442145E-3</c:v>
                </c:pt>
                <c:pt idx="26">
                  <c:v>-7.934867789391396E-3</c:v>
                </c:pt>
                <c:pt idx="27">
                  <c:v>-8.2438765278507672E-3</c:v>
                </c:pt>
                <c:pt idx="28">
                  <c:v>-8.5407031087598416E-3</c:v>
                </c:pt>
                <c:pt idx="29">
                  <c:v>-8.8245465487716366E-3</c:v>
                </c:pt>
                <c:pt idx="30">
                  <c:v>-9.0938943857648748E-3</c:v>
                </c:pt>
                <c:pt idx="31">
                  <c:v>-9.3462994672895081E-3</c:v>
                </c:pt>
                <c:pt idx="32">
                  <c:v>-9.5782561161436384E-3</c:v>
                </c:pt>
                <c:pt idx="33">
                  <c:v>-9.7848167752615858E-3</c:v>
                </c:pt>
                <c:pt idx="34">
                  <c:v>-9.9578916053941011E-3</c:v>
                </c:pt>
                <c:pt idx="35">
                  <c:v>-1.0082887087298846E-2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5.0655658519054695E-9</c:v>
                </c:pt>
                <c:pt idx="1">
                  <c:v>9.3213491932800022E-11</c:v>
                </c:pt>
                <c:pt idx="2">
                  <c:v>9.2192648744310477E-11</c:v>
                </c:pt>
                <c:pt idx="3">
                  <c:v>9.7620485515168315E-11</c:v>
                </c:pt>
                <c:pt idx="4">
                  <c:v>1.5417007454193728E-10</c:v>
                </c:pt>
                <c:pt idx="5">
                  <c:v>9.4978440868448468E-11</c:v>
                </c:pt>
                <c:pt idx="6">
                  <c:v>9.3546316045423624E-11</c:v>
                </c:pt>
                <c:pt idx="7">
                  <c:v>-8.4352785326553847E-4</c:v>
                </c:pt>
                <c:pt idx="8">
                  <c:v>-1.71649865275891E-3</c:v>
                </c:pt>
                <c:pt idx="9">
                  <c:v>-1.9484624589896458E-3</c:v>
                </c:pt>
                <c:pt idx="10">
                  <c:v>-1.9630918586652597E-3</c:v>
                </c:pt>
                <c:pt idx="11">
                  <c:v>-1.4751898624995282E-3</c:v>
                </c:pt>
                <c:pt idx="12">
                  <c:v>-5.5970983084637578E-4</c:v>
                </c:pt>
                <c:pt idx="13">
                  <c:v>7.4983323613149434E-4</c:v>
                </c:pt>
                <c:pt idx="14">
                  <c:v>2.4408521368414733E-3</c:v>
                </c:pt>
                <c:pt idx="15">
                  <c:v>4.4626944661096358E-3</c:v>
                </c:pt>
                <c:pt idx="16">
                  <c:v>6.4944867916479441E-3</c:v>
                </c:pt>
                <c:pt idx="17">
                  <c:v>8.4922082055261961E-3</c:v>
                </c:pt>
                <c:pt idx="18">
                  <c:v>1.0465740955348591E-2</c:v>
                </c:pt>
                <c:pt idx="19">
                  <c:v>1.2453671837464252E-2</c:v>
                </c:pt>
                <c:pt idx="20">
                  <c:v>1.4505103567846664E-2</c:v>
                </c:pt>
                <c:pt idx="21">
                  <c:v>1.6648701925968654E-2</c:v>
                </c:pt>
                <c:pt idx="22">
                  <c:v>1.8918492523597234E-2</c:v>
                </c:pt>
                <c:pt idx="23">
                  <c:v>2.1334894239482743E-2</c:v>
                </c:pt>
                <c:pt idx="24">
                  <c:v>2.3915324412166691E-2</c:v>
                </c:pt>
                <c:pt idx="25">
                  <c:v>2.6701101096863796E-2</c:v>
                </c:pt>
                <c:pt idx="26">
                  <c:v>2.9700162871346646E-2</c:v>
                </c:pt>
                <c:pt idx="27">
                  <c:v>3.2953136902966529E-2</c:v>
                </c:pt>
                <c:pt idx="28">
                  <c:v>3.6495477348163323E-2</c:v>
                </c:pt>
                <c:pt idx="29">
                  <c:v>4.0374948480126661E-2</c:v>
                </c:pt>
                <c:pt idx="30">
                  <c:v>4.46534524421714E-2</c:v>
                </c:pt>
                <c:pt idx="31">
                  <c:v>4.9413954187366507E-2</c:v>
                </c:pt>
                <c:pt idx="32">
                  <c:v>5.4765632928093062E-2</c:v>
                </c:pt>
                <c:pt idx="33">
                  <c:v>6.0844424929828382E-2</c:v>
                </c:pt>
                <c:pt idx="34">
                  <c:v>6.7837037897972768E-2</c:v>
                </c:pt>
                <c:pt idx="35">
                  <c:v>7.6021733061290203E-2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1.1200799433448503E-8</c:v>
                </c:pt>
                <c:pt idx="1">
                  <c:v>1.0686260158314533E-8</c:v>
                </c:pt>
                <c:pt idx="2">
                  <c:v>1.0318995853443628E-8</c:v>
                </c:pt>
                <c:pt idx="3">
                  <c:v>9.9833231899616483E-9</c:v>
                </c:pt>
                <c:pt idx="4">
                  <c:v>9.7833751701348503E-9</c:v>
                </c:pt>
                <c:pt idx="5">
                  <c:v>9.6244789355051672E-9</c:v>
                </c:pt>
                <c:pt idx="6">
                  <c:v>9.4294701097190435E-9</c:v>
                </c:pt>
                <c:pt idx="7">
                  <c:v>-7.947303455121367E-4</c:v>
                </c:pt>
                <c:pt idx="8">
                  <c:v>-1.1536375835157339E-3</c:v>
                </c:pt>
                <c:pt idx="9">
                  <c:v>-1.4784335235261646E-3</c:v>
                </c:pt>
                <c:pt idx="10">
                  <c:v>-1.7198489852761369E-3</c:v>
                </c:pt>
                <c:pt idx="11">
                  <c:v>-1.8755867957084306E-3</c:v>
                </c:pt>
                <c:pt idx="12">
                  <c:v>-2.0630313355579706E-3</c:v>
                </c:pt>
                <c:pt idx="13">
                  <c:v>-2.3268451250766072E-3</c:v>
                </c:pt>
                <c:pt idx="14">
                  <c:v>-2.6741646690988663E-3</c:v>
                </c:pt>
                <c:pt idx="15">
                  <c:v>-3.0853148023740422E-3</c:v>
                </c:pt>
                <c:pt idx="16">
                  <c:v>-3.5815647629001846E-3</c:v>
                </c:pt>
                <c:pt idx="17">
                  <c:v>-4.0728921150889816E-3</c:v>
                </c:pt>
                <c:pt idx="18">
                  <c:v>-4.5461824272981762E-3</c:v>
                </c:pt>
                <c:pt idx="19">
                  <c:v>-4.9903561378509317E-3</c:v>
                </c:pt>
                <c:pt idx="20">
                  <c:v>-5.3986731065119821E-3</c:v>
                </c:pt>
                <c:pt idx="21">
                  <c:v>-5.7693950503519345E-3</c:v>
                </c:pt>
                <c:pt idx="22">
                  <c:v>-6.1119383059011949E-3</c:v>
                </c:pt>
                <c:pt idx="23">
                  <c:v>-6.432367775278754E-3</c:v>
                </c:pt>
                <c:pt idx="24">
                  <c:v>-6.7359121375342992E-3</c:v>
                </c:pt>
                <c:pt idx="25">
                  <c:v>-7.0301596786925659E-3</c:v>
                </c:pt>
                <c:pt idx="26">
                  <c:v>-7.3216269883037751E-3</c:v>
                </c:pt>
                <c:pt idx="27">
                  <c:v>-7.6247783326633426E-3</c:v>
                </c:pt>
                <c:pt idx="28">
                  <c:v>-7.9514593460882615E-3</c:v>
                </c:pt>
                <c:pt idx="29">
                  <c:v>-8.3207084166634186E-3</c:v>
                </c:pt>
                <c:pt idx="30">
                  <c:v>-8.757329598399536E-3</c:v>
                </c:pt>
                <c:pt idx="31">
                  <c:v>-9.2916836723754611E-3</c:v>
                </c:pt>
                <c:pt idx="32">
                  <c:v>-9.9586083385590583E-3</c:v>
                </c:pt>
                <c:pt idx="33">
                  <c:v>-1.08030696250912E-2</c:v>
                </c:pt>
                <c:pt idx="34">
                  <c:v>-1.1887916352587166E-2</c:v>
                </c:pt>
                <c:pt idx="35">
                  <c:v>-1.3306733853997025E-2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4.2213048765878908E-9</c:v>
                </c:pt>
                <c:pt idx="1">
                  <c:v>6.658106566628573E-11</c:v>
                </c:pt>
                <c:pt idx="2">
                  <c:v>6.5851925382081294E-11</c:v>
                </c:pt>
                <c:pt idx="3">
                  <c:v>1.301606319394383E-10</c:v>
                </c:pt>
                <c:pt idx="4">
                  <c:v>6.4237531059140537E-11</c:v>
                </c:pt>
                <c:pt idx="5">
                  <c:v>6.3318945582027943E-11</c:v>
                </c:pt>
                <c:pt idx="6">
                  <c:v>0</c:v>
                </c:pt>
                <c:pt idx="7">
                  <c:v>9.6265845414017746E-3</c:v>
                </c:pt>
                <c:pt idx="8">
                  <c:v>2.0199114016425702E-2</c:v>
                </c:pt>
                <c:pt idx="9">
                  <c:v>3.280343205671165E-2</c:v>
                </c:pt>
                <c:pt idx="10">
                  <c:v>4.5212260651428374E-2</c:v>
                </c:pt>
                <c:pt idx="11">
                  <c:v>5.6067119077471597E-2</c:v>
                </c:pt>
                <c:pt idx="12">
                  <c:v>6.6148529166383585E-2</c:v>
                </c:pt>
                <c:pt idx="13">
                  <c:v>7.6206685699257551E-2</c:v>
                </c:pt>
                <c:pt idx="14">
                  <c:v>8.6836264311407896E-2</c:v>
                </c:pt>
                <c:pt idx="15">
                  <c:v>9.8302098966125295E-2</c:v>
                </c:pt>
                <c:pt idx="16">
                  <c:v>0.11038920919311367</c:v>
                </c:pt>
                <c:pt idx="17">
                  <c:v>0.12363399316728335</c:v>
                </c:pt>
                <c:pt idx="18">
                  <c:v>0.13795574530809193</c:v>
                </c:pt>
                <c:pt idx="19">
                  <c:v>0.15345857684039813</c:v>
                </c:pt>
                <c:pt idx="20">
                  <c:v>0.17035806892455962</c:v>
                </c:pt>
                <c:pt idx="21">
                  <c:v>0.18897891219116206</c:v>
                </c:pt>
                <c:pt idx="22">
                  <c:v>0.20970281118080292</c:v>
                </c:pt>
                <c:pt idx="23">
                  <c:v>0.23291671400317648</c:v>
                </c:pt>
                <c:pt idx="24">
                  <c:v>0.25906333773320112</c:v>
                </c:pt>
                <c:pt idx="25">
                  <c:v>0.28865783572115572</c:v>
                </c:pt>
                <c:pt idx="26">
                  <c:v>0.32275151924108331</c:v>
                </c:pt>
                <c:pt idx="27">
                  <c:v>0.36215269359288232</c:v>
                </c:pt>
                <c:pt idx="28">
                  <c:v>0.40796038879818797</c:v>
                </c:pt>
                <c:pt idx="29">
                  <c:v>0.46155348504007121</c:v>
                </c:pt>
                <c:pt idx="30">
                  <c:v>0.52473547173034374</c:v>
                </c:pt>
                <c:pt idx="31">
                  <c:v>0.60000659446036286</c:v>
                </c:pt>
                <c:pt idx="32">
                  <c:v>0.69086535463985543</c:v>
                </c:pt>
                <c:pt idx="33">
                  <c:v>0.80218954575502899</c:v>
                </c:pt>
                <c:pt idx="34">
                  <c:v>0.94110658411142012</c:v>
                </c:pt>
                <c:pt idx="35">
                  <c:v>1.118485888177962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-3.8983077373478467E-11</c:v>
                </c:pt>
                <c:pt idx="1">
                  <c:v>8.6555385366171442E-11</c:v>
                </c:pt>
                <c:pt idx="2">
                  <c:v>-2.6340770152832518E-11</c:v>
                </c:pt>
                <c:pt idx="3">
                  <c:v>-7.8096406909077994E-11</c:v>
                </c:pt>
                <c:pt idx="4">
                  <c:v>-1.7986508696559351E-10</c:v>
                </c:pt>
                <c:pt idx="5">
                  <c:v>-1.4563355234325772E-10</c:v>
                </c:pt>
                <c:pt idx="6">
                  <c:v>-2.1827476698095091E-10</c:v>
                </c:pt>
                <c:pt idx="7">
                  <c:v>-1.5943669976215013E-3</c:v>
                </c:pt>
                <c:pt idx="8">
                  <c:v>-3.4376385285546755E-3</c:v>
                </c:pt>
                <c:pt idx="9">
                  <c:v>-4.1634219224602718E-3</c:v>
                </c:pt>
                <c:pt idx="10">
                  <c:v>-4.9952713600752863E-3</c:v>
                </c:pt>
                <c:pt idx="11">
                  <c:v>-5.9523914845917465E-3</c:v>
                </c:pt>
                <c:pt idx="12">
                  <c:v>-6.9787455779967969E-3</c:v>
                </c:pt>
                <c:pt idx="13">
                  <c:v>-7.929383309448701E-3</c:v>
                </c:pt>
                <c:pt idx="14">
                  <c:v>-8.6597752562350364E-3</c:v>
                </c:pt>
                <c:pt idx="15">
                  <c:v>-9.151503834200549E-3</c:v>
                </c:pt>
                <c:pt idx="16">
                  <c:v>-1.0013577065714919E-2</c:v>
                </c:pt>
                <c:pt idx="17">
                  <c:v>-1.0859105637942804E-2</c:v>
                </c:pt>
                <c:pt idx="18">
                  <c:v>-1.1701139779217589E-2</c:v>
                </c:pt>
                <c:pt idx="19">
                  <c:v>-1.2511577707113111E-2</c:v>
                </c:pt>
                <c:pt idx="20">
                  <c:v>-1.3253758638655461E-2</c:v>
                </c:pt>
                <c:pt idx="21">
                  <c:v>-1.3886841421281425E-2</c:v>
                </c:pt>
                <c:pt idx="22">
                  <c:v>-1.437366505218372E-2</c:v>
                </c:pt>
                <c:pt idx="23">
                  <c:v>-1.4684435028003305E-2</c:v>
                </c:pt>
                <c:pt idx="24">
                  <c:v>-1.4790794719848217E-2</c:v>
                </c:pt>
                <c:pt idx="25">
                  <c:v>-1.4668297396485074E-2</c:v>
                </c:pt>
                <c:pt idx="26">
                  <c:v>-1.4123908034468956E-2</c:v>
                </c:pt>
                <c:pt idx="27">
                  <c:v>-1.324673354599103E-2</c:v>
                </c:pt>
                <c:pt idx="28">
                  <c:v>-1.1994962333780071E-2</c:v>
                </c:pt>
                <c:pt idx="29">
                  <c:v>-1.0320596873976953E-2</c:v>
                </c:pt>
                <c:pt idx="30">
                  <c:v>-8.1593699905213573E-3</c:v>
                </c:pt>
                <c:pt idx="31">
                  <c:v>-5.4152410512617547E-3</c:v>
                </c:pt>
                <c:pt idx="32">
                  <c:v>-1.951765844362223E-3</c:v>
                </c:pt>
                <c:pt idx="33">
                  <c:v>2.4182363085314558E-3</c:v>
                </c:pt>
                <c:pt idx="34">
                  <c:v>7.9711428162842317E-3</c:v>
                </c:pt>
                <c:pt idx="35">
                  <c:v>1.512920053493935E-2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1.1443124448007325E-8</c:v>
                </c:pt>
                <c:pt idx="1">
                  <c:v>1.0652969617552799E-8</c:v>
                </c:pt>
                <c:pt idx="2">
                  <c:v>1.0536307160080582E-8</c:v>
                </c:pt>
                <c:pt idx="3">
                  <c:v>1.0412853468366734E-8</c:v>
                </c:pt>
                <c:pt idx="4">
                  <c:v>1.0278004003438923E-8</c:v>
                </c:pt>
                <c:pt idx="5">
                  <c:v>1.0131030458992996E-8</c:v>
                </c:pt>
                <c:pt idx="6">
                  <c:v>9.3546332902150198E-9</c:v>
                </c:pt>
                <c:pt idx="7">
                  <c:v>5.7704778138163437E-3</c:v>
                </c:pt>
                <c:pt idx="8">
                  <c:v>1.2572728351484042E-2</c:v>
                </c:pt>
                <c:pt idx="9">
                  <c:v>2.3298114839643835E-2</c:v>
                </c:pt>
                <c:pt idx="10">
                  <c:v>3.406915651216913E-2</c:v>
                </c:pt>
                <c:pt idx="11">
                  <c:v>4.3854301417637576E-2</c:v>
                </c:pt>
                <c:pt idx="12">
                  <c:v>5.3259604779473557E-2</c:v>
                </c:pt>
                <c:pt idx="13">
                  <c:v>6.3081215654714473E-2</c:v>
                </c:pt>
                <c:pt idx="14">
                  <c:v>7.4028621309643716E-2</c:v>
                </c:pt>
                <c:pt idx="15">
                  <c:v>8.6344194221688486E-2</c:v>
                </c:pt>
                <c:pt idx="16">
                  <c:v>9.8799939241037693E-2</c:v>
                </c:pt>
                <c:pt idx="17">
                  <c:v>0.11237500164383674</c:v>
                </c:pt>
                <c:pt idx="18">
                  <c:v>0.12700802254677646</c:v>
                </c:pt>
                <c:pt idx="19">
                  <c:v>0.14288832507840232</c:v>
                </c:pt>
                <c:pt idx="20">
                  <c:v>0.16032906786749512</c:v>
                </c:pt>
                <c:pt idx="21">
                  <c:v>0.17973169606812522</c:v>
                </c:pt>
                <c:pt idx="22">
                  <c:v>0.20154243870851118</c:v>
                </c:pt>
                <c:pt idx="23">
                  <c:v>0.22619409897800691</c:v>
                </c:pt>
                <c:pt idx="24">
                  <c:v>0.25417140657673398</c:v>
                </c:pt>
                <c:pt idx="25">
                  <c:v>0.28604657637016939</c:v>
                </c:pt>
                <c:pt idx="26">
                  <c:v>0.32307127901395316</c:v>
                </c:pt>
                <c:pt idx="27">
                  <c:v>0.36599044209788811</c:v>
                </c:pt>
                <c:pt idx="28">
                  <c:v>0.415968741369803</c:v>
                </c:pt>
                <c:pt idx="29">
                  <c:v>0.47446258213559678</c:v>
                </c:pt>
                <c:pt idx="30">
                  <c:v>0.54337833025956384</c:v>
                </c:pt>
                <c:pt idx="31">
                  <c:v>0.62536732467731526</c:v>
                </c:pt>
                <c:pt idx="32">
                  <c:v>0.72414235719335895</c:v>
                </c:pt>
                <c:pt idx="33">
                  <c:v>0.8448643206619022</c:v>
                </c:pt>
                <c:pt idx="34">
                  <c:v>0.99506895693059705</c:v>
                </c:pt>
                <c:pt idx="35">
                  <c:v>1.1862472010545404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8.5159714100000006</c:v>
                </c:pt>
                <c:pt idx="2">
                  <c:v>14.62076879</c:v>
                </c:pt>
                <c:pt idx="3">
                  <c:v>21.229591429999999</c:v>
                </c:pt>
                <c:pt idx="4">
                  <c:v>28.19260796</c:v>
                </c:pt>
                <c:pt idx="5">
                  <c:v>34.929243630000002</c:v>
                </c:pt>
                <c:pt idx="6">
                  <c:v>41.300973399999997</c:v>
                </c:pt>
                <c:pt idx="7">
                  <c:v>47.492134870000001</c:v>
                </c:pt>
                <c:pt idx="8">
                  <c:v>53.687498230000003</c:v>
                </c:pt>
                <c:pt idx="9">
                  <c:v>60.028859279999999</c:v>
                </c:pt>
                <c:pt idx="10">
                  <c:v>66.671761489999994</c:v>
                </c:pt>
                <c:pt idx="11">
                  <c:v>73.633563420000002</c:v>
                </c:pt>
                <c:pt idx="12">
                  <c:v>81.032246189999995</c:v>
                </c:pt>
                <c:pt idx="13">
                  <c:v>88.198854389999994</c:v>
                </c:pt>
                <c:pt idx="14">
                  <c:v>95.080102650000001</c:v>
                </c:pt>
                <c:pt idx="15">
                  <c:v>101.73440340000001</c:v>
                </c:pt>
                <c:pt idx="16">
                  <c:v>108.3280951</c:v>
                </c:pt>
                <c:pt idx="17">
                  <c:v>115.22536650000001</c:v>
                </c:pt>
                <c:pt idx="18">
                  <c:v>120.7822996</c:v>
                </c:pt>
                <c:pt idx="19">
                  <c:v>125.67035370000001</c:v>
                </c:pt>
                <c:pt idx="20">
                  <c:v>130.17891370000001</c:v>
                </c:pt>
                <c:pt idx="21">
                  <c:v>134.49876710000001</c:v>
                </c:pt>
                <c:pt idx="22">
                  <c:v>138.6655691</c:v>
                </c:pt>
                <c:pt idx="23">
                  <c:v>142.70815769999999</c:v>
                </c:pt>
                <c:pt idx="24">
                  <c:v>146.64112</c:v>
                </c:pt>
                <c:pt idx="25">
                  <c:v>150.39167330000001</c:v>
                </c:pt>
                <c:pt idx="26">
                  <c:v>154.07083420000001</c:v>
                </c:pt>
                <c:pt idx="27">
                  <c:v>157.64031220000001</c:v>
                </c:pt>
                <c:pt idx="28">
                  <c:v>161.10152360000001</c:v>
                </c:pt>
                <c:pt idx="29">
                  <c:v>164.45965709999999</c:v>
                </c:pt>
                <c:pt idx="30">
                  <c:v>167.72652719999999</c:v>
                </c:pt>
                <c:pt idx="31">
                  <c:v>170.9213829</c:v>
                </c:pt>
                <c:pt idx="32">
                  <c:v>174.06964260000001</c:v>
                </c:pt>
                <c:pt idx="33">
                  <c:v>177.1991788</c:v>
                </c:pt>
                <c:pt idx="34">
                  <c:v>180.3373254</c:v>
                </c:pt>
                <c:pt idx="35">
                  <c:v>183.50823399999999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75.142112119999993</c:v>
                </c:pt>
                <c:pt idx="2">
                  <c:v>80.773742740000003</c:v>
                </c:pt>
                <c:pt idx="3">
                  <c:v>85.743141129999998</c:v>
                </c:pt>
                <c:pt idx="4">
                  <c:v>90.387602169999994</c:v>
                </c:pt>
                <c:pt idx="5">
                  <c:v>94.840936749999997</c:v>
                </c:pt>
                <c:pt idx="6">
                  <c:v>98.587279289999998</c:v>
                </c:pt>
                <c:pt idx="7">
                  <c:v>102.3177963</c:v>
                </c:pt>
                <c:pt idx="8">
                  <c:v>106.06966509999999</c:v>
                </c:pt>
                <c:pt idx="9">
                  <c:v>109.8700006</c:v>
                </c:pt>
                <c:pt idx="10">
                  <c:v>114.779223</c:v>
                </c:pt>
                <c:pt idx="11">
                  <c:v>118.74334639999999</c:v>
                </c:pt>
                <c:pt idx="12">
                  <c:v>122.8088736</c:v>
                </c:pt>
                <c:pt idx="13">
                  <c:v>126.77731439999999</c:v>
                </c:pt>
                <c:pt idx="14">
                  <c:v>130.63288489999999</c:v>
                </c:pt>
                <c:pt idx="15">
                  <c:v>134.39589319999999</c:v>
                </c:pt>
                <c:pt idx="16">
                  <c:v>138.12374109999999</c:v>
                </c:pt>
                <c:pt idx="17">
                  <c:v>141.94131400000001</c:v>
                </c:pt>
                <c:pt idx="18">
                  <c:v>145.4263857</c:v>
                </c:pt>
                <c:pt idx="19">
                  <c:v>148.76725830000001</c:v>
                </c:pt>
                <c:pt idx="20">
                  <c:v>151.36812269999999</c:v>
                </c:pt>
                <c:pt idx="21">
                  <c:v>154.64322540000001</c:v>
                </c:pt>
                <c:pt idx="22">
                  <c:v>157.9285519</c:v>
                </c:pt>
                <c:pt idx="23">
                  <c:v>161.2361051</c:v>
                </c:pt>
                <c:pt idx="24">
                  <c:v>164.57495900000001</c:v>
                </c:pt>
                <c:pt idx="25">
                  <c:v>166.07443509999999</c:v>
                </c:pt>
                <c:pt idx="26">
                  <c:v>168.60566460000001</c:v>
                </c:pt>
                <c:pt idx="27">
                  <c:v>171.1805717</c:v>
                </c:pt>
                <c:pt idx="28">
                  <c:v>173.80285789999999</c:v>
                </c:pt>
                <c:pt idx="29">
                  <c:v>176.47358689999999</c:v>
                </c:pt>
                <c:pt idx="30">
                  <c:v>179.1896639</c:v>
                </c:pt>
                <c:pt idx="31">
                  <c:v>181.94308799999999</c:v>
                </c:pt>
                <c:pt idx="32">
                  <c:v>184.721315</c:v>
                </c:pt>
                <c:pt idx="33">
                  <c:v>187.5091788</c:v>
                </c:pt>
                <c:pt idx="34">
                  <c:v>190.2908841</c:v>
                </c:pt>
                <c:pt idx="35">
                  <c:v>193.0520215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422.15073510000002</c:v>
                </c:pt>
                <c:pt idx="2">
                  <c:v>435.42783129999998</c:v>
                </c:pt>
                <c:pt idx="3">
                  <c:v>447.49074159999998</c:v>
                </c:pt>
                <c:pt idx="4">
                  <c:v>458.94227869999997</c:v>
                </c:pt>
                <c:pt idx="5">
                  <c:v>470.00719400000003</c:v>
                </c:pt>
                <c:pt idx="6">
                  <c:v>479.1542058</c:v>
                </c:pt>
                <c:pt idx="7">
                  <c:v>488.27517979999999</c:v>
                </c:pt>
                <c:pt idx="8">
                  <c:v>497.45276250000001</c:v>
                </c:pt>
                <c:pt idx="9">
                  <c:v>506.74941209999997</c:v>
                </c:pt>
                <c:pt idx="10">
                  <c:v>519.1315932</c:v>
                </c:pt>
                <c:pt idx="11">
                  <c:v>528.82277829999998</c:v>
                </c:pt>
                <c:pt idx="12">
                  <c:v>538.75278409999999</c:v>
                </c:pt>
                <c:pt idx="13">
                  <c:v>548.44386010000005</c:v>
                </c:pt>
                <c:pt idx="14">
                  <c:v>557.86087080000004</c:v>
                </c:pt>
                <c:pt idx="15">
                  <c:v>567.05435869999997</c:v>
                </c:pt>
                <c:pt idx="16">
                  <c:v>576.16337920000001</c:v>
                </c:pt>
                <c:pt idx="17">
                  <c:v>585.49513520000005</c:v>
                </c:pt>
                <c:pt idx="18">
                  <c:v>594.04915830000004</c:v>
                </c:pt>
                <c:pt idx="19">
                  <c:v>602.26097059999995</c:v>
                </c:pt>
                <c:pt idx="20">
                  <c:v>608.40853389999995</c:v>
                </c:pt>
                <c:pt idx="21">
                  <c:v>616.43548129999999</c:v>
                </c:pt>
                <c:pt idx="22">
                  <c:v>624.46086609999998</c:v>
                </c:pt>
                <c:pt idx="23">
                  <c:v>632.50585899999999</c:v>
                </c:pt>
                <c:pt idx="24">
                  <c:v>640.58485020000001</c:v>
                </c:pt>
                <c:pt idx="25">
                  <c:v>643.43521550000003</c:v>
                </c:pt>
                <c:pt idx="26">
                  <c:v>649.10689630000002</c:v>
                </c:pt>
                <c:pt idx="27">
                  <c:v>654.81712930000003</c:v>
                </c:pt>
                <c:pt idx="28">
                  <c:v>660.57038750000004</c:v>
                </c:pt>
                <c:pt idx="29">
                  <c:v>666.36866359999999</c:v>
                </c:pt>
                <c:pt idx="30">
                  <c:v>672.21014100000002</c:v>
                </c:pt>
                <c:pt idx="31">
                  <c:v>678.08845120000001</c:v>
                </c:pt>
                <c:pt idx="32">
                  <c:v>683.99292260000004</c:v>
                </c:pt>
                <c:pt idx="33">
                  <c:v>689.91028649999998</c:v>
                </c:pt>
                <c:pt idx="34">
                  <c:v>695.82645079999998</c:v>
                </c:pt>
                <c:pt idx="35">
                  <c:v>701.72833009999999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951.23402850000002</c:v>
                </c:pt>
                <c:pt idx="2">
                  <c:v>950.12006450000001</c:v>
                </c:pt>
                <c:pt idx="3">
                  <c:v>950.09858569999994</c:v>
                </c:pt>
                <c:pt idx="4">
                  <c:v>950.76240840000003</c:v>
                </c:pt>
                <c:pt idx="5">
                  <c:v>951.07428119999997</c:v>
                </c:pt>
                <c:pt idx="6">
                  <c:v>950.80078960000003</c:v>
                </c:pt>
                <c:pt idx="7">
                  <c:v>949.85362329999998</c:v>
                </c:pt>
                <c:pt idx="8">
                  <c:v>948.29031139999995</c:v>
                </c:pt>
                <c:pt idx="9">
                  <c:v>946.13693420000004</c:v>
                </c:pt>
                <c:pt idx="10">
                  <c:v>943.39106530000004</c:v>
                </c:pt>
                <c:pt idx="11">
                  <c:v>940.03095199999996</c:v>
                </c:pt>
                <c:pt idx="12">
                  <c:v>936.03949379999995</c:v>
                </c:pt>
                <c:pt idx="13">
                  <c:v>932.56070990000001</c:v>
                </c:pt>
                <c:pt idx="14">
                  <c:v>929.58222109999997</c:v>
                </c:pt>
                <c:pt idx="15">
                  <c:v>926.93620039999996</c:v>
                </c:pt>
                <c:pt idx="16">
                  <c:v>924.32242169999995</c:v>
                </c:pt>
                <c:pt idx="17">
                  <c:v>921.15973580000002</c:v>
                </c:pt>
                <c:pt idx="18">
                  <c:v>919.86618880000003</c:v>
                </c:pt>
                <c:pt idx="19">
                  <c:v>919.14567030000001</c:v>
                </c:pt>
                <c:pt idx="20">
                  <c:v>918.54010000000005</c:v>
                </c:pt>
                <c:pt idx="21">
                  <c:v>917.91937329999996</c:v>
                </c:pt>
                <c:pt idx="22">
                  <c:v>917.25576960000001</c:v>
                </c:pt>
                <c:pt idx="23">
                  <c:v>916.54662399999995</c:v>
                </c:pt>
                <c:pt idx="24">
                  <c:v>915.79000180000003</c:v>
                </c:pt>
                <c:pt idx="25">
                  <c:v>914.99761460000002</c:v>
                </c:pt>
                <c:pt idx="26">
                  <c:v>914.16676500000005</c:v>
                </c:pt>
                <c:pt idx="27">
                  <c:v>913.29711110000005</c:v>
                </c:pt>
                <c:pt idx="28">
                  <c:v>912.38843999999995</c:v>
                </c:pt>
                <c:pt idx="29">
                  <c:v>911.44097980000004</c:v>
                </c:pt>
                <c:pt idx="30">
                  <c:v>910.45583409999995</c:v>
                </c:pt>
                <c:pt idx="31">
                  <c:v>909.43555860000004</c:v>
                </c:pt>
                <c:pt idx="32">
                  <c:v>908.38471860000004</c:v>
                </c:pt>
                <c:pt idx="33">
                  <c:v>907.30990880000002</c:v>
                </c:pt>
                <c:pt idx="34">
                  <c:v>906.21902379999995</c:v>
                </c:pt>
                <c:pt idx="35">
                  <c:v>905.12016010000002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866.99024150000002</c:v>
                </c:pt>
                <c:pt idx="2">
                  <c:v>855.87546929999996</c:v>
                </c:pt>
                <c:pt idx="3">
                  <c:v>845.05580850000001</c:v>
                </c:pt>
                <c:pt idx="4">
                  <c:v>834.14508360000002</c:v>
                </c:pt>
                <c:pt idx="5">
                  <c:v>824.41437440000004</c:v>
                </c:pt>
                <c:pt idx="6">
                  <c:v>815.87859189999995</c:v>
                </c:pt>
                <c:pt idx="7">
                  <c:v>808.23249190000001</c:v>
                </c:pt>
                <c:pt idx="8">
                  <c:v>801.11213480000004</c:v>
                </c:pt>
                <c:pt idx="9">
                  <c:v>794.2633869</c:v>
                </c:pt>
                <c:pt idx="10">
                  <c:v>787.50314309999999</c:v>
                </c:pt>
                <c:pt idx="11">
                  <c:v>780.70001890000003</c:v>
                </c:pt>
                <c:pt idx="12">
                  <c:v>773.75950950000004</c:v>
                </c:pt>
                <c:pt idx="13">
                  <c:v>766.88550480000004</c:v>
                </c:pt>
                <c:pt idx="14">
                  <c:v>760.19539680000003</c:v>
                </c:pt>
                <c:pt idx="15">
                  <c:v>753.72664239999995</c:v>
                </c:pt>
                <c:pt idx="16">
                  <c:v>747.41576210000005</c:v>
                </c:pt>
                <c:pt idx="17">
                  <c:v>741.04926680000005</c:v>
                </c:pt>
                <c:pt idx="18">
                  <c:v>735.27285110000003</c:v>
                </c:pt>
                <c:pt idx="19">
                  <c:v>730.08262649999995</c:v>
                </c:pt>
                <c:pt idx="20">
                  <c:v>725.31798909999998</c:v>
                </c:pt>
                <c:pt idx="21">
                  <c:v>720.83333249999998</c:v>
                </c:pt>
                <c:pt idx="22">
                  <c:v>716.53042530000005</c:v>
                </c:pt>
                <c:pt idx="23">
                  <c:v>712.34962819999998</c:v>
                </c:pt>
                <c:pt idx="24">
                  <c:v>708.25540209999997</c:v>
                </c:pt>
                <c:pt idx="25">
                  <c:v>704.22973209999998</c:v>
                </c:pt>
                <c:pt idx="26">
                  <c:v>700.26001050000002</c:v>
                </c:pt>
                <c:pt idx="27">
                  <c:v>696.33824509999999</c:v>
                </c:pt>
                <c:pt idx="28">
                  <c:v>692.45814819999998</c:v>
                </c:pt>
                <c:pt idx="29">
                  <c:v>688.61470959999997</c:v>
                </c:pt>
                <c:pt idx="30">
                  <c:v>684.80367869999998</c:v>
                </c:pt>
                <c:pt idx="31">
                  <c:v>681.02137240000002</c:v>
                </c:pt>
                <c:pt idx="32">
                  <c:v>677.26453860000004</c:v>
                </c:pt>
                <c:pt idx="33">
                  <c:v>673.53027940000004</c:v>
                </c:pt>
                <c:pt idx="34">
                  <c:v>669.81588920000002</c:v>
                </c:pt>
                <c:pt idx="35">
                  <c:v>666.11868530000004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137.96808909999999</c:v>
                </c:pt>
                <c:pt idx="2">
                  <c:v>136.10853560000001</c:v>
                </c:pt>
                <c:pt idx="3">
                  <c:v>134.27518789999999</c:v>
                </c:pt>
                <c:pt idx="4">
                  <c:v>132.4713016</c:v>
                </c:pt>
                <c:pt idx="5">
                  <c:v>130.68610709999999</c:v>
                </c:pt>
                <c:pt idx="6">
                  <c:v>128.92221480000001</c:v>
                </c:pt>
                <c:pt idx="7">
                  <c:v>127.1890427</c:v>
                </c:pt>
                <c:pt idx="8">
                  <c:v>125.4888219</c:v>
                </c:pt>
                <c:pt idx="9">
                  <c:v>123.8187889</c:v>
                </c:pt>
                <c:pt idx="10">
                  <c:v>122.1747644</c:v>
                </c:pt>
                <c:pt idx="11">
                  <c:v>120.5525825</c:v>
                </c:pt>
                <c:pt idx="12">
                  <c:v>118.9485025</c:v>
                </c:pt>
                <c:pt idx="13">
                  <c:v>117.3600309</c:v>
                </c:pt>
                <c:pt idx="14">
                  <c:v>115.7864885</c:v>
                </c:pt>
                <c:pt idx="15">
                  <c:v>114.22903650000001</c:v>
                </c:pt>
                <c:pt idx="16">
                  <c:v>112.68859380000001</c:v>
                </c:pt>
                <c:pt idx="17">
                  <c:v>111.16348139999999</c:v>
                </c:pt>
                <c:pt idx="18">
                  <c:v>109.656465</c:v>
                </c:pt>
                <c:pt idx="19">
                  <c:v>108.17222169999999</c:v>
                </c:pt>
                <c:pt idx="20">
                  <c:v>106.71535830000001</c:v>
                </c:pt>
                <c:pt idx="21">
                  <c:v>105.2893069</c:v>
                </c:pt>
                <c:pt idx="22">
                  <c:v>103.8959752</c:v>
                </c:pt>
                <c:pt idx="23">
                  <c:v>102.53597069999999</c:v>
                </c:pt>
                <c:pt idx="24">
                  <c:v>101.2090444</c:v>
                </c:pt>
                <c:pt idx="25">
                  <c:v>99.914262519999994</c:v>
                </c:pt>
                <c:pt idx="26">
                  <c:v>98.650003639999994</c:v>
                </c:pt>
                <c:pt idx="27">
                  <c:v>97.413960040000006</c:v>
                </c:pt>
                <c:pt idx="28">
                  <c:v>96.203305150000006</c:v>
                </c:pt>
                <c:pt idx="29">
                  <c:v>95.014835360000006</c:v>
                </c:pt>
                <c:pt idx="30">
                  <c:v>93.845047339999994</c:v>
                </c:pt>
                <c:pt idx="31">
                  <c:v>92.69042469</c:v>
                </c:pt>
                <c:pt idx="32">
                  <c:v>91.547663679999999</c:v>
                </c:pt>
                <c:pt idx="33">
                  <c:v>90.413814250000001</c:v>
                </c:pt>
                <c:pt idx="34">
                  <c:v>89.286396359999998</c:v>
                </c:pt>
                <c:pt idx="35">
                  <c:v>88.163466279999994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3.7251958549999999</c:v>
                </c:pt>
                <c:pt idx="2">
                  <c:v>3.5816945069999999</c:v>
                </c:pt>
                <c:pt idx="3">
                  <c:v>3.44392845</c:v>
                </c:pt>
                <c:pt idx="4">
                  <c:v>3.311931043</c:v>
                </c:pt>
                <c:pt idx="5">
                  <c:v>3.1848629530000001</c:v>
                </c:pt>
                <c:pt idx="6">
                  <c:v>3.0627348240000001</c:v>
                </c:pt>
                <c:pt idx="7">
                  <c:v>2.9455797700000002</c:v>
                </c:pt>
                <c:pt idx="8">
                  <c:v>2.8330833929999999</c:v>
                </c:pt>
                <c:pt idx="9">
                  <c:v>2.7247939080000001</c:v>
                </c:pt>
                <c:pt idx="10">
                  <c:v>2.6203310200000001</c:v>
                </c:pt>
                <c:pt idx="11">
                  <c:v>2.5194156780000001</c:v>
                </c:pt>
                <c:pt idx="12">
                  <c:v>2.421842598</c:v>
                </c:pt>
                <c:pt idx="13">
                  <c:v>2.327493773</c:v>
                </c:pt>
                <c:pt idx="14">
                  <c:v>2.2363431980000001</c:v>
                </c:pt>
                <c:pt idx="15">
                  <c:v>2.1484389739999998</c:v>
                </c:pt>
                <c:pt idx="16">
                  <c:v>2.0638749829999998</c:v>
                </c:pt>
                <c:pt idx="17">
                  <c:v>1.9827947990000001</c:v>
                </c:pt>
                <c:pt idx="18">
                  <c:v>1.9054082080000001</c:v>
                </c:pt>
                <c:pt idx="19">
                  <c:v>1.8318575930000001</c:v>
                </c:pt>
                <c:pt idx="20">
                  <c:v>1.7621727570000001</c:v>
                </c:pt>
                <c:pt idx="21">
                  <c:v>1.696272832</c:v>
                </c:pt>
                <c:pt idx="22">
                  <c:v>1.633993611</c:v>
                </c:pt>
                <c:pt idx="23">
                  <c:v>1.5751259390000001</c:v>
                </c:pt>
                <c:pt idx="24">
                  <c:v>1.5194465500000001</c:v>
                </c:pt>
                <c:pt idx="25">
                  <c:v>1.466728805</c:v>
                </c:pt>
                <c:pt idx="26">
                  <c:v>1.4167423320000001</c:v>
                </c:pt>
                <c:pt idx="27">
                  <c:v>1.36925042</c:v>
                </c:pt>
                <c:pt idx="28">
                  <c:v>1.3240160050000001</c:v>
                </c:pt>
                <c:pt idx="29">
                  <c:v>1.280806506</c:v>
                </c:pt>
                <c:pt idx="30">
                  <c:v>1.2393959530000001</c:v>
                </c:pt>
                <c:pt idx="31">
                  <c:v>1.1995753300000001</c:v>
                </c:pt>
                <c:pt idx="32">
                  <c:v>1.161159665</c:v>
                </c:pt>
                <c:pt idx="33">
                  <c:v>1.123991392</c:v>
                </c:pt>
                <c:pt idx="34">
                  <c:v>1.0879420849999999</c:v>
                </c:pt>
                <c:pt idx="35">
                  <c:v>1.052912115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8.5159715200000008</c:v>
                </c:pt>
                <c:pt idx="2">
                  <c:v>14.62076905</c:v>
                </c:pt>
                <c:pt idx="3">
                  <c:v>21.22959187</c:v>
                </c:pt>
                <c:pt idx="4">
                  <c:v>28.1926086</c:v>
                </c:pt>
                <c:pt idx="5">
                  <c:v>34.92924447</c:v>
                </c:pt>
                <c:pt idx="6">
                  <c:v>41.300974429999997</c:v>
                </c:pt>
                <c:pt idx="7">
                  <c:v>48.103092740000001</c:v>
                </c:pt>
                <c:pt idx="8">
                  <c:v>60.629301750000003</c:v>
                </c:pt>
                <c:pt idx="9">
                  <c:v>81.1484655</c:v>
                </c:pt>
                <c:pt idx="10">
                  <c:v>111.16511319999999</c:v>
                </c:pt>
                <c:pt idx="11">
                  <c:v>149.4996677</c:v>
                </c:pt>
                <c:pt idx="12">
                  <c:v>190.43718860000001</c:v>
                </c:pt>
                <c:pt idx="13">
                  <c:v>230.90942870000001</c:v>
                </c:pt>
                <c:pt idx="14">
                  <c:v>269.47169719999999</c:v>
                </c:pt>
                <c:pt idx="15">
                  <c:v>305.5837214</c:v>
                </c:pt>
                <c:pt idx="16">
                  <c:v>339.57003279999998</c:v>
                </c:pt>
                <c:pt idx="17">
                  <c:v>372.76773509999998</c:v>
                </c:pt>
                <c:pt idx="18">
                  <c:v>405.47702179999999</c:v>
                </c:pt>
                <c:pt idx="19">
                  <c:v>437.55961000000002</c:v>
                </c:pt>
                <c:pt idx="20">
                  <c:v>468.68839850000001</c:v>
                </c:pt>
                <c:pt idx="21">
                  <c:v>498.58452199999999</c:v>
                </c:pt>
                <c:pt idx="22">
                  <c:v>526.9256097</c:v>
                </c:pt>
                <c:pt idx="23">
                  <c:v>553.47093689999997</c:v>
                </c:pt>
                <c:pt idx="24">
                  <c:v>578.05400569999995</c:v>
                </c:pt>
                <c:pt idx="25">
                  <c:v>600.51130460000002</c:v>
                </c:pt>
                <c:pt idx="26">
                  <c:v>620.92991119999999</c:v>
                </c:pt>
                <c:pt idx="27">
                  <c:v>639.31283169999995</c:v>
                </c:pt>
                <c:pt idx="28">
                  <c:v>655.76414550000004</c:v>
                </c:pt>
                <c:pt idx="29">
                  <c:v>670.44713939999997</c:v>
                </c:pt>
                <c:pt idx="30">
                  <c:v>683.55557429999999</c:v>
                </c:pt>
                <c:pt idx="31">
                  <c:v>695.28640250000001</c:v>
                </c:pt>
                <c:pt idx="32">
                  <c:v>705.8226793</c:v>
                </c:pt>
                <c:pt idx="33">
                  <c:v>715.32945480000001</c:v>
                </c:pt>
                <c:pt idx="34">
                  <c:v>723.95456879999995</c:v>
                </c:pt>
                <c:pt idx="35">
                  <c:v>731.82653170000003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75.142112150000003</c:v>
                </c:pt>
                <c:pt idx="2">
                  <c:v>80.773742799999994</c:v>
                </c:pt>
                <c:pt idx="3">
                  <c:v>85.743141219999998</c:v>
                </c:pt>
                <c:pt idx="4">
                  <c:v>90.387602299999998</c:v>
                </c:pt>
                <c:pt idx="5">
                  <c:v>94.840936909999996</c:v>
                </c:pt>
                <c:pt idx="6">
                  <c:v>98.58727949</c:v>
                </c:pt>
                <c:pt idx="7">
                  <c:v>102.2551739</c:v>
                </c:pt>
                <c:pt idx="8">
                  <c:v>106.4190303</c:v>
                </c:pt>
                <c:pt idx="9">
                  <c:v>111.1994183</c:v>
                </c:pt>
                <c:pt idx="10">
                  <c:v>117.86730900000001</c:v>
                </c:pt>
                <c:pt idx="11">
                  <c:v>124.3716033</c:v>
                </c:pt>
                <c:pt idx="12">
                  <c:v>131.08297099999999</c:v>
                </c:pt>
                <c:pt idx="13">
                  <c:v>137.66184809999999</c:v>
                </c:pt>
                <c:pt idx="14">
                  <c:v>143.9583672</c:v>
                </c:pt>
                <c:pt idx="15">
                  <c:v>149.9294362</c:v>
                </c:pt>
                <c:pt idx="16">
                  <c:v>155.62783329999999</c:v>
                </c:pt>
                <c:pt idx="17">
                  <c:v>161.21466000000001</c:v>
                </c:pt>
                <c:pt idx="18">
                  <c:v>166.73861210000001</c:v>
                </c:pt>
                <c:pt idx="19">
                  <c:v>172.1988131</c:v>
                </c:pt>
                <c:pt idx="20">
                  <c:v>176.88776569999999</c:v>
                </c:pt>
                <c:pt idx="21">
                  <c:v>182.14719049999999</c:v>
                </c:pt>
                <c:pt idx="22">
                  <c:v>187.2731436</c:v>
                </c:pt>
                <c:pt idx="23">
                  <c:v>192.24552449999999</c:v>
                </c:pt>
                <c:pt idx="24">
                  <c:v>197.04954799999999</c:v>
                </c:pt>
                <c:pt idx="25">
                  <c:v>199.80038959999999</c:v>
                </c:pt>
                <c:pt idx="26">
                  <c:v>203.3496299</c:v>
                </c:pt>
                <c:pt idx="27">
                  <c:v>206.7105813</c:v>
                </c:pt>
                <c:pt idx="28">
                  <c:v>209.89023510000001</c:v>
                </c:pt>
                <c:pt idx="29">
                  <c:v>212.90090609999999</c:v>
                </c:pt>
                <c:pt idx="30">
                  <c:v>215.75795650000001</c:v>
                </c:pt>
                <c:pt idx="31">
                  <c:v>218.47753299999999</c:v>
                </c:pt>
                <c:pt idx="32">
                  <c:v>221.07500300000001</c:v>
                </c:pt>
                <c:pt idx="33">
                  <c:v>223.5644283</c:v>
                </c:pt>
                <c:pt idx="34">
                  <c:v>225.95874459999999</c:v>
                </c:pt>
                <c:pt idx="35">
                  <c:v>228.2697028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422.15073510000002</c:v>
                </c:pt>
                <c:pt idx="2">
                  <c:v>435.4278314</c:v>
                </c:pt>
                <c:pt idx="3">
                  <c:v>447.4907417</c:v>
                </c:pt>
                <c:pt idx="4">
                  <c:v>458.9422788</c:v>
                </c:pt>
                <c:pt idx="5">
                  <c:v>470.00719420000001</c:v>
                </c:pt>
                <c:pt idx="6">
                  <c:v>479.15420599999999</c:v>
                </c:pt>
                <c:pt idx="7">
                  <c:v>488.1541924</c:v>
                </c:pt>
                <c:pt idx="8">
                  <c:v>497.9688913</c:v>
                </c:pt>
                <c:pt idx="9">
                  <c:v>507.85152890000001</c:v>
                </c:pt>
                <c:pt idx="10">
                  <c:v>520.03097270000001</c:v>
                </c:pt>
                <c:pt idx="11">
                  <c:v>528.34412740000005</c:v>
                </c:pt>
                <c:pt idx="12">
                  <c:v>536.00605080000003</c:v>
                </c:pt>
                <c:pt idx="13">
                  <c:v>543.34079550000001</c:v>
                </c:pt>
                <c:pt idx="14">
                  <c:v>550.54529630000002</c:v>
                </c:pt>
                <c:pt idx="15">
                  <c:v>557.71499719999997</c:v>
                </c:pt>
                <c:pt idx="16">
                  <c:v>564.86876840000002</c:v>
                </c:pt>
                <c:pt idx="17">
                  <c:v>571.94625110000004</c:v>
                </c:pt>
                <c:pt idx="18">
                  <c:v>578.91828780000003</c:v>
                </c:pt>
                <c:pt idx="19">
                  <c:v>585.78174349999995</c:v>
                </c:pt>
                <c:pt idx="20">
                  <c:v>590.62133749999998</c:v>
                </c:pt>
                <c:pt idx="21">
                  <c:v>597.31664660000001</c:v>
                </c:pt>
                <c:pt idx="22">
                  <c:v>603.9652135</c:v>
                </c:pt>
                <c:pt idx="23">
                  <c:v>610.59238830000004</c:v>
                </c:pt>
                <c:pt idx="24">
                  <c:v>617.22130749999997</c:v>
                </c:pt>
                <c:pt idx="25">
                  <c:v>618.60596009999995</c:v>
                </c:pt>
                <c:pt idx="26">
                  <c:v>622.81395669999995</c:v>
                </c:pt>
                <c:pt idx="27">
                  <c:v>627.06217809999998</c:v>
                </c:pt>
                <c:pt idx="28">
                  <c:v>631.35790250000002</c:v>
                </c:pt>
                <c:pt idx="29">
                  <c:v>635.70404599999995</c:v>
                </c:pt>
                <c:pt idx="30">
                  <c:v>640.10055290000003</c:v>
                </c:pt>
                <c:pt idx="31">
                  <c:v>644.5458208</c:v>
                </c:pt>
                <c:pt idx="32">
                  <c:v>649.03778190000003</c:v>
                </c:pt>
                <c:pt idx="33">
                  <c:v>653.57442939999999</c:v>
                </c:pt>
                <c:pt idx="34">
                  <c:v>658.15378109999995</c:v>
                </c:pt>
                <c:pt idx="35">
                  <c:v>662.77399490000005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951.23402829999998</c:v>
                </c:pt>
                <c:pt idx="2">
                  <c:v>950.12006399999996</c:v>
                </c:pt>
                <c:pt idx="3">
                  <c:v>950.09858469999995</c:v>
                </c:pt>
                <c:pt idx="4">
                  <c:v>950.76240680000001</c:v>
                </c:pt>
                <c:pt idx="5">
                  <c:v>951.07427910000001</c:v>
                </c:pt>
                <c:pt idx="6">
                  <c:v>950.80078700000001</c:v>
                </c:pt>
                <c:pt idx="7">
                  <c:v>950.77927609999995</c:v>
                </c:pt>
                <c:pt idx="8">
                  <c:v>959.997254</c:v>
                </c:pt>
                <c:pt idx="9">
                  <c:v>978.56096579999996</c:v>
                </c:pt>
                <c:pt idx="10">
                  <c:v>1001.505368</c:v>
                </c:pt>
                <c:pt idx="11">
                  <c:v>1022.603473</c:v>
                </c:pt>
                <c:pt idx="12">
                  <c:v>1038.918118</c:v>
                </c:pt>
                <c:pt idx="13">
                  <c:v>1050.6446679999999</c:v>
                </c:pt>
                <c:pt idx="14">
                  <c:v>1058.8264489999999</c:v>
                </c:pt>
                <c:pt idx="15">
                  <c:v>1064.420388</c:v>
                </c:pt>
                <c:pt idx="16">
                  <c:v>1068.228188</c:v>
                </c:pt>
                <c:pt idx="17">
                  <c:v>1070.7472949999999</c:v>
                </c:pt>
                <c:pt idx="18">
                  <c:v>1071.732702</c:v>
                </c:pt>
                <c:pt idx="19">
                  <c:v>1070.9834519999999</c:v>
                </c:pt>
                <c:pt idx="20">
                  <c:v>1068.5244540000001</c:v>
                </c:pt>
                <c:pt idx="21">
                  <c:v>1064.5772959999999</c:v>
                </c:pt>
                <c:pt idx="22">
                  <c:v>1059.4780880000001</c:v>
                </c:pt>
                <c:pt idx="23">
                  <c:v>1053.6088119999999</c:v>
                </c:pt>
                <c:pt idx="24">
                  <c:v>1047.332899</c:v>
                </c:pt>
                <c:pt idx="25">
                  <c:v>1040.962121</c:v>
                </c:pt>
                <c:pt idx="26">
                  <c:v>1034.7423590000001</c:v>
                </c:pt>
                <c:pt idx="27">
                  <c:v>1028.8501240000001</c:v>
                </c:pt>
                <c:pt idx="28">
                  <c:v>1023.385725</c:v>
                </c:pt>
                <c:pt idx="29">
                  <c:v>1018.375528</c:v>
                </c:pt>
                <c:pt idx="30">
                  <c:v>1013.797299</c:v>
                </c:pt>
                <c:pt idx="31">
                  <c:v>1009.605455</c:v>
                </c:pt>
                <c:pt idx="32">
                  <c:v>1005.748301</c:v>
                </c:pt>
                <c:pt idx="33">
                  <c:v>1002.174478</c:v>
                </c:pt>
                <c:pt idx="34">
                  <c:v>998.83436529999994</c:v>
                </c:pt>
                <c:pt idx="35">
                  <c:v>995.6831535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866.99024150000002</c:v>
                </c:pt>
                <c:pt idx="2">
                  <c:v>855.87546950000001</c:v>
                </c:pt>
                <c:pt idx="3">
                  <c:v>845.05580889999999</c:v>
                </c:pt>
                <c:pt idx="4">
                  <c:v>834.14508430000001</c:v>
                </c:pt>
                <c:pt idx="5">
                  <c:v>824.41437529999996</c:v>
                </c:pt>
                <c:pt idx="6">
                  <c:v>815.87859300000002</c:v>
                </c:pt>
                <c:pt idx="7">
                  <c:v>806.86848869999994</c:v>
                </c:pt>
                <c:pt idx="8">
                  <c:v>781.51131829999997</c:v>
                </c:pt>
                <c:pt idx="9">
                  <c:v>738.10043510000003</c:v>
                </c:pt>
                <c:pt idx="10">
                  <c:v>680.62526609999998</c:v>
                </c:pt>
                <c:pt idx="11">
                  <c:v>616.76759479999998</c:v>
                </c:pt>
                <c:pt idx="12">
                  <c:v>555.60892699999999</c:v>
                </c:pt>
                <c:pt idx="13">
                  <c:v>500.04028260000001</c:v>
                </c:pt>
                <c:pt idx="14">
                  <c:v>450.40481519999997</c:v>
                </c:pt>
                <c:pt idx="15">
                  <c:v>406.21898040000002</c:v>
                </c:pt>
                <c:pt idx="16">
                  <c:v>366.27166570000003</c:v>
                </c:pt>
                <c:pt idx="17">
                  <c:v>328.61732940000002</c:v>
                </c:pt>
                <c:pt idx="18">
                  <c:v>293.17588619999998</c:v>
                </c:pt>
                <c:pt idx="19">
                  <c:v>260.2863936</c:v>
                </c:pt>
                <c:pt idx="20">
                  <c:v>230.22671690000001</c:v>
                </c:pt>
                <c:pt idx="21">
                  <c:v>203.10422120000001</c:v>
                </c:pt>
                <c:pt idx="22">
                  <c:v>178.87337890000001</c:v>
                </c:pt>
                <c:pt idx="23">
                  <c:v>157.38410769999999</c:v>
                </c:pt>
                <c:pt idx="24">
                  <c:v>138.42885580000001</c:v>
                </c:pt>
                <c:pt idx="25">
                  <c:v>121.7753053</c:v>
                </c:pt>
                <c:pt idx="26">
                  <c:v>107.18568190000001</c:v>
                </c:pt>
                <c:pt idx="27">
                  <c:v>94.430276230000004</c:v>
                </c:pt>
                <c:pt idx="28">
                  <c:v>83.291437700000003</c:v>
                </c:pt>
                <c:pt idx="29">
                  <c:v>73.566822930000001</c:v>
                </c:pt>
                <c:pt idx="30">
                  <c:v>65.073360199999996</c:v>
                </c:pt>
                <c:pt idx="31">
                  <c:v>57.649430449999997</c:v>
                </c:pt>
                <c:pt idx="32">
                  <c:v>51.154619109999999</c:v>
                </c:pt>
                <c:pt idx="33">
                  <c:v>45.4673236</c:v>
                </c:pt>
                <c:pt idx="34">
                  <c:v>40.482592109999999</c:v>
                </c:pt>
                <c:pt idx="35">
                  <c:v>36.110994509999998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137.96808909999999</c:v>
                </c:pt>
                <c:pt idx="2">
                  <c:v>136.10853560000001</c:v>
                </c:pt>
                <c:pt idx="3">
                  <c:v>134.27518789999999</c:v>
                </c:pt>
                <c:pt idx="4">
                  <c:v>132.4713016</c:v>
                </c:pt>
                <c:pt idx="5">
                  <c:v>130.68610709999999</c:v>
                </c:pt>
                <c:pt idx="6">
                  <c:v>128.9222149</c:v>
                </c:pt>
                <c:pt idx="7">
                  <c:v>127.19940339999999</c:v>
                </c:pt>
                <c:pt idx="8">
                  <c:v>125.5708247</c:v>
                </c:pt>
                <c:pt idx="9">
                  <c:v>123.9974878</c:v>
                </c:pt>
                <c:pt idx="10">
                  <c:v>122.4450698</c:v>
                </c:pt>
                <c:pt idx="11">
                  <c:v>120.8831694</c:v>
                </c:pt>
                <c:pt idx="12">
                  <c:v>119.2766939</c:v>
                </c:pt>
                <c:pt idx="13">
                  <c:v>117.6225541</c:v>
                </c:pt>
                <c:pt idx="14">
                  <c:v>115.93097760000001</c:v>
                </c:pt>
                <c:pt idx="15">
                  <c:v>114.2156961</c:v>
                </c:pt>
                <c:pt idx="16">
                  <c:v>112.4893223</c:v>
                </c:pt>
                <c:pt idx="17">
                  <c:v>110.7615631</c:v>
                </c:pt>
                <c:pt idx="18">
                  <c:v>109.0376989</c:v>
                </c:pt>
                <c:pt idx="19">
                  <c:v>107.3220409</c:v>
                </c:pt>
                <c:pt idx="20">
                  <c:v>105.61926579999999</c:v>
                </c:pt>
                <c:pt idx="21">
                  <c:v>103.93439410000001</c:v>
                </c:pt>
                <c:pt idx="22">
                  <c:v>102.27221400000001</c:v>
                </c:pt>
                <c:pt idx="23">
                  <c:v>100.6365413</c:v>
                </c:pt>
                <c:pt idx="24">
                  <c:v>99.029911049999995</c:v>
                </c:pt>
                <c:pt idx="25">
                  <c:v>97.453840959999994</c:v>
                </c:pt>
                <c:pt idx="26">
                  <c:v>95.909066039999999</c:v>
                </c:pt>
                <c:pt idx="27">
                  <c:v>94.395752569999999</c:v>
                </c:pt>
                <c:pt idx="28">
                  <c:v>92.913109640000002</c:v>
                </c:pt>
                <c:pt idx="29">
                  <c:v>91.458847789999993</c:v>
                </c:pt>
                <c:pt idx="30">
                  <c:v>90.029474829999998</c:v>
                </c:pt>
                <c:pt idx="31">
                  <c:v>88.620963829999994</c:v>
                </c:pt>
                <c:pt idx="32">
                  <c:v>87.229317280000004</c:v>
                </c:pt>
                <c:pt idx="33">
                  <c:v>85.850618589999996</c:v>
                </c:pt>
                <c:pt idx="34">
                  <c:v>84.480862079999994</c:v>
                </c:pt>
                <c:pt idx="35">
                  <c:v>83.116065050000003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3.7251958549999999</c:v>
                </c:pt>
                <c:pt idx="2">
                  <c:v>3.581694508</c:v>
                </c:pt>
                <c:pt idx="3">
                  <c:v>3.44392845</c:v>
                </c:pt>
                <c:pt idx="4">
                  <c:v>3.311931044</c:v>
                </c:pt>
                <c:pt idx="5">
                  <c:v>3.1848629540000002</c:v>
                </c:pt>
                <c:pt idx="6">
                  <c:v>3.0627348259999998</c:v>
                </c:pt>
                <c:pt idx="7">
                  <c:v>2.9462214979999999</c:v>
                </c:pt>
                <c:pt idx="8">
                  <c:v>2.8376572929999999</c:v>
                </c:pt>
                <c:pt idx="9">
                  <c:v>2.7338734869999999</c:v>
                </c:pt>
                <c:pt idx="10">
                  <c:v>2.6327817750000002</c:v>
                </c:pt>
                <c:pt idx="11">
                  <c:v>2.5330204030000001</c:v>
                </c:pt>
                <c:pt idx="12">
                  <c:v>2.4333015699999998</c:v>
                </c:pt>
                <c:pt idx="13">
                  <c:v>2.3341899920000002</c:v>
                </c:pt>
                <c:pt idx="14">
                  <c:v>2.2367042339999998</c:v>
                </c:pt>
                <c:pt idx="15">
                  <c:v>2.141752522</c:v>
                </c:pt>
                <c:pt idx="16">
                  <c:v>2.0500566340000002</c:v>
                </c:pt>
                <c:pt idx="17">
                  <c:v>1.962259454</c:v>
                </c:pt>
                <c:pt idx="18">
                  <c:v>1.8785464869999999</c:v>
                </c:pt>
                <c:pt idx="19">
                  <c:v>1.7989037910000001</c:v>
                </c:pt>
                <c:pt idx="20">
                  <c:v>1.723250806</c:v>
                </c:pt>
                <c:pt idx="21">
                  <c:v>1.651487843</c:v>
                </c:pt>
                <c:pt idx="22">
                  <c:v>1.5835023340000001</c:v>
                </c:pt>
                <c:pt idx="23">
                  <c:v>1.5191586960000001</c:v>
                </c:pt>
                <c:pt idx="24">
                  <c:v>1.4582956149999999</c:v>
                </c:pt>
                <c:pt idx="25">
                  <c:v>1.4007389750000001</c:v>
                </c:pt>
                <c:pt idx="26">
                  <c:v>1.346310753</c:v>
                </c:pt>
                <c:pt idx="27">
                  <c:v>1.294834826</c:v>
                </c:pt>
                <c:pt idx="28">
                  <c:v>1.246121303</c:v>
                </c:pt>
                <c:pt idx="29">
                  <c:v>1.199947396</c:v>
                </c:pt>
                <c:pt idx="30">
                  <c:v>1.1560694739999999</c:v>
                </c:pt>
                <c:pt idx="31">
                  <c:v>1.114246525</c:v>
                </c:pt>
                <c:pt idx="32">
                  <c:v>1.0742579910000001</c:v>
                </c:pt>
                <c:pt idx="33">
                  <c:v>1.0359035999999999</c:v>
                </c:pt>
                <c:pt idx="34">
                  <c:v>0.99899646129999997</c:v>
                </c:pt>
                <c:pt idx="35">
                  <c:v>0.96336563689999999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7155.2985386964001</c:v>
                </c:pt>
                <c:pt idx="2">
                  <c:v>7266.2225282113004</c:v>
                </c:pt>
                <c:pt idx="3">
                  <c:v>7418.7650049216008</c:v>
                </c:pt>
                <c:pt idx="4">
                  <c:v>7607.0937735798007</c:v>
                </c:pt>
                <c:pt idx="5">
                  <c:v>7820.8685159537999</c:v>
                </c:pt>
                <c:pt idx="6">
                  <c:v>8047.3774899984001</c:v>
                </c:pt>
                <c:pt idx="7">
                  <c:v>8280.8388872398991</c:v>
                </c:pt>
                <c:pt idx="8">
                  <c:v>8519.5464233862003</c:v>
                </c:pt>
                <c:pt idx="9">
                  <c:v>8762.9157030407005</c:v>
                </c:pt>
                <c:pt idx="10">
                  <c:v>9011.5407752239989</c:v>
                </c:pt>
                <c:pt idx="11">
                  <c:v>9260.1637908035991</c:v>
                </c:pt>
                <c:pt idx="12">
                  <c:v>9505.3641197665984</c:v>
                </c:pt>
                <c:pt idx="13">
                  <c:v>9743.9051750384006</c:v>
                </c:pt>
                <c:pt idx="14">
                  <c:v>9973.1486505598004</c:v>
                </c:pt>
                <c:pt idx="15">
                  <c:v>10191.414449763299</c:v>
                </c:pt>
                <c:pt idx="16">
                  <c:v>10403.249712785901</c:v>
                </c:pt>
                <c:pt idx="17">
                  <c:v>10609.681742085901</c:v>
                </c:pt>
                <c:pt idx="18">
                  <c:v>10810.2505300024</c:v>
                </c:pt>
                <c:pt idx="19">
                  <c:v>11004.596121001299</c:v>
                </c:pt>
                <c:pt idx="20">
                  <c:v>11191.750246451</c:v>
                </c:pt>
                <c:pt idx="21">
                  <c:v>11374.324351867001</c:v>
                </c:pt>
                <c:pt idx="22">
                  <c:v>11553.958857365</c:v>
                </c:pt>
                <c:pt idx="23">
                  <c:v>11732.693796284999</c:v>
                </c:pt>
                <c:pt idx="24">
                  <c:v>11912.566055941999</c:v>
                </c:pt>
                <c:pt idx="25">
                  <c:v>12092.084092522</c:v>
                </c:pt>
                <c:pt idx="26">
                  <c:v>12276.021964805999</c:v>
                </c:pt>
                <c:pt idx="27">
                  <c:v>12466.851453010999</c:v>
                </c:pt>
                <c:pt idx="28">
                  <c:v>12667.102211568999</c:v>
                </c:pt>
                <c:pt idx="29">
                  <c:v>12879.063097463999</c:v>
                </c:pt>
                <c:pt idx="30">
                  <c:v>13104.284828352002</c:v>
                </c:pt>
                <c:pt idx="31">
                  <c:v>13343.482988224001</c:v>
                </c:pt>
                <c:pt idx="32">
                  <c:v>13596.642828196</c:v>
                </c:pt>
                <c:pt idx="33">
                  <c:v>13863.140644682</c:v>
                </c:pt>
                <c:pt idx="34">
                  <c:v>14141.858400784</c:v>
                </c:pt>
                <c:pt idx="35">
                  <c:v>14431.273256271001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8197.7938958084997</c:v>
                </c:pt>
                <c:pt idx="2">
                  <c:v>8199.1673344271003</c:v>
                </c:pt>
                <c:pt idx="3">
                  <c:v>8247.1568769829992</c:v>
                </c:pt>
                <c:pt idx="4">
                  <c:v>8335.3498545980983</c:v>
                </c:pt>
                <c:pt idx="5">
                  <c:v>8453.3385805966009</c:v>
                </c:pt>
                <c:pt idx="6">
                  <c:v>8588.4050514689006</c:v>
                </c:pt>
                <c:pt idx="7">
                  <c:v>8734.3594336558999</c:v>
                </c:pt>
                <c:pt idx="8">
                  <c:v>8888.9337685591017</c:v>
                </c:pt>
                <c:pt idx="9">
                  <c:v>9051.0263939534998</c:v>
                </c:pt>
                <c:pt idx="10">
                  <c:v>9220.7399555266002</c:v>
                </c:pt>
                <c:pt idx="11">
                  <c:v>9392.8131687696987</c:v>
                </c:pt>
                <c:pt idx="12">
                  <c:v>9563.8690298964011</c:v>
                </c:pt>
                <c:pt idx="13">
                  <c:v>9730.8238597323998</c:v>
                </c:pt>
                <c:pt idx="14">
                  <c:v>9891.2170524915</c:v>
                </c:pt>
                <c:pt idx="15">
                  <c:v>10043.496279372701</c:v>
                </c:pt>
                <c:pt idx="16">
                  <c:v>10191.9532280942</c:v>
                </c:pt>
                <c:pt idx="17">
                  <c:v>10337.7000292964</c:v>
                </c:pt>
                <c:pt idx="18">
                  <c:v>10480.393672086298</c:v>
                </c:pt>
                <c:pt idx="19">
                  <c:v>10619.665460510201</c:v>
                </c:pt>
                <c:pt idx="20">
                  <c:v>10754.4817291212</c:v>
                </c:pt>
                <c:pt idx="21">
                  <c:v>10887.029793978099</c:v>
                </c:pt>
                <c:pt idx="22">
                  <c:v>11018.549661671999</c:v>
                </c:pt>
                <c:pt idx="23">
                  <c:v>11150.609411489</c:v>
                </c:pt>
                <c:pt idx="24">
                  <c:v>11284.734599772</c:v>
                </c:pt>
                <c:pt idx="25">
                  <c:v>11419.187671212001</c:v>
                </c:pt>
                <c:pt idx="26">
                  <c:v>11557.937529649002</c:v>
                </c:pt>
                <c:pt idx="27">
                  <c:v>11702.821580649999</c:v>
                </c:pt>
                <c:pt idx="28">
                  <c:v>11855.71038011</c:v>
                </c:pt>
                <c:pt idx="29">
                  <c:v>12018.254245918</c:v>
                </c:pt>
                <c:pt idx="30">
                  <c:v>12191.443451253001</c:v>
                </c:pt>
                <c:pt idx="31">
                  <c:v>12375.530820043999</c:v>
                </c:pt>
                <c:pt idx="32">
                  <c:v>12570.136215428</c:v>
                </c:pt>
                <c:pt idx="33">
                  <c:v>12774.365060049</c:v>
                </c:pt>
                <c:pt idx="34">
                  <c:v>12986.920657789</c:v>
                </c:pt>
                <c:pt idx="35">
                  <c:v>13206.193785849999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6658.6304603116996</c:v>
                </c:pt>
                <c:pt idx="2">
                  <c:v>6581.7941035287004</c:v>
                </c:pt>
                <c:pt idx="3">
                  <c:v>6542.2400851510001</c:v>
                </c:pt>
                <c:pt idx="4">
                  <c:v>6534.9439716370998</c:v>
                </c:pt>
                <c:pt idx="5">
                  <c:v>6552.3461053599003</c:v>
                </c:pt>
                <c:pt idx="6">
                  <c:v>6585.2681572025995</c:v>
                </c:pt>
                <c:pt idx="7">
                  <c:v>6628.9695912643001</c:v>
                </c:pt>
                <c:pt idx="8">
                  <c:v>6681.4344683091003</c:v>
                </c:pt>
                <c:pt idx="9">
                  <c:v>6741.5175974989006</c:v>
                </c:pt>
                <c:pt idx="10">
                  <c:v>6808.9592117133998</c:v>
                </c:pt>
                <c:pt idx="11">
                  <c:v>6879.9582130515</c:v>
                </c:pt>
                <c:pt idx="12">
                  <c:v>6952.0974295487003</c:v>
                </c:pt>
                <c:pt idx="13">
                  <c:v>7023.2390037514997</c:v>
                </c:pt>
                <c:pt idx="14">
                  <c:v>7091.7076229364993</c:v>
                </c:pt>
                <c:pt idx="15">
                  <c:v>7156.4485978506</c:v>
                </c:pt>
                <c:pt idx="16">
                  <c:v>7220.3620639262999</c:v>
                </c:pt>
                <c:pt idx="17">
                  <c:v>7284.2773887895</c:v>
                </c:pt>
                <c:pt idx="18">
                  <c:v>7348.0004221227</c:v>
                </c:pt>
                <c:pt idx="19">
                  <c:v>7411.242225774</c:v>
                </c:pt>
                <c:pt idx="20">
                  <c:v>7473.2036264031003</c:v>
                </c:pt>
                <c:pt idx="21">
                  <c:v>7535.1765193875999</c:v>
                </c:pt>
                <c:pt idx="22">
                  <c:v>7597.7901883708</c:v>
                </c:pt>
                <c:pt idx="23">
                  <c:v>7661.8676393612996</c:v>
                </c:pt>
                <c:pt idx="24">
                  <c:v>7728.1799860211004</c:v>
                </c:pt>
                <c:pt idx="25">
                  <c:v>7795.3243068470001</c:v>
                </c:pt>
                <c:pt idx="26">
                  <c:v>7865.650559959</c:v>
                </c:pt>
                <c:pt idx="27">
                  <c:v>7940.0891056945002</c:v>
                </c:pt>
                <c:pt idx="28">
                  <c:v>8019.5837536253994</c:v>
                </c:pt>
                <c:pt idx="29">
                  <c:v>8104.9376994114991</c:v>
                </c:pt>
                <c:pt idx="30">
                  <c:v>8196.5334153194981</c:v>
                </c:pt>
                <c:pt idx="31">
                  <c:v>8294.2888285864992</c:v>
                </c:pt>
                <c:pt idx="32">
                  <c:v>8397.7317529088996</c:v>
                </c:pt>
                <c:pt idx="33">
                  <c:v>8506.0825542502007</c:v>
                </c:pt>
                <c:pt idx="34">
                  <c:v>8618.3324395691998</c:v>
                </c:pt>
                <c:pt idx="35">
                  <c:v>8733.3068036462992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4061.8898353437003</c:v>
                </c:pt>
                <c:pt idx="2">
                  <c:v>3987.6916984846998</c:v>
                </c:pt>
                <c:pt idx="3">
                  <c:v>3934.3458351452</c:v>
                </c:pt>
                <c:pt idx="4">
                  <c:v>3898.5843008676998</c:v>
                </c:pt>
                <c:pt idx="5">
                  <c:v>3876.0265250276998</c:v>
                </c:pt>
                <c:pt idx="6">
                  <c:v>3861.4655933421</c:v>
                </c:pt>
                <c:pt idx="7">
                  <c:v>3852.0810240604001</c:v>
                </c:pt>
                <c:pt idx="8">
                  <c:v>3846.5606820104999</c:v>
                </c:pt>
                <c:pt idx="9">
                  <c:v>3844.127998211</c:v>
                </c:pt>
                <c:pt idx="10">
                  <c:v>3844.5275574439002</c:v>
                </c:pt>
                <c:pt idx="11">
                  <c:v>3845.8407271513001</c:v>
                </c:pt>
                <c:pt idx="12">
                  <c:v>3847.0151389582998</c:v>
                </c:pt>
                <c:pt idx="13">
                  <c:v>3847.2521452361002</c:v>
                </c:pt>
                <c:pt idx="14">
                  <c:v>3846.0218527422999</c:v>
                </c:pt>
                <c:pt idx="15">
                  <c:v>3843.0804501429998</c:v>
                </c:pt>
                <c:pt idx="16">
                  <c:v>3840.087902711</c:v>
                </c:pt>
                <c:pt idx="17">
                  <c:v>3837.7115972309998</c:v>
                </c:pt>
                <c:pt idx="18">
                  <c:v>3836.0445531594</c:v>
                </c:pt>
                <c:pt idx="19">
                  <c:v>3835.0273343765998</c:v>
                </c:pt>
                <c:pt idx="20">
                  <c:v>3834.2624828350999</c:v>
                </c:pt>
                <c:pt idx="21">
                  <c:v>3834.2526071257003</c:v>
                </c:pt>
                <c:pt idx="22">
                  <c:v>3835.1266411229999</c:v>
                </c:pt>
                <c:pt idx="23">
                  <c:v>3837.0493943621</c:v>
                </c:pt>
                <c:pt idx="24">
                  <c:v>3840.1043066594998</c:v>
                </c:pt>
                <c:pt idx="25">
                  <c:v>3843.3363589611999</c:v>
                </c:pt>
                <c:pt idx="26">
                  <c:v>3847.4656372089003</c:v>
                </c:pt>
                <c:pt idx="27">
                  <c:v>3852.5401823917996</c:v>
                </c:pt>
                <c:pt idx="28">
                  <c:v>3858.6012329855998</c:v>
                </c:pt>
                <c:pt idx="29">
                  <c:v>3865.6430142994</c:v>
                </c:pt>
                <c:pt idx="30">
                  <c:v>3873.5052677897997</c:v>
                </c:pt>
                <c:pt idx="31">
                  <c:v>3881.8670218934003</c:v>
                </c:pt>
                <c:pt idx="32">
                  <c:v>3890.2896421976998</c:v>
                </c:pt>
                <c:pt idx="33">
                  <c:v>3898.2605690071996</c:v>
                </c:pt>
                <c:pt idx="34">
                  <c:v>3905.2333972479996</c:v>
                </c:pt>
                <c:pt idx="35">
                  <c:v>3910.6598908486999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2447.2315819916998</c:v>
                </c:pt>
                <c:pt idx="2">
                  <c:v>2404.088655214</c:v>
                </c:pt>
                <c:pt idx="3">
                  <c:v>2372.3547626976001</c:v>
                </c:pt>
                <c:pt idx="4">
                  <c:v>2349.9006079205997</c:v>
                </c:pt>
                <c:pt idx="5">
                  <c:v>2334.0662212065999</c:v>
                </c:pt>
                <c:pt idx="6">
                  <c:v>2321.7133986991003</c:v>
                </c:pt>
                <c:pt idx="7">
                  <c:v>2311.1272583107002</c:v>
                </c:pt>
                <c:pt idx="8">
                  <c:v>2301.5156095113002</c:v>
                </c:pt>
                <c:pt idx="9">
                  <c:v>2292.4388877468</c:v>
                </c:pt>
                <c:pt idx="10">
                  <c:v>2283.7884921563</c:v>
                </c:pt>
                <c:pt idx="11">
                  <c:v>2274.5746690748001</c:v>
                </c:pt>
                <c:pt idx="12">
                  <c:v>2264.3736222244002</c:v>
                </c:pt>
                <c:pt idx="13">
                  <c:v>2252.9494076105998</c:v>
                </c:pt>
                <c:pt idx="14">
                  <c:v>2240.2226941291997</c:v>
                </c:pt>
                <c:pt idx="15">
                  <c:v>2226.2509018430001</c:v>
                </c:pt>
                <c:pt idx="16">
                  <c:v>2212.1108703472</c:v>
                </c:pt>
                <c:pt idx="17">
                  <c:v>2198.3336208425003</c:v>
                </c:pt>
                <c:pt idx="18">
                  <c:v>2185.0910268192006</c:v>
                </c:pt>
                <c:pt idx="19">
                  <c:v>2172.4149184616003</c:v>
                </c:pt>
                <c:pt idx="20">
                  <c:v>2160.1063686318003</c:v>
                </c:pt>
                <c:pt idx="21">
                  <c:v>2148.4003230544999</c:v>
                </c:pt>
                <c:pt idx="22">
                  <c:v>2137.3032214827999</c:v>
                </c:pt>
                <c:pt idx="23">
                  <c:v>2126.8144704788001</c:v>
                </c:pt>
                <c:pt idx="24">
                  <c:v>2116.8652588723999</c:v>
                </c:pt>
                <c:pt idx="25">
                  <c:v>2106.8338435732003</c:v>
                </c:pt>
                <c:pt idx="26">
                  <c:v>2096.9465054281004</c:v>
                </c:pt>
                <c:pt idx="27">
                  <c:v>2087.0790498389001</c:v>
                </c:pt>
                <c:pt idx="28">
                  <c:v>2077.1055885107999</c:v>
                </c:pt>
                <c:pt idx="29">
                  <c:v>2066.8923188461999</c:v>
                </c:pt>
                <c:pt idx="30">
                  <c:v>2056.2516737512001</c:v>
                </c:pt>
                <c:pt idx="31">
                  <c:v>2044.9448130633</c:v>
                </c:pt>
                <c:pt idx="32">
                  <c:v>2032.7066284757</c:v>
                </c:pt>
                <c:pt idx="33">
                  <c:v>2019.2691239833</c:v>
                </c:pt>
                <c:pt idx="34">
                  <c:v>2004.3816182215999</c:v>
                </c:pt>
                <c:pt idx="35">
                  <c:v>1987.8257790221003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1212.9149376633998</c:v>
                </c:pt>
                <c:pt idx="2">
                  <c:v>1187.3336945287999</c:v>
                </c:pt>
                <c:pt idx="3">
                  <c:v>1165.7191969924002</c:v>
                </c:pt>
                <c:pt idx="4">
                  <c:v>1146.8569293001001</c:v>
                </c:pt>
                <c:pt idx="5">
                  <c:v>1129.4973045729</c:v>
                </c:pt>
                <c:pt idx="6">
                  <c:v>1112.2567923228999</c:v>
                </c:pt>
                <c:pt idx="7">
                  <c:v>1094.4158911448001</c:v>
                </c:pt>
                <c:pt idx="8">
                  <c:v>1075.7024600401</c:v>
                </c:pt>
                <c:pt idx="9">
                  <c:v>1056.0394411402001</c:v>
                </c:pt>
                <c:pt idx="10">
                  <c:v>1035.5119586320002</c:v>
                </c:pt>
                <c:pt idx="11">
                  <c:v>1013.9517441805999</c:v>
                </c:pt>
                <c:pt idx="12">
                  <c:v>991.46852888170008</c:v>
                </c:pt>
                <c:pt idx="13">
                  <c:v>968.26729818449996</c:v>
                </c:pt>
                <c:pt idx="14">
                  <c:v>944.59009117789992</c:v>
                </c:pt>
                <c:pt idx="15">
                  <c:v>920.67984660590002</c:v>
                </c:pt>
                <c:pt idx="16">
                  <c:v>897.05725421679995</c:v>
                </c:pt>
                <c:pt idx="17">
                  <c:v>874.03986659440011</c:v>
                </c:pt>
                <c:pt idx="18">
                  <c:v>851.77959109370011</c:v>
                </c:pt>
                <c:pt idx="19">
                  <c:v>830.32941578559996</c:v>
                </c:pt>
                <c:pt idx="20">
                  <c:v>809.62798048260004</c:v>
                </c:pt>
                <c:pt idx="21">
                  <c:v>789.69990636659998</c:v>
                </c:pt>
                <c:pt idx="22">
                  <c:v>770.47871917029988</c:v>
                </c:pt>
                <c:pt idx="23">
                  <c:v>751.87596190440001</c:v>
                </c:pt>
                <c:pt idx="24">
                  <c:v>733.76673806040003</c:v>
                </c:pt>
                <c:pt idx="25">
                  <c:v>715.87440180609997</c:v>
                </c:pt>
                <c:pt idx="26">
                  <c:v>698.14009965460002</c:v>
                </c:pt>
                <c:pt idx="27">
                  <c:v>680.42343576379994</c:v>
                </c:pt>
                <c:pt idx="28">
                  <c:v>662.59998305219995</c:v>
                </c:pt>
                <c:pt idx="29">
                  <c:v>644.57145494810004</c:v>
                </c:pt>
                <c:pt idx="30">
                  <c:v>626.25935549229996</c:v>
                </c:pt>
                <c:pt idx="31">
                  <c:v>607.60666003660003</c:v>
                </c:pt>
                <c:pt idx="32">
                  <c:v>588.58200774329998</c:v>
                </c:pt>
                <c:pt idx="33">
                  <c:v>569.1813856478999</c:v>
                </c:pt>
                <c:pt idx="34">
                  <c:v>549.42779301349992</c:v>
                </c:pt>
                <c:pt idx="35">
                  <c:v>529.36894867030003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2187.6696204282002</c:v>
                </c:pt>
                <c:pt idx="2">
                  <c:v>2142.7272500541003</c:v>
                </c:pt>
                <c:pt idx="3">
                  <c:v>2102.098963296</c:v>
                </c:pt>
                <c:pt idx="4">
                  <c:v>2063.4440549657002</c:v>
                </c:pt>
                <c:pt idx="5">
                  <c:v>2024.69730617</c:v>
                </c:pt>
                <c:pt idx="6">
                  <c:v>1983.6895929300999</c:v>
                </c:pt>
                <c:pt idx="7">
                  <c:v>1939.460869367</c:v>
                </c:pt>
                <c:pt idx="8">
                  <c:v>1891.8759329451998</c:v>
                </c:pt>
                <c:pt idx="9">
                  <c:v>1841.1724865024</c:v>
                </c:pt>
                <c:pt idx="10">
                  <c:v>1787.8629417959</c:v>
                </c:pt>
                <c:pt idx="11">
                  <c:v>1732.1417594720001</c:v>
                </c:pt>
                <c:pt idx="12">
                  <c:v>1674.6480810599001</c:v>
                </c:pt>
                <c:pt idx="13">
                  <c:v>1616.1338652968</c:v>
                </c:pt>
                <c:pt idx="14">
                  <c:v>1557.3293830056998</c:v>
                </c:pt>
                <c:pt idx="15">
                  <c:v>1498.8705916128001</c:v>
                </c:pt>
                <c:pt idx="16">
                  <c:v>1441.6633838473999</c:v>
                </c:pt>
                <c:pt idx="17">
                  <c:v>1386.2883941268001</c:v>
                </c:pt>
                <c:pt idx="18">
                  <c:v>1333.0386359687998</c:v>
                </c:pt>
                <c:pt idx="19">
                  <c:v>1282.0129937076999</c:v>
                </c:pt>
                <c:pt idx="20">
                  <c:v>1233.1176311541999</c:v>
                </c:pt>
                <c:pt idx="21">
                  <c:v>1186.3187956265001</c:v>
                </c:pt>
                <c:pt idx="22">
                  <c:v>1141.4515921057</c:v>
                </c:pt>
                <c:pt idx="23">
                  <c:v>1098.3109398434001</c:v>
                </c:pt>
                <c:pt idx="24">
                  <c:v>1056.6413985254001</c:v>
                </c:pt>
                <c:pt idx="25">
                  <c:v>1016.026604291</c:v>
                </c:pt>
                <c:pt idx="26">
                  <c:v>976.29701536089999</c:v>
                </c:pt>
                <c:pt idx="27">
                  <c:v>937.21882609689999</c:v>
                </c:pt>
                <c:pt idx="28">
                  <c:v>898.60519185379997</c:v>
                </c:pt>
                <c:pt idx="29">
                  <c:v>860.3337111047</c:v>
                </c:pt>
                <c:pt idx="30">
                  <c:v>822.33864648429994</c:v>
                </c:pt>
                <c:pt idx="31">
                  <c:v>784.60692954330011</c:v>
                </c:pt>
                <c:pt idx="32">
                  <c:v>747.17399336350002</c:v>
                </c:pt>
                <c:pt idx="33">
                  <c:v>710.11594844240005</c:v>
                </c:pt>
                <c:pt idx="34">
                  <c:v>673.53989029270008</c:v>
                </c:pt>
                <c:pt idx="35">
                  <c:v>637.57325349009989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7155.2985386964001</c:v>
                </c:pt>
                <c:pt idx="2">
                  <c:v>7266.2225292113999</c:v>
                </c:pt>
                <c:pt idx="3">
                  <c:v>7418.7650059117004</c:v>
                </c:pt>
                <c:pt idx="4">
                  <c:v>7607.0937745698993</c:v>
                </c:pt>
                <c:pt idx="5">
                  <c:v>7820.8685179240001</c:v>
                </c:pt>
                <c:pt idx="6">
                  <c:v>8047.3774919486004</c:v>
                </c:pt>
                <c:pt idx="7">
                  <c:v>8252.4656768230998</c:v>
                </c:pt>
                <c:pt idx="8">
                  <c:v>8458.6019514969012</c:v>
                </c:pt>
                <c:pt idx="9">
                  <c:v>8676.3402979272996</c:v>
                </c:pt>
                <c:pt idx="10">
                  <c:v>8909.7491749644978</c:v>
                </c:pt>
                <c:pt idx="11">
                  <c:v>9164.1795213523001</c:v>
                </c:pt>
                <c:pt idx="12">
                  <c:v>9430.6346729711004</c:v>
                </c:pt>
                <c:pt idx="13">
                  <c:v>9699.8613782685006</c:v>
                </c:pt>
                <c:pt idx="14">
                  <c:v>9965.2442440101986</c:v>
                </c:pt>
                <c:pt idx="15">
                  <c:v>10222.723882534199</c:v>
                </c:pt>
                <c:pt idx="16">
                  <c:v>10467.611526754001</c:v>
                </c:pt>
                <c:pt idx="17">
                  <c:v>10702.3217502886</c:v>
                </c:pt>
                <c:pt idx="18">
                  <c:v>10928.696418798201</c:v>
                </c:pt>
                <c:pt idx="19">
                  <c:v>11148.086379850798</c:v>
                </c:pt>
                <c:pt idx="20">
                  <c:v>11360.470150491601</c:v>
                </c:pt>
                <c:pt idx="21">
                  <c:v>11569.045895023401</c:v>
                </c:pt>
                <c:pt idx="22">
                  <c:v>11775.652865533999</c:v>
                </c:pt>
                <c:pt idx="23">
                  <c:v>11982.536981133</c:v>
                </c:pt>
                <c:pt idx="24">
                  <c:v>12191.893180954999</c:v>
                </c:pt>
                <c:pt idx="25">
                  <c:v>12402.065227133</c:v>
                </c:pt>
                <c:pt idx="26">
                  <c:v>12617.827652828</c:v>
                </c:pt>
                <c:pt idx="27">
                  <c:v>12841.544441219999</c:v>
                </c:pt>
                <c:pt idx="28">
                  <c:v>13076.245238206999</c:v>
                </c:pt>
                <c:pt idx="29">
                  <c:v>13324.942411405</c:v>
                </c:pt>
                <c:pt idx="30">
                  <c:v>13589.949732239002</c:v>
                </c:pt>
                <c:pt idx="31">
                  <c:v>13872.737969574999</c:v>
                </c:pt>
                <c:pt idx="32">
                  <c:v>14174.260595810001</c:v>
                </c:pt>
                <c:pt idx="33">
                  <c:v>14495.424951624</c:v>
                </c:pt>
                <c:pt idx="34">
                  <c:v>14837.166598738</c:v>
                </c:pt>
                <c:pt idx="35">
                  <c:v>15200.536171094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8197.7938958085997</c:v>
                </c:pt>
                <c:pt idx="2">
                  <c:v>8199.1673344271003</c:v>
                </c:pt>
                <c:pt idx="3">
                  <c:v>8247.1568779730987</c:v>
                </c:pt>
                <c:pt idx="4">
                  <c:v>8335.3498555781989</c:v>
                </c:pt>
                <c:pt idx="5">
                  <c:v>8453.3385825568002</c:v>
                </c:pt>
                <c:pt idx="6">
                  <c:v>8588.4050544091006</c:v>
                </c:pt>
                <c:pt idx="7">
                  <c:v>8706.8356810153</c:v>
                </c:pt>
                <c:pt idx="8">
                  <c:v>8828.095050010601</c:v>
                </c:pt>
                <c:pt idx="9">
                  <c:v>8961.4832602837996</c:v>
                </c:pt>
                <c:pt idx="10">
                  <c:v>9110.2874755563007</c:v>
                </c:pt>
                <c:pt idx="11">
                  <c:v>9279.4551319546008</c:v>
                </c:pt>
                <c:pt idx="12">
                  <c:v>9461.2423583224008</c:v>
                </c:pt>
                <c:pt idx="13">
                  <c:v>9647.521290702598</c:v>
                </c:pt>
                <c:pt idx="14">
                  <c:v>9832.4920151194983</c:v>
                </c:pt>
                <c:pt idx="15">
                  <c:v>10012.6154213301</c:v>
                </c:pt>
                <c:pt idx="16">
                  <c:v>10183.616523057199</c:v>
                </c:pt>
                <c:pt idx="17">
                  <c:v>10347.5937923944</c:v>
                </c:pt>
                <c:pt idx="18">
                  <c:v>10506.235798587501</c:v>
                </c:pt>
                <c:pt idx="19">
                  <c:v>10660.7808103268</c:v>
                </c:pt>
                <c:pt idx="20">
                  <c:v>10811.174266715499</c:v>
                </c:pt>
                <c:pt idx="21">
                  <c:v>10960.2213199618</c:v>
                </c:pt>
                <c:pt idx="22">
                  <c:v>11109.4361026113</c:v>
                </c:pt>
                <c:pt idx="23">
                  <c:v>11260.652589216799</c:v>
                </c:pt>
                <c:pt idx="24">
                  <c:v>11415.611446698598</c:v>
                </c:pt>
                <c:pt idx="25">
                  <c:v>11572.541394375899</c:v>
                </c:pt>
                <c:pt idx="26">
                  <c:v>11735.406359975301</c:v>
                </c:pt>
                <c:pt idx="27">
                  <c:v>11905.9352330572</c:v>
                </c:pt>
                <c:pt idx="28">
                  <c:v>12086.412723674999</c:v>
                </c:pt>
                <c:pt idx="29">
                  <c:v>12279.100817267001</c:v>
                </c:pt>
                <c:pt idx="30">
                  <c:v>12485.639092879999</c:v>
                </c:pt>
                <c:pt idx="31">
                  <c:v>12706.913017851999</c:v>
                </c:pt>
                <c:pt idx="32">
                  <c:v>12943.337579068</c:v>
                </c:pt>
                <c:pt idx="33">
                  <c:v>13195.280036486001</c:v>
                </c:pt>
                <c:pt idx="34">
                  <c:v>13463.128969727</c:v>
                </c:pt>
                <c:pt idx="35">
                  <c:v>13747.361769271001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6658.6304603116996</c:v>
                </c:pt>
                <c:pt idx="2">
                  <c:v>6581.7941035287004</c:v>
                </c:pt>
                <c:pt idx="3">
                  <c:v>6542.2400861511005</c:v>
                </c:pt>
                <c:pt idx="4">
                  <c:v>6534.9439726272003</c:v>
                </c:pt>
                <c:pt idx="5">
                  <c:v>6552.3461073400003</c:v>
                </c:pt>
                <c:pt idx="6">
                  <c:v>6585.2681591527999</c:v>
                </c:pt>
                <c:pt idx="7">
                  <c:v>6609.7316242408997</c:v>
                </c:pt>
                <c:pt idx="8">
                  <c:v>6637.7886906822005</c:v>
                </c:pt>
                <c:pt idx="9">
                  <c:v>6675.3180645221992</c:v>
                </c:pt>
                <c:pt idx="10">
                  <c:v>6724.1872542222009</c:v>
                </c:pt>
                <c:pt idx="11">
                  <c:v>6787.6919568001003</c:v>
                </c:pt>
                <c:pt idx="12">
                  <c:v>6861.0405328766001</c:v>
                </c:pt>
                <c:pt idx="13">
                  <c:v>6939.0810106127001</c:v>
                </c:pt>
                <c:pt idx="14">
                  <c:v>7018.1353944522998</c:v>
                </c:pt>
                <c:pt idx="15">
                  <c:v>7095.9626289422004</c:v>
                </c:pt>
                <c:pt idx="16">
                  <c:v>7169.7284297063006</c:v>
                </c:pt>
                <c:pt idx="17">
                  <c:v>7240.7220820809007</c:v>
                </c:pt>
                <c:pt idx="18">
                  <c:v>7310.0376788333997</c:v>
                </c:pt>
                <c:pt idx="19">
                  <c:v>7378.4720916195001</c:v>
                </c:pt>
                <c:pt idx="20">
                  <c:v>7445.9455274132006</c:v>
                </c:pt>
                <c:pt idx="21">
                  <c:v>7514.2113248706009</c:v>
                </c:pt>
                <c:pt idx="22">
                  <c:v>7584.1413784909</c:v>
                </c:pt>
                <c:pt idx="23">
                  <c:v>7656.7869185146001</c:v>
                </c:pt>
                <c:pt idx="24">
                  <c:v>7733.1096858376995</c:v>
                </c:pt>
                <c:pt idx="25">
                  <c:v>7811.7624700509004</c:v>
                </c:pt>
                <c:pt idx="26">
                  <c:v>7895.0923985022</c:v>
                </c:pt>
                <c:pt idx="27">
                  <c:v>7983.9557810450005</c:v>
                </c:pt>
                <c:pt idx="28">
                  <c:v>8079.5461665959001</c:v>
                </c:pt>
                <c:pt idx="29">
                  <c:v>8183.0420639374997</c:v>
                </c:pt>
                <c:pt idx="30">
                  <c:v>8295.2262385314007</c:v>
                </c:pt>
                <c:pt idx="31">
                  <c:v>8416.3991746887004</c:v>
                </c:pt>
                <c:pt idx="32">
                  <c:v>8546.5577694184012</c:v>
                </c:pt>
                <c:pt idx="33">
                  <c:v>8685.6696462088003</c:v>
                </c:pt>
                <c:pt idx="34">
                  <c:v>8833.7197251932994</c:v>
                </c:pt>
                <c:pt idx="35">
                  <c:v>8990.7480225869986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4061.8898353437003</c:v>
                </c:pt>
                <c:pt idx="2">
                  <c:v>3987.6916994846997</c:v>
                </c:pt>
                <c:pt idx="3">
                  <c:v>3934.3458351452</c:v>
                </c:pt>
                <c:pt idx="4">
                  <c:v>3898.5843008676998</c:v>
                </c:pt>
                <c:pt idx="5">
                  <c:v>3876.0265250176999</c:v>
                </c:pt>
                <c:pt idx="6">
                  <c:v>3861.4655943320995</c:v>
                </c:pt>
                <c:pt idx="7">
                  <c:v>3841.6062196816997</c:v>
                </c:pt>
                <c:pt idx="8">
                  <c:v>3821.9095409853999</c:v>
                </c:pt>
                <c:pt idx="9">
                  <c:v>3805.1783867586996</c:v>
                </c:pt>
                <c:pt idx="10">
                  <c:v>3792.1406620970997</c:v>
                </c:pt>
                <c:pt idx="11">
                  <c:v>3784.4613905574001</c:v>
                </c:pt>
                <c:pt idx="12">
                  <c:v>3780.2140301065001</c:v>
                </c:pt>
                <c:pt idx="13">
                  <c:v>3777.3530232798003</c:v>
                </c:pt>
                <c:pt idx="14">
                  <c:v>3774.5499055973</c:v>
                </c:pt>
                <c:pt idx="15">
                  <c:v>3771.1216071913996</c:v>
                </c:pt>
                <c:pt idx="16">
                  <c:v>3766.0215385467</c:v>
                </c:pt>
                <c:pt idx="17">
                  <c:v>3760.0187575678001</c:v>
                </c:pt>
                <c:pt idx="18">
                  <c:v>3753.7981762163995</c:v>
                </c:pt>
                <c:pt idx="19">
                  <c:v>3747.8632885450002</c:v>
                </c:pt>
                <c:pt idx="20">
                  <c:v>3742.2553528543999</c:v>
                </c:pt>
                <c:pt idx="21">
                  <c:v>3737.7749078418001</c:v>
                </c:pt>
                <c:pt idx="22">
                  <c:v>3734.7576862390001</c:v>
                </c:pt>
                <c:pt idx="23">
                  <c:v>3733.5665792179002</c:v>
                </c:pt>
                <c:pt idx="24">
                  <c:v>3734.4717382914</c:v>
                </c:pt>
                <c:pt idx="25">
                  <c:v>3736.6796261172999</c:v>
                </c:pt>
                <c:pt idx="26">
                  <c:v>3740.9701792699002</c:v>
                </c:pt>
                <c:pt idx="27">
                  <c:v>3747.4055651992999</c:v>
                </c:pt>
                <c:pt idx="28">
                  <c:v>3756.1691292759997</c:v>
                </c:pt>
                <c:pt idx="29">
                  <c:v>3767.4571874205003</c:v>
                </c:pt>
                <c:pt idx="30">
                  <c:v>3781.3285186369999</c:v>
                </c:pt>
                <c:pt idx="31">
                  <c:v>3797.6651040912998</c:v>
                </c:pt>
                <c:pt idx="32">
                  <c:v>3816.2432754895999</c:v>
                </c:pt>
                <c:pt idx="33">
                  <c:v>3836.8583452437997</c:v>
                </c:pt>
                <c:pt idx="34">
                  <c:v>3859.3515598447998</c:v>
                </c:pt>
                <c:pt idx="35">
                  <c:v>3883.6214921620003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2447.2315819916998</c:v>
                </c:pt>
                <c:pt idx="2">
                  <c:v>2404.0886562139999</c:v>
                </c:pt>
                <c:pt idx="3">
                  <c:v>2372.3547626966001</c:v>
                </c:pt>
                <c:pt idx="4">
                  <c:v>2349.9006079185997</c:v>
                </c:pt>
                <c:pt idx="5">
                  <c:v>2334.0662212026</c:v>
                </c:pt>
                <c:pt idx="6">
                  <c:v>2321.7133986891004</c:v>
                </c:pt>
                <c:pt idx="7">
                  <c:v>2304.7877362837003</c:v>
                </c:pt>
                <c:pt idx="8">
                  <c:v>2286.1529935502999</c:v>
                </c:pt>
                <c:pt idx="9">
                  <c:v>2267.4429368584997</c:v>
                </c:pt>
                <c:pt idx="10">
                  <c:v>2249.1022722538996</c:v>
                </c:pt>
                <c:pt idx="11">
                  <c:v>2232.2158545121001</c:v>
                </c:pt>
                <c:pt idx="12">
                  <c:v>2216.0606348714</c:v>
                </c:pt>
                <c:pt idx="13">
                  <c:v>2199.8491099114999</c:v>
                </c:pt>
                <c:pt idx="14">
                  <c:v>2183.1603339792</c:v>
                </c:pt>
                <c:pt idx="15">
                  <c:v>2165.8787046172001</c:v>
                </c:pt>
                <c:pt idx="16">
                  <c:v>2147.6426929001</c:v>
                </c:pt>
                <c:pt idx="17">
                  <c:v>2128.9830624605002</c:v>
                </c:pt>
                <c:pt idx="18">
                  <c:v>2110.3735307155998</c:v>
                </c:pt>
                <c:pt idx="19">
                  <c:v>2092.1615178226002</c:v>
                </c:pt>
                <c:pt idx="20">
                  <c:v>2074.4203395294999</c:v>
                </c:pt>
                <c:pt idx="21">
                  <c:v>2057.5704674568997</c:v>
                </c:pt>
                <c:pt idx="22">
                  <c:v>2041.761310499</c:v>
                </c:pt>
                <c:pt idx="23">
                  <c:v>2027.1275310037001</c:v>
                </c:pt>
                <c:pt idx="24">
                  <c:v>2013.7300512546999</c:v>
                </c:pt>
                <c:pt idx="25">
                  <c:v>2001.0825259994999</c:v>
                </c:pt>
                <c:pt idx="26">
                  <c:v>1989.4476844041001</c:v>
                </c:pt>
                <c:pt idx="27">
                  <c:v>1978.7090375373002</c:v>
                </c:pt>
                <c:pt idx="28">
                  <c:v>1968.7987619214</c:v>
                </c:pt>
                <c:pt idx="29">
                  <c:v>1959.6645601861001</c:v>
                </c:pt>
                <c:pt idx="30">
                  <c:v>1951.2033886714</c:v>
                </c:pt>
                <c:pt idx="31">
                  <c:v>1943.2424923111998</c:v>
                </c:pt>
                <c:pt idx="32">
                  <c:v>1935.5714588339999</c:v>
                </c:pt>
                <c:pt idx="33">
                  <c:v>1928.0030832350001</c:v>
                </c:pt>
                <c:pt idx="34">
                  <c:v>1920.3871257894</c:v>
                </c:pt>
                <c:pt idx="35">
                  <c:v>1912.6119100708001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1212.9149376633998</c:v>
                </c:pt>
                <c:pt idx="2">
                  <c:v>1187.3336945287999</c:v>
                </c:pt>
                <c:pt idx="3">
                  <c:v>1165.7191969924002</c:v>
                </c:pt>
                <c:pt idx="4">
                  <c:v>1146.8569292991001</c:v>
                </c:pt>
                <c:pt idx="5">
                  <c:v>1129.4973045709</c:v>
                </c:pt>
                <c:pt idx="6">
                  <c:v>1112.2567923198999</c:v>
                </c:pt>
                <c:pt idx="7">
                  <c:v>1091.6549749842</c:v>
                </c:pt>
                <c:pt idx="8">
                  <c:v>1068.7072051823</c:v>
                </c:pt>
                <c:pt idx="9">
                  <c:v>1044.1960825501001</c:v>
                </c:pt>
                <c:pt idx="10">
                  <c:v>1018.4400661454999</c:v>
                </c:pt>
                <c:pt idx="11">
                  <c:v>992.0614891460001</c:v>
                </c:pt>
                <c:pt idx="12">
                  <c:v>965.19186596220004</c:v>
                </c:pt>
                <c:pt idx="13">
                  <c:v>937.95052090490003</c:v>
                </c:pt>
                <c:pt idx="14">
                  <c:v>910.53964761100008</c:v>
                </c:pt>
                <c:pt idx="15">
                  <c:v>883.19614134309995</c:v>
                </c:pt>
                <c:pt idx="16">
                  <c:v>856.0247744513</c:v>
                </c:pt>
                <c:pt idx="17">
                  <c:v>829.31492752170004</c:v>
                </c:pt>
                <c:pt idx="18">
                  <c:v>803.29967396659993</c:v>
                </c:pt>
                <c:pt idx="19">
                  <c:v>778.13533602219991</c:v>
                </c:pt>
                <c:pt idx="20">
                  <c:v>753.86772297050015</c:v>
                </c:pt>
                <c:pt idx="21">
                  <c:v>730.59505662210006</c:v>
                </c:pt>
                <c:pt idx="22">
                  <c:v>708.31773086470002</c:v>
                </c:pt>
                <c:pt idx="23">
                  <c:v>687.01106920169991</c:v>
                </c:pt>
                <c:pt idx="24">
                  <c:v>666.61415144969999</c:v>
                </c:pt>
                <c:pt idx="25">
                  <c:v>646.92844975540004</c:v>
                </c:pt>
                <c:pt idx="26">
                  <c:v>627.91335297620003</c:v>
                </c:pt>
                <c:pt idx="27">
                  <c:v>609.43314221200001</c:v>
                </c:pt>
                <c:pt idx="28">
                  <c:v>591.36785927879987</c:v>
                </c:pt>
                <c:pt idx="29">
                  <c:v>573.6207686281</c:v>
                </c:pt>
                <c:pt idx="30">
                  <c:v>556.1078333639</c:v>
                </c:pt>
                <c:pt idx="31">
                  <c:v>538.75233284880005</c:v>
                </c:pt>
                <c:pt idx="32">
                  <c:v>521.48882975439994</c:v>
                </c:pt>
                <c:pt idx="33">
                  <c:v>504.2745611574</c:v>
                </c:pt>
                <c:pt idx="34">
                  <c:v>487.09039798700002</c:v>
                </c:pt>
                <c:pt idx="35">
                  <c:v>469.93693526740003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2187.6696204271998</c:v>
                </c:pt>
                <c:pt idx="2">
                  <c:v>2142.7272500531003</c:v>
                </c:pt>
                <c:pt idx="3">
                  <c:v>2102.098963295</c:v>
                </c:pt>
                <c:pt idx="4">
                  <c:v>2063.4440549627002</c:v>
                </c:pt>
                <c:pt idx="5">
                  <c:v>2024.6973061650001</c:v>
                </c:pt>
                <c:pt idx="6">
                  <c:v>1983.6895929231</c:v>
                </c:pt>
                <c:pt idx="7">
                  <c:v>1934.7652594133999</c:v>
                </c:pt>
                <c:pt idx="8">
                  <c:v>1879.6716874258</c:v>
                </c:pt>
                <c:pt idx="9">
                  <c:v>1820.1381482043</c:v>
                </c:pt>
                <c:pt idx="10">
                  <c:v>1757.1573794390999</c:v>
                </c:pt>
                <c:pt idx="11">
                  <c:v>1692.2036146733999</c:v>
                </c:pt>
                <c:pt idx="12">
                  <c:v>1626.1312304729001</c:v>
                </c:pt>
                <c:pt idx="13">
                  <c:v>1559.6972313336998</c:v>
                </c:pt>
                <c:pt idx="14">
                  <c:v>1493.6464292465</c:v>
                </c:pt>
                <c:pt idx="15">
                  <c:v>1428.6363657803001</c:v>
                </c:pt>
                <c:pt idx="16">
                  <c:v>1365.0508179795002</c:v>
                </c:pt>
                <c:pt idx="17">
                  <c:v>1303.3825496383001</c:v>
                </c:pt>
                <c:pt idx="18">
                  <c:v>1243.9915286524999</c:v>
                </c:pt>
                <c:pt idx="19">
                  <c:v>1187.0917763313</c:v>
                </c:pt>
                <c:pt idx="20">
                  <c:v>1132.7287183001999</c:v>
                </c:pt>
                <c:pt idx="21">
                  <c:v>1080.9632677145</c:v>
                </c:pt>
                <c:pt idx="22">
                  <c:v>1031.724939401</c:v>
                </c:pt>
                <c:pt idx="23">
                  <c:v>984.89949479209997</c:v>
                </c:pt>
                <c:pt idx="24">
                  <c:v>940.32391778110002</c:v>
                </c:pt>
                <c:pt idx="25">
                  <c:v>897.69843988829996</c:v>
                </c:pt>
                <c:pt idx="26">
                  <c:v>856.87215547230005</c:v>
                </c:pt>
                <c:pt idx="27">
                  <c:v>817.60768990230008</c:v>
                </c:pt>
                <c:pt idx="28">
                  <c:v>779.6989126277</c:v>
                </c:pt>
                <c:pt idx="29">
                  <c:v>742.98766523699999</c:v>
                </c:pt>
                <c:pt idx="30">
                  <c:v>707.35405594170004</c:v>
                </c:pt>
                <c:pt idx="31">
                  <c:v>672.70746359730003</c:v>
                </c:pt>
                <c:pt idx="32">
                  <c:v>638.98500994029996</c:v>
                </c:pt>
                <c:pt idx="33">
                  <c:v>606.15696377009988</c:v>
                </c:pt>
                <c:pt idx="34">
                  <c:v>574.22267670840006</c:v>
                </c:pt>
                <c:pt idx="35">
                  <c:v>543.20187393529989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31856.522639999999</c:v>
                </c:pt>
                <c:pt idx="2">
                  <c:v>31683.98445</c:v>
                </c:pt>
                <c:pt idx="3">
                  <c:v>31675.833930000001</c:v>
                </c:pt>
                <c:pt idx="4">
                  <c:v>31805.7251</c:v>
                </c:pt>
                <c:pt idx="5">
                  <c:v>32035.359250000001</c:v>
                </c:pt>
                <c:pt idx="6">
                  <c:v>32318.626629999999</c:v>
                </c:pt>
                <c:pt idx="7">
                  <c:v>32533.221290000001</c:v>
                </c:pt>
                <c:pt idx="8">
                  <c:v>32738.876960000001</c:v>
                </c:pt>
                <c:pt idx="9">
                  <c:v>32962.99583</c:v>
                </c:pt>
                <c:pt idx="10">
                  <c:v>33211.081129999999</c:v>
                </c:pt>
                <c:pt idx="11">
                  <c:v>33496.626479999999</c:v>
                </c:pt>
                <c:pt idx="12">
                  <c:v>33796.54765</c:v>
                </c:pt>
                <c:pt idx="13">
                  <c:v>34087.108959999998</c:v>
                </c:pt>
                <c:pt idx="14">
                  <c:v>34352.292509999999</c:v>
                </c:pt>
                <c:pt idx="15">
                  <c:v>34583.148939999999</c:v>
                </c:pt>
                <c:pt idx="16">
                  <c:v>34767.699410000001</c:v>
                </c:pt>
                <c:pt idx="17">
                  <c:v>34912.775970000002</c:v>
                </c:pt>
                <c:pt idx="18">
                  <c:v>35024.094899999996</c:v>
                </c:pt>
                <c:pt idx="19">
                  <c:v>35105.834040000002</c:v>
                </c:pt>
                <c:pt idx="20">
                  <c:v>35158.081720000002</c:v>
                </c:pt>
                <c:pt idx="21">
                  <c:v>35188.937879999998</c:v>
                </c:pt>
                <c:pt idx="22">
                  <c:v>35202.28082</c:v>
                </c:pt>
                <c:pt idx="23">
                  <c:v>35202.526429999998</c:v>
                </c:pt>
                <c:pt idx="24">
                  <c:v>35193.436320000001</c:v>
                </c:pt>
                <c:pt idx="25">
                  <c:v>35168.876020000003</c:v>
                </c:pt>
                <c:pt idx="26">
                  <c:v>35138.117230000003</c:v>
                </c:pt>
                <c:pt idx="27">
                  <c:v>35103.839119999997</c:v>
                </c:pt>
                <c:pt idx="28">
                  <c:v>35069.853139999999</c:v>
                </c:pt>
                <c:pt idx="29">
                  <c:v>35039.646180000003</c:v>
                </c:pt>
                <c:pt idx="30">
                  <c:v>35014.895190000003</c:v>
                </c:pt>
                <c:pt idx="31">
                  <c:v>34995.226920000001</c:v>
                </c:pt>
                <c:pt idx="32">
                  <c:v>34979.014260000004</c:v>
                </c:pt>
                <c:pt idx="33">
                  <c:v>34964.474880000002</c:v>
                </c:pt>
                <c:pt idx="34">
                  <c:v>34949.850769999997</c:v>
                </c:pt>
                <c:pt idx="35">
                  <c:v>34933.543259999999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1.9911427610000001</c:v>
                </c:pt>
                <c:pt idx="2">
                  <c:v>2.0604734649999998</c:v>
                </c:pt>
                <c:pt idx="3">
                  <c:v>2.1381533469999998</c:v>
                </c:pt>
                <c:pt idx="4">
                  <c:v>2.2225219709999999</c:v>
                </c:pt>
                <c:pt idx="5">
                  <c:v>2.3108462670000001</c:v>
                </c:pt>
                <c:pt idx="6">
                  <c:v>2.3996573830000001</c:v>
                </c:pt>
                <c:pt idx="7">
                  <c:v>2.4790004919999999</c:v>
                </c:pt>
                <c:pt idx="8">
                  <c:v>2.5540366649999999</c:v>
                </c:pt>
                <c:pt idx="9">
                  <c:v>2.6272787279999998</c:v>
                </c:pt>
                <c:pt idx="10">
                  <c:v>2.6994218550000002</c:v>
                </c:pt>
                <c:pt idx="11">
                  <c:v>2.77182503</c:v>
                </c:pt>
                <c:pt idx="12">
                  <c:v>2.8427775780000002</c:v>
                </c:pt>
                <c:pt idx="13">
                  <c:v>2.9104700910000001</c:v>
                </c:pt>
                <c:pt idx="14">
                  <c:v>2.9736994490000002</c:v>
                </c:pt>
                <c:pt idx="15">
                  <c:v>3.0318268380000002</c:v>
                </c:pt>
                <c:pt idx="16">
                  <c:v>3.0839403550000002</c:v>
                </c:pt>
                <c:pt idx="17">
                  <c:v>3.1306870920000001</c:v>
                </c:pt>
                <c:pt idx="18">
                  <c:v>3.1726246300000001</c:v>
                </c:pt>
                <c:pt idx="19">
                  <c:v>3.2101838279999999</c:v>
                </c:pt>
                <c:pt idx="20">
                  <c:v>3.243452365</c:v>
                </c:pt>
                <c:pt idx="21">
                  <c:v>3.273186081</c:v>
                </c:pt>
                <c:pt idx="22">
                  <c:v>3.29979187</c:v>
                </c:pt>
                <c:pt idx="23">
                  <c:v>3.3237217100000001</c:v>
                </c:pt>
                <c:pt idx="24">
                  <c:v>3.3453732380000001</c:v>
                </c:pt>
                <c:pt idx="25">
                  <c:v>3.3643124499999999</c:v>
                </c:pt>
                <c:pt idx="26">
                  <c:v>3.3813866479999999</c:v>
                </c:pt>
                <c:pt idx="27">
                  <c:v>3.3968969530000002</c:v>
                </c:pt>
                <c:pt idx="28">
                  <c:v>3.4112383020000001</c:v>
                </c:pt>
                <c:pt idx="29">
                  <c:v>3.4247786009999999</c:v>
                </c:pt>
                <c:pt idx="30">
                  <c:v>3.4377335050000002</c:v>
                </c:pt>
                <c:pt idx="31">
                  <c:v>3.4501439139999999</c:v>
                </c:pt>
                <c:pt idx="32">
                  <c:v>3.4619403950000001</c:v>
                </c:pt>
                <c:pt idx="33">
                  <c:v>3.473034175</c:v>
                </c:pt>
                <c:pt idx="34">
                  <c:v>3.4833324189999999</c:v>
                </c:pt>
                <c:pt idx="35">
                  <c:v>3.4927499879999999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62.915090480000003</c:v>
                </c:pt>
                <c:pt idx="2">
                  <c:v>82.980340990000002</c:v>
                </c:pt>
                <c:pt idx="3">
                  <c:v>104.7086468</c:v>
                </c:pt>
                <c:pt idx="4">
                  <c:v>128.22587580000001</c:v>
                </c:pt>
                <c:pt idx="5">
                  <c:v>153.17047049999999</c:v>
                </c:pt>
                <c:pt idx="6">
                  <c:v>179.14979740000001</c:v>
                </c:pt>
                <c:pt idx="7">
                  <c:v>206.1468769</c:v>
                </c:pt>
                <c:pt idx="8">
                  <c:v>239.49612070000001</c:v>
                </c:pt>
                <c:pt idx="9">
                  <c:v>284.47406640000003</c:v>
                </c:pt>
                <c:pt idx="10">
                  <c:v>347.28373679999999</c:v>
                </c:pt>
                <c:pt idx="11">
                  <c:v>432.870653</c:v>
                </c:pt>
                <c:pt idx="12">
                  <c:v>541.12489359999995</c:v>
                </c:pt>
                <c:pt idx="13">
                  <c:v>671.29413609999995</c:v>
                </c:pt>
                <c:pt idx="14">
                  <c:v>822.50175520000005</c:v>
                </c:pt>
                <c:pt idx="15">
                  <c:v>993.95398929999999</c:v>
                </c:pt>
                <c:pt idx="16">
                  <c:v>1184.912951</c:v>
                </c:pt>
                <c:pt idx="17">
                  <c:v>1396.430261</c:v>
                </c:pt>
                <c:pt idx="18">
                  <c:v>1629.1652779999999</c:v>
                </c:pt>
                <c:pt idx="19">
                  <c:v>1883.5469760000001</c:v>
                </c:pt>
                <c:pt idx="20">
                  <c:v>2159.5369089999999</c:v>
                </c:pt>
                <c:pt idx="21">
                  <c:v>2458.1711730000002</c:v>
                </c:pt>
                <c:pt idx="22">
                  <c:v>2780.2113920000002</c:v>
                </c:pt>
                <c:pt idx="23">
                  <c:v>3126.7310050000001</c:v>
                </c:pt>
                <c:pt idx="24">
                  <c:v>3498.9724689999998</c:v>
                </c:pt>
                <c:pt idx="25">
                  <c:v>3896.517801</c:v>
                </c:pt>
                <c:pt idx="26">
                  <c:v>4322.0311689999999</c:v>
                </c:pt>
                <c:pt idx="27">
                  <c:v>4777.3548769999998</c:v>
                </c:pt>
                <c:pt idx="28">
                  <c:v>5264.9744170000004</c:v>
                </c:pt>
                <c:pt idx="29">
                  <c:v>5787.7445129999996</c:v>
                </c:pt>
                <c:pt idx="30">
                  <c:v>6348.4759389999999</c:v>
                </c:pt>
                <c:pt idx="31">
                  <c:v>6949.740503</c:v>
                </c:pt>
                <c:pt idx="32">
                  <c:v>7593.9683269999996</c:v>
                </c:pt>
                <c:pt idx="33">
                  <c:v>8283.7196710000007</c:v>
                </c:pt>
                <c:pt idx="34">
                  <c:v>9021.7329449999997</c:v>
                </c:pt>
                <c:pt idx="35">
                  <c:v>9810.982172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31921.42887</c:v>
                      </c:pt>
                      <c:pt idx="2">
                        <c:v>31769.025269999998</c:v>
                      </c:pt>
                      <c:pt idx="3">
                        <c:v>31782.68073</c:v>
                      </c:pt>
                      <c:pt idx="4">
                        <c:v>31936.173500000001</c:v>
                      </c:pt>
                      <c:pt idx="5">
                        <c:v>32190.84057</c:v>
                      </c:pt>
                      <c:pt idx="6">
                        <c:v>32500.176080000001</c:v>
                      </c:pt>
                      <c:pt idx="7">
                        <c:v>32741.847170000001</c:v>
                      </c:pt>
                      <c:pt idx="8">
                        <c:v>32980.92712</c:v>
                      </c:pt>
                      <c:pt idx="9">
                        <c:v>33250.097179999997</c:v>
                      </c:pt>
                      <c:pt idx="10">
                        <c:v>33561.064299999998</c:v>
                      </c:pt>
                      <c:pt idx="11">
                        <c:v>33932.268980000001</c:v>
                      </c:pt>
                      <c:pt idx="12">
                        <c:v>34340.515350000001</c:v>
                      </c:pt>
                      <c:pt idx="13">
                        <c:v>34761.313589999998</c:v>
                      </c:pt>
                      <c:pt idx="14">
                        <c:v>35177.76799</c:v>
                      </c:pt>
                      <c:pt idx="15">
                        <c:v>35580.134769999997</c:v>
                      </c:pt>
                      <c:pt idx="16">
                        <c:v>35955.696320000003</c:v>
                      </c:pt>
                      <c:pt idx="17">
                        <c:v>36312.336940000001</c:v>
                      </c:pt>
                      <c:pt idx="18">
                        <c:v>36656.432820000002</c:v>
                      </c:pt>
                      <c:pt idx="19">
                        <c:v>36992.591220000002</c:v>
                      </c:pt>
                      <c:pt idx="20">
                        <c:v>37320.862099999998</c:v>
                      </c:pt>
                      <c:pt idx="21">
                        <c:v>37650.382259999998</c:v>
                      </c:pt>
                      <c:pt idx="22">
                        <c:v>37985.792029999997</c:v>
                      </c:pt>
                      <c:pt idx="23">
                        <c:v>38332.581189999997</c:v>
                      </c:pt>
                      <c:pt idx="24">
                        <c:v>38695.75419</c:v>
                      </c:pt>
                      <c:pt idx="25">
                        <c:v>39068.758159999998</c:v>
                      </c:pt>
                      <c:pt idx="26">
                        <c:v>39463.52981</c:v>
                      </c:pt>
                      <c:pt idx="27">
                        <c:v>39884.590929999998</c:v>
                      </c:pt>
                      <c:pt idx="28">
                        <c:v>40338.238830000002</c:v>
                      </c:pt>
                      <c:pt idx="29">
                        <c:v>40830.81551</c:v>
                      </c:pt>
                      <c:pt idx="30">
                        <c:v>41366.808900000004</c:v>
                      </c:pt>
                      <c:pt idx="31">
                        <c:v>41948.417600000001</c:v>
                      </c:pt>
                      <c:pt idx="32">
                        <c:v>42576.44457</c:v>
                      </c:pt>
                      <c:pt idx="33">
                        <c:v>43251.667630000004</c:v>
                      </c:pt>
                      <c:pt idx="34">
                        <c:v>43975.067080000001</c:v>
                      </c:pt>
                      <c:pt idx="35">
                        <c:v>44748.018210000002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31856.522639999999</c:v>
                </c:pt>
                <c:pt idx="2">
                  <c:v>31683.98445</c:v>
                </c:pt>
                <c:pt idx="3">
                  <c:v>31675.833920000001</c:v>
                </c:pt>
                <c:pt idx="4">
                  <c:v>31805.72509</c:v>
                </c:pt>
                <c:pt idx="5">
                  <c:v>32035.359240000002</c:v>
                </c:pt>
                <c:pt idx="6">
                  <c:v>32318.626619999999</c:v>
                </c:pt>
                <c:pt idx="7">
                  <c:v>32632.573759999999</c:v>
                </c:pt>
                <c:pt idx="8">
                  <c:v>32968.390720000003</c:v>
                </c:pt>
                <c:pt idx="9">
                  <c:v>33321.769460000003</c:v>
                </c:pt>
                <c:pt idx="10">
                  <c:v>33692.858189999999</c:v>
                </c:pt>
                <c:pt idx="11">
                  <c:v>34064.181329999999</c:v>
                </c:pt>
                <c:pt idx="12">
                  <c:v>34425.46443</c:v>
                </c:pt>
                <c:pt idx="13">
                  <c:v>34767.863660000003</c:v>
                </c:pt>
                <c:pt idx="14">
                  <c:v>35084.666960000002</c:v>
                </c:pt>
                <c:pt idx="15">
                  <c:v>35371.956100000003</c:v>
                </c:pt>
                <c:pt idx="16">
                  <c:v>35645.024460000001</c:v>
                </c:pt>
                <c:pt idx="17">
                  <c:v>35908.767140000004</c:v>
                </c:pt>
                <c:pt idx="18">
                  <c:v>36162.912539999998</c:v>
                </c:pt>
                <c:pt idx="19">
                  <c:v>36406.576419999998</c:v>
                </c:pt>
                <c:pt idx="20">
                  <c:v>36636.243139999999</c:v>
                </c:pt>
                <c:pt idx="21">
                  <c:v>36858.36982</c:v>
                </c:pt>
                <c:pt idx="22">
                  <c:v>37076.009339999997</c:v>
                </c:pt>
                <c:pt idx="23">
                  <c:v>37292.973270000002</c:v>
                </c:pt>
                <c:pt idx="24">
                  <c:v>37512.649510000003</c:v>
                </c:pt>
                <c:pt idx="25">
                  <c:v>37727.940020000002</c:v>
                </c:pt>
                <c:pt idx="26">
                  <c:v>37949.577100000002</c:v>
                </c:pt>
                <c:pt idx="27">
                  <c:v>38181.437769999997</c:v>
                </c:pt>
                <c:pt idx="28">
                  <c:v>38427.425069999998</c:v>
                </c:pt>
                <c:pt idx="29">
                  <c:v>38690.777049999997</c:v>
                </c:pt>
                <c:pt idx="30">
                  <c:v>38972.770149999997</c:v>
                </c:pt>
                <c:pt idx="31">
                  <c:v>39272.537040000003</c:v>
                </c:pt>
                <c:pt idx="32">
                  <c:v>39587.429900000003</c:v>
                </c:pt>
                <c:pt idx="33">
                  <c:v>39913.410770000002</c:v>
                </c:pt>
                <c:pt idx="34">
                  <c:v>40245.41214</c:v>
                </c:pt>
                <c:pt idx="35">
                  <c:v>40577.621420000003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1.9911427610000001</c:v>
                </c:pt>
                <c:pt idx="2">
                  <c:v>2.0604734649999998</c:v>
                </c:pt>
                <c:pt idx="3">
                  <c:v>2.1381533469999998</c:v>
                </c:pt>
                <c:pt idx="4">
                  <c:v>2.2225219699999998</c:v>
                </c:pt>
                <c:pt idx="5">
                  <c:v>2.310846266</c:v>
                </c:pt>
                <c:pt idx="6">
                  <c:v>2.399657382</c:v>
                </c:pt>
                <c:pt idx="7">
                  <c:v>2.4873471920000001</c:v>
                </c:pt>
                <c:pt idx="8">
                  <c:v>2.573446224</c:v>
                </c:pt>
                <c:pt idx="9">
                  <c:v>2.6578349590000001</c:v>
                </c:pt>
                <c:pt idx="10">
                  <c:v>2.7407475610000001</c:v>
                </c:pt>
                <c:pt idx="11">
                  <c:v>2.820923928</c:v>
                </c:pt>
                <c:pt idx="12">
                  <c:v>2.897673444</c:v>
                </c:pt>
                <c:pt idx="13">
                  <c:v>2.9704016649999998</c:v>
                </c:pt>
                <c:pt idx="14">
                  <c:v>3.038672579</c:v>
                </c:pt>
                <c:pt idx="15">
                  <c:v>3.1022682490000002</c:v>
                </c:pt>
                <c:pt idx="16">
                  <c:v>3.1625727330000002</c:v>
                </c:pt>
                <c:pt idx="17">
                  <c:v>3.2201099989999999</c:v>
                </c:pt>
                <c:pt idx="18">
                  <c:v>3.2749692110000002</c:v>
                </c:pt>
                <c:pt idx="19">
                  <c:v>3.3271807170000001</c:v>
                </c:pt>
                <c:pt idx="20">
                  <c:v>3.3765461189999999</c:v>
                </c:pt>
                <c:pt idx="21">
                  <c:v>3.4236942560000001</c:v>
                </c:pt>
                <c:pt idx="22">
                  <c:v>3.4689708889999999</c:v>
                </c:pt>
                <c:pt idx="23">
                  <c:v>3.5127838640000002</c:v>
                </c:pt>
                <c:pt idx="24">
                  <c:v>3.5555048619999998</c:v>
                </c:pt>
                <c:pt idx="25">
                  <c:v>3.5966235530000001</c:v>
                </c:pt>
                <c:pt idx="26">
                  <c:v>3.6371130370000002</c:v>
                </c:pt>
                <c:pt idx="27">
                  <c:v>3.6773798470000001</c:v>
                </c:pt>
                <c:pt idx="28">
                  <c:v>3.7178326359999998</c:v>
                </c:pt>
                <c:pt idx="29">
                  <c:v>3.7588241710000001</c:v>
                </c:pt>
                <c:pt idx="30">
                  <c:v>3.800541543</c:v>
                </c:pt>
                <c:pt idx="31">
                  <c:v>3.8429883920000001</c:v>
                </c:pt>
                <c:pt idx="32">
                  <c:v>3.8860128829999998</c:v>
                </c:pt>
                <c:pt idx="33">
                  <c:v>3.9293385719999998</c:v>
                </c:pt>
                <c:pt idx="34">
                  <c:v>3.9725933979999999</c:v>
                </c:pt>
                <c:pt idx="35">
                  <c:v>4.0153328290000001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62.915090480000003</c:v>
                </c:pt>
                <c:pt idx="2">
                  <c:v>82.980340990000002</c:v>
                </c:pt>
                <c:pt idx="3">
                  <c:v>104.7086468</c:v>
                </c:pt>
                <c:pt idx="4">
                  <c:v>128.22587590000001</c:v>
                </c:pt>
                <c:pt idx="5">
                  <c:v>153.17047059999999</c:v>
                </c:pt>
                <c:pt idx="6">
                  <c:v>179.1497976</c:v>
                </c:pt>
                <c:pt idx="7">
                  <c:v>206.1918459</c:v>
                </c:pt>
                <c:pt idx="8">
                  <c:v>234.60517859999999</c:v>
                </c:pt>
                <c:pt idx="9">
                  <c:v>264.81121610000002</c:v>
                </c:pt>
                <c:pt idx="10">
                  <c:v>297.33194989999998</c:v>
                </c:pt>
                <c:pt idx="11">
                  <c:v>332.44181859999998</c:v>
                </c:pt>
                <c:pt idx="12">
                  <c:v>370.47384349999999</c:v>
                </c:pt>
                <c:pt idx="13">
                  <c:v>411.73669749999999</c:v>
                </c:pt>
                <c:pt idx="14">
                  <c:v>456.53171179999998</c:v>
                </c:pt>
                <c:pt idx="15">
                  <c:v>505.1827432</c:v>
                </c:pt>
                <c:pt idx="16">
                  <c:v>558.29737969999996</c:v>
                </c:pt>
                <c:pt idx="17">
                  <c:v>616.04538060000004</c:v>
                </c:pt>
                <c:pt idx="18">
                  <c:v>678.41092460000004</c:v>
                </c:pt>
                <c:pt idx="19">
                  <c:v>745.38486130000001</c:v>
                </c:pt>
                <c:pt idx="20">
                  <c:v>816.93036989999996</c:v>
                </c:pt>
                <c:pt idx="21">
                  <c:v>893.40878980000002</c:v>
                </c:pt>
                <c:pt idx="22">
                  <c:v>975.1805703</c:v>
                </c:pt>
                <c:pt idx="23">
                  <c:v>1062.7355560000001</c:v>
                </c:pt>
                <c:pt idx="24">
                  <c:v>1156.653327</c:v>
                </c:pt>
                <c:pt idx="25">
                  <c:v>1257.130631</c:v>
                </c:pt>
                <c:pt idx="26">
                  <c:v>1365.2451040000001</c:v>
                </c:pt>
                <c:pt idx="27">
                  <c:v>1481.9084800000001</c:v>
                </c:pt>
                <c:pt idx="28">
                  <c:v>1608.165446</c:v>
                </c:pt>
                <c:pt idx="29">
                  <c:v>1745.159674</c:v>
                </c:pt>
                <c:pt idx="30">
                  <c:v>1894.0459410000001</c:v>
                </c:pt>
                <c:pt idx="31">
                  <c:v>2055.9480319999998</c:v>
                </c:pt>
                <c:pt idx="32">
                  <c:v>2231.9471530000001</c:v>
                </c:pt>
                <c:pt idx="33">
                  <c:v>2423.0751799999998</c:v>
                </c:pt>
                <c:pt idx="34">
                  <c:v>2630.309467</c:v>
                </c:pt>
                <c:pt idx="35">
                  <c:v>2854.5649720000001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31921.42887</c:v>
                      </c:pt>
                      <c:pt idx="2">
                        <c:v>31769.025269999998</c:v>
                      </c:pt>
                      <c:pt idx="3">
                        <c:v>31782.68073</c:v>
                      </c:pt>
                      <c:pt idx="4">
                        <c:v>31936.173490000001</c:v>
                      </c:pt>
                      <c:pt idx="5">
                        <c:v>32190.840560000001</c:v>
                      </c:pt>
                      <c:pt idx="6">
                        <c:v>32500.176080000001</c:v>
                      </c:pt>
                      <c:pt idx="7">
                        <c:v>32841.252959999998</c:v>
                      </c:pt>
                      <c:pt idx="8">
                        <c:v>33205.569340000002</c:v>
                      </c:pt>
                      <c:pt idx="9">
                        <c:v>33589.238499999999</c:v>
                      </c:pt>
                      <c:pt idx="10">
                        <c:v>33992.930890000003</c:v>
                      </c:pt>
                      <c:pt idx="11">
                        <c:v>34399.444069999998</c:v>
                      </c:pt>
                      <c:pt idx="12">
                        <c:v>34798.835950000001</c:v>
                      </c:pt>
                      <c:pt idx="13">
                        <c:v>35182.570749999999</c:v>
                      </c:pt>
                      <c:pt idx="14">
                        <c:v>35544.23734</c:v>
                      </c:pt>
                      <c:pt idx="15">
                        <c:v>35880.241110000003</c:v>
                      </c:pt>
                      <c:pt idx="16">
                        <c:v>36206.484409999997</c:v>
                      </c:pt>
                      <c:pt idx="17">
                        <c:v>36528.032639999998</c:v>
                      </c:pt>
                      <c:pt idx="18">
                        <c:v>36844.598440000002</c:v>
                      </c:pt>
                      <c:pt idx="19">
                        <c:v>37155.28847</c:v>
                      </c:pt>
                      <c:pt idx="20">
                        <c:v>37456.550049999998</c:v>
                      </c:pt>
                      <c:pt idx="21">
                        <c:v>37755.202299999997</c:v>
                      </c:pt>
                      <c:pt idx="22">
                        <c:v>38054.658880000003</c:v>
                      </c:pt>
                      <c:pt idx="23">
                        <c:v>38359.221610000001</c:v>
                      </c:pt>
                      <c:pt idx="24">
                        <c:v>38672.858339999999</c:v>
                      </c:pt>
                      <c:pt idx="25">
                        <c:v>38988.667269999998</c:v>
                      </c:pt>
                      <c:pt idx="26">
                        <c:v>39318.459300000002</c:v>
                      </c:pt>
                      <c:pt idx="27">
                        <c:v>39667.02362</c:v>
                      </c:pt>
                      <c:pt idx="28">
                        <c:v>40039.30833</c:v>
                      </c:pt>
                      <c:pt idx="29">
                        <c:v>40439.695529999997</c:v>
                      </c:pt>
                      <c:pt idx="30">
                        <c:v>40870.616620000001</c:v>
                      </c:pt>
                      <c:pt idx="31">
                        <c:v>41332.32804</c:v>
                      </c:pt>
                      <c:pt idx="32">
                        <c:v>41823.263039999998</c:v>
                      </c:pt>
                      <c:pt idx="33">
                        <c:v>42340.415260000002</c:v>
                      </c:pt>
                      <c:pt idx="34">
                        <c:v>42879.694170000002</c:v>
                      </c:pt>
                      <c:pt idx="35">
                        <c:v>43436.201690000002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-4.4162253000000646</c:v>
                </c:pt>
                <c:pt idx="1">
                  <c:v>-14.168482100000006</c:v>
                </c:pt>
                <c:pt idx="2">
                  <c:v>-14.823469000000046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34.65161900000021</c:v>
                </c:pt>
                <c:pt idx="1">
                  <c:v>93.530907000000298</c:v>
                </c:pt>
                <c:pt idx="2">
                  <c:v>600.30292100000042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-11.763747299999977</c:v>
                </c:pt>
                <c:pt idx="1">
                  <c:v>-24.885311200000046</c:v>
                </c:pt>
                <c:pt idx="2">
                  <c:v>0.24471400000015819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182.42447000000175</c:v>
                </c:pt>
                <c:pt idx="1">
                  <c:v>146.1534900000006</c:v>
                </c:pt>
                <c:pt idx="2">
                  <c:v>511.83427000000302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-2.1853430072000002</c:v>
                </c:pt>
                <c:pt idx="1">
                  <c:v>-4.433137292800005</c:v>
                </c:pt>
                <c:pt idx="2">
                  <c:v>-7.1268824261999963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14.4892109072</c:v>
                </c:pt>
                <c:pt idx="1">
                  <c:v>32.819845432800008</c:v>
                </c:pt>
                <c:pt idx="2">
                  <c:v>61.166741816199995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29.532295650000009</c:v>
                </c:pt>
                <c:pt idx="1">
                  <c:v>88.136867089999996</c:v>
                </c:pt>
                <c:pt idx="2">
                  <c:v>359.84226146000003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242.73228999999992</c:v>
                </c:pt>
                <c:pt idx="1">
                  <c:v>317.15419000000111</c:v>
                </c:pt>
                <c:pt idx="2">
                  <c:v>1511.4405500000066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3.5258053754046333E-4</c:v>
                </c:pt>
                <c:pt idx="1">
                  <c:v>7.1655978283037547E-4</c:v>
                </c:pt>
                <c:pt idx="2">
                  <c:v>5.2676733543285763E-4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8.3760170426177931E-4</c:v>
                </c:pt>
                <c:pt idx="1">
                  <c:v>2.1914019137581064E-2</c:v>
                </c:pt>
                <c:pt idx="2">
                  <c:v>9.4138604408701101E-2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6.7475337609796749E-4</c:v>
                </c:pt>
                <c:pt idx="1">
                  <c:v>1.3157067002808852E-3</c:v>
                </c:pt>
                <c:pt idx="2">
                  <c:v>2.1735955998563572E-3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1.4401208855084292E-3</c:v>
                </c:pt>
                <c:pt idx="1">
                  <c:v>7.8372505831945296E-3</c:v>
                </c:pt>
                <c:pt idx="2">
                  <c:v>1.7860747285255725E-2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-6.8543943130330802E-5</c:v>
                </c:pt>
                <c:pt idx="1">
                  <c:v>2.4163709540662735E-4</c:v>
                </c:pt>
                <c:pt idx="2">
                  <c:v>8.3830292632169369E-4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2.5876062649191119E-3</c:v>
                </c:pt>
                <c:pt idx="1">
                  <c:v>8.4656424809118978E-3</c:v>
                </c:pt>
                <c:pt idx="2">
                  <c:v>3.2421318780818838E-2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5.8241186977106008E-3</c:v>
                </c:pt>
                <c:pt idx="1">
                  <c:v>4.0490815838162941E-2</c:v>
                </c:pt>
                <c:pt idx="2">
                  <c:v>0.14795933679450624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15.7563534017</c:v>
                </c:pt>
                <c:pt idx="1">
                  <c:v>11.449328135</c:v>
                </c:pt>
                <c:pt idx="2">
                  <c:v>6.9562402215999999</c:v>
                </c:pt>
                <c:pt idx="3">
                  <c:v>1.6885336167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8.7724056929999996</c:v>
                </c:pt>
                <c:pt idx="1">
                  <c:v>5.8316597960000003</c:v>
                </c:pt>
                <c:pt idx="2">
                  <c:v>3.9932308860000001</c:v>
                </c:pt>
                <c:pt idx="3">
                  <c:v>2.5337553050000001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20.437740175999998</c:v>
                </c:pt>
                <c:pt idx="1">
                  <c:v>21.522573442999999</c:v>
                </c:pt>
                <c:pt idx="2">
                  <c:v>24.346024790000001</c:v>
                </c:pt>
                <c:pt idx="3">
                  <c:v>32.758639205000001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15.442164699999999</c:v>
                </c:pt>
                <c:pt idx="1">
                  <c:v>15.27239385</c:v>
                </c:pt>
                <c:pt idx="2">
                  <c:v>15.090849560000001</c:v>
                </c:pt>
                <c:pt idx="3">
                  <c:v>16.903748029999999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20.523449970000001</c:v>
                </c:pt>
                <c:pt idx="1">
                  <c:v>16.444944100000001</c:v>
                </c:pt>
                <c:pt idx="2">
                  <c:v>15.28451862</c:v>
                </c:pt>
                <c:pt idx="3">
                  <c:v>17.487579119999999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15.170166901</c:v>
                </c:pt>
                <c:pt idx="1">
                  <c:v>7.8629480308000002</c:v>
                </c:pt>
                <c:pt idx="2">
                  <c:v>5.1622061253</c:v>
                </c:pt>
                <c:pt idx="3">
                  <c:v>3.7255848631000004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18.987153559999999</c:v>
                </c:pt>
                <c:pt idx="1">
                  <c:v>15.19731913</c:v>
                </c:pt>
                <c:pt idx="2">
                  <c:v>9.4191189269999995</c:v>
                </c:pt>
                <c:pt idx="3">
                  <c:v>1.9266870300000001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21.67111899</c:v>
                </c:pt>
                <c:pt idx="1">
                  <c:v>18.90152994</c:v>
                </c:pt>
                <c:pt idx="2">
                  <c:v>13.49377365</c:v>
                </c:pt>
                <c:pt idx="3">
                  <c:v>6.0989526830000003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6.3805071820000006</c:v>
                </c:pt>
                <c:pt idx="1">
                  <c:v>5.659626652</c:v>
                </c:pt>
                <c:pt idx="2">
                  <c:v>3.9748400555000001</c:v>
                </c:pt>
                <c:pt idx="3">
                  <c:v>1.5343338048000001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46.802155694999996</c:v>
                </c:pt>
                <c:pt idx="1">
                  <c:v>28.159295155999999</c:v>
                </c:pt>
                <c:pt idx="2">
                  <c:v>19.776828516999998</c:v>
                </c:pt>
                <c:pt idx="3">
                  <c:v>12.564843834000001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22.686268895000001</c:v>
                </c:pt>
                <c:pt idx="1">
                  <c:v>26.3302996838</c:v>
                </c:pt>
                <c:pt idx="2">
                  <c:v>24.685351756699998</c:v>
                </c:pt>
                <c:pt idx="3">
                  <c:v>13.9681995765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26.843123112000001</c:v>
                </c:pt>
                <c:pt idx="1">
                  <c:v>26.314096653</c:v>
                </c:pt>
                <c:pt idx="2">
                  <c:v>24.011412926000002</c:v>
                </c:pt>
                <c:pt idx="3">
                  <c:v>24.064805742600001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-1.0963452368173421E-11</c:v>
                </c:pt>
                <c:pt idx="3">
                  <c:v>-1.0746958878371515E-11</c:v>
                </c:pt>
                <c:pt idx="4">
                  <c:v>0</c:v>
                </c:pt>
                <c:pt idx="5">
                  <c:v>0</c:v>
                </c:pt>
                <c:pt idx="6">
                  <c:v>-1.0025758001575014E-11</c:v>
                </c:pt>
                <c:pt idx="7">
                  <c:v>4.6465447669106208E-3</c:v>
                </c:pt>
                <c:pt idx="8">
                  <c:v>1.0215453155435705E-2</c:v>
                </c:pt>
                <c:pt idx="9">
                  <c:v>1.2236756150691974E-2</c:v>
                </c:pt>
                <c:pt idx="10">
                  <c:v>1.4653335744724716E-2</c:v>
                </c:pt>
                <c:pt idx="11">
                  <c:v>1.7725534751564131E-2</c:v>
                </c:pt>
                <c:pt idx="12">
                  <c:v>2.1364066483895661E-2</c:v>
                </c:pt>
                <c:pt idx="13">
                  <c:v>2.5214454354452576E-2</c:v>
                </c:pt>
                <c:pt idx="14">
                  <c:v>2.893672731440522E-2</c:v>
                </c:pt>
                <c:pt idx="15">
                  <c:v>3.252967754342273E-2</c:v>
                </c:pt>
                <c:pt idx="16">
                  <c:v>3.6344779563348251E-2</c:v>
                </c:pt>
                <c:pt idx="17">
                  <c:v>4.0594522976823422E-2</c:v>
                </c:pt>
                <c:pt idx="18">
                  <c:v>4.5278168768567939E-2</c:v>
                </c:pt>
                <c:pt idx="19">
                  <c:v>5.0296719596534922E-2</c:v>
                </c:pt>
                <c:pt idx="20">
                  <c:v>5.5531190211554282E-2</c:v>
                </c:pt>
                <c:pt idx="21">
                  <c:v>6.0857226261342046E-2</c:v>
                </c:pt>
                <c:pt idx="22">
                  <c:v>6.6155065286433778E-2</c:v>
                </c:pt>
                <c:pt idx="23">
                  <c:v>7.1310111996401249E-2</c:v>
                </c:pt>
                <c:pt idx="24">
                  <c:v>7.6210501681493792E-2</c:v>
                </c:pt>
                <c:pt idx="25">
                  <c:v>8.0769072036865674E-2</c:v>
                </c:pt>
                <c:pt idx="26">
                  <c:v>8.5013118898551898E-2</c:v>
                </c:pt>
                <c:pt idx="27">
                  <c:v>8.8661710892513179E-2</c:v>
                </c:pt>
                <c:pt idx="28">
                  <c:v>9.1574150994301107E-2</c:v>
                </c:pt>
                <c:pt idx="29">
                  <c:v>9.361943006976281E-2</c:v>
                </c:pt>
                <c:pt idx="30">
                  <c:v>9.4685012219103637E-2</c:v>
                </c:pt>
                <c:pt idx="31">
                  <c:v>9.4670909639390066E-2</c:v>
                </c:pt>
                <c:pt idx="32">
                  <c:v>9.3472652388335131E-2</c:v>
                </c:pt>
                <c:pt idx="33">
                  <c:v>9.0974321289666982E-2</c:v>
                </c:pt>
                <c:pt idx="34">
                  <c:v>8.7034734748886011E-2</c:v>
                </c:pt>
                <c:pt idx="35">
                  <c:v>8.1468785726010795E-2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-2.0430324099152131E-12</c:v>
                </c:pt>
                <c:pt idx="1">
                  <c:v>2.8077540292770209E-12</c:v>
                </c:pt>
                <c:pt idx="2">
                  <c:v>1.2902789947588644E-11</c:v>
                </c:pt>
                <c:pt idx="3">
                  <c:v>4.8521853202032617E-11</c:v>
                </c:pt>
                <c:pt idx="4">
                  <c:v>1.0014100659816449E-10</c:v>
                </c:pt>
                <c:pt idx="5">
                  <c:v>5.8334670427484525E-11</c:v>
                </c:pt>
                <c:pt idx="6">
                  <c:v>2.1069923583638683E-10</c:v>
                </c:pt>
                <c:pt idx="7">
                  <c:v>4.7895090733713896E-3</c:v>
                </c:pt>
                <c:pt idx="8">
                  <c:v>9.2867307335668947E-3</c:v>
                </c:pt>
                <c:pt idx="9">
                  <c:v>7.8593932150377022E-3</c:v>
                </c:pt>
                <c:pt idx="10">
                  <c:v>6.3254352129167302E-3</c:v>
                </c:pt>
                <c:pt idx="11">
                  <c:v>5.3353511542018062E-3</c:v>
                </c:pt>
                <c:pt idx="12">
                  <c:v>5.1812421864740887E-3</c:v>
                </c:pt>
                <c:pt idx="13">
                  <c:v>5.4874271223253057E-3</c:v>
                </c:pt>
                <c:pt idx="14">
                  <c:v>5.7747074424567835E-3</c:v>
                </c:pt>
                <c:pt idx="15">
                  <c:v>6.0012795843329414E-3</c:v>
                </c:pt>
                <c:pt idx="16">
                  <c:v>6.7335718228858088E-3</c:v>
                </c:pt>
                <c:pt idx="17">
                  <c:v>7.8157315741043121E-3</c:v>
                </c:pt>
                <c:pt idx="18">
                  <c:v>9.1604777705178719E-3</c:v>
                </c:pt>
                <c:pt idx="19">
                  <c:v>1.0682343634264013E-2</c:v>
                </c:pt>
                <c:pt idx="20">
                  <c:v>1.2315144797090172E-2</c:v>
                </c:pt>
                <c:pt idx="21">
                  <c:v>1.4000379137256047E-2</c:v>
                </c:pt>
                <c:pt idx="22">
                  <c:v>1.5702961763444545E-2</c:v>
                </c:pt>
                <c:pt idx="23">
                  <c:v>1.7407676530897698E-2</c:v>
                </c:pt>
                <c:pt idx="24">
                  <c:v>1.9100410694084413E-2</c:v>
                </c:pt>
                <c:pt idx="25">
                  <c:v>2.0783319638298492E-2</c:v>
                </c:pt>
                <c:pt idx="26">
                  <c:v>2.2397998475318426E-2</c:v>
                </c:pt>
                <c:pt idx="27">
                  <c:v>2.3946876662167771E-2</c:v>
                </c:pt>
                <c:pt idx="28">
                  <c:v>2.5435178128713654E-2</c:v>
                </c:pt>
                <c:pt idx="29">
                  <c:v>2.6841234834527494E-2</c:v>
                </c:pt>
                <c:pt idx="30">
                  <c:v>2.8130160957984041E-2</c:v>
                </c:pt>
                <c:pt idx="31">
                  <c:v>2.9249360267558977E-2</c:v>
                </c:pt>
                <c:pt idx="32">
                  <c:v>3.0128481150837771E-2</c:v>
                </c:pt>
                <c:pt idx="33">
                  <c:v>3.0680966573636503E-2</c:v>
                </c:pt>
                <c:pt idx="34">
                  <c:v>3.0767214470367898E-2</c:v>
                </c:pt>
                <c:pt idx="35">
                  <c:v>3.0160029824634949E-2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-7.7465145409405523E-11</c:v>
                </c:pt>
                <c:pt idx="4">
                  <c:v>-1.143000138981165E-10</c:v>
                </c:pt>
                <c:pt idx="5">
                  <c:v>0</c:v>
                </c:pt>
                <c:pt idx="6">
                  <c:v>-3.8103076249740297E-11</c:v>
                </c:pt>
                <c:pt idx="7">
                  <c:v>4.7626789970942607E-3</c:v>
                </c:pt>
                <c:pt idx="8">
                  <c:v>9.2767857821394184E-3</c:v>
                </c:pt>
                <c:pt idx="9">
                  <c:v>8.0394778373944487E-3</c:v>
                </c:pt>
                <c:pt idx="10">
                  <c:v>6.8523801158988373E-3</c:v>
                </c:pt>
                <c:pt idx="11">
                  <c:v>6.3134733429073275E-3</c:v>
                </c:pt>
                <c:pt idx="12">
                  <c:v>7.0475990731351246E-3</c:v>
                </c:pt>
                <c:pt idx="13">
                  <c:v>8.766876608984342E-3</c:v>
                </c:pt>
                <c:pt idx="14">
                  <c:v>1.0982953781919935E-2</c:v>
                </c:pt>
                <c:pt idx="15">
                  <c:v>1.3601747111431362E-2</c:v>
                </c:pt>
                <c:pt idx="16">
                  <c:v>1.6939210146577066E-2</c:v>
                </c:pt>
                <c:pt idx="17">
                  <c:v>2.0860507284133689E-2</c:v>
                </c:pt>
                <c:pt idx="18">
                  <c:v>2.5160546896929814E-2</c:v>
                </c:pt>
                <c:pt idx="19">
                  <c:v>2.9671054446215983E-2</c:v>
                </c:pt>
                <c:pt idx="20">
                  <c:v>3.4252197998075662E-2</c:v>
                </c:pt>
                <c:pt idx="21">
                  <c:v>3.8755395784797697E-2</c:v>
                </c:pt>
                <c:pt idx="22">
                  <c:v>4.3064669317256277E-2</c:v>
                </c:pt>
                <c:pt idx="23">
                  <c:v>4.7165229000563302E-2</c:v>
                </c:pt>
                <c:pt idx="24">
                  <c:v>5.1055794497731899E-2</c:v>
                </c:pt>
                <c:pt idx="25">
                  <c:v>5.4714078314227477E-2</c:v>
                </c:pt>
                <c:pt idx="26">
                  <c:v>5.7897138322628772E-2</c:v>
                </c:pt>
                <c:pt idx="27">
                  <c:v>6.0362783618379323E-2</c:v>
                </c:pt>
                <c:pt idx="28">
                  <c:v>6.212025826331935E-2</c:v>
                </c:pt>
                <c:pt idx="29">
                  <c:v>6.321593591838548E-2</c:v>
                </c:pt>
                <c:pt idx="30">
                  <c:v>6.3679011010497222E-2</c:v>
                </c:pt>
                <c:pt idx="31">
                  <c:v>6.3426278518672108E-2</c:v>
                </c:pt>
                <c:pt idx="32">
                  <c:v>6.2325907987548446E-2</c:v>
                </c:pt>
                <c:pt idx="33">
                  <c:v>6.0336648288302541E-2</c:v>
                </c:pt>
                <c:pt idx="34">
                  <c:v>5.7414138555057059E-2</c:v>
                </c:pt>
                <c:pt idx="35">
                  <c:v>5.3467940688908699E-2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-3.6839087336204557E-11</c:v>
                </c:pt>
                <c:pt idx="4">
                  <c:v>-3.6010527892926802E-11</c:v>
                </c:pt>
                <c:pt idx="5">
                  <c:v>-3.517408586617421E-11</c:v>
                </c:pt>
                <c:pt idx="6">
                  <c:v>0</c:v>
                </c:pt>
                <c:pt idx="7">
                  <c:v>1.5735171180273344E-3</c:v>
                </c:pt>
                <c:pt idx="8">
                  <c:v>3.1051147860183814E-3</c:v>
                </c:pt>
                <c:pt idx="9">
                  <c:v>1.4308243568834644E-3</c:v>
                </c:pt>
                <c:pt idx="10">
                  <c:v>-7.8341271644921662E-4</c:v>
                </c:pt>
                <c:pt idx="11">
                  <c:v>-2.6747818372614418E-3</c:v>
                </c:pt>
                <c:pt idx="12">
                  <c:v>-4.0521771285567665E-3</c:v>
                </c:pt>
                <c:pt idx="13">
                  <c:v>-4.9940969280327652E-3</c:v>
                </c:pt>
                <c:pt idx="14">
                  <c:v>-5.690049958776866E-3</c:v>
                </c:pt>
                <c:pt idx="15">
                  <c:v>-6.1687210923376812E-3</c:v>
                </c:pt>
                <c:pt idx="16">
                  <c:v>-6.2325846427396803E-3</c:v>
                </c:pt>
                <c:pt idx="17">
                  <c:v>-5.9310428189279785E-3</c:v>
                </c:pt>
                <c:pt idx="18">
                  <c:v>-5.3380754003954367E-3</c:v>
                </c:pt>
                <c:pt idx="19">
                  <c:v>-4.5330680851037863E-3</c:v>
                </c:pt>
                <c:pt idx="20">
                  <c:v>-3.5770865965552012E-3</c:v>
                </c:pt>
                <c:pt idx="21">
                  <c:v>-2.5073908622259555E-3</c:v>
                </c:pt>
                <c:pt idx="22">
                  <c:v>-1.3614244680809628E-3</c:v>
                </c:pt>
                <c:pt idx="23">
                  <c:v>-1.7782862413651124E-4</c:v>
                </c:pt>
                <c:pt idx="24">
                  <c:v>1.0055374158715047E-3</c:v>
                </c:pt>
                <c:pt idx="25">
                  <c:v>2.1595253320800811E-3</c:v>
                </c:pt>
                <c:pt idx="26">
                  <c:v>3.2398077495598976E-3</c:v>
                </c:pt>
                <c:pt idx="27">
                  <c:v>4.231446665639238E-3</c:v>
                </c:pt>
                <c:pt idx="28">
                  <c:v>5.0773855606442986E-3</c:v>
                </c:pt>
                <c:pt idx="29">
                  <c:v>5.7137722394784429E-3</c:v>
                </c:pt>
                <c:pt idx="30">
                  <c:v>6.0835650713668699E-3</c:v>
                </c:pt>
                <c:pt idx="31">
                  <c:v>6.137239493984703E-3</c:v>
                </c:pt>
                <c:pt idx="32">
                  <c:v>5.8144583064201338E-3</c:v>
                </c:pt>
                <c:pt idx="33">
                  <c:v>5.0264004186415523E-3</c:v>
                </c:pt>
                <c:pt idx="34">
                  <c:v>3.649155138914173E-3</c:v>
                </c:pt>
                <c:pt idx="35">
                  <c:v>1.5040944557305203E-3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9.0668805796667584E-11</c:v>
                </c:pt>
                <c:pt idx="1">
                  <c:v>2.6490543092450025E-10</c:v>
                </c:pt>
                <c:pt idx="2">
                  <c:v>5.457461149660503E-10</c:v>
                </c:pt>
                <c:pt idx="3">
                  <c:v>4.5419201732954662E-10</c:v>
                </c:pt>
                <c:pt idx="4">
                  <c:v>7.4404749028644801E-10</c:v>
                </c:pt>
                <c:pt idx="5">
                  <c:v>6.3219673940295706E-10</c:v>
                </c:pt>
                <c:pt idx="6">
                  <c:v>4.8055714962913498E-10</c:v>
                </c:pt>
                <c:pt idx="7">
                  <c:v>-6.1118490070921627E-4</c:v>
                </c:pt>
                <c:pt idx="8">
                  <c:v>-1.6758360101075676E-3</c:v>
                </c:pt>
                <c:pt idx="9">
                  <c:v>-6.8080712733685766E-3</c:v>
                </c:pt>
                <c:pt idx="10">
                  <c:v>-1.2644882450411843E-2</c:v>
                </c:pt>
                <c:pt idx="11">
                  <c:v>-1.9724834292532245E-2</c:v>
                </c:pt>
                <c:pt idx="12">
                  <c:v>-2.7550250483794225E-2</c:v>
                </c:pt>
                <c:pt idx="13">
                  <c:v>-3.5981482461100667E-2</c:v>
                </c:pt>
                <c:pt idx="14">
                  <c:v>-4.4977021467977107E-2</c:v>
                </c:pt>
                <c:pt idx="15">
                  <c:v>-5.4250826550407805E-2</c:v>
                </c:pt>
                <c:pt idx="16">
                  <c:v>-6.2076432376887869E-2</c:v>
                </c:pt>
                <c:pt idx="17">
                  <c:v>-6.8998545822546054E-2</c:v>
                </c:pt>
                <c:pt idx="18">
                  <c:v>-7.5086314695593903E-2</c:v>
                </c:pt>
                <c:pt idx="19">
                  <c:v>-8.0475670651514175E-2</c:v>
                </c:pt>
                <c:pt idx="20">
                  <c:v>-8.5307888786021246E-2</c:v>
                </c:pt>
                <c:pt idx="21">
                  <c:v>-8.9695807368421976E-2</c:v>
                </c:pt>
                <c:pt idx="22">
                  <c:v>-9.373387601198091E-2</c:v>
                </c:pt>
                <c:pt idx="23">
                  <c:v>-9.7471657883811291E-2</c:v>
                </c:pt>
                <c:pt idx="24">
                  <c:v>-0.10095248798978695</c:v>
                </c:pt>
                <c:pt idx="25">
                  <c:v>-0.10423625632569544</c:v>
                </c:pt>
                <c:pt idx="26">
                  <c:v>-0.10756440750674312</c:v>
                </c:pt>
                <c:pt idx="27">
                  <c:v>-0.11087023605191315</c:v>
                </c:pt>
                <c:pt idx="28">
                  <c:v>-0.11421965839337589</c:v>
                </c:pt>
                <c:pt idx="29">
                  <c:v>-0.11769390683028191</c:v>
                </c:pt>
                <c:pt idx="30">
                  <c:v>-0.12139546971230697</c:v>
                </c:pt>
                <c:pt idx="31">
                  <c:v>-0.12546521582723047</c:v>
                </c:pt>
                <c:pt idx="32">
                  <c:v>-0.13008033615404224</c:v>
                </c:pt>
                <c:pt idx="33">
                  <c:v>-0.13543395213517062</c:v>
                </c:pt>
                <c:pt idx="34">
                  <c:v>-0.1417828141397145</c:v>
                </c:pt>
                <c:pt idx="35">
                  <c:v>-0.14951249797219102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-1.6491408239005523E-10</c:v>
                </c:pt>
                <c:pt idx="1">
                  <c:v>1.2725465126095514E-10</c:v>
                </c:pt>
                <c:pt idx="2">
                  <c:v>-4.7639225897455617E-11</c:v>
                </c:pt>
                <c:pt idx="3">
                  <c:v>-4.168720924013769E-11</c:v>
                </c:pt>
                <c:pt idx="4">
                  <c:v>1.9455770328136168E-11</c:v>
                </c:pt>
                <c:pt idx="5">
                  <c:v>6.4496408214154144E-11</c:v>
                </c:pt>
                <c:pt idx="6">
                  <c:v>7.7651662877542549E-11</c:v>
                </c:pt>
                <c:pt idx="7">
                  <c:v>-2.8036288663792486E-2</c:v>
                </c:pt>
                <c:pt idx="8">
                  <c:v>-5.4945637256656132E-2</c:v>
                </c:pt>
                <c:pt idx="9">
                  <c:v>-8.0441740942347684E-2</c:v>
                </c:pt>
                <c:pt idx="10">
                  <c:v>-0.10121632991413587</c:v>
                </c:pt>
                <c:pt idx="11">
                  <c:v>-0.11555105159710455</c:v>
                </c:pt>
                <c:pt idx="12">
                  <c:v>-0.12590419212594106</c:v>
                </c:pt>
                <c:pt idx="13">
                  <c:v>-0.13396467551922342</c:v>
                </c:pt>
                <c:pt idx="14">
                  <c:v>-0.14077097286929585</c:v>
                </c:pt>
                <c:pt idx="15">
                  <c:v>-0.14670542555070165</c:v>
                </c:pt>
                <c:pt idx="16">
                  <c:v>-0.15198812693166797</c:v>
                </c:pt>
                <c:pt idx="17">
                  <c:v>-0.15663625947048587</c:v>
                </c:pt>
                <c:pt idx="18">
                  <c:v>-0.16031597043946855</c:v>
                </c:pt>
                <c:pt idx="19">
                  <c:v>-0.16304612595944179</c:v>
                </c:pt>
                <c:pt idx="20">
                  <c:v>-0.16500887882095783</c:v>
                </c:pt>
                <c:pt idx="21">
                  <c:v>-0.16640382613263738</c:v>
                </c:pt>
                <c:pt idx="22">
                  <c:v>-0.16746870704384775</c:v>
                </c:pt>
                <c:pt idx="23">
                  <c:v>-0.16836655006595513</c:v>
                </c:pt>
                <c:pt idx="24">
                  <c:v>-0.16922951510144724</c:v>
                </c:pt>
                <c:pt idx="25">
                  <c:v>-0.17025655859707156</c:v>
                </c:pt>
                <c:pt idx="26">
                  <c:v>-0.17174317877720535</c:v>
                </c:pt>
                <c:pt idx="27">
                  <c:v>-0.1738480534937149</c:v>
                </c:pt>
                <c:pt idx="28">
                  <c:v>-0.17671995649767347</c:v>
                </c:pt>
                <c:pt idx="29">
                  <c:v>-0.18052396892427636</c:v>
                </c:pt>
                <c:pt idx="30">
                  <c:v>-0.18547193437735032</c:v>
                </c:pt>
                <c:pt idx="31">
                  <c:v>-0.19188275432132029</c:v>
                </c:pt>
                <c:pt idx="32">
                  <c:v>-0.20018051014818028</c:v>
                </c:pt>
                <c:pt idx="33">
                  <c:v>-0.21084936391029563</c:v>
                </c:pt>
                <c:pt idx="34">
                  <c:v>-0.22448940149010455</c:v>
                </c:pt>
                <c:pt idx="35">
                  <c:v>-0.2418733326116308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-2.5946067516713356E-10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2.0141630897654306E-3</c:v>
                      </c:pt>
                      <c:pt idx="8">
                        <c:v>3.8776007114516009E-3</c:v>
                      </c:pt>
                      <c:pt idx="9">
                        <c:v>1.7555368216108924E-3</c:v>
                      </c:pt>
                      <c:pt idx="10">
                        <c:v>-7.1985264060114851E-4</c:v>
                      </c:pt>
                      <c:pt idx="11">
                        <c:v>-2.745605428551845E-3</c:v>
                      </c:pt>
                      <c:pt idx="12">
                        <c:v>-4.1359994286661594E-3</c:v>
                      </c:pt>
                      <c:pt idx="13">
                        <c:v>-5.0820606833333892E-3</c:v>
                      </c:pt>
                      <c:pt idx="14">
                        <c:v>-5.8677837317407944E-3</c:v>
                      </c:pt>
                      <c:pt idx="15">
                        <c:v>-6.5233524911082474E-3</c:v>
                      </c:pt>
                      <c:pt idx="16">
                        <c:v>-6.740179788730094E-3</c:v>
                      </c:pt>
                      <c:pt idx="17">
                        <c:v>-6.5949238918704411E-3</c:v>
                      </c:pt>
                      <c:pt idx="18">
                        <c:v>-6.1569247504968949E-3</c:v>
                      </c:pt>
                      <c:pt idx="19">
                        <c:v>-5.5079609865854584E-3</c:v>
                      </c:pt>
                      <c:pt idx="20">
                        <c:v>-4.7162737805137578E-3</c:v>
                      </c:pt>
                      <c:pt idx="21">
                        <c:v>-3.8337870582343392E-3</c:v>
                      </c:pt>
                      <c:pt idx="22">
                        <c:v>-2.9071238665623333E-3</c:v>
                      </c:pt>
                      <c:pt idx="23">
                        <c:v>-1.9742147438545077E-3</c:v>
                      </c:pt>
                      <c:pt idx="24">
                        <c:v>-1.0726256170292547E-3</c:v>
                      </c:pt>
                      <c:pt idx="25">
                        <c:v>-2.3521183360553088E-4</c:v>
                      </c:pt>
                      <c:pt idx="26">
                        <c:v>4.7001097327603603E-4</c:v>
                      </c:pt>
                      <c:pt idx="27">
                        <c:v>1.0035116902409325E-3</c:v>
                      </c:pt>
                      <c:pt idx="28">
                        <c:v>1.3031219939931837E-3</c:v>
                      </c:pt>
                      <c:pt idx="29">
                        <c:v>1.2892784948077551E-3</c:v>
                      </c:pt>
                      <c:pt idx="30">
                        <c:v>8.7264293665212378E-4</c:v>
                      </c:pt>
                      <c:pt idx="31">
                        <c:v>-5.7279609116500652E-5</c:v>
                      </c:pt>
                      <c:pt idx="32">
                        <c:v>-1.6507820874361867E-3</c:v>
                      </c:pt>
                      <c:pt idx="33">
                        <c:v>-4.1137327693386849E-3</c:v>
                      </c:pt>
                      <c:pt idx="34">
                        <c:v>-7.7452433595501802E-3</c:v>
                      </c:pt>
                      <c:pt idx="35">
                        <c:v>-1.2995272719323547E-2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-9.781995213842265E-10</c:v>
                </c:pt>
                <c:pt idx="1">
                  <c:v>-1.6322386775513564E-9</c:v>
                </c:pt>
                <c:pt idx="2">
                  <c:v>-2.6083400994636463E-9</c:v>
                </c:pt>
                <c:pt idx="3">
                  <c:v>-3.5660541186643968E-9</c:v>
                </c:pt>
                <c:pt idx="4">
                  <c:v>-4.2771233221827742E-9</c:v>
                </c:pt>
                <c:pt idx="5">
                  <c:v>-4.7672208403071181E-9</c:v>
                </c:pt>
                <c:pt idx="6">
                  <c:v>-4.9461986728616125E-9</c:v>
                </c:pt>
                <c:pt idx="7">
                  <c:v>-1.2107793708790338E-2</c:v>
                </c:pt>
                <c:pt idx="8">
                  <c:v>-2.6441741958512677E-2</c:v>
                </c:pt>
                <c:pt idx="9">
                  <c:v>-3.9779523635138814E-2</c:v>
                </c:pt>
                <c:pt idx="10">
                  <c:v>-5.1913419535620342E-2</c:v>
                </c:pt>
                <c:pt idx="11">
                  <c:v>-6.158102324785808E-2</c:v>
                </c:pt>
                <c:pt idx="12">
                  <c:v>-6.9414831983348968E-2</c:v>
                </c:pt>
                <c:pt idx="13">
                  <c:v>-7.5782045270170961E-2</c:v>
                </c:pt>
                <c:pt idx="14">
                  <c:v>-8.0909227230219094E-2</c:v>
                </c:pt>
                <c:pt idx="15">
                  <c:v>-8.5050578540267763E-2</c:v>
                </c:pt>
                <c:pt idx="16">
                  <c:v>-8.9277923967752693E-2</c:v>
                </c:pt>
                <c:pt idx="17">
                  <c:v>-9.3759036782200211E-2</c:v>
                </c:pt>
                <c:pt idx="18">
                  <c:v>-9.8434261988527005E-2</c:v>
                </c:pt>
                <c:pt idx="19">
                  <c:v>-0.10321363187366883</c:v>
                </c:pt>
                <c:pt idx="20">
                  <c:v>-0.10799731350189123</c:v>
                </c:pt>
                <c:pt idx="21">
                  <c:v>-0.11266119166641131</c:v>
                </c:pt>
                <c:pt idx="22">
                  <c:v>-0.11711138874545812</c:v>
                </c:pt>
                <c:pt idx="23">
                  <c:v>-0.12131254761708188</c:v>
                </c:pt>
                <c:pt idx="24">
                  <c:v>-0.12525087920648181</c:v>
                </c:pt>
                <c:pt idx="25">
                  <c:v>-0.1289220364391751</c:v>
                </c:pt>
                <c:pt idx="26">
                  <c:v>-0.13227681745475206</c:v>
                </c:pt>
                <c:pt idx="27">
                  <c:v>-0.13513398946053312</c:v>
                </c:pt>
                <c:pt idx="28">
                  <c:v>-0.1374825763885309</c:v>
                </c:pt>
                <c:pt idx="29">
                  <c:v>-0.1393408525665788</c:v>
                </c:pt>
                <c:pt idx="30">
                  <c:v>-0.14071405105476509</c:v>
                </c:pt>
                <c:pt idx="31">
                  <c:v>-0.14155356510622752</c:v>
                </c:pt>
                <c:pt idx="32">
                  <c:v>-0.14178472522686414</c:v>
                </c:pt>
                <c:pt idx="33">
                  <c:v>-0.14136638684922043</c:v>
                </c:pt>
                <c:pt idx="34">
                  <c:v>-0.14024924732531252</c:v>
                </c:pt>
                <c:pt idx="35">
                  <c:v>-0.13833410693097725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0</c:v>
                </c:pt>
                <c:pt idx="1">
                  <c:v>-2.0284252055802199E-10</c:v>
                </c:pt>
                <c:pt idx="2">
                  <c:v>-2.111056884857021E-10</c:v>
                </c:pt>
                <c:pt idx="3">
                  <c:v>-4.051325941389905E-10</c:v>
                </c:pt>
                <c:pt idx="4">
                  <c:v>-3.8708802829745537E-10</c:v>
                </c:pt>
                <c:pt idx="5">
                  <c:v>-5.6802629266883287E-10</c:v>
                </c:pt>
                <c:pt idx="6">
                  <c:v>-5.6501470169223467E-10</c:v>
                </c:pt>
                <c:pt idx="7">
                  <c:v>-8.443763811441074E-3</c:v>
                </c:pt>
                <c:pt idx="8">
                  <c:v>-1.9461331577335428E-2</c:v>
                </c:pt>
                <c:pt idx="9">
                  <c:v>-3.1144351878217735E-2</c:v>
                </c:pt>
                <c:pt idx="10">
                  <c:v>-4.1814642759771203E-2</c:v>
                </c:pt>
                <c:pt idx="11">
                  <c:v>-4.9912263809750668E-2</c:v>
                </c:pt>
                <c:pt idx="12">
                  <c:v>-5.5915769751135214E-2</c:v>
                </c:pt>
                <c:pt idx="13">
                  <c:v>-6.0328699923466678E-2</c:v>
                </c:pt>
                <c:pt idx="14">
                  <c:v>-6.3519727807292092E-2</c:v>
                </c:pt>
                <c:pt idx="15">
                  <c:v>-6.5739549836714151E-2</c:v>
                </c:pt>
                <c:pt idx="16">
                  <c:v>-6.7997840363654971E-2</c:v>
                </c:pt>
                <c:pt idx="17">
                  <c:v>-7.0424555353330254E-2</c:v>
                </c:pt>
                <c:pt idx="18">
                  <c:v>-7.2958469396722014E-2</c:v>
                </c:pt>
                <c:pt idx="19">
                  <c:v>-7.5486879517244532E-2</c:v>
                </c:pt>
                <c:pt idx="20">
                  <c:v>-7.7879328126269076E-2</c:v>
                </c:pt>
                <c:pt idx="21">
                  <c:v>-8.0001995608920073E-2</c:v>
                </c:pt>
                <c:pt idx="22">
                  <c:v>-8.1737196896683129E-2</c:v>
                </c:pt>
                <c:pt idx="23">
                  <c:v>-8.2998875528587424E-2</c:v>
                </c:pt>
                <c:pt idx="24">
                  <c:v>-8.370939233055541E-2</c:v>
                </c:pt>
                <c:pt idx="25">
                  <c:v>-8.3785936437022257E-2</c:v>
                </c:pt>
                <c:pt idx="26">
                  <c:v>-8.3115122030620769E-2</c:v>
                </c:pt>
                <c:pt idx="27">
                  <c:v>-8.1568390079591269E-2</c:v>
                </c:pt>
                <c:pt idx="28">
                  <c:v>-7.9046418524023943E-2</c:v>
                </c:pt>
                <c:pt idx="29">
                  <c:v>-7.5456613031508302E-2</c:v>
                </c:pt>
                <c:pt idx="30">
                  <c:v>-7.0676436915600438E-2</c:v>
                </c:pt>
                <c:pt idx="31">
                  <c:v>-6.4526977966405386E-2</c:v>
                </c:pt>
                <c:pt idx="32">
                  <c:v>-5.6776056027061261E-2</c:v>
                </c:pt>
                <c:pt idx="33">
                  <c:v>-4.7142414732281979E-2</c:v>
                </c:pt>
                <c:pt idx="34">
                  <c:v>-3.5245251647964992E-2</c:v>
                </c:pt>
                <c:pt idx="35">
                  <c:v>-2.0540994828028958E-2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-6.853191347744314E-10</c:v>
                </c:pt>
                <c:pt idx="1">
                  <c:v>-1.5732245506328013E-9</c:v>
                </c:pt>
                <c:pt idx="2">
                  <c:v>-2.644895968906269E-9</c:v>
                </c:pt>
                <c:pt idx="3">
                  <c:v>-3.6662118896302331E-9</c:v>
                </c:pt>
                <c:pt idx="4">
                  <c:v>-4.6106993778494143E-9</c:v>
                </c:pt>
                <c:pt idx="5">
                  <c:v>-5.0107367144391901E-9</c:v>
                </c:pt>
                <c:pt idx="6">
                  <c:v>-5.1254741562090089E-9</c:v>
                </c:pt>
                <c:pt idx="7">
                  <c:v>-1.3275267594596407E-2</c:v>
                </c:pt>
                <c:pt idx="8">
                  <c:v>-2.9625767143934501E-2</c:v>
                </c:pt>
                <c:pt idx="9">
                  <c:v>-4.5559608640174165E-2</c:v>
                </c:pt>
                <c:pt idx="10">
                  <c:v>-5.991505823299681E-2</c:v>
                </c:pt>
                <c:pt idx="11">
                  <c:v>-7.1239507677873348E-2</c:v>
                </c:pt>
                <c:pt idx="12">
                  <c:v>-8.0249568022042528E-2</c:v>
                </c:pt>
                <c:pt idx="13">
                  <c:v>-8.7458752209450097E-2</c:v>
                </c:pt>
                <c:pt idx="14">
                  <c:v>-9.320553031269585E-2</c:v>
                </c:pt>
                <c:pt idx="15">
                  <c:v>-9.7804214415086133E-2</c:v>
                </c:pt>
                <c:pt idx="16">
                  <c:v>-0.10240052414369705</c:v>
                </c:pt>
                <c:pt idx="17">
                  <c:v>-0.1073085247950093</c:v>
                </c:pt>
                <c:pt idx="18">
                  <c:v>-0.11247308722979632</c:v>
                </c:pt>
                <c:pt idx="19">
                  <c:v>-0.11779183914051972</c:v>
                </c:pt>
                <c:pt idx="20">
                  <c:v>-0.12314839446759718</c:v>
                </c:pt>
                <c:pt idx="21">
                  <c:v>-0.12840743626965601</c:v>
                </c:pt>
                <c:pt idx="22">
                  <c:v>-0.1334575551011844</c:v>
                </c:pt>
                <c:pt idx="23">
                  <c:v>-0.13825231959566808</c:v>
                </c:pt>
                <c:pt idx="24">
                  <c:v>-0.14277287390331972</c:v>
                </c:pt>
                <c:pt idx="25">
                  <c:v>-0.14700077483053686</c:v>
                </c:pt>
                <c:pt idx="26">
                  <c:v>-0.15093408795862162</c:v>
                </c:pt>
                <c:pt idx="27">
                  <c:v>-0.15430466553742384</c:v>
                </c:pt>
                <c:pt idx="28">
                  <c:v>-0.1570582891317146</c:v>
                </c:pt>
                <c:pt idx="29">
                  <c:v>-0.15917730084429382</c:v>
                </c:pt>
                <c:pt idx="30">
                  <c:v>-0.16061980634812678</c:v>
                </c:pt>
                <c:pt idx="31">
                  <c:v>-0.16126255872234896</c:v>
                </c:pt>
                <c:pt idx="32">
                  <c:v>-0.16091396879538111</c:v>
                </c:pt>
                <c:pt idx="33">
                  <c:v>-0.15935988524319078</c:v>
                </c:pt>
                <c:pt idx="34">
                  <c:v>-0.15628994810072494</c:v>
                </c:pt>
                <c:pt idx="35">
                  <c:v>-0.15118526423258893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-7.746503438710306E-11</c:v>
                </c:pt>
                <c:pt idx="4">
                  <c:v>-7.5683903588696921E-12</c:v>
                </c:pt>
                <c:pt idx="5">
                  <c:v>0</c:v>
                </c:pt>
                <c:pt idx="6">
                  <c:v>6.4917848874301853E-11</c:v>
                </c:pt>
                <c:pt idx="7">
                  <c:v>-5.0585569415795284E-4</c:v>
                </c:pt>
                <c:pt idx="8">
                  <c:v>-2.148431989788091E-3</c:v>
                </c:pt>
                <c:pt idx="9">
                  <c:v>-5.599323261543443E-3</c:v>
                </c:pt>
                <c:pt idx="10">
                  <c:v>-8.7788747749527607E-3</c:v>
                </c:pt>
                <c:pt idx="11">
                  <c:v>-1.1622406450207512E-2</c:v>
                </c:pt>
                <c:pt idx="12">
                  <c:v>-1.3921475624660617E-2</c:v>
                </c:pt>
                <c:pt idx="13">
                  <c:v>-1.5762836320005635E-2</c:v>
                </c:pt>
                <c:pt idx="14">
                  <c:v>-1.7246956644317524E-2</c:v>
                </c:pt>
                <c:pt idx="15">
                  <c:v>-1.836634707410445E-2</c:v>
                </c:pt>
                <c:pt idx="16">
                  <c:v>-1.9303938252455355E-2</c:v>
                </c:pt>
                <c:pt idx="17">
                  <c:v>-2.0187827582314855E-2</c:v>
                </c:pt>
                <c:pt idx="18">
                  <c:v>-2.1068119346825731E-2</c:v>
                </c:pt>
                <c:pt idx="19">
                  <c:v>-2.1945073778163349E-2</c:v>
                </c:pt>
                <c:pt idx="20">
                  <c:v>-2.2808379358219999E-2</c:v>
                </c:pt>
                <c:pt idx="21">
                  <c:v>-2.3658999500035804E-2</c:v>
                </c:pt>
                <c:pt idx="22">
                  <c:v>-2.4495697136082017E-2</c:v>
                </c:pt>
                <c:pt idx="23">
                  <c:v>-2.5269549150936932E-2</c:v>
                </c:pt>
                <c:pt idx="24">
                  <c:v>-2.5925294029266577E-2</c:v>
                </c:pt>
                <c:pt idx="25">
                  <c:v>-2.6426156981145366E-2</c:v>
                </c:pt>
                <c:pt idx="26">
                  <c:v>-2.6830402287472022E-2</c:v>
                </c:pt>
                <c:pt idx="27">
                  <c:v>-2.7214153276201802E-2</c:v>
                </c:pt>
                <c:pt idx="28">
                  <c:v>-2.7524828137487356E-2</c:v>
                </c:pt>
                <c:pt idx="29">
                  <c:v>-2.768805676757613E-2</c:v>
                </c:pt>
                <c:pt idx="30">
                  <c:v>-2.7627146171013583E-2</c:v>
                </c:pt>
                <c:pt idx="31">
                  <c:v>-2.7311349975170707E-2</c:v>
                </c:pt>
                <c:pt idx="32">
                  <c:v>-2.6717145868364378E-2</c:v>
                </c:pt>
                <c:pt idx="33">
                  <c:v>-2.5746427532029048E-2</c:v>
                </c:pt>
                <c:pt idx="34">
                  <c:v>-2.4256940837461327E-2</c:v>
                </c:pt>
                <c:pt idx="35">
                  <c:v>-2.2048637426714923E-2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-1.7950231301355757E-9</c:v>
                </c:pt>
                <c:pt idx="1">
                  <c:v>-4.0189350736241636E-9</c:v>
                </c:pt>
                <c:pt idx="2">
                  <c:v>-6.2124232425020409E-9</c:v>
                </c:pt>
                <c:pt idx="3">
                  <c:v>-8.4168736425027646E-9</c:v>
                </c:pt>
                <c:pt idx="4">
                  <c:v>-9.6270391658492827E-9</c:v>
                </c:pt>
                <c:pt idx="5">
                  <c:v>-1.1187399229228845E-8</c:v>
                </c:pt>
                <c:pt idx="6">
                  <c:v>-1.1386244946898216E-8</c:v>
                </c:pt>
                <c:pt idx="7">
                  <c:v>-1.5843291599745846E-2</c:v>
                </c:pt>
                <c:pt idx="8">
                  <c:v>-3.387435061795685E-2</c:v>
                </c:pt>
                <c:pt idx="9">
                  <c:v>-5.1655089069621574E-2</c:v>
                </c:pt>
                <c:pt idx="10">
                  <c:v>-6.7616906091631068E-2</c:v>
                </c:pt>
                <c:pt idx="11">
                  <c:v>-8.0017901344701325E-2</c:v>
                </c:pt>
                <c:pt idx="12">
                  <c:v>-8.9562430465372045E-2</c:v>
                </c:pt>
                <c:pt idx="13">
                  <c:v>-9.6843299537590855E-2</c:v>
                </c:pt>
                <c:pt idx="14">
                  <c:v>-0.10233108752653497</c:v>
                </c:pt>
                <c:pt idx="15">
                  <c:v>-0.10640777372187804</c:v>
                </c:pt>
                <c:pt idx="16">
                  <c:v>-0.11066370870282727</c:v>
                </c:pt>
                <c:pt idx="17">
                  <c:v>-0.11512569519713844</c:v>
                </c:pt>
                <c:pt idx="18">
                  <c:v>-0.11973961229051733</c:v>
                </c:pt>
                <c:pt idx="19">
                  <c:v>-0.12440490889133526</c:v>
                </c:pt>
                <c:pt idx="20">
                  <c:v>-0.12898734584305327</c:v>
                </c:pt>
                <c:pt idx="21">
                  <c:v>-0.13331537123247217</c:v>
                </c:pt>
                <c:pt idx="22">
                  <c:v>-0.13724293203371007</c:v>
                </c:pt>
                <c:pt idx="23">
                  <c:v>-0.14068113627837653</c:v>
                </c:pt>
                <c:pt idx="24">
                  <c:v>-0.14355331111350467</c:v>
                </c:pt>
                <c:pt idx="25">
                  <c:v>-0.14577897467670009</c:v>
                </c:pt>
                <c:pt idx="26">
                  <c:v>-0.14715271447982614</c:v>
                </c:pt>
                <c:pt idx="27">
                  <c:v>-0.14745509992508343</c:v>
                </c:pt>
                <c:pt idx="28">
                  <c:v>-0.14658907079227723</c:v>
                </c:pt>
                <c:pt idx="29">
                  <c:v>-0.14446067521836581</c:v>
                </c:pt>
                <c:pt idx="30">
                  <c:v>-0.1409301752238773</c:v>
                </c:pt>
                <c:pt idx="31">
                  <c:v>-0.13575691260569134</c:v>
                </c:pt>
                <c:pt idx="32">
                  <c:v>-0.12861396157273219</c:v>
                </c:pt>
                <c:pt idx="33">
                  <c:v>-0.1191237083442418</c:v>
                </c:pt>
                <c:pt idx="34">
                  <c:v>-0.10675636966705115</c:v>
                </c:pt>
                <c:pt idx="35">
                  <c:v>-9.0698850633970429E-2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0</c:v>
                </c:pt>
                <c:pt idx="1">
                  <c:v>-1.5643866202452728E-9</c:v>
                </c:pt>
                <c:pt idx="2">
                  <c:v>-2.5220627808408835E-9</c:v>
                </c:pt>
                <c:pt idx="3">
                  <c:v>-3.6522572743891146E-9</c:v>
                </c:pt>
                <c:pt idx="4">
                  <c:v>-3.9841636656490209E-9</c:v>
                </c:pt>
                <c:pt idx="5">
                  <c:v>-4.8948298747575336E-9</c:v>
                </c:pt>
                <c:pt idx="6">
                  <c:v>-3.9930553308309413E-9</c:v>
                </c:pt>
                <c:pt idx="7">
                  <c:v>-7.7026149602277272E-3</c:v>
                </c:pt>
                <c:pt idx="8">
                  <c:v>-1.5598234252934939E-2</c:v>
                </c:pt>
                <c:pt idx="9">
                  <c:v>-2.5737375793471684E-2</c:v>
                </c:pt>
                <c:pt idx="10">
                  <c:v>-3.8494744853965757E-2</c:v>
                </c:pt>
                <c:pt idx="11">
                  <c:v>-5.1747793308762002E-2</c:v>
                </c:pt>
                <c:pt idx="12">
                  <c:v>-6.4803188709272375E-2</c:v>
                </c:pt>
                <c:pt idx="13">
                  <c:v>-7.6913677873660657E-2</c:v>
                </c:pt>
                <c:pt idx="14">
                  <c:v>-8.7733706025238445E-2</c:v>
                </c:pt>
                <c:pt idx="15">
                  <c:v>-9.7210036793610177E-2</c:v>
                </c:pt>
                <c:pt idx="16">
                  <c:v>-0.10631374004797456</c:v>
                </c:pt>
                <c:pt idx="17">
                  <c:v>-0.11480200215277481</c:v>
                </c:pt>
                <c:pt idx="18">
                  <c:v>-0.12294363408200371</c:v>
                </c:pt>
                <c:pt idx="19">
                  <c:v>-0.1306770073688841</c:v>
                </c:pt>
                <c:pt idx="20">
                  <c:v>-0.13786447250940792</c:v>
                </c:pt>
                <c:pt idx="21">
                  <c:v>-0.14427993046765009</c:v>
                </c:pt>
                <c:pt idx="22">
                  <c:v>-0.14986128436364621</c:v>
                </c:pt>
                <c:pt idx="23">
                  <c:v>-0.15460502200042736</c:v>
                </c:pt>
                <c:pt idx="24">
                  <c:v>-0.15851451545602624</c:v>
                </c:pt>
                <c:pt idx="25">
                  <c:v>-0.16169969300796661</c:v>
                </c:pt>
                <c:pt idx="26">
                  <c:v>-0.16401629184217303</c:v>
                </c:pt>
                <c:pt idx="27">
                  <c:v>-0.16546437817591098</c:v>
                </c:pt>
                <c:pt idx="28">
                  <c:v>-0.16616112827480733</c:v>
                </c:pt>
                <c:pt idx="29">
                  <c:v>-0.16622855463494868</c:v>
                </c:pt>
                <c:pt idx="30">
                  <c:v>-0.16576473958478977</c:v>
                </c:pt>
                <c:pt idx="31">
                  <c:v>-0.16482219841200296</c:v>
                </c:pt>
                <c:pt idx="32">
                  <c:v>-0.16343399508070933</c:v>
                </c:pt>
                <c:pt idx="33">
                  <c:v>-0.16168936017763713</c:v>
                </c:pt>
                <c:pt idx="34">
                  <c:v>-0.15968914809428647</c:v>
                </c:pt>
                <c:pt idx="35">
                  <c:v>-0.15753571969942237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-2.1210332379340002E-9</c:v>
                </c:pt>
                <c:pt idx="2">
                  <c:v>-3.8025448345635482E-9</c:v>
                </c:pt>
                <c:pt idx="3">
                  <c:v>-5.7651531326641248E-9</c:v>
                </c:pt>
                <c:pt idx="4">
                  <c:v>-6.0490619180342264E-9</c:v>
                </c:pt>
                <c:pt idx="5">
                  <c:v>-7.0685460817898615E-9</c:v>
                </c:pt>
                <c:pt idx="6">
                  <c:v>-6.3613297962561433E-9</c:v>
                </c:pt>
                <c:pt idx="7">
                  <c:v>-1.0465747860847308E-2</c:v>
                </c:pt>
                <c:pt idx="8">
                  <c:v>-2.1088030133366686E-2</c:v>
                </c:pt>
                <c:pt idx="9">
                  <c:v>-3.4641830739619683E-2</c:v>
                </c:pt>
                <c:pt idx="10">
                  <c:v>-5.1799324942344405E-2</c:v>
                </c:pt>
                <c:pt idx="11">
                  <c:v>-7.0134491386707909E-2</c:v>
                </c:pt>
                <c:pt idx="12">
                  <c:v>-8.8515602236984736E-2</c:v>
                </c:pt>
                <c:pt idx="13">
                  <c:v>-0.10579693471602059</c:v>
                </c:pt>
                <c:pt idx="14">
                  <c:v>-0.12140907559552561</c:v>
                </c:pt>
                <c:pt idx="15">
                  <c:v>-0.13520961138122078</c:v>
                </c:pt>
                <c:pt idx="16">
                  <c:v>-0.14830570368857077</c:v>
                </c:pt>
                <c:pt idx="17">
                  <c:v>-0.16046342270656067</c:v>
                </c:pt>
                <c:pt idx="18">
                  <c:v>-0.17214199856085777</c:v>
                </c:pt>
                <c:pt idx="19">
                  <c:v>-0.18326599130095322</c:v>
                </c:pt>
                <c:pt idx="20">
                  <c:v>-0.19365291503248017</c:v>
                </c:pt>
                <c:pt idx="21">
                  <c:v>-0.20295374279408041</c:v>
                </c:pt>
                <c:pt idx="22">
                  <c:v>-0.21109023062367183</c:v>
                </c:pt>
                <c:pt idx="23">
                  <c:v>-0.2180508514309899</c:v>
                </c:pt>
                <c:pt idx="24">
                  <c:v>-0.22382899157697644</c:v>
                </c:pt>
                <c:pt idx="25">
                  <c:v>-0.22864116754020036</c:v>
                </c:pt>
                <c:pt idx="26">
                  <c:v>-0.23222075650996721</c:v>
                </c:pt>
                <c:pt idx="27">
                  <c:v>-0.23457490254270696</c:v>
                </c:pt>
                <c:pt idx="28">
                  <c:v>-0.23583972859888458</c:v>
                </c:pt>
                <c:pt idx="29">
                  <c:v>-0.23616347457667075</c:v>
                </c:pt>
                <c:pt idx="30">
                  <c:v>-0.23566662129558502</c:v>
                </c:pt>
                <c:pt idx="31">
                  <c:v>-0.23441706775132487</c:v>
                </c:pt>
                <c:pt idx="32">
                  <c:v>-0.2324491320184966</c:v>
                </c:pt>
                <c:pt idx="33">
                  <c:v>-0.22985481891976944</c:v>
                </c:pt>
                <c:pt idx="34">
                  <c:v>-0.22673421253851944</c:v>
                </c:pt>
                <c:pt idx="35">
                  <c:v>-0.22317866001534081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-2.8391522466364449E-10</c:v>
                </c:pt>
                <c:pt idx="6">
                  <c:v>4.6005066423049357E-10</c:v>
                </c:pt>
                <c:pt idx="7">
                  <c:v>-2.58987292924584E-3</c:v>
                </c:pt>
                <c:pt idx="8">
                  <c:v>-5.6082615618793241E-3</c:v>
                </c:pt>
                <c:pt idx="9">
                  <c:v>-9.8056900630199006E-3</c:v>
                </c:pt>
                <c:pt idx="10">
                  <c:v>-1.5080574120205581E-2</c:v>
                </c:pt>
                <c:pt idx="11">
                  <c:v>-1.9920350668269582E-2</c:v>
                </c:pt>
                <c:pt idx="12">
                  <c:v>-2.4413867830455627E-2</c:v>
                </c:pt>
                <c:pt idx="13">
                  <c:v>-2.8462677814056425E-2</c:v>
                </c:pt>
                <c:pt idx="14">
                  <c:v>-3.2040405523800941E-2</c:v>
                </c:pt>
                <c:pt idx="15">
                  <c:v>-3.5182868351398278E-2</c:v>
                </c:pt>
                <c:pt idx="16">
                  <c:v>-3.848748974155336E-2</c:v>
                </c:pt>
                <c:pt idx="17">
                  <c:v>-4.1733195259127776E-2</c:v>
                </c:pt>
                <c:pt idx="18">
                  <c:v>-4.4863423306035211E-2</c:v>
                </c:pt>
                <c:pt idx="19">
                  <c:v>-4.7844409170005542E-2</c:v>
                </c:pt>
                <c:pt idx="20">
                  <c:v>-5.064472562848521E-2</c:v>
                </c:pt>
                <c:pt idx="21">
                  <c:v>-5.3195538054712221E-2</c:v>
                </c:pt>
                <c:pt idx="22">
                  <c:v>-5.5472803051665021E-2</c:v>
                </c:pt>
                <c:pt idx="23">
                  <c:v>-5.7492756011771728E-2</c:v>
                </c:pt>
                <c:pt idx="24">
                  <c:v>-5.9274885216364814E-2</c:v>
                </c:pt>
                <c:pt idx="25">
                  <c:v>-6.0846638576708911E-2</c:v>
                </c:pt>
                <c:pt idx="26">
                  <c:v>-6.214593135106139E-2</c:v>
                </c:pt>
                <c:pt idx="27">
                  <c:v>-6.3159351883067871E-2</c:v>
                </c:pt>
                <c:pt idx="28">
                  <c:v>-6.3971182257509751E-2</c:v>
                </c:pt>
                <c:pt idx="29">
                  <c:v>-6.4656333909166031E-2</c:v>
                </c:pt>
                <c:pt idx="30">
                  <c:v>-6.5266305987742079E-2</c:v>
                </c:pt>
                <c:pt idx="31">
                  <c:v>-6.5812908126082426E-2</c:v>
                </c:pt>
                <c:pt idx="32">
                  <c:v>-6.6309859184862208E-2</c:v>
                </c:pt>
                <c:pt idx="33">
                  <c:v>-6.6821215223924035E-2</c:v>
                </c:pt>
                <c:pt idx="34">
                  <c:v>-6.7425396281568628E-2</c:v>
                </c:pt>
                <c:pt idx="35">
                  <c:v>-6.8215911082811775E-2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-2.0352736056122464E-2</c:v>
                </c:pt>
                <c:pt idx="1">
                  <c:v>-3.1741610671613525E-2</c:v>
                </c:pt>
                <c:pt idx="2">
                  <c:v>-1.49097736201036E-2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-9.2950598900961635E-4</c:v>
                </c:pt>
                <c:pt idx="1">
                  <c:v>6.6546923858504083E-3</c:v>
                </c:pt>
                <c:pt idx="2">
                  <c:v>6.9319186196803773E-2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-8.5991390646288496E-3</c:v>
                </c:pt>
                <c:pt idx="1">
                  <c:v>-1.6173547647137347E-2</c:v>
                </c:pt>
                <c:pt idx="2">
                  <c:v>1.8891300918029992E-2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5.7577847848358015E-3</c:v>
                </c:pt>
                <c:pt idx="1">
                  <c:v>6.7758220748669771E-3</c:v>
                </c:pt>
                <c:pt idx="2">
                  <c:v>2.2964800830831501E-2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-9.7359402841127693E-2</c:v>
                </c:pt>
                <c:pt idx="1">
                  <c:v>-0.34977653840121042</c:v>
                </c:pt>
                <c:pt idx="2">
                  <c:v>-1.2339918486173334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1.7101249919751515E-3</c:v>
                </c:pt>
                <c:pt idx="1">
                  <c:v>-9.8854232295290121E-4</c:v>
                </c:pt>
                <c:pt idx="2">
                  <c:v>9.5852990879849425E-3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-0.53044896931922902</c:v>
                      </c:pt>
                      <c:pt idx="1">
                        <c:v>-1.3295176589316549</c:v>
                      </c:pt>
                      <c:pt idx="2">
                        <c:v>-2.3010225552014658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-2.0352736056122422E-2</c:v>
                </c:pt>
                <c:pt idx="1">
                  <c:v>-3.1741610671613518E-2</c:v>
                </c:pt>
                <c:pt idx="2">
                  <c:v>-1.4909773620103595E-2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-9.2950598900964909E-4</c:v>
                </c:pt>
                <c:pt idx="1">
                  <c:v>6.6546923858503693E-3</c:v>
                </c:pt>
                <c:pt idx="2">
                  <c:v>6.9319186196803662E-2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-8.5991390646288357E-3</c:v>
                </c:pt>
                <c:pt idx="1">
                  <c:v>-1.6173547647137299E-2</c:v>
                </c:pt>
                <c:pt idx="2">
                  <c:v>1.8891300918030041E-2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5.7577847848357955E-3</c:v>
                </c:pt>
                <c:pt idx="1">
                  <c:v>6.7758220748670439E-3</c:v>
                </c:pt>
                <c:pt idx="2">
                  <c:v>2.2964800830831411E-2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-0.53044896931922902</c:v>
                </c:pt>
                <c:pt idx="1">
                  <c:v>-1.3295176589316549</c:v>
                </c:pt>
                <c:pt idx="2">
                  <c:v>-2.3010225552014658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-9.7359402841127651E-2</c:v>
                </c:pt>
                <c:pt idx="1">
                  <c:v>-0.34977653840121048</c:v>
                </c:pt>
                <c:pt idx="2">
                  <c:v>-1.2339918486173334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-1.9148140031331386E-2</c:v>
                </c:pt>
                <c:pt idx="1">
                  <c:v>7.3102752969254276E-3</c:v>
                </c:pt>
                <c:pt idx="2">
                  <c:v>-1.5502230794929258E-2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-8.0910757963622553E-3</c:v>
                </c:pt>
                <c:pt idx="1">
                  <c:v>-1.9854442660655426E-2</c:v>
                </c:pt>
                <c:pt idx="2">
                  <c:v>4.837651493664679E-2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-1.9126253296035687E-3</c:v>
                </c:pt>
                <c:pt idx="1">
                  <c:v>-8.185470423345725E-3</c:v>
                </c:pt>
                <c:pt idx="2">
                  <c:v>3.5730010429672672E-2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5.1097714319511215E-3</c:v>
                </c:pt>
                <c:pt idx="1">
                  <c:v>-1.9403967682283798E-3</c:v>
                </c:pt>
                <c:pt idx="2">
                  <c:v>2.2492071314507617E-2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-0.18331496270008124</c:v>
                </c:pt>
                <c:pt idx="1">
                  <c:v>5.7824230279983485E-3</c:v>
                </c:pt>
                <c:pt idx="2">
                  <c:v>-0.5815325658209215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1.935615347719118</c:v>
                </c:pt>
                <c:pt idx="1">
                  <c:v>-0.20240259581029318</c:v>
                </c:pt>
                <c:pt idx="2">
                  <c:v>8.289803134530759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0.32401389029063837</c:v>
                </c:pt>
                <c:pt idx="1">
                  <c:v>2.1764729886612728</c:v>
                </c:pt>
                <c:pt idx="2">
                  <c:v>3.9017849603559087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6.1925861961027564E-3</c:v>
                </c:pt>
                <c:pt idx="1">
                  <c:v>0</c:v>
                </c:pt>
                <c:pt idx="2">
                  <c:v>8.5610551613398617E-2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-1.9148140031331362E-2</c:v>
                </c:pt>
                <c:pt idx="1">
                  <c:v>-3.0315987696384106E-2</c:v>
                </c:pt>
                <c:pt idx="2">
                  <c:v>-1.5502230794929295E-2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-8.091075796362257E-3</c:v>
                </c:pt>
                <c:pt idx="1">
                  <c:v>-5.9821211834708565E-3</c:v>
                </c:pt>
                <c:pt idx="2">
                  <c:v>4.8376514936646853E-2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-1.9126253296035678E-3</c:v>
                </c:pt>
                <c:pt idx="1">
                  <c:v>-6.846922844129355E-3</c:v>
                </c:pt>
                <c:pt idx="2">
                  <c:v>3.5730010429672721E-2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5.1097714319510157E-3</c:v>
                </c:pt>
                <c:pt idx="1">
                  <c:v>5.6675557177894298E-3</c:v>
                </c:pt>
                <c:pt idx="2">
                  <c:v>2.2492071314507589E-2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-0.18331496270008119</c:v>
                </c:pt>
                <c:pt idx="1">
                  <c:v>-0.38538517955093432</c:v>
                </c:pt>
                <c:pt idx="2">
                  <c:v>-0.58153256582092139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0.32401389029063843</c:v>
                </c:pt>
                <c:pt idx="1">
                  <c:v>1.0182272761592404</c:v>
                </c:pt>
                <c:pt idx="2">
                  <c:v>3.9017849603559087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16_14-50-21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3854147.423</v>
          </cell>
          <cell r="C2">
            <v>3927348.9470000002</v>
          </cell>
          <cell r="D2">
            <v>4010756.76</v>
          </cell>
          <cell r="E2">
            <v>4101925.0619999999</v>
          </cell>
          <cell r="F2">
            <v>4199290.4989999998</v>
          </cell>
          <cell r="G2">
            <v>4302202.5779999997</v>
          </cell>
          <cell r="H2">
            <v>4407338.3779999996</v>
          </cell>
          <cell r="I2">
            <v>4504470.5999999996</v>
          </cell>
          <cell r="J2">
            <v>4602524.6270000003</v>
          </cell>
          <cell r="K2">
            <v>4720869.5010000002</v>
          </cell>
          <cell r="L2">
            <v>4843171.4929999998</v>
          </cell>
          <cell r="M2">
            <v>4951526.8550000004</v>
          </cell>
          <cell r="N2">
            <v>5048622.4119999995</v>
          </cell>
          <cell r="O2">
            <v>5137472.6509999996</v>
          </cell>
          <cell r="P2">
            <v>5222201.0860000001</v>
          </cell>
          <cell r="Q2">
            <v>5305614.8339999998</v>
          </cell>
          <cell r="R2">
            <v>5389632.5089999996</v>
          </cell>
          <cell r="S2">
            <v>5477225.1689999998</v>
          </cell>
          <cell r="T2">
            <v>5570517.3210000005</v>
          </cell>
          <cell r="U2">
            <v>5670974.6069999998</v>
          </cell>
          <cell r="V2">
            <v>5778043.6320000002</v>
          </cell>
          <cell r="W2">
            <v>5895824.7350000003</v>
          </cell>
          <cell r="X2">
            <v>6024897.6459999997</v>
          </cell>
          <cell r="Y2">
            <v>6166287.7419999996</v>
          </cell>
          <cell r="Z2">
            <v>6320515.8689999999</v>
          </cell>
          <cell r="AA2">
            <v>6482617.1380000003</v>
          </cell>
          <cell r="AB2">
            <v>6659620.3990000002</v>
          </cell>
          <cell r="AC2">
            <v>6851868.4869999997</v>
          </cell>
          <cell r="AD2">
            <v>7060669.9060000004</v>
          </cell>
          <cell r="AE2">
            <v>7286317.9210000001</v>
          </cell>
          <cell r="AF2">
            <v>7528710.6299999999</v>
          </cell>
          <cell r="AG2">
            <v>7788326.9469999997</v>
          </cell>
          <cell r="AH2">
            <v>8066630.3360000001</v>
          </cell>
          <cell r="AI2">
            <v>8366202.8859999999</v>
          </cell>
          <cell r="AJ2">
            <v>8691325.1400000006</v>
          </cell>
          <cell r="AK2">
            <v>9049025.4440000001</v>
          </cell>
        </row>
        <row r="3">
          <cell r="B3">
            <v>3854147.4219999998</v>
          </cell>
          <cell r="C3">
            <v>3927348.9470000002</v>
          </cell>
          <cell r="D3">
            <v>4010756.76</v>
          </cell>
          <cell r="E3">
            <v>4101925.0619999999</v>
          </cell>
          <cell r="F3">
            <v>4199290.4989999998</v>
          </cell>
          <cell r="G3">
            <v>4302202.5779999997</v>
          </cell>
          <cell r="H3">
            <v>4407338.3779999996</v>
          </cell>
          <cell r="I3">
            <v>4514599.82</v>
          </cell>
          <cell r="J3">
            <v>4623816.1090000002</v>
          </cell>
          <cell r="K3">
            <v>4735118.0590000004</v>
          </cell>
          <cell r="L3">
            <v>4847612.4539999999</v>
          </cell>
          <cell r="M3">
            <v>4946883.1030000001</v>
          </cell>
          <cell r="N3">
            <v>5036662.8150000004</v>
          </cell>
          <cell r="O3">
            <v>5119168.898</v>
          </cell>
          <cell r="P3">
            <v>5197078.0240000002</v>
          </cell>
          <cell r="Q3">
            <v>5272961.5650000004</v>
          </cell>
          <cell r="R3">
            <v>5350518.7439999999</v>
          </cell>
          <cell r="S3">
            <v>5432474.307</v>
          </cell>
          <cell r="T3">
            <v>5520667.9409999996</v>
          </cell>
          <cell r="U3">
            <v>5616124.2359999996</v>
          </cell>
          <cell r="V3">
            <v>5717857.0539999995</v>
          </cell>
          <cell r="W3">
            <v>5829508.858</v>
          </cell>
          <cell r="X3">
            <v>5951201.1210000003</v>
          </cell>
          <cell r="Y3">
            <v>6083475.8810000001</v>
          </cell>
          <cell r="Z3">
            <v>6226301.966</v>
          </cell>
          <cell r="AA3">
            <v>6374210.2079999996</v>
          </cell>
          <cell r="AB3">
            <v>6533230.125</v>
          </cell>
          <cell r="AC3">
            <v>6702914.3720000004</v>
          </cell>
          <cell r="AD3">
            <v>6883488.3030000003</v>
          </cell>
          <cell r="AE3">
            <v>7073881.727</v>
          </cell>
          <cell r="AF3">
            <v>7272344.8600000003</v>
          </cell>
          <cell r="AG3">
            <v>7477265.0010000002</v>
          </cell>
          <cell r="AH3">
            <v>7687304.0820000004</v>
          </cell>
          <cell r="AI3">
            <v>7901194.1890000002</v>
          </cell>
          <cell r="AJ3">
            <v>8117667.5880000005</v>
          </cell>
          <cell r="AK3">
            <v>8335425.1030000001</v>
          </cell>
        </row>
        <row r="4">
          <cell r="B4">
            <v>81750.877269999997</v>
          </cell>
          <cell r="C4">
            <v>83133.969849999994</v>
          </cell>
          <cell r="D4">
            <v>84773.728749999995</v>
          </cell>
          <cell r="E4">
            <v>86656.71931</v>
          </cell>
          <cell r="F4">
            <v>88735.1584</v>
          </cell>
          <cell r="G4">
            <v>90990.462459999995</v>
          </cell>
          <cell r="H4">
            <v>93341.785340000002</v>
          </cell>
          <cell r="I4">
            <v>95388.091790000006</v>
          </cell>
          <cell r="J4">
            <v>97387.241890000005</v>
          </cell>
          <cell r="K4">
            <v>99820.540070000003</v>
          </cell>
          <cell r="L4">
            <v>102269.2836</v>
          </cell>
          <cell r="M4">
            <v>104357.62450000001</v>
          </cell>
          <cell r="N4">
            <v>106147.527</v>
          </cell>
          <cell r="O4">
            <v>107712.77039999999</v>
          </cell>
          <cell r="P4">
            <v>109146.28660000001</v>
          </cell>
          <cell r="Q4">
            <v>110509.79399999999</v>
          </cell>
          <cell r="R4">
            <v>111883.9555</v>
          </cell>
          <cell r="S4">
            <v>113305.7356</v>
          </cell>
          <cell r="T4">
            <v>114824.37149999999</v>
          </cell>
          <cell r="U4">
            <v>116476.0447</v>
          </cell>
          <cell r="V4">
            <v>118266.86810000001</v>
          </cell>
          <cell r="W4">
            <v>120256.8768</v>
          </cell>
          <cell r="X4">
            <v>122477.5655</v>
          </cell>
          <cell r="Y4">
            <v>124950.6796</v>
          </cell>
          <cell r="Z4">
            <v>127683.51880000001</v>
          </cell>
          <cell r="AA4">
            <v>130605.62300000001</v>
          </cell>
          <cell r="AB4">
            <v>133762.2372</v>
          </cell>
          <cell r="AC4">
            <v>137204.63889999999</v>
          </cell>
          <cell r="AD4">
            <v>140951.3939</v>
          </cell>
          <cell r="AE4">
            <v>144988.8334</v>
          </cell>
          <cell r="AF4">
            <v>149284.77660000001</v>
          </cell>
          <cell r="AG4">
            <v>153808.20819999999</v>
          </cell>
          <cell r="AH4">
            <v>158534.4644</v>
          </cell>
          <cell r="AI4">
            <v>163442.03150000001</v>
          </cell>
          <cell r="AJ4">
            <v>168513.02710000001</v>
          </cell>
          <cell r="AK4">
            <v>173735.09359999999</v>
          </cell>
        </row>
        <row r="5">
          <cell r="B5">
            <v>81750.877269999997</v>
          </cell>
          <cell r="C5">
            <v>83133.969849999994</v>
          </cell>
          <cell r="D5">
            <v>84773.728749999995</v>
          </cell>
          <cell r="E5">
            <v>86656.71931</v>
          </cell>
          <cell r="F5">
            <v>88735.1584</v>
          </cell>
          <cell r="G5">
            <v>90990.462459999995</v>
          </cell>
          <cell r="H5">
            <v>93341.785340000002</v>
          </cell>
          <cell r="I5">
            <v>95756.490080000003</v>
          </cell>
          <cell r="J5">
            <v>98215.856360000005</v>
          </cell>
          <cell r="K5">
            <v>100713.2596</v>
          </cell>
          <cell r="L5">
            <v>103189.97410000001</v>
          </cell>
          <cell r="M5">
            <v>105324.6464</v>
          </cell>
          <cell r="N5">
            <v>107183.24129999999</v>
          </cell>
          <cell r="O5">
            <v>108816.3973</v>
          </cell>
          <cell r="P5">
            <v>110289.6112</v>
          </cell>
          <cell r="Q5">
            <v>111669.23699999999</v>
          </cell>
          <cell r="R5">
            <v>113055.0681</v>
          </cell>
          <cell r="S5">
            <v>114524.1988</v>
          </cell>
          <cell r="T5">
            <v>116129.9295</v>
          </cell>
          <cell r="U5">
            <v>117903.37880000001</v>
          </cell>
          <cell r="V5">
            <v>119843.7338</v>
          </cell>
          <cell r="W5">
            <v>122004.6471</v>
          </cell>
          <cell r="X5">
            <v>124411.26149999999</v>
          </cell>
          <cell r="Y5">
            <v>127078.6909</v>
          </cell>
          <cell r="Z5">
            <v>130006.9528</v>
          </cell>
          <cell r="AA5">
            <v>133119.32680000001</v>
          </cell>
          <cell r="AB5">
            <v>136478.93710000001</v>
          </cell>
          <cell r="AC5">
            <v>140107.17860000001</v>
          </cell>
          <cell r="AD5">
            <v>144010.91829999999</v>
          </cell>
          <cell r="AE5">
            <v>148162.63990000001</v>
          </cell>
          <cell r="AF5">
            <v>152516.23699999999</v>
          </cell>
          <cell r="AG5">
            <v>157027.71119999999</v>
          </cell>
          <cell r="AH5">
            <v>161658.7268</v>
          </cell>
          <cell r="AI5">
            <v>166371.7691</v>
          </cell>
          <cell r="AJ5">
            <v>171128.96859999999</v>
          </cell>
          <cell r="AK5">
            <v>175891.82380000001</v>
          </cell>
        </row>
        <row r="6">
          <cell r="B6">
            <v>6533.6203150000001</v>
          </cell>
          <cell r="C6">
            <v>6483.4005349999998</v>
          </cell>
          <cell r="D6">
            <v>6437.64768</v>
          </cell>
          <cell r="E6">
            <v>6391.8329750000003</v>
          </cell>
          <cell r="F6">
            <v>6377.6582109999999</v>
          </cell>
          <cell r="G6">
            <v>6383.375567</v>
          </cell>
          <cell r="H6">
            <v>6401.2060849999998</v>
          </cell>
          <cell r="I6">
            <v>6326.3433919999998</v>
          </cell>
          <cell r="J6">
            <v>6241.7353389999998</v>
          </cell>
          <cell r="K6">
            <v>6156.5868609999998</v>
          </cell>
          <cell r="L6">
            <v>6049.4416499999998</v>
          </cell>
          <cell r="M6">
            <v>5931.3397569999997</v>
          </cell>
          <cell r="N6">
            <v>5809.1075860000001</v>
          </cell>
          <cell r="O6">
            <v>5693.2191519999997</v>
          </cell>
          <cell r="P6">
            <v>5591.7320470000004</v>
          </cell>
          <cell r="Q6">
            <v>5507.6753490000001</v>
          </cell>
          <cell r="R6">
            <v>5421.3969120000002</v>
          </cell>
          <cell r="S6">
            <v>5345.8886359999997</v>
          </cell>
          <cell r="T6">
            <v>5282.8053579999996</v>
          </cell>
          <cell r="U6">
            <v>5233.355665</v>
          </cell>
          <cell r="V6">
            <v>5197.1044620000002</v>
          </cell>
          <cell r="W6">
            <v>5178.0165129999996</v>
          </cell>
          <cell r="X6">
            <v>5176.8847880000003</v>
          </cell>
          <cell r="Y6">
            <v>5194.2680289999998</v>
          </cell>
          <cell r="Z6">
            <v>5230.4164769999998</v>
          </cell>
          <cell r="AA6">
            <v>5280.9701349999996</v>
          </cell>
          <cell r="AB6">
            <v>5356.0730169999997</v>
          </cell>
          <cell r="AC6">
            <v>5453.7529640000002</v>
          </cell>
          <cell r="AD6">
            <v>5575.2597539999997</v>
          </cell>
          <cell r="AE6">
            <v>5721.2036980000003</v>
          </cell>
          <cell r="AF6">
            <v>5892.4908329999998</v>
          </cell>
          <cell r="AG6">
            <v>6091.5162259999997</v>
          </cell>
          <cell r="AH6">
            <v>6322.6687629999997</v>
          </cell>
          <cell r="AI6">
            <v>6592.6990850000002</v>
          </cell>
          <cell r="AJ6">
            <v>6912.016361</v>
          </cell>
          <cell r="AK6">
            <v>7296.8924379999999</v>
          </cell>
        </row>
        <row r="7">
          <cell r="B7">
            <v>6533.6203150000001</v>
          </cell>
          <cell r="C7">
            <v>6483.4005349999998</v>
          </cell>
          <cell r="D7">
            <v>6437.6476789999997</v>
          </cell>
          <cell r="E7">
            <v>6391.8329739999999</v>
          </cell>
          <cell r="F7">
            <v>6377.6582109999999</v>
          </cell>
          <cell r="G7">
            <v>6383.375567</v>
          </cell>
          <cell r="H7">
            <v>6401.2060840000004</v>
          </cell>
          <cell r="I7">
            <v>6426.6266070000001</v>
          </cell>
          <cell r="J7">
            <v>6457.7804640000004</v>
          </cell>
          <cell r="K7">
            <v>6492.928981</v>
          </cell>
          <cell r="L7">
            <v>6530.8850839999996</v>
          </cell>
          <cell r="M7">
            <v>6557.4905179999996</v>
          </cell>
          <cell r="N7">
            <v>6575.9903590000004</v>
          </cell>
          <cell r="O7">
            <v>6589.5630259999998</v>
          </cell>
          <cell r="P7">
            <v>6601.1865109999999</v>
          </cell>
          <cell r="Q7">
            <v>6613.1194740000001</v>
          </cell>
          <cell r="R7">
            <v>6626.4950449999997</v>
          </cell>
          <cell r="S7">
            <v>6642.667222</v>
          </cell>
          <cell r="T7">
            <v>6665.0828009999996</v>
          </cell>
          <cell r="U7">
            <v>6694.6497929999996</v>
          </cell>
          <cell r="V7">
            <v>6729.54036</v>
          </cell>
          <cell r="W7">
            <v>6772.6832800000002</v>
          </cell>
          <cell r="X7">
            <v>6823.7343689999998</v>
          </cell>
          <cell r="Y7">
            <v>6882.4297630000001</v>
          </cell>
          <cell r="Z7">
            <v>6948.2758299999996</v>
          </cell>
          <cell r="AA7">
            <v>7015.5948969999999</v>
          </cell>
          <cell r="AB7">
            <v>7090.2444779999996</v>
          </cell>
          <cell r="AC7">
            <v>7172.5307940000002</v>
          </cell>
          <cell r="AD7">
            <v>7262.2949079999999</v>
          </cell>
          <cell r="AE7">
            <v>7358.2824600000004</v>
          </cell>
          <cell r="AF7">
            <v>7458.8409860000002</v>
          </cell>
          <cell r="AG7">
            <v>7562.6425040000004</v>
          </cell>
          <cell r="AH7">
            <v>7668.606683</v>
          </cell>
          <cell r="AI7">
            <v>7775.8345170000002</v>
          </cell>
          <cell r="AJ7">
            <v>7883.4910890000001</v>
          </cell>
          <cell r="AK7">
            <v>7990.7523730000003</v>
          </cell>
        </row>
        <row r="8">
          <cell r="B8">
            <v>157700.0429</v>
          </cell>
          <cell r="C8">
            <v>160497.37969999999</v>
          </cell>
          <cell r="D8">
            <v>163765.23329999999</v>
          </cell>
          <cell r="E8">
            <v>167511.95970000001</v>
          </cell>
          <cell r="F8">
            <v>171615.2444</v>
          </cell>
          <cell r="G8">
            <v>176039.954</v>
          </cell>
          <cell r="H8">
            <v>180620.10930000001</v>
          </cell>
          <cell r="I8">
            <v>184839.8658</v>
          </cell>
          <cell r="J8">
            <v>189019.57939999999</v>
          </cell>
          <cell r="K8">
            <v>193907.42290000001</v>
          </cell>
          <cell r="L8">
            <v>198927.09729999999</v>
          </cell>
          <cell r="M8">
            <v>203395.0281</v>
          </cell>
          <cell r="N8">
            <v>207382.38500000001</v>
          </cell>
          <cell r="O8">
            <v>210958.29130000001</v>
          </cell>
          <cell r="P8">
            <v>214239.3792</v>
          </cell>
          <cell r="Q8">
            <v>217317.69630000001</v>
          </cell>
          <cell r="R8">
            <v>220353.1753</v>
          </cell>
          <cell r="S8">
            <v>223412.3959</v>
          </cell>
          <cell r="T8">
            <v>226584.65049999999</v>
          </cell>
          <cell r="U8">
            <v>229940.76060000001</v>
          </cell>
          <cell r="V8">
            <v>233481.09890000001</v>
          </cell>
          <cell r="W8">
            <v>237342.9448</v>
          </cell>
          <cell r="X8">
            <v>241580.10159999999</v>
          </cell>
          <cell r="Y8">
            <v>246238.8045</v>
          </cell>
          <cell r="Z8">
            <v>251341.4376</v>
          </cell>
          <cell r="AA8">
            <v>256721.39480000001</v>
          </cell>
          <cell r="AB8">
            <v>262499.04960000003</v>
          </cell>
          <cell r="AC8">
            <v>268764.94420000003</v>
          </cell>
          <cell r="AD8">
            <v>275559.29920000001</v>
          </cell>
          <cell r="AE8">
            <v>282876.19339999999</v>
          </cell>
          <cell r="AF8">
            <v>290675.1225</v>
          </cell>
          <cell r="AG8">
            <v>298907.04100000003</v>
          </cell>
          <cell r="AH8">
            <v>307527.52980000002</v>
          </cell>
          <cell r="AI8">
            <v>316500.41330000001</v>
          </cell>
          <cell r="AJ8">
            <v>325798.06079999998</v>
          </cell>
          <cell r="AK8">
            <v>335406.21840000001</v>
          </cell>
        </row>
        <row r="9">
          <cell r="B9">
            <v>157700.0429</v>
          </cell>
          <cell r="C9">
            <v>160497.37969999999</v>
          </cell>
          <cell r="D9">
            <v>163765.23329999999</v>
          </cell>
          <cell r="E9">
            <v>167511.95970000001</v>
          </cell>
          <cell r="F9">
            <v>171615.2444</v>
          </cell>
          <cell r="G9">
            <v>176039.954</v>
          </cell>
          <cell r="H9">
            <v>180620.10930000001</v>
          </cell>
          <cell r="I9">
            <v>185311.81880000001</v>
          </cell>
          <cell r="J9">
            <v>190087.69289999999</v>
          </cell>
          <cell r="K9">
            <v>194939.56719999999</v>
          </cell>
          <cell r="L9">
            <v>199803.30040000001</v>
          </cell>
          <cell r="M9">
            <v>204121.9143</v>
          </cell>
          <cell r="N9">
            <v>207976.17129999999</v>
          </cell>
          <cell r="O9">
            <v>211421.08480000001</v>
          </cell>
          <cell r="P9">
            <v>214547.0528</v>
          </cell>
          <cell r="Q9">
            <v>217458.31299999999</v>
          </cell>
          <cell r="R9">
            <v>220335.62049999999</v>
          </cell>
          <cell r="S9">
            <v>223312.3144</v>
          </cell>
          <cell r="T9">
            <v>226483.77119999999</v>
          </cell>
          <cell r="U9">
            <v>229912.2562</v>
          </cell>
          <cell r="V9">
            <v>233588.44279999999</v>
          </cell>
          <cell r="W9">
            <v>237642.28700000001</v>
          </cell>
          <cell r="X9">
            <v>242119.696</v>
          </cell>
          <cell r="Y9">
            <v>247055.4356</v>
          </cell>
          <cell r="Z9">
            <v>252458.67660000001</v>
          </cell>
          <cell r="AA9">
            <v>258153.28880000001</v>
          </cell>
          <cell r="AB9">
            <v>264306.08850000001</v>
          </cell>
          <cell r="AC9">
            <v>270950.78240000003</v>
          </cell>
          <cell r="AD9">
            <v>278106.72070000001</v>
          </cell>
          <cell r="AE9">
            <v>285740.13829999999</v>
          </cell>
          <cell r="AF9">
            <v>293782.75099999999</v>
          </cell>
          <cell r="AG9">
            <v>302162.66340000002</v>
          </cell>
          <cell r="AH9">
            <v>310811.3798</v>
          </cell>
          <cell r="AI9">
            <v>319658.24579999998</v>
          </cell>
          <cell r="AJ9">
            <v>328630.02899999998</v>
          </cell>
          <cell r="AK9">
            <v>337651.23580000002</v>
          </cell>
        </row>
        <row r="10">
          <cell r="B10">
            <v>125571.2019</v>
          </cell>
          <cell r="C10">
            <v>130066.68730000001</v>
          </cell>
          <cell r="D10">
            <v>134915.88519999999</v>
          </cell>
          <cell r="E10">
            <v>139689.9859</v>
          </cell>
          <cell r="F10">
            <v>144412.19010000001</v>
          </cell>
          <cell r="G10">
            <v>149049.2732</v>
          </cell>
          <cell r="H10">
            <v>153522.9411</v>
          </cell>
          <cell r="I10">
            <v>156208.64670000001</v>
          </cell>
          <cell r="J10">
            <v>158895.5123</v>
          </cell>
          <cell r="K10">
            <v>163396.3327</v>
          </cell>
          <cell r="L10">
            <v>167517.19020000001</v>
          </cell>
          <cell r="M10">
            <v>170311.06880000001</v>
          </cell>
          <cell r="N10">
            <v>172201.94870000001</v>
          </cell>
          <cell r="O10">
            <v>173629.359</v>
          </cell>
          <cell r="P10">
            <v>175053.0551</v>
          </cell>
          <cell r="Q10">
            <v>176703.67430000001</v>
          </cell>
          <cell r="R10">
            <v>178417.52220000001</v>
          </cell>
          <cell r="S10">
            <v>180510.87169999999</v>
          </cell>
          <cell r="T10">
            <v>183068.79920000001</v>
          </cell>
          <cell r="U10">
            <v>186105.79199999999</v>
          </cell>
          <cell r="V10">
            <v>189619.20000000001</v>
          </cell>
          <cell r="W10">
            <v>193642.8933</v>
          </cell>
          <cell r="X10">
            <v>198205.37220000001</v>
          </cell>
          <cell r="Y10">
            <v>203311.27859999999</v>
          </cell>
          <cell r="Z10">
            <v>208927.62969999999</v>
          </cell>
          <cell r="AA10">
            <v>214987.35380000001</v>
          </cell>
          <cell r="AB10">
            <v>221691.53039999999</v>
          </cell>
          <cell r="AC10">
            <v>228921.50219999999</v>
          </cell>
          <cell r="AD10">
            <v>236651.3057</v>
          </cell>
          <cell r="AE10">
            <v>244748.7347</v>
          </cell>
          <cell r="AF10">
            <v>253056.05100000001</v>
          </cell>
          <cell r="AG10">
            <v>261459.26029999999</v>
          </cell>
          <cell r="AH10">
            <v>269884.5919</v>
          </cell>
          <cell r="AI10">
            <v>278274.49180000002</v>
          </cell>
          <cell r="AJ10">
            <v>286576.41609999997</v>
          </cell>
          <cell r="AK10">
            <v>294733.67709999997</v>
          </cell>
        </row>
        <row r="11">
          <cell r="B11">
            <v>125571.2019</v>
          </cell>
          <cell r="C11">
            <v>130066.68730000001</v>
          </cell>
          <cell r="D11">
            <v>134915.88519999999</v>
          </cell>
          <cell r="E11">
            <v>139689.9859</v>
          </cell>
          <cell r="F11">
            <v>144412.19010000001</v>
          </cell>
          <cell r="G11">
            <v>149049.2732</v>
          </cell>
          <cell r="H11">
            <v>153522.9412</v>
          </cell>
          <cell r="I11">
            <v>157881.111</v>
          </cell>
          <cell r="J11">
            <v>162211.96650000001</v>
          </cell>
          <cell r="K11">
            <v>166586.51029999999</v>
          </cell>
          <cell r="L11">
            <v>170755.51190000001</v>
          </cell>
          <cell r="M11">
            <v>173811.07490000001</v>
          </cell>
          <cell r="N11">
            <v>176244.28229999999</v>
          </cell>
          <cell r="O11">
            <v>178343.36379999999</v>
          </cell>
          <cell r="P11">
            <v>180371.97</v>
          </cell>
          <cell r="Q11">
            <v>182523.49479999999</v>
          </cell>
          <cell r="R11">
            <v>185021.02780000001</v>
          </cell>
          <cell r="S11">
            <v>187970.5704</v>
          </cell>
          <cell r="T11">
            <v>191408.64189999999</v>
          </cell>
          <cell r="U11">
            <v>195322.91</v>
          </cell>
          <cell r="V11">
            <v>199697.42730000001</v>
          </cell>
          <cell r="W11">
            <v>204560.5961</v>
          </cell>
          <cell r="X11">
            <v>209941.1018</v>
          </cell>
          <cell r="Y11">
            <v>215838.97630000001</v>
          </cell>
          <cell r="Z11">
            <v>222211.05669999999</v>
          </cell>
          <cell r="AA11">
            <v>228980.47779999999</v>
          </cell>
          <cell r="AB11">
            <v>236198.26240000001</v>
          </cell>
          <cell r="AC11">
            <v>243900.6312</v>
          </cell>
          <cell r="AD11">
            <v>252070.59820000001</v>
          </cell>
          <cell r="AE11">
            <v>260574.37609999999</v>
          </cell>
          <cell r="AF11">
            <v>269252.33069999999</v>
          </cell>
          <cell r="AG11">
            <v>277997.76689999999</v>
          </cell>
          <cell r="AH11">
            <v>286754.21289999998</v>
          </cell>
          <cell r="AI11">
            <v>295483.42249999999</v>
          </cell>
          <cell r="AJ11">
            <v>304153.41629999998</v>
          </cell>
          <cell r="AK11">
            <v>312732.54550000001</v>
          </cell>
        </row>
        <row r="12">
          <cell r="B12">
            <v>22090.314689999999</v>
          </cell>
          <cell r="C12">
            <v>22495.415700000001</v>
          </cell>
          <cell r="D12">
            <v>22954.168750000001</v>
          </cell>
          <cell r="E12">
            <v>23449.966479999999</v>
          </cell>
          <cell r="F12">
            <v>23989.909500000002</v>
          </cell>
          <cell r="G12">
            <v>24575.095969999998</v>
          </cell>
          <cell r="H12">
            <v>25189.125810000001</v>
          </cell>
          <cell r="I12">
            <v>25661.034810000001</v>
          </cell>
          <cell r="J12">
            <v>26093.817849999999</v>
          </cell>
          <cell r="K12">
            <v>26607.274410000002</v>
          </cell>
          <cell r="L12">
            <v>27120.609240000002</v>
          </cell>
          <cell r="M12">
            <v>27577.46371</v>
          </cell>
          <cell r="N12">
            <v>27993.179080000002</v>
          </cell>
          <cell r="O12">
            <v>28387.354009999999</v>
          </cell>
          <cell r="P12">
            <v>28782.986789999999</v>
          </cell>
          <cell r="Q12">
            <v>29194.505000000001</v>
          </cell>
          <cell r="R12">
            <v>29631.206569999998</v>
          </cell>
          <cell r="S12">
            <v>30095.69414</v>
          </cell>
          <cell r="T12">
            <v>30600.355660000001</v>
          </cell>
          <cell r="U12">
            <v>31154.942609999998</v>
          </cell>
          <cell r="V12">
            <v>31762.329740000001</v>
          </cell>
          <cell r="W12">
            <v>32437.503720000001</v>
          </cell>
          <cell r="X12">
            <v>33188.854549999996</v>
          </cell>
          <cell r="Y12">
            <v>34021.955159999998</v>
          </cell>
          <cell r="Z12">
            <v>34939.434329999996</v>
          </cell>
          <cell r="AA12">
            <v>35926.091769999999</v>
          </cell>
          <cell r="AB12">
            <v>36992.476739999998</v>
          </cell>
          <cell r="AC12">
            <v>38155.580620000001</v>
          </cell>
          <cell r="AD12">
            <v>39421.55373</v>
          </cell>
          <cell r="AE12">
            <v>40791.528550000003</v>
          </cell>
          <cell r="AF12">
            <v>42265.761109999999</v>
          </cell>
          <cell r="AG12">
            <v>43849.465559999997</v>
          </cell>
          <cell r="AH12">
            <v>45554.341059999999</v>
          </cell>
          <cell r="AI12">
            <v>47398.114860000001</v>
          </cell>
          <cell r="AJ12">
            <v>49408.906510000001</v>
          </cell>
          <cell r="AK12">
            <v>51631.542269999998</v>
          </cell>
        </row>
        <row r="13">
          <cell r="B13">
            <v>22090.314689999999</v>
          </cell>
          <cell r="C13">
            <v>22495.415700000001</v>
          </cell>
          <cell r="D13">
            <v>22954.168750000001</v>
          </cell>
          <cell r="E13">
            <v>23449.966479999999</v>
          </cell>
          <cell r="F13">
            <v>23989.909510000001</v>
          </cell>
          <cell r="G13">
            <v>24575.095979999998</v>
          </cell>
          <cell r="H13">
            <v>25189.125820000001</v>
          </cell>
          <cell r="I13">
            <v>25823.958050000001</v>
          </cell>
          <cell r="J13">
            <v>26476.472610000001</v>
          </cell>
          <cell r="K13">
            <v>27146.693790000001</v>
          </cell>
          <cell r="L13">
            <v>27822.000120000001</v>
          </cell>
          <cell r="M13">
            <v>28427.31134</v>
          </cell>
          <cell r="N13">
            <v>28980.712500000001</v>
          </cell>
          <cell r="O13">
            <v>29497.877270000001</v>
          </cell>
          <cell r="P13">
            <v>29997.393260000001</v>
          </cell>
          <cell r="Q13">
            <v>30496.383399999999</v>
          </cell>
          <cell r="R13">
            <v>31019.23905</v>
          </cell>
          <cell r="S13">
            <v>31584.650020000001</v>
          </cell>
          <cell r="T13">
            <v>32204.83483</v>
          </cell>
          <cell r="U13">
            <v>32885.738039999997</v>
          </cell>
          <cell r="V13">
            <v>33625.165419999998</v>
          </cell>
          <cell r="W13">
            <v>34433.099520000003</v>
          </cell>
          <cell r="X13">
            <v>35313.409520000001</v>
          </cell>
          <cell r="Y13">
            <v>36267.909500000002</v>
          </cell>
          <cell r="Z13">
            <v>37294.981599999999</v>
          </cell>
          <cell r="AA13">
            <v>38374.24166</v>
          </cell>
          <cell r="AB13">
            <v>39517.577749999997</v>
          </cell>
          <cell r="AC13">
            <v>40727.991379999999</v>
          </cell>
          <cell r="AD13">
            <v>42005.748469999999</v>
          </cell>
          <cell r="AE13">
            <v>43343.173569999999</v>
          </cell>
          <cell r="AF13">
            <v>44728.923640000001</v>
          </cell>
          <cell r="AG13">
            <v>46153.050289999999</v>
          </cell>
          <cell r="AH13">
            <v>47607.793539999999</v>
          </cell>
          <cell r="AI13">
            <v>49086.17901</v>
          </cell>
          <cell r="AJ13">
            <v>50581.41949</v>
          </cell>
          <cell r="AK13">
            <v>52086.600619999997</v>
          </cell>
        </row>
        <row r="14">
          <cell r="B14">
            <v>16306.072099999999</v>
          </cell>
          <cell r="C14">
            <v>16670.869569999999</v>
          </cell>
          <cell r="D14">
            <v>17070.863829999998</v>
          </cell>
          <cell r="E14">
            <v>17497.792659999999</v>
          </cell>
          <cell r="F14">
            <v>17948.090550000001</v>
          </cell>
          <cell r="G14">
            <v>18420.27187</v>
          </cell>
          <cell r="H14">
            <v>18901.207249999999</v>
          </cell>
          <cell r="I14">
            <v>19291.143090000001</v>
          </cell>
          <cell r="J14">
            <v>19674.011350000001</v>
          </cell>
          <cell r="K14">
            <v>20185.85282</v>
          </cell>
          <cell r="L14">
            <v>20676.94153</v>
          </cell>
          <cell r="M14">
            <v>21048.92326</v>
          </cell>
          <cell r="N14">
            <v>21329.57992</v>
          </cell>
          <cell r="O14">
            <v>21551.06149</v>
          </cell>
          <cell r="P14">
            <v>21748.35197</v>
          </cell>
          <cell r="Q14">
            <v>21941.716219999998</v>
          </cell>
          <cell r="R14">
            <v>22137.800810000001</v>
          </cell>
          <cell r="S14">
            <v>22357.057239999998</v>
          </cell>
          <cell r="T14">
            <v>22610.692609999998</v>
          </cell>
          <cell r="U14">
            <v>22905.17873</v>
          </cell>
          <cell r="V14">
            <v>23242.070469999999</v>
          </cell>
          <cell r="W14">
            <v>23632.021260000001</v>
          </cell>
          <cell r="X14">
            <v>24080.497050000002</v>
          </cell>
          <cell r="Y14">
            <v>24590.196479999999</v>
          </cell>
          <cell r="Z14">
            <v>25160.33093</v>
          </cell>
          <cell r="AA14">
            <v>25778.06294</v>
          </cell>
          <cell r="AB14">
            <v>26457.167399999998</v>
          </cell>
          <cell r="AC14">
            <v>27202.402030000001</v>
          </cell>
          <cell r="AD14">
            <v>28013.736079999999</v>
          </cell>
          <cell r="AE14">
            <v>28881.9948</v>
          </cell>
          <cell r="AF14">
            <v>29794.76195</v>
          </cell>
          <cell r="AG14">
            <v>30742.782350000001</v>
          </cell>
          <cell r="AH14">
            <v>31720.084900000002</v>
          </cell>
          <cell r="AI14">
            <v>32721.224600000001</v>
          </cell>
          <cell r="AJ14">
            <v>33741.74841</v>
          </cell>
          <cell r="AK14">
            <v>34778.740380000003</v>
          </cell>
        </row>
        <row r="15">
          <cell r="B15">
            <v>16306.072099999999</v>
          </cell>
          <cell r="C15">
            <v>16670.869569999999</v>
          </cell>
          <cell r="D15">
            <v>17070.863829999998</v>
          </cell>
          <cell r="E15">
            <v>17497.792659999999</v>
          </cell>
          <cell r="F15">
            <v>17948.090550000001</v>
          </cell>
          <cell r="G15">
            <v>18420.27188</v>
          </cell>
          <cell r="H15">
            <v>18901.207259999999</v>
          </cell>
          <cell r="I15">
            <v>19386.673030000002</v>
          </cell>
          <cell r="J15">
            <v>19874.899700000002</v>
          </cell>
          <cell r="K15">
            <v>20366.026239999999</v>
          </cell>
          <cell r="L15">
            <v>20841.112239999999</v>
          </cell>
          <cell r="M15">
            <v>21218.504349999999</v>
          </cell>
          <cell r="N15">
            <v>21528.756430000001</v>
          </cell>
          <cell r="O15">
            <v>21792.191770000001</v>
          </cell>
          <cell r="P15">
            <v>22030.148969999998</v>
          </cell>
          <cell r="Q15">
            <v>22261.002059999999</v>
          </cell>
          <cell r="R15">
            <v>22506.974269999999</v>
          </cell>
          <cell r="S15">
            <v>22784.244409999999</v>
          </cell>
          <cell r="T15">
            <v>23103.319609999999</v>
          </cell>
          <cell r="U15">
            <v>23469.2428</v>
          </cell>
          <cell r="V15">
            <v>23881.962490000002</v>
          </cell>
          <cell r="W15">
            <v>24350.3881</v>
          </cell>
          <cell r="X15">
            <v>24878.461940000001</v>
          </cell>
          <cell r="Y15">
            <v>25467.879580000001</v>
          </cell>
          <cell r="Z15">
            <v>26116.68895</v>
          </cell>
          <cell r="AA15">
            <v>26810.740760000001</v>
          </cell>
          <cell r="AB15">
            <v>27560.826939999999</v>
          </cell>
          <cell r="AC15">
            <v>28369.311450000001</v>
          </cell>
          <cell r="AD15">
            <v>29234.91418</v>
          </cell>
          <cell r="AE15">
            <v>30146.700690000001</v>
          </cell>
          <cell r="AF15">
            <v>31090.279699999999</v>
          </cell>
          <cell r="AG15">
            <v>32053.891100000001</v>
          </cell>
          <cell r="AH15">
            <v>33028.830679999999</v>
          </cell>
          <cell r="AI15">
            <v>34007.543769999997</v>
          </cell>
          <cell r="AJ15">
            <v>34982.998599999999</v>
          </cell>
          <cell r="AK15">
            <v>35948.439059999997</v>
          </cell>
        </row>
        <row r="16">
          <cell r="B16">
            <v>86967.448350000006</v>
          </cell>
          <cell r="C16">
            <v>89286.136169999998</v>
          </cell>
          <cell r="D16">
            <v>91732.977490000005</v>
          </cell>
          <cell r="E16">
            <v>94272.319889999999</v>
          </cell>
          <cell r="F16">
            <v>96907.493400000007</v>
          </cell>
          <cell r="G16">
            <v>99643.355079999994</v>
          </cell>
          <cell r="H16">
            <v>102408.0137</v>
          </cell>
          <cell r="I16">
            <v>104330.18060000001</v>
          </cell>
          <cell r="J16">
            <v>106217.76459999999</v>
          </cell>
          <cell r="K16">
            <v>108937.78</v>
          </cell>
          <cell r="L16">
            <v>111430.6391</v>
          </cell>
          <cell r="M16">
            <v>113102.44620000001</v>
          </cell>
          <cell r="N16">
            <v>114171.5468</v>
          </cell>
          <cell r="O16">
            <v>114873.43489999999</v>
          </cell>
          <cell r="P16">
            <v>115450.4382</v>
          </cell>
          <cell r="Q16">
            <v>116032.431</v>
          </cell>
          <cell r="R16">
            <v>116760.696</v>
          </cell>
          <cell r="S16">
            <v>117683.0858</v>
          </cell>
          <cell r="T16">
            <v>118863.1835</v>
          </cell>
          <cell r="U16">
            <v>120325.71060000001</v>
          </cell>
          <cell r="V16">
            <v>122075.4681</v>
          </cell>
          <cell r="W16">
            <v>124153.3031</v>
          </cell>
          <cell r="X16">
            <v>126582.8713</v>
          </cell>
          <cell r="Y16">
            <v>129368.2683</v>
          </cell>
          <cell r="Z16">
            <v>132491.24969999999</v>
          </cell>
          <cell r="AA16">
            <v>135894.37849999999</v>
          </cell>
          <cell r="AB16">
            <v>139619.39019999999</v>
          </cell>
          <cell r="AC16">
            <v>143724.51749999999</v>
          </cell>
          <cell r="AD16">
            <v>148202.16099999999</v>
          </cell>
          <cell r="AE16">
            <v>152980.00349999999</v>
          </cell>
          <cell r="AF16">
            <v>157968.34340000001</v>
          </cell>
          <cell r="AG16">
            <v>163108.0336</v>
          </cell>
          <cell r="AH16">
            <v>168365.43599999999</v>
          </cell>
          <cell r="AI16">
            <v>173703.43290000001</v>
          </cell>
          <cell r="AJ16">
            <v>179085.6893</v>
          </cell>
          <cell r="AK16">
            <v>184478.80739999999</v>
          </cell>
        </row>
        <row r="17">
          <cell r="B17">
            <v>86967.448350000006</v>
          </cell>
          <cell r="C17">
            <v>89286.136169999998</v>
          </cell>
          <cell r="D17">
            <v>91732.977490000005</v>
          </cell>
          <cell r="E17">
            <v>94272.319900000002</v>
          </cell>
          <cell r="F17">
            <v>96907.493430000002</v>
          </cell>
          <cell r="G17">
            <v>99643.355110000004</v>
          </cell>
          <cell r="H17">
            <v>102408.0138</v>
          </cell>
          <cell r="I17">
            <v>105168.1839</v>
          </cell>
          <cell r="J17">
            <v>107908.0974</v>
          </cell>
          <cell r="K17">
            <v>110628.91409999999</v>
          </cell>
          <cell r="L17">
            <v>113181.023</v>
          </cell>
          <cell r="M17">
            <v>115027.95389999999</v>
          </cell>
          <cell r="N17">
            <v>116431.7904</v>
          </cell>
          <cell r="O17">
            <v>117548.28750000001</v>
          </cell>
          <cell r="P17">
            <v>118529.3495</v>
          </cell>
          <cell r="Q17">
            <v>119496.52469999999</v>
          </cell>
          <cell r="R17">
            <v>120599.1295</v>
          </cell>
          <cell r="S17">
            <v>121945.7208</v>
          </cell>
          <cell r="T17">
            <v>123600.4589</v>
          </cell>
          <cell r="U17">
            <v>125584.92019999999</v>
          </cell>
          <cell r="V17">
            <v>127898.2142</v>
          </cell>
          <cell r="W17">
            <v>130570.6906</v>
          </cell>
          <cell r="X17">
            <v>133616.9976</v>
          </cell>
          <cell r="Y17">
            <v>137038.97899999999</v>
          </cell>
          <cell r="Z17">
            <v>140815.8278</v>
          </cell>
          <cell r="AA17">
            <v>144886.4357</v>
          </cell>
          <cell r="AB17">
            <v>149295.20920000001</v>
          </cell>
          <cell r="AC17">
            <v>154054.31099999999</v>
          </cell>
          <cell r="AD17">
            <v>159152.65270000001</v>
          </cell>
          <cell r="AE17">
            <v>164512.7041</v>
          </cell>
          <cell r="AF17">
            <v>170037.9345</v>
          </cell>
          <cell r="AG17">
            <v>175654.93830000001</v>
          </cell>
          <cell r="AH17">
            <v>181313.6275</v>
          </cell>
          <cell r="AI17">
            <v>186972.1476</v>
          </cell>
          <cell r="AJ17">
            <v>192592.0387</v>
          </cell>
          <cell r="AK17">
            <v>198136.26010000001</v>
          </cell>
        </row>
        <row r="18">
          <cell r="B18">
            <v>29077.376339999999</v>
          </cell>
          <cell r="C18">
            <v>29814.00807</v>
          </cell>
          <cell r="D18">
            <v>30610.753629999999</v>
          </cell>
          <cell r="E18">
            <v>31444.453649999999</v>
          </cell>
          <cell r="F18">
            <v>32310.669000000002</v>
          </cell>
          <cell r="G18">
            <v>33207.62788</v>
          </cell>
          <cell r="H18">
            <v>34119.917699999998</v>
          </cell>
          <cell r="I18">
            <v>34826.122040000002</v>
          </cell>
          <cell r="J18">
            <v>35532.96544</v>
          </cell>
          <cell r="K18">
            <v>36520.161050000002</v>
          </cell>
          <cell r="L18">
            <v>37451.915670000002</v>
          </cell>
          <cell r="M18">
            <v>38127.13983</v>
          </cell>
          <cell r="N18">
            <v>38606.597529999999</v>
          </cell>
          <cell r="O18">
            <v>38965.756939999999</v>
          </cell>
          <cell r="P18">
            <v>39285.089090000001</v>
          </cell>
          <cell r="Q18">
            <v>39610.433929999999</v>
          </cell>
          <cell r="R18">
            <v>39953.008710000002</v>
          </cell>
          <cell r="S18">
            <v>40354.213839999997</v>
          </cell>
          <cell r="T18">
            <v>40836.682419999997</v>
          </cell>
          <cell r="U18">
            <v>41412.270620000003</v>
          </cell>
          <cell r="V18">
            <v>42086.651160000001</v>
          </cell>
          <cell r="W18">
            <v>42874.641889999999</v>
          </cell>
          <cell r="X18">
            <v>43787.888720000003</v>
          </cell>
          <cell r="Y18">
            <v>44831.480389999997</v>
          </cell>
          <cell r="Z18">
            <v>46003.49667</v>
          </cell>
          <cell r="AA18">
            <v>47288.597679999999</v>
          </cell>
          <cell r="AB18">
            <v>48703.346219999999</v>
          </cell>
          <cell r="AC18">
            <v>50259.015570000003</v>
          </cell>
          <cell r="AD18">
            <v>51955.306320000003</v>
          </cell>
          <cell r="AE18">
            <v>53772.977279999999</v>
          </cell>
          <cell r="AF18">
            <v>55687.412759999999</v>
          </cell>
          <cell r="AG18">
            <v>57682.283609999999</v>
          </cell>
          <cell r="AH18">
            <v>59749.836649999997</v>
          </cell>
          <cell r="AI18">
            <v>61885.691350000001</v>
          </cell>
          <cell r="AJ18">
            <v>64090.49725</v>
          </cell>
          <cell r="AK18">
            <v>66372.697239999994</v>
          </cell>
        </row>
        <row r="19">
          <cell r="B19">
            <v>29077.376339999999</v>
          </cell>
          <cell r="C19">
            <v>29814.00807</v>
          </cell>
          <cell r="D19">
            <v>30610.753629999999</v>
          </cell>
          <cell r="E19">
            <v>31444.453659999999</v>
          </cell>
          <cell r="F19">
            <v>32310.669010000001</v>
          </cell>
          <cell r="G19">
            <v>33207.627890000003</v>
          </cell>
          <cell r="H19">
            <v>34119.917719999998</v>
          </cell>
          <cell r="I19">
            <v>35041.42598</v>
          </cell>
          <cell r="J19">
            <v>35970.067349999998</v>
          </cell>
          <cell r="K19">
            <v>36906.365689999999</v>
          </cell>
          <cell r="L19">
            <v>37804.109920000003</v>
          </cell>
          <cell r="M19">
            <v>38499.017509999998</v>
          </cell>
          <cell r="N19">
            <v>39059.181380000002</v>
          </cell>
          <cell r="O19">
            <v>39530.559509999999</v>
          </cell>
          <cell r="P19">
            <v>39959.513160000002</v>
          </cell>
          <cell r="Q19">
            <v>40384.359239999998</v>
          </cell>
          <cell r="R19">
            <v>40844.76498</v>
          </cell>
          <cell r="S19">
            <v>41371.946309999999</v>
          </cell>
          <cell r="T19">
            <v>41986.955650000004</v>
          </cell>
          <cell r="U19">
            <v>42699.766459999999</v>
          </cell>
          <cell r="V19">
            <v>43513.828860000001</v>
          </cell>
          <cell r="W19">
            <v>44440.946170000003</v>
          </cell>
          <cell r="X19">
            <v>45490.009749999997</v>
          </cell>
          <cell r="Y19">
            <v>46663.829259999999</v>
          </cell>
          <cell r="Z19">
            <v>47957.417800000003</v>
          </cell>
          <cell r="AA19">
            <v>49351.993600000002</v>
          </cell>
          <cell r="AB19">
            <v>50857.326099999998</v>
          </cell>
          <cell r="AC19">
            <v>52479.025679999999</v>
          </cell>
          <cell r="AD19">
            <v>54213.261489999997</v>
          </cell>
          <cell r="AE19">
            <v>56035.35067</v>
          </cell>
          <cell r="AF19">
            <v>57913.995289999999</v>
          </cell>
          <cell r="AG19">
            <v>59824.534679999997</v>
          </cell>
          <cell r="AH19">
            <v>61749.586280000003</v>
          </cell>
          <cell r="AI19">
            <v>63674.637139999999</v>
          </cell>
          <cell r="AJ19">
            <v>65586.501980000001</v>
          </cell>
          <cell r="AK19">
            <v>67472.697509999998</v>
          </cell>
        </row>
        <row r="20">
          <cell r="B20">
            <v>80205.785529999994</v>
          </cell>
          <cell r="C20">
            <v>82185.120550000007</v>
          </cell>
          <cell r="D20">
            <v>84348.162030000007</v>
          </cell>
          <cell r="E20">
            <v>86597.694319999995</v>
          </cell>
          <cell r="F20">
            <v>88939.870670000004</v>
          </cell>
          <cell r="G20">
            <v>91375.668059999996</v>
          </cell>
          <cell r="H20">
            <v>93863.308969999998</v>
          </cell>
          <cell r="I20">
            <v>95658.867249999996</v>
          </cell>
          <cell r="J20">
            <v>97413.918829999995</v>
          </cell>
          <cell r="K20">
            <v>99895.750419999997</v>
          </cell>
          <cell r="L20">
            <v>102255.6136</v>
          </cell>
          <cell r="M20">
            <v>103986.8916</v>
          </cell>
          <cell r="N20">
            <v>105232.3113</v>
          </cell>
          <cell r="O20">
            <v>106190.391</v>
          </cell>
          <cell r="P20">
            <v>107074.3793</v>
          </cell>
          <cell r="Q20">
            <v>108004.7963</v>
          </cell>
          <cell r="R20">
            <v>109027.8633</v>
          </cell>
          <cell r="S20">
            <v>110225.6192</v>
          </cell>
          <cell r="T20">
            <v>111656.8725</v>
          </cell>
          <cell r="U20">
            <v>113350.7947</v>
          </cell>
          <cell r="V20">
            <v>115321.06140000001</v>
          </cell>
          <cell r="W20">
            <v>117605.1544</v>
          </cell>
          <cell r="X20">
            <v>120233.7467</v>
          </cell>
          <cell r="Y20">
            <v>123217.41989999999</v>
          </cell>
          <cell r="Z20">
            <v>126547.6131</v>
          </cell>
          <cell r="AA20">
            <v>130182.5992</v>
          </cell>
          <cell r="AB20">
            <v>134153.18710000001</v>
          </cell>
          <cell r="AC20">
            <v>138509.7801</v>
          </cell>
          <cell r="AD20">
            <v>143250.19630000001</v>
          </cell>
          <cell r="AE20">
            <v>148321.8682</v>
          </cell>
          <cell r="AF20">
            <v>153660.13510000001</v>
          </cell>
          <cell r="AG20">
            <v>159228.95929999999</v>
          </cell>
          <cell r="AH20">
            <v>165020.1012</v>
          </cell>
          <cell r="AI20">
            <v>171033.4558</v>
          </cell>
          <cell r="AJ20">
            <v>177285.25270000001</v>
          </cell>
          <cell r="AK20">
            <v>183818.0779</v>
          </cell>
        </row>
        <row r="21">
          <cell r="B21">
            <v>80205.785529999994</v>
          </cell>
          <cell r="C21">
            <v>82185.120550000007</v>
          </cell>
          <cell r="D21">
            <v>84348.162030000007</v>
          </cell>
          <cell r="E21">
            <v>86597.694329999998</v>
          </cell>
          <cell r="F21">
            <v>88939.870699999999</v>
          </cell>
          <cell r="G21">
            <v>91375.668090000006</v>
          </cell>
          <cell r="H21">
            <v>93863.309009999997</v>
          </cell>
          <cell r="I21">
            <v>96383.300709999996</v>
          </cell>
          <cell r="J21">
            <v>98931.036349999995</v>
          </cell>
          <cell r="K21">
            <v>101510.3456</v>
          </cell>
          <cell r="L21">
            <v>103995.8083</v>
          </cell>
          <cell r="M21">
            <v>105942.4966</v>
          </cell>
          <cell r="N21">
            <v>107535.22659999999</v>
          </cell>
          <cell r="O21">
            <v>108906.76089999999</v>
          </cell>
          <cell r="P21">
            <v>110188.7381</v>
          </cell>
          <cell r="Q21">
            <v>111487.4543</v>
          </cell>
          <cell r="R21">
            <v>112913.8382</v>
          </cell>
          <cell r="S21">
            <v>114552.07030000001</v>
          </cell>
          <cell r="T21">
            <v>116455.6826</v>
          </cell>
          <cell r="U21">
            <v>118646.3367</v>
          </cell>
          <cell r="V21">
            <v>121128.74400000001</v>
          </cell>
          <cell r="W21">
            <v>123927.8556</v>
          </cell>
          <cell r="X21">
            <v>127064.0322</v>
          </cell>
          <cell r="Y21">
            <v>130542.09050000001</v>
          </cell>
          <cell r="Z21">
            <v>134345.8867</v>
          </cell>
          <cell r="AA21">
            <v>138424.86840000001</v>
          </cell>
          <cell r="AB21">
            <v>142799.80379999999</v>
          </cell>
          <cell r="AC21">
            <v>147484.74890000001</v>
          </cell>
          <cell r="AD21">
            <v>152469.06969999999</v>
          </cell>
          <cell r="AE21">
            <v>157685.3904</v>
          </cell>
          <cell r="AF21">
            <v>163048.7873</v>
          </cell>
          <cell r="AG21">
            <v>168493.73920000001</v>
          </cell>
          <cell r="AH21">
            <v>173976.17230000001</v>
          </cell>
          <cell r="AI21">
            <v>179460.89809999999</v>
          </cell>
          <cell r="AJ21">
            <v>184916.64550000001</v>
          </cell>
          <cell r="AK21">
            <v>190313.8419</v>
          </cell>
        </row>
        <row r="22">
          <cell r="B22">
            <v>81062.006940000007</v>
          </cell>
          <cell r="C22">
            <v>83763.377080000006</v>
          </cell>
          <cell r="D22">
            <v>86522.798599999995</v>
          </cell>
          <cell r="E22">
            <v>89318.109530000002</v>
          </cell>
          <cell r="F22">
            <v>92159.970260000002</v>
          </cell>
          <cell r="G22">
            <v>95054.601869999999</v>
          </cell>
          <cell r="H22">
            <v>97981.615999999995</v>
          </cell>
          <cell r="I22">
            <v>100201.18369999999</v>
          </cell>
          <cell r="J22">
            <v>102641.3217</v>
          </cell>
          <cell r="K22">
            <v>106310.7625</v>
          </cell>
          <cell r="L22">
            <v>109847.3814</v>
          </cell>
          <cell r="M22">
            <v>112480.4333</v>
          </cell>
          <cell r="N22">
            <v>114394.12579999999</v>
          </cell>
          <cell r="O22">
            <v>115851.4901</v>
          </cell>
          <cell r="P22">
            <v>117145.2157</v>
          </cell>
          <cell r="Q22">
            <v>118430.0769</v>
          </cell>
          <cell r="R22">
            <v>119765.75380000001</v>
          </cell>
          <cell r="S22">
            <v>121314.6875</v>
          </cell>
          <cell r="T22">
            <v>123145.8259</v>
          </cell>
          <cell r="U22">
            <v>125281.89049999999</v>
          </cell>
          <cell r="V22">
            <v>127739.1675</v>
          </cell>
          <cell r="W22">
            <v>130549.84179999999</v>
          </cell>
          <cell r="X22">
            <v>133752.76250000001</v>
          </cell>
          <cell r="Y22">
            <v>137347.78159999999</v>
          </cell>
          <cell r="Z22">
            <v>141305.3156</v>
          </cell>
          <cell r="AA22">
            <v>145587.31200000001</v>
          </cell>
          <cell r="AB22">
            <v>150198.68650000001</v>
          </cell>
          <cell r="AC22">
            <v>155256.16469999999</v>
          </cell>
          <cell r="AD22">
            <v>160742.3328</v>
          </cell>
          <cell r="AE22">
            <v>166557.8057</v>
          </cell>
          <cell r="AF22">
            <v>172588.1317</v>
          </cell>
          <cell r="AG22">
            <v>178773.85019999999</v>
          </cell>
          <cell r="AH22">
            <v>185095.58249999999</v>
          </cell>
          <cell r="AI22">
            <v>191519.9699</v>
          </cell>
          <cell r="AJ22">
            <v>198013.86559999999</v>
          </cell>
          <cell r="AK22">
            <v>204550.15289999999</v>
          </cell>
        </row>
        <row r="23">
          <cell r="B23">
            <v>81062.006940000007</v>
          </cell>
          <cell r="C23">
            <v>83763.377080000006</v>
          </cell>
          <cell r="D23">
            <v>86522.798609999998</v>
          </cell>
          <cell r="E23">
            <v>89318.109540000005</v>
          </cell>
          <cell r="F23">
            <v>92159.970279999994</v>
          </cell>
          <cell r="G23">
            <v>95054.601890000005</v>
          </cell>
          <cell r="H23">
            <v>97981.616039999994</v>
          </cell>
          <cell r="I23">
            <v>100933.8567</v>
          </cell>
          <cell r="J23">
            <v>103912.96890000001</v>
          </cell>
          <cell r="K23">
            <v>106926.1685</v>
          </cell>
          <cell r="L23">
            <v>109778.9374</v>
          </cell>
          <cell r="M23">
            <v>111877.4577</v>
          </cell>
          <cell r="N23">
            <v>113537.4745</v>
          </cell>
          <cell r="O23">
            <v>114938.42720000001</v>
          </cell>
          <cell r="P23">
            <v>116249.73119999999</v>
          </cell>
          <cell r="Q23">
            <v>117600.1676</v>
          </cell>
          <cell r="R23">
            <v>119103.0561</v>
          </cell>
          <cell r="S23">
            <v>120847.0634</v>
          </cell>
          <cell r="T23">
            <v>122888.8293</v>
          </cell>
          <cell r="U23">
            <v>125247.8085</v>
          </cell>
          <cell r="V23">
            <v>127938.1602</v>
          </cell>
          <cell r="W23">
            <v>130979.0433</v>
          </cell>
          <cell r="X23">
            <v>134399.61749999999</v>
          </cell>
          <cell r="Y23">
            <v>138205.8077</v>
          </cell>
          <cell r="Z23">
            <v>142374.88380000001</v>
          </cell>
          <cell r="AA23">
            <v>146874.5275</v>
          </cell>
          <cell r="AB23">
            <v>151715.40700000001</v>
          </cell>
          <cell r="AC23">
            <v>156921.10029999999</v>
          </cell>
          <cell r="AD23">
            <v>162477.18299999999</v>
          </cell>
          <cell r="AE23">
            <v>168290.44829999999</v>
          </cell>
          <cell r="AF23">
            <v>174249.76439999999</v>
          </cell>
          <cell r="AG23">
            <v>180276.5227</v>
          </cell>
          <cell r="AH23">
            <v>186322.51449999999</v>
          </cell>
          <cell r="AI23">
            <v>192350.0405</v>
          </cell>
          <cell r="AJ23">
            <v>198325.40839999999</v>
          </cell>
          <cell r="AK23">
            <v>204216.18100000001</v>
          </cell>
        </row>
        <row r="24">
          <cell r="B24">
            <v>104630.7294</v>
          </cell>
          <cell r="C24">
            <v>106786.61259999999</v>
          </cell>
          <cell r="D24">
            <v>109274.06200000001</v>
          </cell>
          <cell r="E24">
            <v>111993.51949999999</v>
          </cell>
          <cell r="F24">
            <v>114893.24770000001</v>
          </cell>
          <cell r="G24">
            <v>117947.0481</v>
          </cell>
          <cell r="H24">
            <v>121077.86870000001</v>
          </cell>
          <cell r="I24">
            <v>123775.4292</v>
          </cell>
          <cell r="J24">
            <v>126475.70789999999</v>
          </cell>
          <cell r="K24">
            <v>129965.87609999999</v>
          </cell>
          <cell r="L24">
            <v>133463.5344</v>
          </cell>
          <cell r="M24">
            <v>136371.8175</v>
          </cell>
          <cell r="N24">
            <v>138802.3768</v>
          </cell>
          <cell r="O24">
            <v>140916.39379999999</v>
          </cell>
          <cell r="P24">
            <v>142905.18729999999</v>
          </cell>
          <cell r="Q24">
            <v>144886.348</v>
          </cell>
          <cell r="R24">
            <v>146863.55480000001</v>
          </cell>
          <cell r="S24">
            <v>148980.65729999999</v>
          </cell>
          <cell r="T24">
            <v>151307.05239999999</v>
          </cell>
          <cell r="U24">
            <v>153883.8694</v>
          </cell>
          <cell r="V24">
            <v>156715.79139999999</v>
          </cell>
          <cell r="W24">
            <v>159872.19330000001</v>
          </cell>
          <cell r="X24">
            <v>163385.3651</v>
          </cell>
          <cell r="Y24">
            <v>167276.97229999999</v>
          </cell>
          <cell r="Z24">
            <v>171548.6096</v>
          </cell>
          <cell r="AA24">
            <v>176111.71549999999</v>
          </cell>
          <cell r="AB24">
            <v>181093.72289999999</v>
          </cell>
          <cell r="AC24">
            <v>186483.86139999999</v>
          </cell>
          <cell r="AD24">
            <v>192291.13209999999</v>
          </cell>
          <cell r="AE24">
            <v>198478.36360000001</v>
          </cell>
          <cell r="AF24">
            <v>204987.96220000001</v>
          </cell>
          <cell r="AG24">
            <v>211774.52290000001</v>
          </cell>
          <cell r="AH24">
            <v>218810.6961</v>
          </cell>
          <cell r="AI24">
            <v>226080.7977</v>
          </cell>
          <cell r="AJ24">
            <v>233582.5545</v>
          </cell>
          <cell r="AK24">
            <v>241332.57459999999</v>
          </cell>
        </row>
        <row r="25">
          <cell r="B25">
            <v>104630.7294</v>
          </cell>
          <cell r="C25">
            <v>106786.61259999999</v>
          </cell>
          <cell r="D25">
            <v>109274.06200000001</v>
          </cell>
          <cell r="E25">
            <v>111993.51949999999</v>
          </cell>
          <cell r="F25">
            <v>114893.24770000001</v>
          </cell>
          <cell r="G25">
            <v>117947.0481</v>
          </cell>
          <cell r="H25">
            <v>121077.86870000001</v>
          </cell>
          <cell r="I25">
            <v>124268.1082</v>
          </cell>
          <cell r="J25">
            <v>127514.8069</v>
          </cell>
          <cell r="K25">
            <v>130824.0331</v>
          </cell>
          <cell r="L25">
            <v>134104.9884</v>
          </cell>
          <cell r="M25">
            <v>136896.21599999999</v>
          </cell>
          <cell r="N25">
            <v>139335.16699999999</v>
          </cell>
          <cell r="O25">
            <v>141526.65229999999</v>
          </cell>
          <cell r="P25">
            <v>143584.6839</v>
          </cell>
          <cell r="Q25">
            <v>145609.4583</v>
          </cell>
          <cell r="R25">
            <v>147720.54730000001</v>
          </cell>
          <cell r="S25">
            <v>150008.9192</v>
          </cell>
          <cell r="T25">
            <v>152534.4621</v>
          </cell>
          <cell r="U25">
            <v>155326.9902</v>
          </cell>
          <cell r="V25">
            <v>158380.8769</v>
          </cell>
          <cell r="W25">
            <v>161756.80739999999</v>
          </cell>
          <cell r="X25">
            <v>165479.5336</v>
          </cell>
          <cell r="Y25">
            <v>169562.7985</v>
          </cell>
          <cell r="Z25">
            <v>173998.57939999999</v>
          </cell>
          <cell r="AA25">
            <v>178689.24239999999</v>
          </cell>
          <cell r="AB25">
            <v>183711.6967</v>
          </cell>
          <cell r="AC25">
            <v>189083.4523</v>
          </cell>
          <cell r="AD25">
            <v>194805.20989999999</v>
          </cell>
          <cell r="AE25">
            <v>200825.64610000001</v>
          </cell>
          <cell r="AF25">
            <v>207070.7243</v>
          </cell>
          <cell r="AG25">
            <v>213477.69289999999</v>
          </cell>
          <cell r="AH25">
            <v>219999.43830000001</v>
          </cell>
          <cell r="AI25">
            <v>226594.64180000001</v>
          </cell>
          <cell r="AJ25">
            <v>233223.8903</v>
          </cell>
          <cell r="AK25">
            <v>239847.88339999999</v>
          </cell>
        </row>
        <row r="26">
          <cell r="B26">
            <v>271138.58409999998</v>
          </cell>
          <cell r="C26">
            <v>275431.54239999998</v>
          </cell>
          <cell r="D26">
            <v>280684.26120000001</v>
          </cell>
          <cell r="E26">
            <v>286765.77140000003</v>
          </cell>
          <cell r="F26">
            <v>293599.79499999998</v>
          </cell>
          <cell r="G26">
            <v>301113.3713</v>
          </cell>
          <cell r="H26">
            <v>309100.29820000002</v>
          </cell>
          <cell r="I26">
            <v>317050.0552</v>
          </cell>
          <cell r="J26">
            <v>325203.16230000003</v>
          </cell>
          <cell r="K26">
            <v>334264.42119999998</v>
          </cell>
          <cell r="L26">
            <v>344223.61749999999</v>
          </cell>
          <cell r="M26">
            <v>354564.77639999997</v>
          </cell>
          <cell r="N26">
            <v>365123.4461</v>
          </cell>
          <cell r="O26">
            <v>375857.02559999999</v>
          </cell>
          <cell r="P26">
            <v>386822.53460000001</v>
          </cell>
          <cell r="Q26">
            <v>398104.27970000001</v>
          </cell>
          <cell r="R26">
            <v>409788.42080000002</v>
          </cell>
          <cell r="S26">
            <v>422006.41340000002</v>
          </cell>
          <cell r="T26">
            <v>434896.90950000001</v>
          </cell>
          <cell r="U26">
            <v>448579.69410000002</v>
          </cell>
          <cell r="V26">
            <v>463060.9227</v>
          </cell>
          <cell r="W26">
            <v>478541.99680000002</v>
          </cell>
          <cell r="X26">
            <v>495127.23509999999</v>
          </cell>
          <cell r="Y26">
            <v>512927.95439999999</v>
          </cell>
          <cell r="Z26">
            <v>532041.76069999998</v>
          </cell>
          <cell r="AA26">
            <v>552259.29169999994</v>
          </cell>
          <cell r="AB26">
            <v>573851.56409999996</v>
          </cell>
          <cell r="AC26">
            <v>596950.65599999996</v>
          </cell>
          <cell r="AD26">
            <v>621749.06059999997</v>
          </cell>
          <cell r="AE26">
            <v>648467.94299999997</v>
          </cell>
          <cell r="AF26">
            <v>677347.30359999998</v>
          </cell>
          <cell r="AG26">
            <v>708668.76540000003</v>
          </cell>
          <cell r="AH26">
            <v>742806.16630000004</v>
          </cell>
          <cell r="AI26">
            <v>780298.40269999998</v>
          </cell>
          <cell r="AJ26">
            <v>821930.36140000005</v>
          </cell>
          <cell r="AK26">
            <v>868873.86479999998</v>
          </cell>
        </row>
        <row r="27">
          <cell r="B27">
            <v>271138.58409999998</v>
          </cell>
          <cell r="C27">
            <v>275431.54239999998</v>
          </cell>
          <cell r="D27">
            <v>280684.26120000001</v>
          </cell>
          <cell r="E27">
            <v>286765.77140000003</v>
          </cell>
          <cell r="F27">
            <v>293599.79499999998</v>
          </cell>
          <cell r="G27">
            <v>301113.37119999999</v>
          </cell>
          <cell r="H27">
            <v>309100.29810000001</v>
          </cell>
          <cell r="I27">
            <v>317498.32620000001</v>
          </cell>
          <cell r="J27">
            <v>326300.58309999999</v>
          </cell>
          <cell r="K27">
            <v>335532.4045</v>
          </cell>
          <cell r="L27">
            <v>345251.97840000002</v>
          </cell>
          <cell r="M27">
            <v>355007.2317</v>
          </cell>
          <cell r="N27">
            <v>364710.8689</v>
          </cell>
          <cell r="O27">
            <v>374367.3762</v>
          </cell>
          <cell r="P27">
            <v>384031.70299999998</v>
          </cell>
          <cell r="Q27">
            <v>393780.82740000001</v>
          </cell>
          <cell r="R27">
            <v>403800.64909999998</v>
          </cell>
          <cell r="S27">
            <v>414248.15259999997</v>
          </cell>
          <cell r="T27">
            <v>425232.40620000003</v>
          </cell>
          <cell r="U27">
            <v>436815.03490000003</v>
          </cell>
          <cell r="V27">
            <v>448935.05969999998</v>
          </cell>
          <cell r="W27">
            <v>461728.56160000002</v>
          </cell>
          <cell r="X27">
            <v>475232.28129999997</v>
          </cell>
          <cell r="Y27">
            <v>489477.68589999998</v>
          </cell>
          <cell r="Z27">
            <v>504472.174</v>
          </cell>
          <cell r="AA27">
            <v>519918.53989999997</v>
          </cell>
          <cell r="AB27">
            <v>535997.18350000004</v>
          </cell>
          <cell r="AC27">
            <v>552750.66630000004</v>
          </cell>
          <cell r="AD27">
            <v>570229.07849999995</v>
          </cell>
          <cell r="AE27">
            <v>588462.25769999996</v>
          </cell>
          <cell r="AF27">
            <v>607446.61239999998</v>
          </cell>
          <cell r="AG27">
            <v>627160.69570000004</v>
          </cell>
          <cell r="AH27">
            <v>647576.2047</v>
          </cell>
          <cell r="AI27">
            <v>668656.96329999994</v>
          </cell>
          <cell r="AJ27">
            <v>690356.34039999999</v>
          </cell>
          <cell r="AK27">
            <v>712614.61970000004</v>
          </cell>
        </row>
        <row r="28">
          <cell r="B28">
            <v>6786.964524</v>
          </cell>
          <cell r="C28">
            <v>6903.8054840000004</v>
          </cell>
          <cell r="D28">
            <v>7033.2219139999997</v>
          </cell>
          <cell r="E28">
            <v>7172.6026380000003</v>
          </cell>
          <cell r="F28">
            <v>7321.4382429999996</v>
          </cell>
          <cell r="G28">
            <v>7478.7900790000003</v>
          </cell>
          <cell r="H28">
            <v>7638.8394710000002</v>
          </cell>
          <cell r="I28">
            <v>7769.4465829999999</v>
          </cell>
          <cell r="J28">
            <v>7895.2665399999996</v>
          </cell>
          <cell r="K28">
            <v>8051.5041540000002</v>
          </cell>
          <cell r="L28">
            <v>8207.5333179999998</v>
          </cell>
          <cell r="M28">
            <v>8336.8108859999993</v>
          </cell>
          <cell r="N28">
            <v>8444.4041679999991</v>
          </cell>
          <cell r="O28">
            <v>8536.4347479999997</v>
          </cell>
          <cell r="P28">
            <v>8620.6145149999993</v>
          </cell>
          <cell r="Q28">
            <v>8702.0543880000005</v>
          </cell>
          <cell r="R28">
            <v>8784.2309430000005</v>
          </cell>
          <cell r="S28">
            <v>8871.5665750000007</v>
          </cell>
          <cell r="T28">
            <v>8967.8742999999995</v>
          </cell>
          <cell r="U28">
            <v>9075.6175249999997</v>
          </cell>
          <cell r="V28">
            <v>9194.5309080000006</v>
          </cell>
          <cell r="W28">
            <v>9329.9100199999993</v>
          </cell>
          <cell r="X28">
            <v>9482.9349160000002</v>
          </cell>
          <cell r="Y28">
            <v>9654.8424279999999</v>
          </cell>
          <cell r="Z28">
            <v>9845.9930249999998</v>
          </cell>
          <cell r="AA28">
            <v>10049.88531</v>
          </cell>
          <cell r="AB28">
            <v>10274.467650000001</v>
          </cell>
          <cell r="AC28">
            <v>10520.339400000001</v>
          </cell>
          <cell r="AD28">
            <v>10788.216039999999</v>
          </cell>
          <cell r="AE28">
            <v>11076.660599999999</v>
          </cell>
          <cell r="AF28">
            <v>11383.19125</v>
          </cell>
          <cell r="AG28">
            <v>11705.787539999999</v>
          </cell>
          <cell r="AH28">
            <v>12043.230219999999</v>
          </cell>
          <cell r="AI28">
            <v>12394.826880000001</v>
          </cell>
          <cell r="AJ28">
            <v>12760.56559</v>
          </cell>
          <cell r="AK28">
            <v>13141.460080000001</v>
          </cell>
        </row>
        <row r="29">
          <cell r="B29">
            <v>6786.964524</v>
          </cell>
          <cell r="C29">
            <v>6903.8054840000004</v>
          </cell>
          <cell r="D29">
            <v>7033.2219139999997</v>
          </cell>
          <cell r="E29">
            <v>7172.6026380000003</v>
          </cell>
          <cell r="F29">
            <v>7321.4382420000002</v>
          </cell>
          <cell r="G29">
            <v>7478.7900790000003</v>
          </cell>
          <cell r="H29">
            <v>7638.8394699999999</v>
          </cell>
          <cell r="I29">
            <v>7800.3083340000003</v>
          </cell>
          <cell r="J29">
            <v>7962.6292469999999</v>
          </cell>
          <cell r="K29">
            <v>8125.8970920000002</v>
          </cell>
          <cell r="L29">
            <v>8287.2271830000009</v>
          </cell>
          <cell r="M29">
            <v>8422.8143990000008</v>
          </cell>
          <cell r="N29">
            <v>8539.3652939999993</v>
          </cell>
          <cell r="O29">
            <v>8641.5244899999998</v>
          </cell>
          <cell r="P29">
            <v>8734.5925650000008</v>
          </cell>
          <cell r="Q29">
            <v>8823.5219209999996</v>
          </cell>
          <cell r="R29">
            <v>8915.4759709999998</v>
          </cell>
          <cell r="S29">
            <v>9015.5990540000003</v>
          </cell>
          <cell r="T29">
            <v>9127.1612679999998</v>
          </cell>
          <cell r="U29">
            <v>9251.8342090000006</v>
          </cell>
          <cell r="V29">
            <v>9388.5802569999996</v>
          </cell>
          <cell r="W29">
            <v>9542.0346599999993</v>
          </cell>
          <cell r="X29">
            <v>9712.7670010000002</v>
          </cell>
          <cell r="Y29">
            <v>9901.4284549999993</v>
          </cell>
          <cell r="Z29">
            <v>10107.73278</v>
          </cell>
          <cell r="AA29">
            <v>10324.51484</v>
          </cell>
          <cell r="AB29">
            <v>10558.929899999999</v>
          </cell>
          <cell r="AC29">
            <v>10810.851559999999</v>
          </cell>
          <cell r="AD29">
            <v>11080.190060000001</v>
          </cell>
          <cell r="AE29">
            <v>11364.46206</v>
          </cell>
          <cell r="AF29">
            <v>11660.04263</v>
          </cell>
          <cell r="AG29">
            <v>11963.684520000001</v>
          </cell>
          <cell r="AH29">
            <v>12272.75628</v>
          </cell>
          <cell r="AI29">
            <v>12584.862429999999</v>
          </cell>
          <cell r="AJ29">
            <v>12897.71572</v>
          </cell>
          <cell r="AK29">
            <v>13209.086219999999</v>
          </cell>
        </row>
        <row r="30">
          <cell r="B30">
            <v>78079.915919999999</v>
          </cell>
          <cell r="C30">
            <v>79424.100390000007</v>
          </cell>
          <cell r="D30">
            <v>80912.958029999994</v>
          </cell>
          <cell r="E30">
            <v>82516.448829999994</v>
          </cell>
          <cell r="F30">
            <v>84228.712310000003</v>
          </cell>
          <cell r="G30">
            <v>86038.94988</v>
          </cell>
          <cell r="H30">
            <v>87880.221189999997</v>
          </cell>
          <cell r="I30">
            <v>89382.776899999997</v>
          </cell>
          <cell r="J30">
            <v>90830.259300000005</v>
          </cell>
          <cell r="K30">
            <v>92627.678419999997</v>
          </cell>
          <cell r="L30">
            <v>94422.699439999997</v>
          </cell>
          <cell r="M30">
            <v>95909.95955</v>
          </cell>
          <cell r="N30">
            <v>97147.755090000006</v>
          </cell>
          <cell r="O30">
            <v>98206.511169999998</v>
          </cell>
          <cell r="P30">
            <v>99174.948399999994</v>
          </cell>
          <cell r="Q30">
            <v>100111.8648</v>
          </cell>
          <cell r="R30">
            <v>101057.25629999999</v>
          </cell>
          <cell r="S30">
            <v>102061.99980000001</v>
          </cell>
          <cell r="T30">
            <v>103169.96189999999</v>
          </cell>
          <cell r="U30">
            <v>104409.48239999999</v>
          </cell>
          <cell r="V30">
            <v>105777.5089</v>
          </cell>
          <cell r="W30">
            <v>107334.9636</v>
          </cell>
          <cell r="X30">
            <v>109095.42230000001</v>
          </cell>
          <cell r="Y30">
            <v>111073.11410000001</v>
          </cell>
          <cell r="Z30">
            <v>113272.1859</v>
          </cell>
          <cell r="AA30">
            <v>115617.8432</v>
          </cell>
          <cell r="AB30">
            <v>118201.527</v>
          </cell>
          <cell r="AC30">
            <v>121030.13250000001</v>
          </cell>
          <cell r="AD30">
            <v>124111.891</v>
          </cell>
          <cell r="AE30">
            <v>127430.2709</v>
          </cell>
          <cell r="AF30">
            <v>130956.72040000001</v>
          </cell>
          <cell r="AG30">
            <v>134667.99530000001</v>
          </cell>
          <cell r="AH30">
            <v>138550.06890000001</v>
          </cell>
          <cell r="AI30">
            <v>142594.9755</v>
          </cell>
          <cell r="AJ30">
            <v>146802.5779</v>
          </cell>
          <cell r="AK30">
            <v>151184.53829999999</v>
          </cell>
        </row>
        <row r="31">
          <cell r="B31">
            <v>78079.915919999999</v>
          </cell>
          <cell r="C31">
            <v>79424.100390000007</v>
          </cell>
          <cell r="D31">
            <v>80912.958029999994</v>
          </cell>
          <cell r="E31">
            <v>82516.448829999994</v>
          </cell>
          <cell r="F31">
            <v>84228.712310000003</v>
          </cell>
          <cell r="G31">
            <v>86038.94988</v>
          </cell>
          <cell r="H31">
            <v>87880.221189999997</v>
          </cell>
          <cell r="I31">
            <v>89737.822650000002</v>
          </cell>
          <cell r="J31">
            <v>91605.226450000002</v>
          </cell>
          <cell r="K31">
            <v>93483.524099999995</v>
          </cell>
          <cell r="L31">
            <v>95339.529079999993</v>
          </cell>
          <cell r="M31">
            <v>96899.377869999997</v>
          </cell>
          <cell r="N31">
            <v>98240.225330000001</v>
          </cell>
          <cell r="O31">
            <v>99415.505000000005</v>
          </cell>
          <cell r="P31">
            <v>100486.19680000001</v>
          </cell>
          <cell r="Q31">
            <v>101509.2752</v>
          </cell>
          <cell r="R31">
            <v>102567.15089999999</v>
          </cell>
          <cell r="S31">
            <v>103719.00629999999</v>
          </cell>
          <cell r="T31">
            <v>105002.462</v>
          </cell>
          <cell r="U31">
            <v>106436.74860000001</v>
          </cell>
          <cell r="V31">
            <v>108009.92909999999</v>
          </cell>
          <cell r="W31">
            <v>109775.3291</v>
          </cell>
          <cell r="X31">
            <v>111739.5012</v>
          </cell>
          <cell r="Y31">
            <v>113909.93700000001</v>
          </cell>
          <cell r="Z31">
            <v>116283.34329999999</v>
          </cell>
          <cell r="AA31">
            <v>118777.2896</v>
          </cell>
          <cell r="AB31">
            <v>121474.0928</v>
          </cell>
          <cell r="AC31">
            <v>124372.29889999999</v>
          </cell>
          <cell r="AD31">
            <v>127470.8753</v>
          </cell>
          <cell r="AE31">
            <v>130741.2525</v>
          </cell>
          <cell r="AF31">
            <v>134141.7279</v>
          </cell>
          <cell r="AG31">
            <v>137634.94390000001</v>
          </cell>
          <cell r="AH31">
            <v>141190.62719999999</v>
          </cell>
          <cell r="AI31">
            <v>144781.21950000001</v>
          </cell>
          <cell r="AJ31">
            <v>148380.40710000001</v>
          </cell>
          <cell r="AK31">
            <v>151962.53599999999</v>
          </cell>
        </row>
        <row r="32">
          <cell r="B32">
            <v>15431.506740000001</v>
          </cell>
          <cell r="C32">
            <v>15999.3482</v>
          </cell>
          <cell r="D32">
            <v>16561.02968</v>
          </cell>
          <cell r="E32">
            <v>17115.625909999999</v>
          </cell>
          <cell r="F32">
            <v>17674.892380000001</v>
          </cell>
          <cell r="G32">
            <v>18243.995849999999</v>
          </cell>
          <cell r="H32">
            <v>18817.88118</v>
          </cell>
          <cell r="I32">
            <v>19304.855650000001</v>
          </cell>
          <cell r="J32">
            <v>19903.203850000002</v>
          </cell>
          <cell r="K32">
            <v>20830.011500000001</v>
          </cell>
          <cell r="L32">
            <v>21776.359659999998</v>
          </cell>
          <cell r="M32">
            <v>22544.580730000001</v>
          </cell>
          <cell r="N32">
            <v>23134.22335</v>
          </cell>
          <cell r="O32">
            <v>23590.658869999999</v>
          </cell>
          <cell r="P32">
            <v>23977.469700000001</v>
          </cell>
          <cell r="Q32">
            <v>24330.039540000002</v>
          </cell>
          <cell r="R32">
            <v>24702.035970000001</v>
          </cell>
          <cell r="S32">
            <v>25126.133119999999</v>
          </cell>
          <cell r="T32">
            <v>25621.824349999999</v>
          </cell>
          <cell r="U32">
            <v>26192.688549999999</v>
          </cell>
          <cell r="V32">
            <v>26841.35972</v>
          </cell>
          <cell r="W32">
            <v>27574.545699999999</v>
          </cell>
          <cell r="X32">
            <v>28402.526989999998</v>
          </cell>
          <cell r="Y32">
            <v>29319.764920000001</v>
          </cell>
          <cell r="Z32">
            <v>30312.360560000001</v>
          </cell>
          <cell r="AA32">
            <v>31370.305489999999</v>
          </cell>
          <cell r="AB32">
            <v>32514.988410000002</v>
          </cell>
          <cell r="AC32">
            <v>33785.042569999998</v>
          </cell>
          <cell r="AD32">
            <v>35176.536540000001</v>
          </cell>
          <cell r="AE32">
            <v>36660.951829999998</v>
          </cell>
          <cell r="AF32">
            <v>38206.444609999999</v>
          </cell>
          <cell r="AG32">
            <v>39804.93217</v>
          </cell>
          <cell r="AH32">
            <v>41463.623079999998</v>
          </cell>
          <cell r="AI32">
            <v>43176.509619999997</v>
          </cell>
          <cell r="AJ32">
            <v>44933.2889</v>
          </cell>
          <cell r="AK32">
            <v>46721.693639999998</v>
          </cell>
        </row>
        <row r="33">
          <cell r="B33">
            <v>15431.506740000001</v>
          </cell>
          <cell r="C33">
            <v>15999.3482</v>
          </cell>
          <cell r="D33">
            <v>16561.02968</v>
          </cell>
          <cell r="E33">
            <v>17115.625909999999</v>
          </cell>
          <cell r="F33">
            <v>17674.892380000001</v>
          </cell>
          <cell r="G33">
            <v>18243.995849999999</v>
          </cell>
          <cell r="H33">
            <v>18817.88119</v>
          </cell>
          <cell r="I33">
            <v>19391.106329999999</v>
          </cell>
          <cell r="J33">
            <v>19961.9545</v>
          </cell>
          <cell r="K33">
            <v>20531.688050000001</v>
          </cell>
          <cell r="L33">
            <v>21055.720809999999</v>
          </cell>
          <cell r="M33">
            <v>21407.040919999999</v>
          </cell>
          <cell r="N33">
            <v>21663.2565</v>
          </cell>
          <cell r="O33">
            <v>21866.674709999999</v>
          </cell>
          <cell r="P33">
            <v>22055.7186</v>
          </cell>
          <cell r="Q33">
            <v>22258.302240000001</v>
          </cell>
          <cell r="R33">
            <v>22500.943350000001</v>
          </cell>
          <cell r="S33">
            <v>22804.09131</v>
          </cell>
          <cell r="T33">
            <v>23179.194350000002</v>
          </cell>
          <cell r="U33">
            <v>23627.96067</v>
          </cell>
          <cell r="V33">
            <v>24151.706920000001</v>
          </cell>
          <cell r="W33">
            <v>24749.61894</v>
          </cell>
          <cell r="X33">
            <v>25425.348969999999</v>
          </cell>
          <cell r="Y33">
            <v>26177.788329999999</v>
          </cell>
          <cell r="Z33">
            <v>27000.15754</v>
          </cell>
          <cell r="AA33">
            <v>27888.490160000001</v>
          </cell>
          <cell r="AB33">
            <v>28841.664550000001</v>
          </cell>
          <cell r="AC33">
            <v>29864.781279999999</v>
          </cell>
          <cell r="AD33">
            <v>30954.5576</v>
          </cell>
          <cell r="AE33">
            <v>32090.849320000001</v>
          </cell>
          <cell r="AF33">
            <v>33250.433790000003</v>
          </cell>
          <cell r="AG33">
            <v>34417.949679999998</v>
          </cell>
          <cell r="AH33">
            <v>35584.990469999997</v>
          </cell>
          <cell r="AI33">
            <v>36745.463199999998</v>
          </cell>
          <cell r="AJ33">
            <v>37894.069289999999</v>
          </cell>
          <cell r="AK33">
            <v>39025.618240000003</v>
          </cell>
        </row>
        <row r="34">
          <cell r="B34">
            <v>20625.000660000002</v>
          </cell>
          <cell r="C34">
            <v>21150.667020000001</v>
          </cell>
          <cell r="D34">
            <v>21712.32893</v>
          </cell>
          <cell r="E34">
            <v>22285.596229999999</v>
          </cell>
          <cell r="F34">
            <v>22904.664280000001</v>
          </cell>
          <cell r="G34">
            <v>23581.685700000002</v>
          </cell>
          <cell r="H34">
            <v>24300.091789999999</v>
          </cell>
          <cell r="I34">
            <v>24809.29954</v>
          </cell>
          <cell r="J34">
            <v>25276.48818</v>
          </cell>
          <cell r="K34">
            <v>25936.81395</v>
          </cell>
          <cell r="L34">
            <v>26609.603429999999</v>
          </cell>
          <cell r="M34">
            <v>27203.838830000001</v>
          </cell>
          <cell r="N34">
            <v>27738.323619999999</v>
          </cell>
          <cell r="O34">
            <v>28226.941900000002</v>
          </cell>
          <cell r="P34">
            <v>28692.553909999999</v>
          </cell>
          <cell r="Q34">
            <v>29145.29074</v>
          </cell>
          <cell r="R34">
            <v>29568.79449</v>
          </cell>
          <cell r="S34">
            <v>29991.265309999999</v>
          </cell>
          <cell r="T34">
            <v>30438.442210000001</v>
          </cell>
          <cell r="U34">
            <v>30929.983779999999</v>
          </cell>
          <cell r="V34">
            <v>31476.31726</v>
          </cell>
          <cell r="W34">
            <v>32103.929609999999</v>
          </cell>
          <cell r="X34">
            <v>32829.589760000003</v>
          </cell>
          <cell r="Y34">
            <v>33661.323450000004</v>
          </cell>
          <cell r="Z34">
            <v>34599.927920000002</v>
          </cell>
          <cell r="AA34">
            <v>35625.294719999998</v>
          </cell>
          <cell r="AB34">
            <v>36774.765679999997</v>
          </cell>
          <cell r="AC34">
            <v>38072.172879999998</v>
          </cell>
          <cell r="AD34">
            <v>39527.89284</v>
          </cell>
          <cell r="AE34">
            <v>41136.611960000002</v>
          </cell>
          <cell r="AF34">
            <v>42887.313139999998</v>
          </cell>
          <cell r="AG34">
            <v>44778.422189999997</v>
          </cell>
          <cell r="AH34">
            <v>46817.026279999998</v>
          </cell>
          <cell r="AI34">
            <v>49007.346219999999</v>
          </cell>
          <cell r="AJ34">
            <v>51354.128969999998</v>
          </cell>
          <cell r="AK34">
            <v>53865.082979999999</v>
          </cell>
        </row>
        <row r="35">
          <cell r="B35">
            <v>20625.000660000002</v>
          </cell>
          <cell r="C35">
            <v>21150.667020000001</v>
          </cell>
          <cell r="D35">
            <v>21712.32893</v>
          </cell>
          <cell r="E35">
            <v>22285.596219999999</v>
          </cell>
          <cell r="F35">
            <v>22904.664280000001</v>
          </cell>
          <cell r="G35">
            <v>23581.685700000002</v>
          </cell>
          <cell r="H35">
            <v>24300.091789999999</v>
          </cell>
          <cell r="I35">
            <v>25048.969519999999</v>
          </cell>
          <cell r="J35">
            <v>25822.226309999998</v>
          </cell>
          <cell r="K35">
            <v>26616.67037</v>
          </cell>
          <cell r="L35">
            <v>27403.219710000001</v>
          </cell>
          <cell r="M35">
            <v>28060.562519999999</v>
          </cell>
          <cell r="N35">
            <v>28627.483370000002</v>
          </cell>
          <cell r="O35">
            <v>29125.289369999999</v>
          </cell>
          <cell r="P35">
            <v>29578.322670000001</v>
          </cell>
          <cell r="Q35">
            <v>30009.14345</v>
          </cell>
          <cell r="R35">
            <v>30447.809600000001</v>
          </cell>
          <cell r="S35">
            <v>30916.73286</v>
          </cell>
          <cell r="T35">
            <v>31431.749349999998</v>
          </cell>
          <cell r="U35">
            <v>32002.17539</v>
          </cell>
          <cell r="V35">
            <v>32629.392739999999</v>
          </cell>
          <cell r="W35">
            <v>33331.761030000001</v>
          </cell>
          <cell r="X35">
            <v>34118.772799999999</v>
          </cell>
          <cell r="Y35">
            <v>34996.352299999999</v>
          </cell>
          <cell r="Z35">
            <v>35964.652860000002</v>
          </cell>
          <cell r="AA35">
            <v>37001.279459999998</v>
          </cell>
          <cell r="AB35">
            <v>38128.482320000003</v>
          </cell>
          <cell r="AC35">
            <v>39353.578509999999</v>
          </cell>
          <cell r="AD35">
            <v>40678.487430000001</v>
          </cell>
          <cell r="AE35">
            <v>42091.63134</v>
          </cell>
          <cell r="AF35">
            <v>43575.460469999998</v>
          </cell>
          <cell r="AG35">
            <v>45114.658750000002</v>
          </cell>
          <cell r="AH35">
            <v>46696.704660000003</v>
          </cell>
          <cell r="AI35">
            <v>48309.413699999997</v>
          </cell>
          <cell r="AJ35">
            <v>49940.36651</v>
          </cell>
          <cell r="AK35">
            <v>51576.727980000003</v>
          </cell>
        </row>
        <row r="36">
          <cell r="B36">
            <v>2017586.2379999999</v>
          </cell>
          <cell r="C36">
            <v>2055243.7120000001</v>
          </cell>
          <cell r="D36">
            <v>2099147.2379999999</v>
          </cell>
          <cell r="E36">
            <v>2148078.7030000002</v>
          </cell>
          <cell r="F36">
            <v>2200791.926</v>
          </cell>
          <cell r="G36">
            <v>2256761.4180000001</v>
          </cell>
          <cell r="H36">
            <v>2314100.8169999998</v>
          </cell>
          <cell r="I36">
            <v>2367370.216</v>
          </cell>
          <cell r="J36">
            <v>2420807.9079999998</v>
          </cell>
          <cell r="K36">
            <v>2484436.0210000002</v>
          </cell>
          <cell r="L36">
            <v>2550695.4180000001</v>
          </cell>
          <cell r="M36">
            <v>2610251.4160000002</v>
          </cell>
          <cell r="N36">
            <v>2663600.7829999998</v>
          </cell>
          <cell r="O36">
            <v>2711830.2930000001</v>
          </cell>
          <cell r="P36">
            <v>2756769.9810000001</v>
          </cell>
          <cell r="Q36">
            <v>2799817.19</v>
          </cell>
          <cell r="R36">
            <v>2842222.99</v>
          </cell>
          <cell r="S36">
            <v>2885525.5610000002</v>
          </cell>
          <cell r="T36">
            <v>2930909.5070000002</v>
          </cell>
          <cell r="U36">
            <v>2979224.8790000002</v>
          </cell>
          <cell r="V36">
            <v>3030318.9180000001</v>
          </cell>
          <cell r="W36">
            <v>3086073.6490000002</v>
          </cell>
          <cell r="X36">
            <v>3146980.2390000001</v>
          </cell>
          <cell r="Y36">
            <v>3213567.0120000001</v>
          </cell>
          <cell r="Z36">
            <v>3286071.537</v>
          </cell>
          <cell r="AA36">
            <v>3362082.1549999998</v>
          </cell>
          <cell r="AB36">
            <v>3444382.662</v>
          </cell>
          <cell r="AC36">
            <v>3533212.406</v>
          </cell>
          <cell r="AD36">
            <v>3629048.4440000001</v>
          </cell>
          <cell r="AE36">
            <v>3731793.1359999999</v>
          </cell>
          <cell r="AF36">
            <v>3840962.6749999998</v>
          </cell>
          <cell r="AG36">
            <v>3956078.9750000001</v>
          </cell>
          <cell r="AH36">
            <v>4076855.88</v>
          </cell>
          <cell r="AI36">
            <v>4203241.8279999997</v>
          </cell>
          <cell r="AJ36">
            <v>4335478.5659999996</v>
          </cell>
          <cell r="AK36">
            <v>4474260.8830000004</v>
          </cell>
        </row>
        <row r="37">
          <cell r="B37">
            <v>2017586.2379999999</v>
          </cell>
          <cell r="C37">
            <v>2055243.7120000001</v>
          </cell>
          <cell r="D37">
            <v>2099147.2379999999</v>
          </cell>
          <cell r="E37">
            <v>2148078.7030000002</v>
          </cell>
          <cell r="F37">
            <v>2200791.926</v>
          </cell>
          <cell r="G37">
            <v>2256761.4180000001</v>
          </cell>
          <cell r="H37">
            <v>2314100.8169999998</v>
          </cell>
          <cell r="I37">
            <v>2372563.65</v>
          </cell>
          <cell r="J37">
            <v>2432044.5079999999</v>
          </cell>
          <cell r="K37">
            <v>2492599.7820000001</v>
          </cell>
          <cell r="L37">
            <v>2553711.8930000002</v>
          </cell>
          <cell r="M37">
            <v>2608333.4249999998</v>
          </cell>
          <cell r="N37">
            <v>2657588.9750000001</v>
          </cell>
          <cell r="O37">
            <v>2702403.6260000002</v>
          </cell>
          <cell r="P37">
            <v>2744042.4279999998</v>
          </cell>
          <cell r="Q37">
            <v>2783831.3330000001</v>
          </cell>
          <cell r="R37">
            <v>2823842.4569999999</v>
          </cell>
          <cell r="S37">
            <v>2865592.8420000002</v>
          </cell>
          <cell r="T37">
            <v>2910131.6490000002</v>
          </cell>
          <cell r="U37">
            <v>2958108.3689999999</v>
          </cell>
          <cell r="V37">
            <v>3009202.69</v>
          </cell>
          <cell r="W37">
            <v>3065167.6090000002</v>
          </cell>
          <cell r="X37">
            <v>3126369.6490000002</v>
          </cell>
          <cell r="Y37">
            <v>3193183.8480000002</v>
          </cell>
          <cell r="Z37">
            <v>3265676.3879999998</v>
          </cell>
          <cell r="AA37">
            <v>3341305.44</v>
          </cell>
          <cell r="AB37">
            <v>3422608.8539999998</v>
          </cell>
          <cell r="AC37">
            <v>3509744.5729999999</v>
          </cell>
          <cell r="AD37">
            <v>3602905.6189999999</v>
          </cell>
          <cell r="AE37">
            <v>3701634.2459999998</v>
          </cell>
          <cell r="AF37">
            <v>3805061.4369999999</v>
          </cell>
          <cell r="AG37">
            <v>3912310.281</v>
          </cell>
          <cell r="AH37">
            <v>4022595.5520000001</v>
          </cell>
          <cell r="AI37">
            <v>4135145.3369999998</v>
          </cell>
          <cell r="AJ37">
            <v>4249176.2510000002</v>
          </cell>
          <cell r="AK37">
            <v>4363884.6310000001</v>
          </cell>
        </row>
        <row r="38">
          <cell r="B38">
            <v>540249.26740000001</v>
          </cell>
          <cell r="C38">
            <v>548223.71380000003</v>
          </cell>
          <cell r="D38">
            <v>557098.97199999995</v>
          </cell>
          <cell r="E38">
            <v>566434.29929999996</v>
          </cell>
          <cell r="F38">
            <v>576163.81039999996</v>
          </cell>
          <cell r="G38">
            <v>586253.06570000004</v>
          </cell>
          <cell r="H38">
            <v>596182.57550000004</v>
          </cell>
          <cell r="I38">
            <v>606192.31359999999</v>
          </cell>
          <cell r="J38">
            <v>616373.01549999998</v>
          </cell>
          <cell r="K38">
            <v>627230.12450000003</v>
          </cell>
          <cell r="L38">
            <v>639201.65980000002</v>
          </cell>
          <cell r="M38">
            <v>650257.84629999998</v>
          </cell>
          <cell r="N38">
            <v>661141.01470000006</v>
          </cell>
          <cell r="O38">
            <v>671888.59950000001</v>
          </cell>
          <cell r="P38">
            <v>682588.47889999999</v>
          </cell>
          <cell r="Q38">
            <v>693324.40599999996</v>
          </cell>
          <cell r="R38">
            <v>704206.3443</v>
          </cell>
          <cell r="S38">
            <v>715323.08840000001</v>
          </cell>
          <cell r="T38">
            <v>726756.71669999999</v>
          </cell>
          <cell r="U38">
            <v>738572.64580000006</v>
          </cell>
          <cell r="V38">
            <v>750208.32140000002</v>
          </cell>
          <cell r="W38">
            <v>762911.41269999999</v>
          </cell>
          <cell r="X38">
            <v>776171.01379999996</v>
          </cell>
          <cell r="Y38">
            <v>790029.62139999995</v>
          </cell>
          <cell r="Z38">
            <v>804516.11869999999</v>
          </cell>
          <cell r="AA38">
            <v>817839.27150000003</v>
          </cell>
          <cell r="AB38">
            <v>832658.75679999997</v>
          </cell>
          <cell r="AC38">
            <v>848150.13009999995</v>
          </cell>
          <cell r="AD38">
            <v>864355.97710000002</v>
          </cell>
          <cell r="AE38">
            <v>881292.85499999998</v>
          </cell>
          <cell r="AF38">
            <v>898955.32499999995</v>
          </cell>
          <cell r="AG38">
            <v>917335.45519999997</v>
          </cell>
          <cell r="AH38">
            <v>936435.85290000006</v>
          </cell>
          <cell r="AI38">
            <v>956277.49780000001</v>
          </cell>
          <cell r="AJ38">
            <v>976906.59100000001</v>
          </cell>
          <cell r="AK38">
            <v>998407.36029999994</v>
          </cell>
        </row>
        <row r="39">
          <cell r="B39">
            <v>540249.26740000001</v>
          </cell>
          <cell r="C39">
            <v>548223.71380000003</v>
          </cell>
          <cell r="D39">
            <v>557098.97199999995</v>
          </cell>
          <cell r="E39">
            <v>566434.29920000001</v>
          </cell>
          <cell r="F39">
            <v>576163.81030000001</v>
          </cell>
          <cell r="G39">
            <v>586253.06559999997</v>
          </cell>
          <cell r="H39">
            <v>596182.57550000004</v>
          </cell>
          <cell r="I39">
            <v>606359.34730000002</v>
          </cell>
          <cell r="J39">
            <v>616767.02040000004</v>
          </cell>
          <cell r="K39">
            <v>627400.85800000001</v>
          </cell>
          <cell r="L39">
            <v>639001.4094</v>
          </cell>
          <cell r="M39">
            <v>649688.35939999996</v>
          </cell>
          <cell r="N39">
            <v>660233.51100000006</v>
          </cell>
          <cell r="O39">
            <v>670677.67310000001</v>
          </cell>
          <cell r="P39">
            <v>681089.5871</v>
          </cell>
          <cell r="Q39">
            <v>691551.8493</v>
          </cell>
          <cell r="R39">
            <v>702197.82079999999</v>
          </cell>
          <cell r="S39">
            <v>713130.3824</v>
          </cell>
          <cell r="T39">
            <v>724427.14989999996</v>
          </cell>
          <cell r="U39">
            <v>736143.02469999995</v>
          </cell>
          <cell r="V39">
            <v>747705.78520000004</v>
          </cell>
          <cell r="W39">
            <v>760355.10149999999</v>
          </cell>
          <cell r="X39">
            <v>773571.06960000005</v>
          </cell>
          <cell r="Y39">
            <v>787385.33680000005</v>
          </cell>
          <cell r="Z39">
            <v>801815.05989999999</v>
          </cell>
          <cell r="AA39">
            <v>815059.55630000005</v>
          </cell>
          <cell r="AB39">
            <v>829763.77359999996</v>
          </cell>
          <cell r="AC39">
            <v>845091.15989999997</v>
          </cell>
          <cell r="AD39">
            <v>861061.31299999997</v>
          </cell>
          <cell r="AE39">
            <v>877663.51639999996</v>
          </cell>
          <cell r="AF39">
            <v>894862.804</v>
          </cell>
          <cell r="AG39">
            <v>912618.6</v>
          </cell>
          <cell r="AH39">
            <v>930890.85900000005</v>
          </cell>
          <cell r="AI39">
            <v>949639.30870000005</v>
          </cell>
          <cell r="AJ39">
            <v>968823.2659</v>
          </cell>
          <cell r="AK39">
            <v>988399.65249999997</v>
          </cell>
        </row>
        <row r="40">
          <cell r="B40">
            <v>4213.3121289999999</v>
          </cell>
          <cell r="C40">
            <v>4284.6495699999996</v>
          </cell>
          <cell r="D40">
            <v>4365.1233849999999</v>
          </cell>
          <cell r="E40">
            <v>4450.5866809999998</v>
          </cell>
          <cell r="F40">
            <v>4544.5080669999998</v>
          </cell>
          <cell r="G40">
            <v>4646.0527089999996</v>
          </cell>
          <cell r="H40">
            <v>4750.4680239999998</v>
          </cell>
          <cell r="I40">
            <v>4802.9262680000002</v>
          </cell>
          <cell r="J40">
            <v>4848.7317359999997</v>
          </cell>
          <cell r="K40">
            <v>4912.9148459999997</v>
          </cell>
          <cell r="L40">
            <v>4977.4007359999996</v>
          </cell>
          <cell r="M40">
            <v>5027.1219279999996</v>
          </cell>
          <cell r="N40">
            <v>5062.5220799999997</v>
          </cell>
          <cell r="O40">
            <v>5087.7623450000001</v>
          </cell>
          <cell r="P40">
            <v>5108.4206260000001</v>
          </cell>
          <cell r="Q40">
            <v>5128.3207270000003</v>
          </cell>
          <cell r="R40">
            <v>5159.3014830000002</v>
          </cell>
          <cell r="S40">
            <v>5195.8847519999999</v>
          </cell>
          <cell r="T40">
            <v>5240.8621069999999</v>
          </cell>
          <cell r="U40">
            <v>5295.8240169999999</v>
          </cell>
          <cell r="V40">
            <v>5361.0492199999999</v>
          </cell>
          <cell r="W40">
            <v>5438.9641680000004</v>
          </cell>
          <cell r="X40">
            <v>5530.7980729999999</v>
          </cell>
          <cell r="Y40">
            <v>5636.9691709999997</v>
          </cell>
          <cell r="Z40">
            <v>5757.1853039999996</v>
          </cell>
          <cell r="AA40">
            <v>5888.2736249999998</v>
          </cell>
          <cell r="AB40">
            <v>6029.9640840000002</v>
          </cell>
          <cell r="AC40">
            <v>6187.1866900000005</v>
          </cell>
          <cell r="AD40">
            <v>6359.9252960000003</v>
          </cell>
          <cell r="AE40">
            <v>6546.3609990000004</v>
          </cell>
          <cell r="AF40">
            <v>6744.0907260000004</v>
          </cell>
          <cell r="AG40">
            <v>6951.6728990000001</v>
          </cell>
          <cell r="AH40">
            <v>7168.6067880000001</v>
          </cell>
          <cell r="AI40">
            <v>7394.450879</v>
          </cell>
          <cell r="AJ40">
            <v>7629.2388609999998</v>
          </cell>
          <cell r="AK40">
            <v>7873.8252439999997</v>
          </cell>
        </row>
        <row r="41">
          <cell r="B41">
            <v>4213.3121270000001</v>
          </cell>
          <cell r="C41">
            <v>4284.6495690000002</v>
          </cell>
          <cell r="D41">
            <v>4365.1233840000004</v>
          </cell>
          <cell r="E41">
            <v>4450.5866800000003</v>
          </cell>
          <cell r="F41">
            <v>4544.5080669999998</v>
          </cell>
          <cell r="G41">
            <v>4646.0527080000002</v>
          </cell>
          <cell r="H41">
            <v>4750.4680239999998</v>
          </cell>
          <cell r="I41">
            <v>4855.592087</v>
          </cell>
          <cell r="J41">
            <v>4960.7812100000001</v>
          </cell>
          <cell r="K41">
            <v>5066.072615</v>
          </cell>
          <cell r="L41">
            <v>5168.1016639999998</v>
          </cell>
          <cell r="M41">
            <v>5250.0838299999996</v>
          </cell>
          <cell r="N41">
            <v>5317.1441080000004</v>
          </cell>
          <cell r="O41">
            <v>5373.8546749999996</v>
          </cell>
          <cell r="P41">
            <v>5425.1043410000002</v>
          </cell>
          <cell r="Q41">
            <v>5475.1620050000001</v>
          </cell>
          <cell r="R41">
            <v>5530.0169450000003</v>
          </cell>
          <cell r="S41">
            <v>5593.6287069999998</v>
          </cell>
          <cell r="T41">
            <v>5668.3950349999996</v>
          </cell>
          <cell r="U41">
            <v>5755.3212569999996</v>
          </cell>
          <cell r="V41">
            <v>5854.025216</v>
          </cell>
          <cell r="W41">
            <v>5966.2073780000001</v>
          </cell>
          <cell r="X41">
            <v>6092.4834069999997</v>
          </cell>
          <cell r="Y41">
            <v>6233.0248069999998</v>
          </cell>
          <cell r="Z41">
            <v>6387.3028979999999</v>
          </cell>
          <cell r="AA41">
            <v>6551.7558769999996</v>
          </cell>
          <cell r="AB41">
            <v>6728.5204370000001</v>
          </cell>
          <cell r="AC41">
            <v>6918.0240839999997</v>
          </cell>
          <cell r="AD41">
            <v>7119.9377469999999</v>
          </cell>
          <cell r="AE41">
            <v>7331.9502819999998</v>
          </cell>
          <cell r="AF41">
            <v>7550.9635399999997</v>
          </cell>
          <cell r="AG41">
            <v>7774.354738</v>
          </cell>
          <cell r="AH41">
            <v>8000.1542049999998</v>
          </cell>
          <cell r="AI41">
            <v>8226.6928459999999</v>
          </cell>
          <cell r="AJ41">
            <v>8452.4507150000009</v>
          </cell>
          <cell r="AK41">
            <v>8675.9905749999998</v>
          </cell>
        </row>
        <row r="42">
          <cell r="B42">
            <v>35350.668339999997</v>
          </cell>
          <cell r="C42">
            <v>35670.246160000002</v>
          </cell>
          <cell r="D42">
            <v>35998.947890000003</v>
          </cell>
          <cell r="E42">
            <v>36353.05517</v>
          </cell>
          <cell r="F42">
            <v>36818.442349999998</v>
          </cell>
          <cell r="G42">
            <v>37383.334479999998</v>
          </cell>
          <cell r="H42">
            <v>37999.968580000001</v>
          </cell>
          <cell r="I42">
            <v>37716.659749999999</v>
          </cell>
          <cell r="J42">
            <v>37400.876900000003</v>
          </cell>
          <cell r="K42">
            <v>37208.158150000003</v>
          </cell>
          <cell r="L42">
            <v>36985.635600000001</v>
          </cell>
          <cell r="M42">
            <v>36668.509319999997</v>
          </cell>
          <cell r="N42">
            <v>36271.489500000003</v>
          </cell>
          <cell r="O42">
            <v>35820.61838</v>
          </cell>
          <cell r="P42">
            <v>35346.072690000001</v>
          </cell>
          <cell r="Q42">
            <v>34862.364370000003</v>
          </cell>
          <cell r="R42">
            <v>34327.901250000003</v>
          </cell>
          <cell r="S42">
            <v>33791.086889999999</v>
          </cell>
          <cell r="T42">
            <v>33262.645940000002</v>
          </cell>
          <cell r="U42">
            <v>32747.21701</v>
          </cell>
          <cell r="V42">
            <v>32244.386869999998</v>
          </cell>
          <cell r="W42">
            <v>31761.321510000002</v>
          </cell>
          <cell r="X42">
            <v>31300.62038</v>
          </cell>
          <cell r="Y42">
            <v>30861.449970000001</v>
          </cell>
          <cell r="Z42">
            <v>30439.493340000001</v>
          </cell>
          <cell r="AA42">
            <v>30021.707539999999</v>
          </cell>
          <cell r="AB42">
            <v>29628.701219999999</v>
          </cell>
          <cell r="AC42">
            <v>29250.573700000001</v>
          </cell>
          <cell r="AD42">
            <v>28883.44198</v>
          </cell>
          <cell r="AE42">
            <v>28514.842069999999</v>
          </cell>
          <cell r="AF42">
            <v>28129.427970000001</v>
          </cell>
          <cell r="AG42">
            <v>27715.032739999999</v>
          </cell>
          <cell r="AH42">
            <v>27262.693579999999</v>
          </cell>
          <cell r="AI42">
            <v>26763.871340000002</v>
          </cell>
          <cell r="AJ42">
            <v>26210.83181</v>
          </cell>
          <cell r="AK42">
            <v>25597.386490000001</v>
          </cell>
        </row>
        <row r="43">
          <cell r="B43">
            <v>35350.668230000003</v>
          </cell>
          <cell r="C43">
            <v>35670.246059999998</v>
          </cell>
          <cell r="D43">
            <v>35998.947789999998</v>
          </cell>
          <cell r="E43">
            <v>36353.055070000002</v>
          </cell>
          <cell r="F43">
            <v>36818.44225</v>
          </cell>
          <cell r="G43">
            <v>37383.33438</v>
          </cell>
          <cell r="H43">
            <v>37999.968480000003</v>
          </cell>
          <cell r="I43">
            <v>38636.341690000001</v>
          </cell>
          <cell r="J43">
            <v>39281.738019999997</v>
          </cell>
          <cell r="K43">
            <v>39932.934860000001</v>
          </cell>
          <cell r="L43">
            <v>40569.186329999997</v>
          </cell>
          <cell r="M43">
            <v>41096.656340000001</v>
          </cell>
          <cell r="N43">
            <v>41539.767520000001</v>
          </cell>
          <cell r="O43">
            <v>41920.376120000001</v>
          </cell>
          <cell r="P43">
            <v>42261.306210000002</v>
          </cell>
          <cell r="Q43">
            <v>42582.369839999999</v>
          </cell>
          <cell r="R43">
            <v>42923.076090000002</v>
          </cell>
          <cell r="S43">
            <v>43307.803720000004</v>
          </cell>
          <cell r="T43">
            <v>43749.403550000003</v>
          </cell>
          <cell r="U43">
            <v>44251.169269999999</v>
          </cell>
          <cell r="V43">
            <v>44809.734369999998</v>
          </cell>
          <cell r="W43">
            <v>45432.875269999997</v>
          </cell>
          <cell r="X43">
            <v>46124.005420000001</v>
          </cell>
          <cell r="Y43">
            <v>46885.400970000002</v>
          </cell>
          <cell r="Z43">
            <v>47716.218159999997</v>
          </cell>
          <cell r="AA43">
            <v>48602.348259999999</v>
          </cell>
          <cell r="AB43">
            <v>49557.898569999998</v>
          </cell>
          <cell r="AC43">
            <v>50588.551930000001</v>
          </cell>
          <cell r="AD43">
            <v>51695.743060000001</v>
          </cell>
          <cell r="AE43">
            <v>52869.996220000001</v>
          </cell>
          <cell r="AF43">
            <v>54096.741459999997</v>
          </cell>
          <cell r="AG43">
            <v>55363.079039999997</v>
          </cell>
          <cell r="AH43">
            <v>56658.516620000002</v>
          </cell>
          <cell r="AI43">
            <v>57973.138780000001</v>
          </cell>
          <cell r="AJ43">
            <v>59296.913719999997</v>
          </cell>
          <cell r="AK43">
            <v>60619.390249999997</v>
          </cell>
        </row>
        <row r="44">
          <cell r="B44">
            <v>3918.7916530000002</v>
          </cell>
          <cell r="C44">
            <v>3935.7950900000001</v>
          </cell>
          <cell r="D44">
            <v>3951.6777790000001</v>
          </cell>
          <cell r="E44">
            <v>3972.3137769999998</v>
          </cell>
          <cell r="F44">
            <v>4006.1107849999999</v>
          </cell>
          <cell r="G44">
            <v>4051.7555929999999</v>
          </cell>
          <cell r="H44">
            <v>4105.1350640000001</v>
          </cell>
          <cell r="I44">
            <v>5030.4608710000002</v>
          </cell>
          <cell r="J44">
            <v>5991.0326880000002</v>
          </cell>
          <cell r="K44">
            <v>6997.2572680000003</v>
          </cell>
          <cell r="L44">
            <v>8045.3104739999999</v>
          </cell>
          <cell r="M44">
            <v>9134.7243660000004</v>
          </cell>
          <cell r="N44">
            <v>10264.05241</v>
          </cell>
          <cell r="O44">
            <v>11433.02038</v>
          </cell>
          <cell r="P44">
            <v>12643.26917</v>
          </cell>
          <cell r="Q44">
            <v>13896.443859999999</v>
          </cell>
          <cell r="R44">
            <v>15188.48545</v>
          </cell>
          <cell r="S44">
            <v>16525.337729999999</v>
          </cell>
          <cell r="T44">
            <v>17913.9683</v>
          </cell>
          <cell r="U44">
            <v>19361.228640000001</v>
          </cell>
          <cell r="V44">
            <v>20872.697080000002</v>
          </cell>
          <cell r="W44">
            <v>22458.383089999999</v>
          </cell>
          <cell r="X44">
            <v>24128.037130000001</v>
          </cell>
          <cell r="Y44">
            <v>25891.573639999999</v>
          </cell>
          <cell r="Z44">
            <v>27758.881860000001</v>
          </cell>
          <cell r="AA44">
            <v>29734.33035</v>
          </cell>
          <cell r="AB44">
            <v>31836.115880000001</v>
          </cell>
          <cell r="AC44">
            <v>34082.968679999998</v>
          </cell>
          <cell r="AD44">
            <v>36493.329599999997</v>
          </cell>
          <cell r="AE44">
            <v>39084.053059999998</v>
          </cell>
          <cell r="AF44">
            <v>41872.178339999999</v>
          </cell>
          <cell r="AG44">
            <v>44879.24351</v>
          </cell>
          <cell r="AH44">
            <v>48133.801509999998</v>
          </cell>
          <cell r="AI44">
            <v>51672.296699999999</v>
          </cell>
          <cell r="AJ44">
            <v>55544.803890000003</v>
          </cell>
          <cell r="AK44">
            <v>59825.695670000001</v>
          </cell>
        </row>
        <row r="45">
          <cell r="B45">
            <v>3918.7916530000002</v>
          </cell>
          <cell r="C45">
            <v>3935.7950900000001</v>
          </cell>
          <cell r="D45">
            <v>3951.6777780000002</v>
          </cell>
          <cell r="E45">
            <v>3972.313776</v>
          </cell>
          <cell r="F45">
            <v>4006.110784</v>
          </cell>
          <cell r="G45">
            <v>4051.755592</v>
          </cell>
          <cell r="H45">
            <v>4105.1350620000003</v>
          </cell>
          <cell r="I45">
            <v>4162.2804500000002</v>
          </cell>
          <cell r="J45">
            <v>4221.3394680000001</v>
          </cell>
          <cell r="K45">
            <v>4281.4372739999999</v>
          </cell>
          <cell r="L45">
            <v>4341.3463009999996</v>
          </cell>
          <cell r="M45">
            <v>4395.4351889999998</v>
          </cell>
          <cell r="N45">
            <v>4444.0214349999997</v>
          </cell>
          <cell r="O45">
            <v>4487.7622499999998</v>
          </cell>
          <cell r="P45">
            <v>4527.6264650000003</v>
          </cell>
          <cell r="Q45">
            <v>4564.6570199999996</v>
          </cell>
          <cell r="R45">
            <v>4601.3195820000001</v>
          </cell>
          <cell r="S45">
            <v>4639.8230460000004</v>
          </cell>
          <cell r="T45">
            <v>4681.3225339999999</v>
          </cell>
          <cell r="U45">
            <v>4726.2626749999999</v>
          </cell>
          <cell r="V45">
            <v>4774.4510440000004</v>
          </cell>
          <cell r="W45">
            <v>4826.6004579999999</v>
          </cell>
          <cell r="X45">
            <v>4883.068233</v>
          </cell>
          <cell r="Y45">
            <v>4944.1706459999996</v>
          </cell>
          <cell r="Z45">
            <v>5010.0629989999998</v>
          </cell>
          <cell r="AA45">
            <v>5079.6770509999997</v>
          </cell>
          <cell r="AB45">
            <v>5154.131738</v>
          </cell>
          <cell r="AC45">
            <v>5233.8879779999997</v>
          </cell>
          <cell r="AD45">
            <v>5319.1841990000003</v>
          </cell>
          <cell r="AE45">
            <v>5409.642038</v>
          </cell>
          <cell r="AF45">
            <v>5504.4955179999997</v>
          </cell>
          <cell r="AG45">
            <v>5602.9213010000003</v>
          </cell>
          <cell r="AH45">
            <v>5704.1213959999995</v>
          </cell>
          <cell r="AI45">
            <v>5807.2593660000002</v>
          </cell>
          <cell r="AJ45">
            <v>5911.4408800000001</v>
          </cell>
          <cell r="AK45">
            <v>6015.7164629999997</v>
          </cell>
        </row>
        <row r="46">
          <cell r="B46">
            <v>398.34881999999999</v>
          </cell>
          <cell r="C46">
            <v>400.92244679999999</v>
          </cell>
          <cell r="D46">
            <v>403.9715218</v>
          </cell>
          <cell r="E46">
            <v>406.78008080000001</v>
          </cell>
          <cell r="F46">
            <v>411.43490869999999</v>
          </cell>
          <cell r="G46">
            <v>417.38363470000002</v>
          </cell>
          <cell r="H46">
            <v>422.29061630000001</v>
          </cell>
          <cell r="I46">
            <v>402.75559959999998</v>
          </cell>
          <cell r="J46">
            <v>383.5756561</v>
          </cell>
          <cell r="K46">
            <v>366.77378049999999</v>
          </cell>
          <cell r="L46">
            <v>350.89435409999999</v>
          </cell>
          <cell r="M46">
            <v>335.32158550000003</v>
          </cell>
          <cell r="N46">
            <v>319.76468590000002</v>
          </cell>
          <cell r="O46">
            <v>304.33564239999998</v>
          </cell>
          <cell r="P46">
            <v>289.2494112</v>
          </cell>
          <cell r="Q46">
            <v>274.60576170000002</v>
          </cell>
          <cell r="R46">
            <v>260.66523799999999</v>
          </cell>
          <cell r="S46">
            <v>247.34992629999999</v>
          </cell>
          <cell r="T46">
            <v>234.59436779999999</v>
          </cell>
          <cell r="U46">
            <v>222.32720470000001</v>
          </cell>
          <cell r="V46">
            <v>210.44421220000001</v>
          </cell>
          <cell r="W46">
            <v>198.95963409999999</v>
          </cell>
          <cell r="X46">
            <v>187.8040005</v>
          </cell>
          <cell r="Y46">
            <v>176.89815999999999</v>
          </cell>
          <cell r="Z46">
            <v>166.15213349999999</v>
          </cell>
          <cell r="AA46">
            <v>155.39540489999999</v>
          </cell>
          <cell r="AB46">
            <v>144.65916319999999</v>
          </cell>
          <cell r="AC46">
            <v>133.887022</v>
          </cell>
          <cell r="AD46">
            <v>122.983074</v>
          </cell>
          <cell r="AE46">
            <v>111.8193112</v>
          </cell>
          <cell r="AF46">
            <v>100.2636639</v>
          </cell>
          <cell r="AG46">
            <v>88.199794159999996</v>
          </cell>
          <cell r="AH46">
            <v>75.517653260000003</v>
          </cell>
          <cell r="AI46">
            <v>62.094506809999999</v>
          </cell>
          <cell r="AJ46">
            <v>47.785242199999999</v>
          </cell>
          <cell r="AK46">
            <v>32.403079290000001</v>
          </cell>
        </row>
        <row r="47">
          <cell r="B47">
            <v>398.3487973</v>
          </cell>
          <cell r="C47">
            <v>400.92242499999998</v>
          </cell>
          <cell r="D47">
            <v>403.9715008</v>
          </cell>
          <cell r="E47">
            <v>406.78006069999998</v>
          </cell>
          <cell r="F47">
            <v>411.43488910000002</v>
          </cell>
          <cell r="G47">
            <v>417.38361520000001</v>
          </cell>
          <cell r="H47">
            <v>422.29059660000001</v>
          </cell>
          <cell r="I47">
            <v>426.50831629999999</v>
          </cell>
          <cell r="J47">
            <v>430.3804839</v>
          </cell>
          <cell r="K47">
            <v>434.0972893</v>
          </cell>
          <cell r="L47">
            <v>437.59939439999999</v>
          </cell>
          <cell r="M47">
            <v>439.76590240000002</v>
          </cell>
          <cell r="N47">
            <v>440.92337689999999</v>
          </cell>
          <cell r="O47">
            <v>441.40106880000002</v>
          </cell>
          <cell r="P47">
            <v>441.5136478</v>
          </cell>
          <cell r="Q47">
            <v>441.52373820000003</v>
          </cell>
          <cell r="R47">
            <v>442.87057220000003</v>
          </cell>
          <cell r="S47">
            <v>445.3004636</v>
          </cell>
          <cell r="T47">
            <v>448.73376789999998</v>
          </cell>
          <cell r="U47">
            <v>453.08239079999998</v>
          </cell>
          <cell r="V47">
            <v>458.20169650000003</v>
          </cell>
          <cell r="W47">
            <v>464.2117963</v>
          </cell>
          <cell r="X47">
            <v>471.114532</v>
          </cell>
          <cell r="Y47">
            <v>478.9148429</v>
          </cell>
          <cell r="Z47">
            <v>487.59049449999998</v>
          </cell>
          <cell r="AA47">
            <v>496.86305229999999</v>
          </cell>
          <cell r="AB47">
            <v>507.01189470000003</v>
          </cell>
          <cell r="AC47">
            <v>518.07490410000003</v>
          </cell>
          <cell r="AD47">
            <v>530.05098559999999</v>
          </cell>
          <cell r="AE47">
            <v>542.82252430000005</v>
          </cell>
          <cell r="AF47">
            <v>556.21160669999995</v>
          </cell>
          <cell r="AG47">
            <v>570.05598320000001</v>
          </cell>
          <cell r="AH47">
            <v>584.21836389999999</v>
          </cell>
          <cell r="AI47">
            <v>598.57601529999999</v>
          </cell>
          <cell r="AJ47">
            <v>613.01100680000002</v>
          </cell>
          <cell r="AK47">
            <v>627.40573919999997</v>
          </cell>
        </row>
        <row r="48">
          <cell r="B48">
            <v>559.21752379999998</v>
          </cell>
          <cell r="C48">
            <v>562.83048099999996</v>
          </cell>
          <cell r="D48">
            <v>567.11089070000003</v>
          </cell>
          <cell r="E48">
            <v>571.0536548</v>
          </cell>
          <cell r="F48">
            <v>577.5882828</v>
          </cell>
          <cell r="G48">
            <v>585.93933500000003</v>
          </cell>
          <cell r="H48">
            <v>592.82794609999996</v>
          </cell>
          <cell r="I48">
            <v>677.27122489999999</v>
          </cell>
          <cell r="J48">
            <v>758.94225559999995</v>
          </cell>
          <cell r="K48">
            <v>842.45259199999998</v>
          </cell>
          <cell r="L48">
            <v>925.99636229999999</v>
          </cell>
          <cell r="M48">
            <v>1008.462789</v>
          </cell>
          <cell r="N48">
            <v>1088.9865119999999</v>
          </cell>
          <cell r="O48">
            <v>1167.7666919999999</v>
          </cell>
          <cell r="P48">
            <v>1245.615781</v>
          </cell>
          <cell r="Q48">
            <v>1323.2108800000001</v>
          </cell>
          <cell r="R48">
            <v>1402.355716</v>
          </cell>
          <cell r="S48">
            <v>1483.5489250000001</v>
          </cell>
          <cell r="T48">
            <v>1567.36427</v>
          </cell>
          <cell r="U48">
            <v>1654.3591309999999</v>
          </cell>
          <cell r="V48">
            <v>1744.8339860000001</v>
          </cell>
          <cell r="W48">
            <v>1840.0796499999999</v>
          </cell>
          <cell r="X48">
            <v>1940.8957230000001</v>
          </cell>
          <cell r="Y48">
            <v>2048.0623780000001</v>
          </cell>
          <cell r="Z48">
            <v>2162.291956</v>
          </cell>
          <cell r="AA48">
            <v>2283.1446989999999</v>
          </cell>
          <cell r="AB48">
            <v>2412.9505359999998</v>
          </cell>
          <cell r="AC48">
            <v>2553.401883</v>
          </cell>
          <cell r="AD48">
            <v>2705.910484</v>
          </cell>
          <cell r="AE48">
            <v>2871.4460819999999</v>
          </cell>
          <cell r="AF48">
            <v>3050.9061000000002</v>
          </cell>
          <cell r="AG48">
            <v>3245.7583909999998</v>
          </cell>
          <cell r="AH48">
            <v>3458.307609</v>
          </cell>
          <cell r="AI48">
            <v>3691.707934</v>
          </cell>
          <cell r="AJ48">
            <v>3950.495469</v>
          </cell>
          <cell r="AK48">
            <v>4241.3686680000001</v>
          </cell>
        </row>
        <row r="49">
          <cell r="B49">
            <v>559.2176485</v>
          </cell>
          <cell r="C49">
            <v>562.83060790000002</v>
          </cell>
          <cell r="D49">
            <v>567.11101989999997</v>
          </cell>
          <cell r="E49">
            <v>571.05378629999996</v>
          </cell>
          <cell r="F49">
            <v>577.5884168</v>
          </cell>
          <cell r="G49">
            <v>585.93947149999997</v>
          </cell>
          <cell r="H49">
            <v>592.8280843</v>
          </cell>
          <cell r="I49">
            <v>598.74908440000002</v>
          </cell>
          <cell r="J49">
            <v>604.18498499999998</v>
          </cell>
          <cell r="K49">
            <v>609.40278209999997</v>
          </cell>
          <cell r="L49">
            <v>614.31917439999995</v>
          </cell>
          <cell r="M49">
            <v>617.36060320000001</v>
          </cell>
          <cell r="N49">
            <v>618.98551129999998</v>
          </cell>
          <cell r="O49">
            <v>619.65611390000004</v>
          </cell>
          <cell r="P49">
            <v>619.81415670000001</v>
          </cell>
          <cell r="Q49">
            <v>619.82832199999996</v>
          </cell>
          <cell r="R49">
            <v>621.71906030000002</v>
          </cell>
          <cell r="S49">
            <v>625.13023699999997</v>
          </cell>
          <cell r="T49">
            <v>629.95004410000001</v>
          </cell>
          <cell r="U49">
            <v>636.05481139999995</v>
          </cell>
          <cell r="V49">
            <v>643.2414933</v>
          </cell>
          <cell r="W49">
            <v>651.67870689999995</v>
          </cell>
          <cell r="X49">
            <v>661.36903770000004</v>
          </cell>
          <cell r="Y49">
            <v>672.31941970000003</v>
          </cell>
          <cell r="Z49">
            <v>684.49863930000004</v>
          </cell>
          <cell r="AA49">
            <v>697.51581929999998</v>
          </cell>
          <cell r="AB49">
            <v>711.76316180000003</v>
          </cell>
          <cell r="AC49">
            <v>727.29384789999995</v>
          </cell>
          <cell r="AD49">
            <v>744.10634019999998</v>
          </cell>
          <cell r="AE49">
            <v>762.03552660000003</v>
          </cell>
          <cell r="AF49">
            <v>780.83164499999998</v>
          </cell>
          <cell r="AG49">
            <v>800.26692330000003</v>
          </cell>
          <cell r="AH49">
            <v>820.14862819999996</v>
          </cell>
          <cell r="AI49">
            <v>840.30446170000005</v>
          </cell>
          <cell r="AJ49">
            <v>860.56886829999996</v>
          </cell>
          <cell r="AK49">
            <v>880.7767576</v>
          </cell>
        </row>
        <row r="50">
          <cell r="B50">
            <v>46402.331720000002</v>
          </cell>
          <cell r="C50">
            <v>47112.716950000002</v>
          </cell>
          <cell r="D50">
            <v>47792.71905</v>
          </cell>
          <cell r="E50">
            <v>48535.074500000002</v>
          </cell>
          <cell r="F50">
            <v>49216.138250000004</v>
          </cell>
          <cell r="G50">
            <v>49910.060449999997</v>
          </cell>
          <cell r="H50">
            <v>50650.01309</v>
          </cell>
          <cell r="I50">
            <v>52038.945520000001</v>
          </cell>
          <cell r="J50">
            <v>53592.232649999998</v>
          </cell>
          <cell r="K50">
            <v>55296.674919999998</v>
          </cell>
          <cell r="L50">
            <v>56915.486519999999</v>
          </cell>
          <cell r="M50">
            <v>58130.756390000002</v>
          </cell>
          <cell r="N50">
            <v>59084.23201</v>
          </cell>
          <cell r="O50">
            <v>59905.549639999997</v>
          </cell>
          <cell r="P50">
            <v>60702.121379999997</v>
          </cell>
          <cell r="Q50">
            <v>61540.094799999999</v>
          </cell>
          <cell r="R50">
            <v>62455.852529999996</v>
          </cell>
          <cell r="S50">
            <v>63499.788159999996</v>
          </cell>
          <cell r="T50">
            <v>64692.211969999997</v>
          </cell>
          <cell r="U50">
            <v>66060.091520000002</v>
          </cell>
          <cell r="V50">
            <v>67623.1106</v>
          </cell>
          <cell r="W50">
            <v>69443.632410000006</v>
          </cell>
          <cell r="X50">
            <v>71566.852790000004</v>
          </cell>
          <cell r="Y50">
            <v>74036.240609999993</v>
          </cell>
          <cell r="Z50">
            <v>76895.274780000007</v>
          </cell>
          <cell r="AA50">
            <v>80148.951759999996</v>
          </cell>
          <cell r="AB50">
            <v>83930.550910000005</v>
          </cell>
          <cell r="AC50">
            <v>88329.197870000004</v>
          </cell>
          <cell r="AD50">
            <v>93448.554709999997</v>
          </cell>
          <cell r="AE50">
            <v>99397.985019999993</v>
          </cell>
          <cell r="AF50">
            <v>106312.769</v>
          </cell>
          <cell r="AG50">
            <v>114389.1813</v>
          </cell>
          <cell r="AH50">
            <v>123914.28750000001</v>
          </cell>
          <cell r="AI50">
            <v>135296.2279</v>
          </cell>
          <cell r="AJ50">
            <v>149135.5569</v>
          </cell>
          <cell r="AK50">
            <v>166349.92809999999</v>
          </cell>
        </row>
        <row r="51">
          <cell r="B51">
            <v>46402.331709999999</v>
          </cell>
          <cell r="C51">
            <v>47112.716939999998</v>
          </cell>
          <cell r="D51">
            <v>47792.719040000004</v>
          </cell>
          <cell r="E51">
            <v>48535.074489999999</v>
          </cell>
          <cell r="F51">
            <v>49216.13824</v>
          </cell>
          <cell r="G51">
            <v>49910.060440000001</v>
          </cell>
          <cell r="H51">
            <v>50650.013079999997</v>
          </cell>
          <cell r="I51">
            <v>51437.125569999997</v>
          </cell>
          <cell r="J51">
            <v>52251.268459999999</v>
          </cell>
          <cell r="K51">
            <v>53080.099130000002</v>
          </cell>
          <cell r="L51">
            <v>53898.537929999999</v>
          </cell>
          <cell r="M51">
            <v>54559.919620000001</v>
          </cell>
          <cell r="N51">
            <v>55087.636639999997</v>
          </cell>
          <cell r="O51">
            <v>55513.545610000001</v>
          </cell>
          <cell r="P51">
            <v>55875.871339999998</v>
          </cell>
          <cell r="Q51">
            <v>56211.020429999997</v>
          </cell>
          <cell r="R51">
            <v>56533.38031</v>
          </cell>
          <cell r="S51">
            <v>56882.238660000003</v>
          </cell>
          <cell r="T51">
            <v>57296.569280000003</v>
          </cell>
          <cell r="U51">
            <v>57797.053379999998</v>
          </cell>
          <cell r="V51">
            <v>58384.516819999997</v>
          </cell>
          <cell r="W51">
            <v>59088.53688</v>
          </cell>
          <cell r="X51">
            <v>59916.135889999998</v>
          </cell>
          <cell r="Y51">
            <v>60871.898759999996</v>
          </cell>
          <cell r="Z51">
            <v>61956.187209999996</v>
          </cell>
          <cell r="AA51">
            <v>63130.690849999999</v>
          </cell>
          <cell r="AB51">
            <v>64433.93434</v>
          </cell>
          <cell r="AC51">
            <v>65867.250790000006</v>
          </cell>
          <cell r="AD51">
            <v>67427.167619999993</v>
          </cell>
          <cell r="AE51">
            <v>69094.158519999997</v>
          </cell>
          <cell r="AF51">
            <v>70841.079320000004</v>
          </cell>
          <cell r="AG51">
            <v>72642.779800000004</v>
          </cell>
          <cell r="AH51">
            <v>74478.315059999994</v>
          </cell>
          <cell r="AI51">
            <v>76329.038090000002</v>
          </cell>
          <cell r="AJ51">
            <v>78177.724480000004</v>
          </cell>
          <cell r="AK51">
            <v>80008.250520000001</v>
          </cell>
        </row>
        <row r="52">
          <cell r="B52">
            <v>924.79195589999995</v>
          </cell>
          <cell r="C52">
            <v>938.94983379999996</v>
          </cell>
          <cell r="D52">
            <v>952.5021802</v>
          </cell>
          <cell r="E52">
            <v>967.29722019999997</v>
          </cell>
          <cell r="F52">
            <v>980.87072509999996</v>
          </cell>
          <cell r="G52">
            <v>994.70049710000001</v>
          </cell>
          <cell r="H52">
            <v>1009.447649</v>
          </cell>
          <cell r="I52">
            <v>1024.7403670000001</v>
          </cell>
          <cell r="J52">
            <v>1042.0264830000001</v>
          </cell>
          <cell r="K52">
            <v>1060.846716</v>
          </cell>
          <cell r="L52">
            <v>1076.5088129999999</v>
          </cell>
          <cell r="M52">
            <v>1083.057448</v>
          </cell>
          <cell r="N52">
            <v>1083.3386539999999</v>
          </cell>
          <cell r="O52">
            <v>1079.82791</v>
          </cell>
          <cell r="P52">
            <v>1074.452258</v>
          </cell>
          <cell r="Q52">
            <v>1068.2783509999999</v>
          </cell>
          <cell r="R52">
            <v>1061.763522</v>
          </cell>
          <cell r="S52">
            <v>1055.5260760000001</v>
          </cell>
          <cell r="T52">
            <v>1049.5922880000001</v>
          </cell>
          <cell r="U52">
            <v>1044.0258369999999</v>
          </cell>
          <cell r="V52">
            <v>1038.6892029999999</v>
          </cell>
          <cell r="W52">
            <v>1033.9916129999999</v>
          </cell>
          <cell r="X52">
            <v>1029.907907</v>
          </cell>
          <cell r="Y52">
            <v>1026.2088060000001</v>
          </cell>
          <cell r="Z52">
            <v>1022.459839</v>
          </cell>
          <cell r="AA52">
            <v>1017.498454</v>
          </cell>
          <cell r="AB52">
            <v>1011.526356</v>
          </cell>
          <cell r="AC52">
            <v>1003.675721</v>
          </cell>
          <cell r="AD52">
            <v>992.69098629999996</v>
          </cell>
          <cell r="AE52">
            <v>976.67995659999997</v>
          </cell>
          <cell r="AF52">
            <v>953.13211890000002</v>
          </cell>
          <cell r="AG52">
            <v>918.90259060000005</v>
          </cell>
          <cell r="AH52">
            <v>869.86814449999997</v>
          </cell>
          <cell r="AI52">
            <v>800.23783219999996</v>
          </cell>
          <cell r="AJ52">
            <v>701.58900789999996</v>
          </cell>
          <cell r="AK52">
            <v>561.12409360000004</v>
          </cell>
        </row>
        <row r="53">
          <cell r="B53">
            <v>924.79195579999998</v>
          </cell>
          <cell r="C53">
            <v>938.9498337</v>
          </cell>
          <cell r="D53">
            <v>952.50217999999995</v>
          </cell>
          <cell r="E53">
            <v>967.29721989999996</v>
          </cell>
          <cell r="F53">
            <v>980.87072490000003</v>
          </cell>
          <cell r="G53">
            <v>994.70049689999996</v>
          </cell>
          <cell r="H53">
            <v>1009.447649</v>
          </cell>
          <cell r="I53">
            <v>1025.1346900000001</v>
          </cell>
          <cell r="J53">
            <v>1041.3604439999999</v>
          </cell>
          <cell r="K53">
            <v>1057.878923</v>
          </cell>
          <cell r="L53">
            <v>1074.1902930000001</v>
          </cell>
          <cell r="M53">
            <v>1087.3715380000001</v>
          </cell>
          <cell r="N53">
            <v>1097.888864</v>
          </cell>
          <cell r="O53">
            <v>1106.37717</v>
          </cell>
          <cell r="P53">
            <v>1113.5982710000001</v>
          </cell>
          <cell r="Q53">
            <v>1120.2777450000001</v>
          </cell>
          <cell r="R53">
            <v>1126.7023320000001</v>
          </cell>
          <cell r="S53">
            <v>1133.6550299999999</v>
          </cell>
          <cell r="T53">
            <v>1141.912581</v>
          </cell>
          <cell r="U53">
            <v>1151.8871590000001</v>
          </cell>
          <cell r="V53">
            <v>1163.595223</v>
          </cell>
          <cell r="W53">
            <v>1177.626244</v>
          </cell>
          <cell r="X53">
            <v>1194.1201759999999</v>
          </cell>
          <cell r="Y53">
            <v>1213.168396</v>
          </cell>
          <cell r="Z53">
            <v>1234.778112</v>
          </cell>
          <cell r="AA53">
            <v>1258.1858050000001</v>
          </cell>
          <cell r="AB53">
            <v>1284.1592639999999</v>
          </cell>
          <cell r="AC53">
            <v>1312.72506</v>
          </cell>
          <cell r="AD53">
            <v>1343.8139839999999</v>
          </cell>
          <cell r="AE53">
            <v>1377.0368779999999</v>
          </cell>
          <cell r="AF53">
            <v>1411.852764</v>
          </cell>
          <cell r="AG53">
            <v>1447.7604020000001</v>
          </cell>
          <cell r="AH53">
            <v>1484.3423620000001</v>
          </cell>
          <cell r="AI53">
            <v>1521.2270120000001</v>
          </cell>
          <cell r="AJ53">
            <v>1558.071072</v>
          </cell>
          <cell r="AK53">
            <v>1594.5531989999999</v>
          </cell>
        </row>
        <row r="54">
          <cell r="B54">
            <v>1343.8780650000001</v>
          </cell>
          <cell r="C54">
            <v>1364.4518399999999</v>
          </cell>
          <cell r="D54">
            <v>1384.1456760000001</v>
          </cell>
          <cell r="E54">
            <v>1405.645354</v>
          </cell>
          <cell r="F54">
            <v>1425.3699369999999</v>
          </cell>
          <cell r="G54">
            <v>1445.466919</v>
          </cell>
          <cell r="H54">
            <v>1466.897009</v>
          </cell>
          <cell r="I54">
            <v>1486.7141429999999</v>
          </cell>
          <cell r="J54">
            <v>1509.1790350000001</v>
          </cell>
          <cell r="K54">
            <v>1533.5861649999999</v>
          </cell>
          <cell r="L54">
            <v>1553.1221169999999</v>
          </cell>
          <cell r="M54">
            <v>1559.206711</v>
          </cell>
          <cell r="N54">
            <v>1555.9797960000001</v>
          </cell>
          <cell r="O54">
            <v>1547.0176509999999</v>
          </cell>
          <cell r="P54">
            <v>1535.079105</v>
          </cell>
          <cell r="Q54">
            <v>1521.665313</v>
          </cell>
          <cell r="R54">
            <v>1507.3888549999999</v>
          </cell>
          <cell r="S54">
            <v>1493.0732700000001</v>
          </cell>
          <cell r="T54">
            <v>1478.683237</v>
          </cell>
          <cell r="U54">
            <v>1464.219286</v>
          </cell>
          <cell r="V54">
            <v>1449.3786950000001</v>
          </cell>
          <cell r="W54">
            <v>1434.5942439999999</v>
          </cell>
          <cell r="X54">
            <v>1419.6495709999999</v>
          </cell>
          <cell r="Y54">
            <v>1403.998736</v>
          </cell>
          <cell r="Z54">
            <v>1386.757734</v>
          </cell>
          <cell r="AA54">
            <v>1365.992088</v>
          </cell>
          <cell r="AB54">
            <v>1341.518255</v>
          </cell>
          <cell r="AC54">
            <v>1311.5616829999999</v>
          </cell>
          <cell r="AD54">
            <v>1273.652812</v>
          </cell>
          <cell r="AE54">
            <v>1224.2512509999999</v>
          </cell>
          <cell r="AF54">
            <v>1158.6977179999999</v>
          </cell>
          <cell r="AG54">
            <v>1071.051831</v>
          </cell>
          <cell r="AH54">
            <v>953.41014199999995</v>
          </cell>
          <cell r="AI54">
            <v>794.65327879999995</v>
          </cell>
          <cell r="AJ54">
            <v>578.58182850000003</v>
          </cell>
          <cell r="AK54">
            <v>280.56204680000002</v>
          </cell>
        </row>
        <row r="55">
          <cell r="B55">
            <v>1343.8780650000001</v>
          </cell>
          <cell r="C55">
            <v>1364.4518399999999</v>
          </cell>
          <cell r="D55">
            <v>1384.1456760000001</v>
          </cell>
          <cell r="E55">
            <v>1405.645354</v>
          </cell>
          <cell r="F55">
            <v>1425.3699369999999</v>
          </cell>
          <cell r="G55">
            <v>1445.466919</v>
          </cell>
          <cell r="H55">
            <v>1466.8970079999999</v>
          </cell>
          <cell r="I55">
            <v>1489.6929150000001</v>
          </cell>
          <cell r="J55">
            <v>1513.2716600000001</v>
          </cell>
          <cell r="K55">
            <v>1537.275785</v>
          </cell>
          <cell r="L55">
            <v>1560.978946</v>
          </cell>
          <cell r="M55">
            <v>1580.1335079999999</v>
          </cell>
          <cell r="N55">
            <v>1595.41695</v>
          </cell>
          <cell r="O55">
            <v>1607.7518849999999</v>
          </cell>
          <cell r="P55">
            <v>1618.245357</v>
          </cell>
          <cell r="Q55">
            <v>1627.951755</v>
          </cell>
          <cell r="R55">
            <v>1637.2877599999999</v>
          </cell>
          <cell r="S55">
            <v>1647.391198</v>
          </cell>
          <cell r="T55">
            <v>1659.390807</v>
          </cell>
          <cell r="U55">
            <v>1673.885544</v>
          </cell>
          <cell r="V55">
            <v>1690.899328</v>
          </cell>
          <cell r="W55">
            <v>1711.2887579999999</v>
          </cell>
          <cell r="X55">
            <v>1735.257212</v>
          </cell>
          <cell r="Y55">
            <v>1762.9374749999999</v>
          </cell>
          <cell r="Z55">
            <v>1794.3400240000001</v>
          </cell>
          <cell r="AA55">
            <v>1828.355333</v>
          </cell>
          <cell r="AB55">
            <v>1866.0991329999999</v>
          </cell>
          <cell r="AC55">
            <v>1907.6100329999999</v>
          </cell>
          <cell r="AD55">
            <v>1952.787462</v>
          </cell>
          <cell r="AE55">
            <v>2001.065908</v>
          </cell>
          <cell r="AF55">
            <v>2051.65924</v>
          </cell>
          <cell r="AG55">
            <v>2103.8390690000001</v>
          </cell>
          <cell r="AH55">
            <v>2156.9988020000001</v>
          </cell>
          <cell r="AI55">
            <v>2210.598395</v>
          </cell>
          <cell r="AJ55">
            <v>2264.1390040000001</v>
          </cell>
          <cell r="AK55">
            <v>2317.1536630000001</v>
          </cell>
        </row>
        <row r="56">
          <cell r="B56">
            <v>1220.9208349999999</v>
          </cell>
          <cell r="C56">
            <v>1239.612226</v>
          </cell>
          <cell r="D56">
            <v>1257.5041880000001</v>
          </cell>
          <cell r="E56">
            <v>1277.0367679999999</v>
          </cell>
          <cell r="F56">
            <v>1294.9566629999999</v>
          </cell>
          <cell r="G56">
            <v>1313.2148850000001</v>
          </cell>
          <cell r="H56">
            <v>1332.684242</v>
          </cell>
          <cell r="I56">
            <v>1350.8036850000001</v>
          </cell>
          <cell r="J56">
            <v>1371.34058</v>
          </cell>
          <cell r="K56">
            <v>1393.6557889999999</v>
          </cell>
          <cell r="L56">
            <v>1411.5590340000001</v>
          </cell>
          <cell r="M56">
            <v>1417.251624</v>
          </cell>
          <cell r="N56">
            <v>1414.4944410000001</v>
          </cell>
          <cell r="O56">
            <v>1406.537564</v>
          </cell>
          <cell r="P56">
            <v>1395.8893929999999</v>
          </cell>
          <cell r="Q56">
            <v>1383.9160830000001</v>
          </cell>
          <cell r="R56">
            <v>1371.176663</v>
          </cell>
          <cell r="S56">
            <v>1358.42292</v>
          </cell>
          <cell r="T56">
            <v>1345.626291</v>
          </cell>
          <cell r="U56">
            <v>1332.7916740000001</v>
          </cell>
          <cell r="V56">
            <v>1319.6489839999999</v>
          </cell>
          <cell r="W56">
            <v>1306.5991730000001</v>
          </cell>
          <cell r="X56">
            <v>1293.4543040000001</v>
          </cell>
          <cell r="Y56">
            <v>1279.728599</v>
          </cell>
          <cell r="Z56">
            <v>1264.6310599999999</v>
          </cell>
          <cell r="AA56">
            <v>1246.415968</v>
          </cell>
          <cell r="AB56">
            <v>1224.939449</v>
          </cell>
          <cell r="AC56">
            <v>1198.6139559999999</v>
          </cell>
          <cell r="AD56">
            <v>1165.2268369999999</v>
          </cell>
          <cell r="AE56">
            <v>1121.599577</v>
          </cell>
          <cell r="AF56">
            <v>1063.54772</v>
          </cell>
          <cell r="AG56">
            <v>985.74016280000001</v>
          </cell>
          <cell r="AH56">
            <v>881.08833059999995</v>
          </cell>
          <cell r="AI56">
            <v>739.6199967</v>
          </cell>
          <cell r="AJ56">
            <v>546.80795709999995</v>
          </cell>
          <cell r="AK56">
            <v>280.56204680000002</v>
          </cell>
        </row>
        <row r="57">
          <cell r="B57">
            <v>1220.9208349999999</v>
          </cell>
          <cell r="C57">
            <v>1239.612226</v>
          </cell>
          <cell r="D57">
            <v>1257.5041880000001</v>
          </cell>
          <cell r="E57">
            <v>1277.0367670000001</v>
          </cell>
          <cell r="F57">
            <v>1294.9566620000001</v>
          </cell>
          <cell r="G57">
            <v>1313.214884</v>
          </cell>
          <cell r="H57">
            <v>1332.684242</v>
          </cell>
          <cell r="I57">
            <v>1353.394452</v>
          </cell>
          <cell r="J57">
            <v>1374.8158759999999</v>
          </cell>
          <cell r="K57">
            <v>1396.6237590000001</v>
          </cell>
          <cell r="L57">
            <v>1418.158216</v>
          </cell>
          <cell r="M57">
            <v>1435.560244</v>
          </cell>
          <cell r="N57">
            <v>1449.4453370000001</v>
          </cell>
          <cell r="O57">
            <v>1460.651695</v>
          </cell>
          <cell r="P57">
            <v>1470.1850750000001</v>
          </cell>
          <cell r="Q57">
            <v>1479.0033920000001</v>
          </cell>
          <cell r="R57">
            <v>1487.485205</v>
          </cell>
          <cell r="S57">
            <v>1496.6642360000001</v>
          </cell>
          <cell r="T57">
            <v>1507.5659479999999</v>
          </cell>
          <cell r="U57">
            <v>1520.7344989999999</v>
          </cell>
          <cell r="V57">
            <v>1536.1916180000001</v>
          </cell>
          <cell r="W57">
            <v>1554.7155310000001</v>
          </cell>
          <cell r="X57">
            <v>1576.4910070000001</v>
          </cell>
          <cell r="Y57">
            <v>1601.6386829999999</v>
          </cell>
          <cell r="Z57">
            <v>1630.1680759999999</v>
          </cell>
          <cell r="AA57">
            <v>1661.0711779999999</v>
          </cell>
          <cell r="AB57">
            <v>1695.3616340000001</v>
          </cell>
          <cell r="AC57">
            <v>1733.0745219999999</v>
          </cell>
          <cell r="AD57">
            <v>1774.118471</v>
          </cell>
          <cell r="AE57">
            <v>1817.9797140000001</v>
          </cell>
          <cell r="AF57">
            <v>1863.9440420000001</v>
          </cell>
          <cell r="AG57">
            <v>1911.349712</v>
          </cell>
          <cell r="AH57">
            <v>1959.6456310000001</v>
          </cell>
          <cell r="AI57">
            <v>2008.341165</v>
          </cell>
          <cell r="AJ57">
            <v>2056.983111</v>
          </cell>
          <cell r="AK57">
            <v>2105.1472290000002</v>
          </cell>
        </row>
        <row r="58">
          <cell r="B58">
            <v>2402.7509070000001</v>
          </cell>
          <cell r="C58">
            <v>2439.5314659999999</v>
          </cell>
          <cell r="D58">
            <v>2474.742479</v>
          </cell>
          <cell r="E58">
            <v>2513.1821960000002</v>
          </cell>
          <cell r="F58">
            <v>2548.448183</v>
          </cell>
          <cell r="G58">
            <v>2584.379989</v>
          </cell>
          <cell r="H58">
            <v>2622.6952860000001</v>
          </cell>
          <cell r="I58">
            <v>3337.338139</v>
          </cell>
          <cell r="J58">
            <v>4127.0109329999996</v>
          </cell>
          <cell r="K58">
            <v>5001.2100220000002</v>
          </cell>
          <cell r="L58">
            <v>5946.2812530000001</v>
          </cell>
          <cell r="M58">
            <v>6926.0173729999997</v>
          </cell>
          <cell r="N58">
            <v>7946.6672429999999</v>
          </cell>
          <cell r="O58">
            <v>9020.5547590000006</v>
          </cell>
          <cell r="P58">
            <v>10164.32676</v>
          </cell>
          <cell r="Q58">
            <v>11394.464669999999</v>
          </cell>
          <cell r="R58">
            <v>12726.74438</v>
          </cell>
          <cell r="S58">
            <v>14183.802830000001</v>
          </cell>
          <cell r="T58">
            <v>15786.32883</v>
          </cell>
          <cell r="U58">
            <v>17560.29882</v>
          </cell>
          <cell r="V58">
            <v>19534.21904</v>
          </cell>
          <cell r="W58">
            <v>21754.569729999999</v>
          </cell>
          <cell r="X58">
            <v>24271.727640000001</v>
          </cell>
          <cell r="Y58">
            <v>27144.784360000001</v>
          </cell>
          <cell r="Z58">
            <v>30443.48789</v>
          </cell>
          <cell r="AA58">
            <v>34233.57692</v>
          </cell>
          <cell r="AB58">
            <v>38649.295449999998</v>
          </cell>
          <cell r="AC58">
            <v>43832.435019999997</v>
          </cell>
          <cell r="AD58">
            <v>49960.686379999999</v>
          </cell>
          <cell r="AE58">
            <v>57250.95953</v>
          </cell>
          <cell r="AF58">
            <v>65980.38222</v>
          </cell>
          <cell r="AG58">
            <v>76525.218340000007</v>
          </cell>
          <cell r="AH58">
            <v>89411.065820000003</v>
          </cell>
          <cell r="AI58">
            <v>105381.5016</v>
          </cell>
          <cell r="AJ58">
            <v>125525.55130000001</v>
          </cell>
          <cell r="AK58">
            <v>151503.50529999999</v>
          </cell>
        </row>
        <row r="59">
          <cell r="B59">
            <v>2402.7509070000001</v>
          </cell>
          <cell r="C59">
            <v>2439.531465</v>
          </cell>
          <cell r="D59">
            <v>2474.742479</v>
          </cell>
          <cell r="E59">
            <v>2513.1821949999999</v>
          </cell>
          <cell r="F59">
            <v>2548.4481820000001</v>
          </cell>
          <cell r="G59">
            <v>2584.379989</v>
          </cell>
          <cell r="H59">
            <v>2622.6952860000001</v>
          </cell>
          <cell r="I59">
            <v>2663.4525549999998</v>
          </cell>
          <cell r="J59">
            <v>2705.6094779999999</v>
          </cell>
          <cell r="K59">
            <v>2748.526946</v>
          </cell>
          <cell r="L59">
            <v>2790.9063150000002</v>
          </cell>
          <cell r="M59">
            <v>2825.1531500000001</v>
          </cell>
          <cell r="N59">
            <v>2852.4787289999999</v>
          </cell>
          <cell r="O59">
            <v>2874.532612</v>
          </cell>
          <cell r="P59">
            <v>2893.2941070000002</v>
          </cell>
          <cell r="Q59">
            <v>2910.6483750000002</v>
          </cell>
          <cell r="R59">
            <v>2927.3404099999998</v>
          </cell>
          <cell r="S59">
            <v>2945.4045540000002</v>
          </cell>
          <cell r="T59">
            <v>2966.8589010000001</v>
          </cell>
          <cell r="U59">
            <v>2992.7743390000001</v>
          </cell>
          <cell r="V59">
            <v>3023.1936329999999</v>
          </cell>
          <cell r="W59">
            <v>3059.648314</v>
          </cell>
          <cell r="X59">
            <v>3102.5020049999998</v>
          </cell>
          <cell r="Y59">
            <v>3151.9921159999999</v>
          </cell>
          <cell r="Z59">
            <v>3208.137377</v>
          </cell>
          <cell r="AA59">
            <v>3268.9540480000001</v>
          </cell>
          <cell r="AB59">
            <v>3336.4369630000001</v>
          </cell>
          <cell r="AC59">
            <v>3410.6551530000002</v>
          </cell>
          <cell r="AD59">
            <v>3491.428805</v>
          </cell>
          <cell r="AE59">
            <v>3577.7468319999998</v>
          </cell>
          <cell r="AF59">
            <v>3668.2036880000001</v>
          </cell>
          <cell r="AG59">
            <v>3761.497077</v>
          </cell>
          <cell r="AH59">
            <v>3856.5424560000001</v>
          </cell>
          <cell r="AI59">
            <v>3952.374268</v>
          </cell>
          <cell r="AJ59">
            <v>4048.1006219999999</v>
          </cell>
          <cell r="AK59">
            <v>4142.8866189999999</v>
          </cell>
        </row>
        <row r="60">
          <cell r="B60">
            <v>873.49172490000001</v>
          </cell>
          <cell r="C60">
            <v>886.86423439999999</v>
          </cell>
          <cell r="D60">
            <v>899.66480249999995</v>
          </cell>
          <cell r="E60">
            <v>913.63912930000004</v>
          </cell>
          <cell r="F60">
            <v>926.45968219999997</v>
          </cell>
          <cell r="G60">
            <v>939.52228649999995</v>
          </cell>
          <cell r="H60">
            <v>953.4513819</v>
          </cell>
          <cell r="I60">
            <v>1650.0267650000001</v>
          </cell>
          <cell r="J60">
            <v>2419.0830989999999</v>
          </cell>
          <cell r="K60">
            <v>3270.990585</v>
          </cell>
          <cell r="L60">
            <v>4199.8386280000004</v>
          </cell>
          <cell r="M60">
            <v>5179.0459870000004</v>
          </cell>
          <cell r="N60">
            <v>6210.1430049999999</v>
          </cell>
          <cell r="O60">
            <v>7301.4231179999997</v>
          </cell>
          <cell r="P60">
            <v>8466.4711060000009</v>
          </cell>
          <cell r="Q60">
            <v>9720.151226</v>
          </cell>
          <cell r="R60">
            <v>11077.639209999999</v>
          </cell>
          <cell r="S60">
            <v>12560.77454</v>
          </cell>
          <cell r="T60">
            <v>14190.423220000001</v>
          </cell>
          <cell r="U60">
            <v>15992.732529999999</v>
          </cell>
          <cell r="V60">
            <v>17996.744910000001</v>
          </cell>
          <cell r="W60">
            <v>20248.74984</v>
          </cell>
          <cell r="X60">
            <v>22799.705330000001</v>
          </cell>
          <cell r="Y60">
            <v>25709.72075</v>
          </cell>
          <cell r="Z60">
            <v>29050.020820000002</v>
          </cell>
          <cell r="AA60">
            <v>32889.002330000003</v>
          </cell>
          <cell r="AB60">
            <v>37362.006399999998</v>
          </cell>
          <cell r="AC60">
            <v>42613.800799999997</v>
          </cell>
          <cell r="AD60">
            <v>48826.088499999998</v>
          </cell>
          <cell r="AE60">
            <v>56221.28183</v>
          </cell>
          <cell r="AF60">
            <v>65083.694739999999</v>
          </cell>
          <cell r="AG60">
            <v>75798.904649999997</v>
          </cell>
          <cell r="AH60">
            <v>88905.065770000001</v>
          </cell>
          <cell r="AI60">
            <v>105163.4476</v>
          </cell>
          <cell r="AJ60">
            <v>125688.88920000001</v>
          </cell>
          <cell r="AK60">
            <v>152180.96280000001</v>
          </cell>
        </row>
        <row r="61">
          <cell r="B61">
            <v>873.49172480000004</v>
          </cell>
          <cell r="C61">
            <v>886.86423420000006</v>
          </cell>
          <cell r="D61">
            <v>899.66480230000002</v>
          </cell>
          <cell r="E61">
            <v>913.63912900000003</v>
          </cell>
          <cell r="F61">
            <v>926.45968189999996</v>
          </cell>
          <cell r="G61">
            <v>939.52228630000002</v>
          </cell>
          <cell r="H61">
            <v>953.45138169999996</v>
          </cell>
          <cell r="I61">
            <v>968.26822860000004</v>
          </cell>
          <cell r="J61">
            <v>983.59390410000003</v>
          </cell>
          <cell r="K61">
            <v>999.19606680000004</v>
          </cell>
          <cell r="L61">
            <v>1014.60261</v>
          </cell>
          <cell r="M61">
            <v>1027.0526620000001</v>
          </cell>
          <cell r="N61">
            <v>1036.9865689999999</v>
          </cell>
          <cell r="O61">
            <v>1045.0040100000001</v>
          </cell>
          <cell r="P61">
            <v>1051.824541</v>
          </cell>
          <cell r="Q61">
            <v>1058.1334899999999</v>
          </cell>
          <cell r="R61">
            <v>1064.201691</v>
          </cell>
          <cell r="S61">
            <v>1070.7687080000001</v>
          </cell>
          <cell r="T61">
            <v>1078.5681939999999</v>
          </cell>
          <cell r="U61">
            <v>1087.98946</v>
          </cell>
          <cell r="V61">
            <v>1099.048053</v>
          </cell>
          <cell r="W61">
            <v>1112.3007419999999</v>
          </cell>
          <cell r="X61">
            <v>1127.8797199999999</v>
          </cell>
          <cell r="Y61">
            <v>1145.8712929999999</v>
          </cell>
          <cell r="Z61">
            <v>1166.282271</v>
          </cell>
          <cell r="AA61">
            <v>1188.391488</v>
          </cell>
          <cell r="AB61">
            <v>1212.924143</v>
          </cell>
          <cell r="AC61">
            <v>1239.905332</v>
          </cell>
          <cell r="AD61">
            <v>1269.269685</v>
          </cell>
          <cell r="AE61">
            <v>1300.649633</v>
          </cell>
          <cell r="AF61">
            <v>1333.534206</v>
          </cell>
          <cell r="AG61">
            <v>1367.4499679999999</v>
          </cell>
          <cell r="AH61">
            <v>1402.002647</v>
          </cell>
          <cell r="AI61">
            <v>1436.8412249999999</v>
          </cell>
          <cell r="AJ61">
            <v>1471.6414649999999</v>
          </cell>
          <cell r="AK61">
            <v>1506.0998480000001</v>
          </cell>
        </row>
        <row r="62">
          <cell r="B62">
            <v>6724.2714459999997</v>
          </cell>
          <cell r="C62">
            <v>6827.2150469999997</v>
          </cell>
          <cell r="D62">
            <v>6925.7557569999999</v>
          </cell>
          <cell r="E62">
            <v>7033.3322390000003</v>
          </cell>
          <cell r="F62">
            <v>7132.0267949999998</v>
          </cell>
          <cell r="G62">
            <v>7232.584699</v>
          </cell>
          <cell r="H62">
            <v>7339.8129829999998</v>
          </cell>
          <cell r="I62">
            <v>7680.807656</v>
          </cell>
          <cell r="J62">
            <v>8060.080003</v>
          </cell>
          <cell r="K62">
            <v>8477.9302329999991</v>
          </cell>
          <cell r="L62">
            <v>8899.7422889999998</v>
          </cell>
          <cell r="M62">
            <v>9275.1544460000005</v>
          </cell>
          <cell r="N62">
            <v>9624.470507</v>
          </cell>
          <cell r="O62">
            <v>9967.6961950000004</v>
          </cell>
          <cell r="P62">
            <v>10322.8066</v>
          </cell>
          <cell r="Q62">
            <v>10702.225619999999</v>
          </cell>
          <cell r="R62">
            <v>11114.24552</v>
          </cell>
          <cell r="S62">
            <v>11570.522720000001</v>
          </cell>
          <cell r="T62">
            <v>12078.269329999999</v>
          </cell>
          <cell r="U62">
            <v>12646.73674</v>
          </cell>
          <cell r="V62">
            <v>13284.75274</v>
          </cell>
          <cell r="W62">
            <v>14010.756869999999</v>
          </cell>
          <cell r="X62">
            <v>14841.741169999999</v>
          </cell>
          <cell r="Y62">
            <v>15796.3614</v>
          </cell>
          <cell r="Z62">
            <v>16895.591260000001</v>
          </cell>
          <cell r="AA62">
            <v>18154.389439999999</v>
          </cell>
          <cell r="AB62">
            <v>19619.75274</v>
          </cell>
          <cell r="AC62">
            <v>21334.417290000001</v>
          </cell>
          <cell r="AD62">
            <v>23350.866239999999</v>
          </cell>
          <cell r="AE62">
            <v>25730.870620000002</v>
          </cell>
          <cell r="AF62">
            <v>28552.75605</v>
          </cell>
          <cell r="AG62">
            <v>31924.55157</v>
          </cell>
          <cell r="AH62">
            <v>35998.88465</v>
          </cell>
          <cell r="AI62">
            <v>40991.951350000003</v>
          </cell>
          <cell r="AJ62">
            <v>47220.761989999999</v>
          </cell>
          <cell r="AK62">
            <v>55168.895900000003</v>
          </cell>
        </row>
        <row r="63">
          <cell r="B63">
            <v>6724.2714450000003</v>
          </cell>
          <cell r="C63">
            <v>6827.2150460000003</v>
          </cell>
          <cell r="D63">
            <v>6925.7557559999996</v>
          </cell>
          <cell r="E63">
            <v>7033.3322369999996</v>
          </cell>
          <cell r="F63">
            <v>7132.026793</v>
          </cell>
          <cell r="G63">
            <v>7232.5846979999997</v>
          </cell>
          <cell r="H63">
            <v>7339.8129820000004</v>
          </cell>
          <cell r="I63">
            <v>7453.8753109999998</v>
          </cell>
          <cell r="J63">
            <v>7571.854679</v>
          </cell>
          <cell r="K63">
            <v>7691.9624880000001</v>
          </cell>
          <cell r="L63">
            <v>7810.5643879999998</v>
          </cell>
          <cell r="M63">
            <v>7906.4067699999996</v>
          </cell>
          <cell r="N63">
            <v>7982.8794900000003</v>
          </cell>
          <cell r="O63">
            <v>8044.5989639999998</v>
          </cell>
          <cell r="P63">
            <v>8097.1044410000004</v>
          </cell>
          <cell r="Q63">
            <v>8145.6716859999997</v>
          </cell>
          <cell r="R63">
            <v>8192.3856190000006</v>
          </cell>
          <cell r="S63">
            <v>8242.9395050000003</v>
          </cell>
          <cell r="T63">
            <v>8302.9811339999997</v>
          </cell>
          <cell r="U63">
            <v>8375.5074659999991</v>
          </cell>
          <cell r="V63">
            <v>8460.6381799999999</v>
          </cell>
          <cell r="W63">
            <v>8562.6593900000007</v>
          </cell>
          <cell r="X63">
            <v>8682.5887160000002</v>
          </cell>
          <cell r="Y63">
            <v>8821.0905700000003</v>
          </cell>
          <cell r="Z63">
            <v>8978.217369</v>
          </cell>
          <cell r="AA63">
            <v>9148.4174650000004</v>
          </cell>
          <cell r="AB63">
            <v>9337.2735549999998</v>
          </cell>
          <cell r="AC63">
            <v>9544.9788260000005</v>
          </cell>
          <cell r="AD63">
            <v>9771.0300580000003</v>
          </cell>
          <cell r="AE63">
            <v>10012.59765</v>
          </cell>
          <cell r="AF63">
            <v>10265.74806</v>
          </cell>
          <cell r="AG63">
            <v>10526.836730000001</v>
          </cell>
          <cell r="AH63">
            <v>10792.82848</v>
          </cell>
          <cell r="AI63">
            <v>11061.021129999999</v>
          </cell>
          <cell r="AJ63">
            <v>11328.91863</v>
          </cell>
          <cell r="AK63">
            <v>11594.18448</v>
          </cell>
        </row>
        <row r="64">
          <cell r="B64">
            <v>7911.853419</v>
          </cell>
          <cell r="C64">
            <v>8013.772817</v>
          </cell>
          <cell r="D64">
            <v>8113.470593</v>
          </cell>
          <cell r="E64">
            <v>8217.7744089999997</v>
          </cell>
          <cell r="F64">
            <v>8316.9021119999998</v>
          </cell>
          <cell r="G64">
            <v>8422.0273039999993</v>
          </cell>
          <cell r="H64">
            <v>8524.9659059999994</v>
          </cell>
          <cell r="I64">
            <v>8762.6035649999994</v>
          </cell>
          <cell r="J64">
            <v>9011.8449870000004</v>
          </cell>
          <cell r="K64">
            <v>9296.9336590000003</v>
          </cell>
          <cell r="L64">
            <v>9604.8266070000009</v>
          </cell>
          <cell r="M64">
            <v>9888.3190369999993</v>
          </cell>
          <cell r="N64">
            <v>10159.646580000001</v>
          </cell>
          <cell r="O64">
            <v>10427.43843</v>
          </cell>
          <cell r="P64">
            <v>10700.50145</v>
          </cell>
          <cell r="Q64">
            <v>10985.648080000001</v>
          </cell>
          <cell r="R64">
            <v>11292.66123</v>
          </cell>
          <cell r="S64">
            <v>11626.43521</v>
          </cell>
          <cell r="T64">
            <v>11990.94109</v>
          </cell>
          <cell r="U64">
            <v>12391.98244</v>
          </cell>
          <cell r="V64">
            <v>12831.61579</v>
          </cell>
          <cell r="W64">
            <v>13328.33901</v>
          </cell>
          <cell r="X64">
            <v>13892.46536</v>
          </cell>
          <cell r="Y64">
            <v>14536.222830000001</v>
          </cell>
          <cell r="Z64">
            <v>15273.64738</v>
          </cell>
          <cell r="AA64">
            <v>16104.423699999999</v>
          </cell>
          <cell r="AB64">
            <v>17071.32213</v>
          </cell>
          <cell r="AC64">
            <v>18201.743979999999</v>
          </cell>
          <cell r="AD64">
            <v>19529.398379999999</v>
          </cell>
          <cell r="AE64">
            <v>21093.828509999999</v>
          </cell>
          <cell r="AF64">
            <v>22945.11795</v>
          </cell>
          <cell r="AG64">
            <v>25152.3959</v>
          </cell>
          <cell r="AH64">
            <v>27812.991320000001</v>
          </cell>
          <cell r="AI64">
            <v>31064.793000000001</v>
          </cell>
          <cell r="AJ64">
            <v>35110.442770000001</v>
          </cell>
          <cell r="AK64">
            <v>40259.304819999998</v>
          </cell>
        </row>
        <row r="65">
          <cell r="B65">
            <v>7911.853419</v>
          </cell>
          <cell r="C65">
            <v>8013.7728209999996</v>
          </cell>
          <cell r="D65">
            <v>8113.470601</v>
          </cell>
          <cell r="E65">
            <v>8217.7744220000004</v>
          </cell>
          <cell r="F65">
            <v>8316.9021279999997</v>
          </cell>
          <cell r="G65">
            <v>8422.0273240000006</v>
          </cell>
          <cell r="H65">
            <v>8524.9659269999993</v>
          </cell>
          <cell r="I65">
            <v>8626.5621310000006</v>
          </cell>
          <cell r="J65">
            <v>8726.4302939999998</v>
          </cell>
          <cell r="K65">
            <v>8825.2657080000008</v>
          </cell>
          <cell r="L65">
            <v>8927.7477639999997</v>
          </cell>
          <cell r="M65">
            <v>9010.1569899999995</v>
          </cell>
          <cell r="N65">
            <v>9077.1601740000006</v>
          </cell>
          <cell r="O65">
            <v>9133.1429829999997</v>
          </cell>
          <cell r="P65">
            <v>9182.3422420000006</v>
          </cell>
          <cell r="Q65">
            <v>9228.4913410000008</v>
          </cell>
          <cell r="R65">
            <v>9279.0677670000005</v>
          </cell>
          <cell r="S65">
            <v>9337.7385379999996</v>
          </cell>
          <cell r="T65">
            <v>9406.9192839999996</v>
          </cell>
          <cell r="U65">
            <v>9486.5548999999992</v>
          </cell>
          <cell r="V65">
            <v>9571.8717730000008</v>
          </cell>
          <cell r="W65">
            <v>9671.5769479999999</v>
          </cell>
          <cell r="X65">
            <v>9785.0295119999992</v>
          </cell>
          <cell r="Y65">
            <v>9912.1569770000006</v>
          </cell>
          <cell r="Z65">
            <v>10052.78671</v>
          </cell>
          <cell r="AA65">
            <v>10192.69317</v>
          </cell>
          <cell r="AB65">
            <v>10347.72416</v>
          </cell>
          <cell r="AC65">
            <v>10517.44867</v>
          </cell>
          <cell r="AD65">
            <v>10701.36147</v>
          </cell>
          <cell r="AE65">
            <v>10897.422920000001</v>
          </cell>
          <cell r="AF65">
            <v>11102.816849999999</v>
          </cell>
          <cell r="AG65">
            <v>11314.88737</v>
          </cell>
          <cell r="AH65">
            <v>11531.36202</v>
          </cell>
          <cell r="AI65">
            <v>11750.166219999999</v>
          </cell>
          <cell r="AJ65">
            <v>11969.342130000001</v>
          </cell>
          <cell r="AK65">
            <v>12187.02389</v>
          </cell>
        </row>
        <row r="66">
          <cell r="B66">
            <v>109.8412999</v>
          </cell>
          <cell r="C66">
            <v>111.5228886</v>
          </cell>
          <cell r="D66">
            <v>113.1325559</v>
          </cell>
          <cell r="E66">
            <v>114.8898229</v>
          </cell>
          <cell r="F66">
            <v>116.5020033</v>
          </cell>
          <cell r="G66">
            <v>118.1446215</v>
          </cell>
          <cell r="H66">
            <v>119.89620069999999</v>
          </cell>
          <cell r="I66">
            <v>122.67477580000001</v>
          </cell>
          <cell r="J66">
            <v>125.789699</v>
          </cell>
          <cell r="K66">
            <v>129.20165929999999</v>
          </cell>
          <cell r="L66">
            <v>132.35125300000001</v>
          </cell>
          <cell r="M66">
            <v>134.50158139999999</v>
          </cell>
          <cell r="N66">
            <v>135.98904640000001</v>
          </cell>
          <cell r="O66">
            <v>137.11607090000001</v>
          </cell>
          <cell r="P66">
            <v>138.12813249999999</v>
          </cell>
          <cell r="Q66">
            <v>139.171468</v>
          </cell>
          <cell r="R66">
            <v>140.3211938</v>
          </cell>
          <cell r="S66">
            <v>141.68073089999999</v>
          </cell>
          <cell r="T66">
            <v>143.2825981</v>
          </cell>
          <cell r="U66">
            <v>145.17115680000001</v>
          </cell>
          <cell r="V66">
            <v>147.37122299999999</v>
          </cell>
          <cell r="W66">
            <v>149.99615159999999</v>
          </cell>
          <cell r="X66">
            <v>153.1148681</v>
          </cell>
          <cell r="Y66">
            <v>156.78523419999999</v>
          </cell>
          <cell r="Z66">
            <v>161.05669259999999</v>
          </cell>
          <cell r="AA66">
            <v>165.8891903</v>
          </cell>
          <cell r="AB66">
            <v>171.4973243</v>
          </cell>
          <cell r="AC66">
            <v>177.98338190000001</v>
          </cell>
          <cell r="AD66">
            <v>185.45621310000001</v>
          </cell>
          <cell r="AE66">
            <v>194.0073247</v>
          </cell>
          <cell r="AF66">
            <v>203.74292360000001</v>
          </cell>
          <cell r="AG66">
            <v>214.83755529999999</v>
          </cell>
          <cell r="AH66">
            <v>227.5660876</v>
          </cell>
          <cell r="AI66">
            <v>242.32224930000001</v>
          </cell>
          <cell r="AJ66">
            <v>259.68943439999998</v>
          </cell>
          <cell r="AK66">
            <v>280.56204680000002</v>
          </cell>
        </row>
        <row r="67">
          <cell r="B67">
            <v>109.8412999</v>
          </cell>
          <cell r="C67">
            <v>111.5228886</v>
          </cell>
          <cell r="D67">
            <v>113.13255580000001</v>
          </cell>
          <cell r="E67">
            <v>114.8898229</v>
          </cell>
          <cell r="F67">
            <v>116.5020032</v>
          </cell>
          <cell r="G67">
            <v>118.1446215</v>
          </cell>
          <cell r="H67">
            <v>119.89620069999999</v>
          </cell>
          <cell r="I67">
            <v>121.7594144</v>
          </cell>
          <cell r="J67">
            <v>123.6866131</v>
          </cell>
          <cell r="K67">
            <v>125.6485799</v>
          </cell>
          <cell r="L67">
            <v>127.58594770000001</v>
          </cell>
          <cell r="M67">
            <v>129.15153770000001</v>
          </cell>
          <cell r="N67">
            <v>130.40072330000001</v>
          </cell>
          <cell r="O67">
            <v>131.40891389999999</v>
          </cell>
          <cell r="P67">
            <v>132.2665934</v>
          </cell>
          <cell r="Q67">
            <v>133.0599417</v>
          </cell>
          <cell r="R67">
            <v>133.823016</v>
          </cell>
          <cell r="S67">
            <v>134.6488162</v>
          </cell>
          <cell r="T67">
            <v>135.62959910000001</v>
          </cell>
          <cell r="U67">
            <v>136.81432029999999</v>
          </cell>
          <cell r="V67">
            <v>138.2049346</v>
          </cell>
          <cell r="W67">
            <v>139.87145599999999</v>
          </cell>
          <cell r="X67">
            <v>141.83050739999999</v>
          </cell>
          <cell r="Y67">
            <v>144.0929419</v>
          </cell>
          <cell r="Z67">
            <v>146.65961569999999</v>
          </cell>
          <cell r="AA67">
            <v>149.43984259999999</v>
          </cell>
          <cell r="AB67">
            <v>152.52481589999999</v>
          </cell>
          <cell r="AC67">
            <v>155.91769160000001</v>
          </cell>
          <cell r="AD67">
            <v>159.61024939999999</v>
          </cell>
          <cell r="AE67">
            <v>163.55626770000001</v>
          </cell>
          <cell r="AF67">
            <v>167.69149200000001</v>
          </cell>
          <cell r="AG67">
            <v>171.9563881</v>
          </cell>
          <cell r="AH67">
            <v>176.30137619999999</v>
          </cell>
          <cell r="AI67">
            <v>180.68231599999999</v>
          </cell>
          <cell r="AJ67">
            <v>185.05843479999999</v>
          </cell>
          <cell r="AK67">
            <v>189.3915653</v>
          </cell>
        </row>
      </sheetData>
      <sheetData sheetId="4">
        <row r="2">
          <cell r="B2">
            <v>5223867.193</v>
          </cell>
          <cell r="C2">
            <v>5286915.8090000004</v>
          </cell>
          <cell r="D2">
            <v>5355141.608</v>
          </cell>
          <cell r="E2">
            <v>5429604.4040000001</v>
          </cell>
          <cell r="F2">
            <v>5511077.7400000002</v>
          </cell>
          <cell r="G2">
            <v>5600095.3949999996</v>
          </cell>
          <cell r="H2">
            <v>5696796.7609999999</v>
          </cell>
          <cell r="I2">
            <v>5799835.5669999998</v>
          </cell>
          <cell r="J2">
            <v>5908886.7079999996</v>
          </cell>
          <cell r="K2">
            <v>6025554.1399999997</v>
          </cell>
          <cell r="L2">
            <v>6150699.2300000004</v>
          </cell>
          <cell r="M2">
            <v>6283675.8739999998</v>
          </cell>
          <cell r="N2">
            <v>6423491.0590000004</v>
          </cell>
          <cell r="O2">
            <v>6569285.5190000003</v>
          </cell>
          <cell r="P2">
            <v>6720576.9689999996</v>
          </cell>
          <cell r="Q2">
            <v>6877218.8300000001</v>
          </cell>
          <cell r="R2">
            <v>7039235.7450000001</v>
          </cell>
          <cell r="S2">
            <v>7206986.8959999997</v>
          </cell>
          <cell r="T2">
            <v>7381098.3470000001</v>
          </cell>
          <cell r="U2">
            <v>7562363.1090000002</v>
          </cell>
          <cell r="V2">
            <v>7751537.25</v>
          </cell>
          <cell r="W2">
            <v>7949623.8370000003</v>
          </cell>
          <cell r="X2">
            <v>8157725.3269999996</v>
          </cell>
          <cell r="Y2">
            <v>8377022.4299999997</v>
          </cell>
          <cell r="Z2">
            <v>8608717.0779999997</v>
          </cell>
          <cell r="AA2">
            <v>8853558.557</v>
          </cell>
          <cell r="AB2">
            <v>9112629.4350000005</v>
          </cell>
          <cell r="AC2">
            <v>9387109.6190000009</v>
          </cell>
          <cell r="AD2">
            <v>9678327.5399999991</v>
          </cell>
          <cell r="AE2">
            <v>9987716.6459999997</v>
          </cell>
          <cell r="AF2">
            <v>10316775.67</v>
          </cell>
          <cell r="AG2">
            <v>10667103.82</v>
          </cell>
          <cell r="AH2">
            <v>11040515.220000001</v>
          </cell>
          <cell r="AI2">
            <v>11439225.82</v>
          </cell>
          <cell r="AJ2">
            <v>11866108.060000001</v>
          </cell>
          <cell r="AK2">
            <v>12325083.060000001</v>
          </cell>
        </row>
        <row r="3">
          <cell r="B3">
            <v>5223867.193</v>
          </cell>
          <cell r="C3">
            <v>5286915.8090000004</v>
          </cell>
          <cell r="D3">
            <v>5355141.608</v>
          </cell>
          <cell r="E3">
            <v>5429604.4040000001</v>
          </cell>
          <cell r="F3">
            <v>5511077.7400000002</v>
          </cell>
          <cell r="G3">
            <v>5600095.3949999996</v>
          </cell>
          <cell r="H3">
            <v>5696796.7609999999</v>
          </cell>
          <cell r="I3">
            <v>5801193.1299999999</v>
          </cell>
          <cell r="J3">
            <v>5913292.0930000003</v>
          </cell>
          <cell r="K3">
            <v>6033149.0899999999</v>
          </cell>
          <cell r="L3">
            <v>6160773.9819999998</v>
          </cell>
          <cell r="M3">
            <v>6295066.5449999999</v>
          </cell>
          <cell r="N3">
            <v>6434889.2570000002</v>
          </cell>
          <cell r="O3">
            <v>6579317.0010000002</v>
          </cell>
          <cell r="P3">
            <v>6727722.3119999999</v>
          </cell>
          <cell r="Q3">
            <v>6879772.3449999997</v>
          </cell>
          <cell r="R3">
            <v>7035571.4579999996</v>
          </cell>
          <cell r="S3">
            <v>7195557.4239999996</v>
          </cell>
          <cell r="T3">
            <v>7360363.6660000002</v>
          </cell>
          <cell r="U3">
            <v>7530697.7829999998</v>
          </cell>
          <cell r="V3">
            <v>7707142.9129999997</v>
          </cell>
          <cell r="W3">
            <v>7890457.2860000003</v>
          </cell>
          <cell r="X3">
            <v>8081433.7910000002</v>
          </cell>
          <cell r="Y3">
            <v>8280869.1119999997</v>
          </cell>
          <cell r="Z3">
            <v>8489501.1980000008</v>
          </cell>
          <cell r="AA3">
            <v>8707551.1789999995</v>
          </cell>
          <cell r="AB3">
            <v>8935484.7070000004</v>
          </cell>
          <cell r="AC3">
            <v>9173835.3479999993</v>
          </cell>
          <cell r="AD3">
            <v>9423178.4580000006</v>
          </cell>
          <cell r="AE3">
            <v>9684034.4220000003</v>
          </cell>
          <cell r="AF3">
            <v>9956782.6909999996</v>
          </cell>
          <cell r="AG3">
            <v>10241651.58</v>
          </cell>
          <cell r="AH3">
            <v>10538741.789999999</v>
          </cell>
          <cell r="AI3">
            <v>10848038.880000001</v>
          </cell>
          <cell r="AJ3">
            <v>11169413.67</v>
          </cell>
          <cell r="AK3">
            <v>11502614.529999999</v>
          </cell>
        </row>
        <row r="4">
          <cell r="B4">
            <v>47217.50215</v>
          </cell>
          <cell r="C4">
            <v>47792.003140000001</v>
          </cell>
          <cell r="D4">
            <v>48413.536139999997</v>
          </cell>
          <cell r="E4">
            <v>49096.413520000002</v>
          </cell>
          <cell r="F4">
            <v>49847.265850000003</v>
          </cell>
          <cell r="G4">
            <v>50670.788139999997</v>
          </cell>
          <cell r="H4">
            <v>51569.223050000001</v>
          </cell>
          <cell r="I4">
            <v>52547.143709999997</v>
          </cell>
          <cell r="J4">
            <v>53606.448819999998</v>
          </cell>
          <cell r="K4">
            <v>54767.106449999999</v>
          </cell>
          <cell r="L4">
            <v>56037.713889999999</v>
          </cell>
          <cell r="M4">
            <v>57402.56568</v>
          </cell>
          <cell r="N4">
            <v>58843.26657</v>
          </cell>
          <cell r="O4">
            <v>60343.855490000002</v>
          </cell>
          <cell r="P4">
            <v>61892.960800000001</v>
          </cell>
          <cell r="Q4">
            <v>63483.105600000003</v>
          </cell>
          <cell r="R4">
            <v>65113.599490000001</v>
          </cell>
          <cell r="S4">
            <v>66785.614650000003</v>
          </cell>
          <cell r="T4">
            <v>68502.229590000003</v>
          </cell>
          <cell r="U4">
            <v>70267.722099999999</v>
          </cell>
          <cell r="V4">
            <v>72085.902019999994</v>
          </cell>
          <cell r="W4">
            <v>73961.974040000001</v>
          </cell>
          <cell r="X4">
            <v>75901.902789999993</v>
          </cell>
          <cell r="Y4">
            <v>77911.884820000007</v>
          </cell>
          <cell r="Z4">
            <v>79997.373829999997</v>
          </cell>
          <cell r="AA4">
            <v>82159.072910000003</v>
          </cell>
          <cell r="AB4">
            <v>84396.795549999995</v>
          </cell>
          <cell r="AC4">
            <v>86711.251629999999</v>
          </cell>
          <cell r="AD4">
            <v>89103.827040000004</v>
          </cell>
          <cell r="AE4">
            <v>91575.167360000007</v>
          </cell>
          <cell r="AF4">
            <v>94123.797430000006</v>
          </cell>
          <cell r="AG4">
            <v>96745.512059999994</v>
          </cell>
          <cell r="AH4">
            <v>99433.464210000006</v>
          </cell>
          <cell r="AI4">
            <v>102178.5615</v>
          </cell>
          <cell r="AJ4">
            <v>104969.5784</v>
          </cell>
          <cell r="AK4">
            <v>107793.16250000001</v>
          </cell>
        </row>
        <row r="5">
          <cell r="B5">
            <v>47217.50215</v>
          </cell>
          <cell r="C5">
            <v>47792.003140000001</v>
          </cell>
          <cell r="D5">
            <v>48413.536139999997</v>
          </cell>
          <cell r="E5">
            <v>49096.413520000002</v>
          </cell>
          <cell r="F5">
            <v>49847.265850000003</v>
          </cell>
          <cell r="G5">
            <v>50670.788139999997</v>
          </cell>
          <cell r="H5">
            <v>51569.223050000001</v>
          </cell>
          <cell r="I5">
            <v>52543.617680000003</v>
          </cell>
          <cell r="J5">
            <v>53594.19255</v>
          </cell>
          <cell r="K5">
            <v>54720.910279999996</v>
          </cell>
          <cell r="L5">
            <v>55921.6878</v>
          </cell>
          <cell r="M5">
            <v>57182.330349999997</v>
          </cell>
          <cell r="N5">
            <v>58487.982120000001</v>
          </cell>
          <cell r="O5">
            <v>59826.072260000001</v>
          </cell>
          <cell r="P5">
            <v>61187.381419999998</v>
          </cell>
          <cell r="Q5">
            <v>62566.181449999996</v>
          </cell>
          <cell r="R5">
            <v>63960.478170000002</v>
          </cell>
          <cell r="S5">
            <v>65372.092100000002</v>
          </cell>
          <cell r="T5">
            <v>66805.500580000007</v>
          </cell>
          <cell r="U5">
            <v>68266.611470000003</v>
          </cell>
          <cell r="V5">
            <v>69761.099749999994</v>
          </cell>
          <cell r="W5">
            <v>71296.269650000002</v>
          </cell>
          <cell r="X5">
            <v>72880.463959999994</v>
          </cell>
          <cell r="Y5">
            <v>74522.413709999993</v>
          </cell>
          <cell r="Z5">
            <v>76230.351720000006</v>
          </cell>
          <cell r="AA5">
            <v>78008.540460000004</v>
          </cell>
          <cell r="AB5">
            <v>79862.333379999996</v>
          </cell>
          <cell r="AC5">
            <v>81798.1921</v>
          </cell>
          <cell r="AD5">
            <v>83823.11709</v>
          </cell>
          <cell r="AE5">
            <v>85943.315050000005</v>
          </cell>
          <cell r="AF5">
            <v>88163.077569999994</v>
          </cell>
          <cell r="AG5">
            <v>90484.612210000007</v>
          </cell>
          <cell r="AH5">
            <v>92908.286800000002</v>
          </cell>
          <cell r="AI5">
            <v>95432.768880000003</v>
          </cell>
          <cell r="AJ5">
            <v>98055.073839999997</v>
          </cell>
          <cell r="AK5">
            <v>100770.5689</v>
          </cell>
        </row>
        <row r="6">
          <cell r="B6">
            <v>1844.8052849999999</v>
          </cell>
          <cell r="C6">
            <v>1864.25396</v>
          </cell>
          <cell r="D6">
            <v>1881.4866019999999</v>
          </cell>
          <cell r="E6">
            <v>1896.4514079999999</v>
          </cell>
          <cell r="F6">
            <v>1909.6693210000001</v>
          </cell>
          <cell r="G6">
            <v>1921.650911</v>
          </cell>
          <cell r="H6">
            <v>1932.760955</v>
          </cell>
          <cell r="I6">
            <v>1941.8414909999999</v>
          </cell>
          <cell r="J6">
            <v>1948.535519</v>
          </cell>
          <cell r="K6">
            <v>1952.920824</v>
          </cell>
          <cell r="L6">
            <v>1954.782798</v>
          </cell>
          <cell r="M6">
            <v>1953.917592</v>
          </cell>
          <cell r="N6">
            <v>1950.329864</v>
          </cell>
          <cell r="O6">
            <v>1944.283169</v>
          </cell>
          <cell r="P6">
            <v>1936.254117</v>
          </cell>
          <cell r="Q6">
            <v>1926.815656</v>
          </cell>
          <cell r="R6">
            <v>1916.2303460000001</v>
          </cell>
          <cell r="S6">
            <v>1904.8502470000001</v>
          </cell>
          <cell r="T6">
            <v>1893.057908</v>
          </cell>
          <cell r="U6">
            <v>1881.2344680000001</v>
          </cell>
          <cell r="V6">
            <v>1869.7204979999999</v>
          </cell>
          <cell r="W6">
            <v>1858.88922</v>
          </cell>
          <cell r="X6">
            <v>1849.112662</v>
          </cell>
          <cell r="Y6">
            <v>1840.751137</v>
          </cell>
          <cell r="Z6">
            <v>1834.1433320000001</v>
          </cell>
          <cell r="AA6">
            <v>1829.5171310000001</v>
          </cell>
          <cell r="AB6">
            <v>1827.231186</v>
          </cell>
          <cell r="AC6">
            <v>1827.625074</v>
          </cell>
          <cell r="AD6">
            <v>1831.0457289999999</v>
          </cell>
          <cell r="AE6">
            <v>1837.8479010000001</v>
          </cell>
          <cell r="AF6">
            <v>1848.397714</v>
          </cell>
          <cell r="AG6">
            <v>1863.0953910000001</v>
          </cell>
          <cell r="AH6">
            <v>1882.415937</v>
          </cell>
          <cell r="AI6">
            <v>1906.9657569999999</v>
          </cell>
          <cell r="AJ6">
            <v>1937.558994</v>
          </cell>
          <cell r="AK6">
            <v>1975.3361649999999</v>
          </cell>
        </row>
        <row r="7">
          <cell r="B7">
            <v>1844.8052849999999</v>
          </cell>
          <cell r="C7">
            <v>1864.25396</v>
          </cell>
          <cell r="D7">
            <v>1881.4866019999999</v>
          </cell>
          <cell r="E7">
            <v>1896.4514079999999</v>
          </cell>
          <cell r="F7">
            <v>1909.6693210000001</v>
          </cell>
          <cell r="G7">
            <v>1921.650911</v>
          </cell>
          <cell r="H7">
            <v>1932.760955</v>
          </cell>
          <cell r="I7">
            <v>1943.2670450000001</v>
          </cell>
          <cell r="J7">
            <v>1953.3849769999999</v>
          </cell>
          <cell r="K7">
            <v>1963.29242</v>
          </cell>
          <cell r="L7">
            <v>1973.141564</v>
          </cell>
          <cell r="M7">
            <v>1982.849021</v>
          </cell>
          <cell r="N7">
            <v>1992.3373750000001</v>
          </cell>
          <cell r="O7">
            <v>2001.597604</v>
          </cell>
          <cell r="P7">
            <v>2010.6877360000001</v>
          </cell>
          <cell r="Q7">
            <v>2019.7107100000001</v>
          </cell>
          <cell r="R7">
            <v>2028.7846939999999</v>
          </cell>
          <cell r="S7">
            <v>2038.0289929999999</v>
          </cell>
          <cell r="T7">
            <v>2047.595701</v>
          </cell>
          <cell r="U7">
            <v>2057.636031</v>
          </cell>
          <cell r="V7">
            <v>2068.2432210000002</v>
          </cell>
          <cell r="W7">
            <v>2079.5285600000002</v>
          </cell>
          <cell r="X7">
            <v>2091.5879679999998</v>
          </cell>
          <cell r="Y7">
            <v>2104.4941869999998</v>
          </cell>
          <cell r="Z7">
            <v>2118.2911410000002</v>
          </cell>
          <cell r="AA7">
            <v>2132.9005649999999</v>
          </cell>
          <cell r="AB7">
            <v>2148.314421</v>
          </cell>
          <cell r="AC7">
            <v>2164.5577330000001</v>
          </cell>
          <cell r="AD7">
            <v>2181.6692280000002</v>
          </cell>
          <cell r="AE7">
            <v>2199.683293</v>
          </cell>
          <cell r="AF7">
            <v>2218.6185190000001</v>
          </cell>
          <cell r="AG7">
            <v>2238.4811759999998</v>
          </cell>
          <cell r="AH7">
            <v>2259.270383</v>
          </cell>
          <cell r="AI7">
            <v>2280.9816430000001</v>
          </cell>
          <cell r="AJ7">
            <v>2303.607512</v>
          </cell>
          <cell r="AK7">
            <v>2327.13636</v>
          </cell>
        </row>
        <row r="8">
          <cell r="B8">
            <v>74527.120699999999</v>
          </cell>
          <cell r="C8">
            <v>75433.214059999998</v>
          </cell>
          <cell r="D8">
            <v>76414.366420000006</v>
          </cell>
          <cell r="E8">
            <v>77492.092789999995</v>
          </cell>
          <cell r="F8">
            <v>78678.204970000006</v>
          </cell>
          <cell r="G8">
            <v>79980.927330000006</v>
          </cell>
          <cell r="H8">
            <v>81405.710600000006</v>
          </cell>
          <cell r="I8">
            <v>82954.325330000007</v>
          </cell>
          <cell r="J8">
            <v>84629.442679999993</v>
          </cell>
          <cell r="K8">
            <v>86456.814610000001</v>
          </cell>
          <cell r="L8">
            <v>88450.501990000004</v>
          </cell>
          <cell r="M8">
            <v>90595.140150000007</v>
          </cell>
          <cell r="N8">
            <v>92870.248940000005</v>
          </cell>
          <cell r="O8">
            <v>95256.055789999999</v>
          </cell>
          <cell r="P8">
            <v>97736.557459999996</v>
          </cell>
          <cell r="Q8">
            <v>100299.5885</v>
          </cell>
          <cell r="R8">
            <v>102938.93610000001</v>
          </cell>
          <cell r="S8">
            <v>105652.2916</v>
          </cell>
          <cell r="T8">
            <v>108440.9476</v>
          </cell>
          <cell r="U8">
            <v>111308.7277</v>
          </cell>
          <cell r="V8">
            <v>114258.96060000001</v>
          </cell>
          <cell r="W8">
            <v>117298.38219999999</v>
          </cell>
          <cell r="X8">
            <v>120435.5145</v>
          </cell>
          <cell r="Y8">
            <v>123680.0909</v>
          </cell>
          <cell r="Z8">
            <v>127041.8291</v>
          </cell>
          <cell r="AA8">
            <v>130522.8876</v>
          </cell>
          <cell r="AB8">
            <v>134125.75210000001</v>
          </cell>
          <cell r="AC8">
            <v>137855.10310000001</v>
          </cell>
          <cell r="AD8">
            <v>141717.69500000001</v>
          </cell>
          <cell r="AE8">
            <v>145720.8284</v>
          </cell>
          <cell r="AF8">
            <v>149870.4552</v>
          </cell>
          <cell r="AG8">
            <v>154169.84109999999</v>
          </cell>
          <cell r="AH8">
            <v>158619.26029999999</v>
          </cell>
          <cell r="AI8">
            <v>163216.6348</v>
          </cell>
          <cell r="AJ8">
            <v>167957.8358</v>
          </cell>
          <cell r="AK8">
            <v>172836.9192</v>
          </cell>
        </row>
        <row r="9">
          <cell r="B9">
            <v>74527.120699999999</v>
          </cell>
          <cell r="C9">
            <v>75433.214049999995</v>
          </cell>
          <cell r="D9">
            <v>76414.366410000002</v>
          </cell>
          <cell r="E9">
            <v>77492.092770000003</v>
          </cell>
          <cell r="F9">
            <v>78678.204949999999</v>
          </cell>
          <cell r="G9">
            <v>79980.927290000007</v>
          </cell>
          <cell r="H9">
            <v>81405.710550000003</v>
          </cell>
          <cell r="I9">
            <v>82954.987599999993</v>
          </cell>
          <cell r="J9">
            <v>84629.726450000002</v>
          </cell>
          <cell r="K9">
            <v>86430.483730000007</v>
          </cell>
          <cell r="L9">
            <v>88356.060329999993</v>
          </cell>
          <cell r="M9">
            <v>90388.469159999993</v>
          </cell>
          <cell r="N9">
            <v>92507.785780000006</v>
          </cell>
          <cell r="O9">
            <v>94695.848259999999</v>
          </cell>
          <cell r="P9">
            <v>96937.884179999994</v>
          </cell>
          <cell r="Q9">
            <v>99223.137950000004</v>
          </cell>
          <cell r="R9">
            <v>101544.28019999999</v>
          </cell>
          <cell r="S9">
            <v>103900.4111</v>
          </cell>
          <cell r="T9">
            <v>106294.86470000001</v>
          </cell>
          <cell r="U9">
            <v>108733.37820000001</v>
          </cell>
          <cell r="V9">
            <v>111221.14750000001</v>
          </cell>
          <cell r="W9">
            <v>113766.8437</v>
          </cell>
          <cell r="X9">
            <v>116381.0796</v>
          </cell>
          <cell r="Y9">
            <v>119075.4874</v>
          </cell>
          <cell r="Z9">
            <v>121861.4929</v>
          </cell>
          <cell r="AA9">
            <v>124743.6045</v>
          </cell>
          <cell r="AB9">
            <v>127729.5757</v>
          </cell>
          <cell r="AC9">
            <v>130829.2977</v>
          </cell>
          <cell r="AD9">
            <v>134053.97320000001</v>
          </cell>
          <cell r="AE9">
            <v>137414.44810000001</v>
          </cell>
          <cell r="AF9">
            <v>140919.58119999999</v>
          </cell>
          <cell r="AG9">
            <v>144575.70860000001</v>
          </cell>
          <cell r="AH9">
            <v>148386.64129999999</v>
          </cell>
          <cell r="AI9">
            <v>152353.59640000001</v>
          </cell>
          <cell r="AJ9">
            <v>156475.08549999999</v>
          </cell>
          <cell r="AK9">
            <v>160746.7966</v>
          </cell>
        </row>
        <row r="10">
          <cell r="B10">
            <v>401529.44650000002</v>
          </cell>
          <cell r="C10">
            <v>406777.74570000003</v>
          </cell>
          <cell r="D10">
            <v>412960.65610000002</v>
          </cell>
          <cell r="E10">
            <v>420117.31</v>
          </cell>
          <cell r="F10">
            <v>428224.61080000002</v>
          </cell>
          <cell r="G10">
            <v>437230.70939999999</v>
          </cell>
          <cell r="H10">
            <v>447061.55780000001</v>
          </cell>
          <cell r="I10">
            <v>457293.14850000001</v>
          </cell>
          <cell r="J10">
            <v>467786.67359999998</v>
          </cell>
          <cell r="K10">
            <v>478872.38929999998</v>
          </cell>
          <cell r="L10">
            <v>490566.23639999999</v>
          </cell>
          <cell r="M10">
            <v>502583.84450000001</v>
          </cell>
          <cell r="N10">
            <v>514635.64720000001</v>
          </cell>
          <cell r="O10">
            <v>526529.42240000004</v>
          </cell>
          <cell r="P10">
            <v>538205.26329999999</v>
          </cell>
          <cell r="Q10">
            <v>549695.07290000003</v>
          </cell>
          <cell r="R10">
            <v>561019.94099999999</v>
          </cell>
          <cell r="S10">
            <v>572266.54929999996</v>
          </cell>
          <cell r="T10">
            <v>583558.95200000005</v>
          </cell>
          <cell r="U10">
            <v>595032.25260000001</v>
          </cell>
          <cell r="V10">
            <v>606820.16899999999</v>
          </cell>
          <cell r="W10">
            <v>619059.09649999999</v>
          </cell>
          <cell r="X10">
            <v>631888.38049999997</v>
          </cell>
          <cell r="Y10">
            <v>645445.4</v>
          </cell>
          <cell r="Z10">
            <v>659855.46799999999</v>
          </cell>
          <cell r="AA10">
            <v>675221.24600000004</v>
          </cell>
          <cell r="AB10">
            <v>691678.48979999998</v>
          </cell>
          <cell r="AC10">
            <v>709342.85690000001</v>
          </cell>
          <cell r="AD10">
            <v>728314.7254</v>
          </cell>
          <cell r="AE10">
            <v>748657.9523</v>
          </cell>
          <cell r="AF10">
            <v>770387.46620000002</v>
          </cell>
          <cell r="AG10">
            <v>793475.26520000002</v>
          </cell>
          <cell r="AH10">
            <v>817861.99699999997</v>
          </cell>
          <cell r="AI10">
            <v>843465.39509999997</v>
          </cell>
          <cell r="AJ10">
            <v>870184.255</v>
          </cell>
          <cell r="AK10">
            <v>897898.69940000004</v>
          </cell>
        </row>
        <row r="11">
          <cell r="B11">
            <v>401529.44650000002</v>
          </cell>
          <cell r="C11">
            <v>406777.74570000003</v>
          </cell>
          <cell r="D11">
            <v>412960.65610000002</v>
          </cell>
          <cell r="E11">
            <v>420117.31</v>
          </cell>
          <cell r="F11">
            <v>428224.61080000002</v>
          </cell>
          <cell r="G11">
            <v>437230.70929999999</v>
          </cell>
          <cell r="H11">
            <v>447061.55780000001</v>
          </cell>
          <cell r="I11">
            <v>457646.16560000001</v>
          </cell>
          <cell r="J11">
            <v>468935.2501</v>
          </cell>
          <cell r="K11">
            <v>480902.71519999998</v>
          </cell>
          <cell r="L11">
            <v>493478.85649999999</v>
          </cell>
          <cell r="M11">
            <v>506391.50020000001</v>
          </cell>
          <cell r="N11">
            <v>519411.51140000002</v>
          </cell>
          <cell r="O11">
            <v>532390.88100000005</v>
          </cell>
          <cell r="P11">
            <v>545265.98640000005</v>
          </cell>
          <cell r="Q11">
            <v>558041.54079999996</v>
          </cell>
          <cell r="R11">
            <v>570789.97589999996</v>
          </cell>
          <cell r="S11">
            <v>583626.32609999995</v>
          </cell>
          <cell r="T11">
            <v>596682.3382</v>
          </cell>
          <cell r="U11">
            <v>610087.35109999997</v>
          </cell>
          <cell r="V11">
            <v>623961.70550000004</v>
          </cell>
          <cell r="W11">
            <v>638425.07330000005</v>
          </cell>
          <cell r="X11">
            <v>653599.35349999997</v>
          </cell>
          <cell r="Y11">
            <v>669603.1973</v>
          </cell>
          <cell r="Z11">
            <v>686540.55200000003</v>
          </cell>
          <cell r="AA11">
            <v>704489.8713</v>
          </cell>
          <cell r="AB11">
            <v>723530.1496</v>
          </cell>
          <cell r="AC11">
            <v>743746.59019999998</v>
          </cell>
          <cell r="AD11">
            <v>765220.48369999998</v>
          </cell>
          <cell r="AE11">
            <v>788000.48569999996</v>
          </cell>
          <cell r="AF11">
            <v>812088.06429999997</v>
          </cell>
          <cell r="AG11">
            <v>837445.7585</v>
          </cell>
          <cell r="AH11">
            <v>864012.04299999995</v>
          </cell>
          <cell r="AI11">
            <v>891710.68729999999</v>
          </cell>
          <cell r="AJ11">
            <v>920455.41650000005</v>
          </cell>
          <cell r="AK11">
            <v>950151.64670000004</v>
          </cell>
        </row>
        <row r="13">
          <cell r="B13">
            <v>16084.438920000001</v>
          </cell>
          <cell r="C13">
            <v>16281.78357</v>
          </cell>
          <cell r="D13">
            <v>16497.057789999999</v>
          </cell>
          <cell r="E13">
            <v>16734.023450000001</v>
          </cell>
          <cell r="F13">
            <v>16993.97134</v>
          </cell>
          <cell r="G13">
            <v>17278.100999999999</v>
          </cell>
          <cell r="H13">
            <v>17587.717509999999</v>
          </cell>
          <cell r="I13">
            <v>17923.705900000001</v>
          </cell>
          <cell r="J13">
            <v>18286.700209999999</v>
          </cell>
          <cell r="K13">
            <v>18677.33237</v>
          </cell>
          <cell r="L13">
            <v>19095.70998</v>
          </cell>
          <cell r="M13">
            <v>19538.40453</v>
          </cell>
          <cell r="N13">
            <v>20001.9529</v>
          </cell>
          <cell r="O13">
            <v>20483.804629999999</v>
          </cell>
          <cell r="P13">
            <v>20982.6113</v>
          </cell>
          <cell r="Q13">
            <v>21498.162909999999</v>
          </cell>
          <cell r="R13">
            <v>22030.81079</v>
          </cell>
          <cell r="S13">
            <v>22582.277839999999</v>
          </cell>
          <cell r="T13">
            <v>23155.112710000001</v>
          </cell>
          <cell r="U13">
            <v>23752.172040000001</v>
          </cell>
          <cell r="V13">
            <v>24376.025290000001</v>
          </cell>
          <cell r="W13">
            <v>25029.459169999998</v>
          </cell>
          <cell r="X13">
            <v>25715.318050000002</v>
          </cell>
          <cell r="Y13">
            <v>26436.332340000001</v>
          </cell>
          <cell r="Z13">
            <v>27194.86159</v>
          </cell>
          <cell r="AA13">
            <v>27991.800050000002</v>
          </cell>
          <cell r="AB13">
            <v>28828.10109</v>
          </cell>
          <cell r="AC13">
            <v>29704.854619999998</v>
          </cell>
          <cell r="AD13">
            <v>30623.19212</v>
          </cell>
          <cell r="AE13">
            <v>31583.943879999999</v>
          </cell>
          <cell r="AF13">
            <v>32587.36393</v>
          </cell>
          <cell r="AG13">
            <v>33633.157039999998</v>
          </cell>
          <cell r="AH13">
            <v>34720.62773</v>
          </cell>
          <cell r="AI13">
            <v>35848.774989999998</v>
          </cell>
          <cell r="AJ13">
            <v>37016.331140000002</v>
          </cell>
          <cell r="AK13">
            <v>38221.762519999997</v>
          </cell>
        </row>
        <row r="14">
          <cell r="B14">
            <v>13394.580900000001</v>
          </cell>
          <cell r="C14">
            <v>13558.98783</v>
          </cell>
          <cell r="D14">
            <v>13739.6693</v>
          </cell>
          <cell r="E14">
            <v>13938.989729999999</v>
          </cell>
          <cell r="F14">
            <v>14158.30069</v>
          </cell>
          <cell r="G14">
            <v>14398.45838</v>
          </cell>
          <cell r="H14">
            <v>14659.600930000001</v>
          </cell>
          <cell r="I14">
            <v>14936.45225</v>
          </cell>
          <cell r="J14">
            <v>15227.036249999999</v>
          </cell>
          <cell r="K14">
            <v>15537.5735</v>
          </cell>
          <cell r="L14">
            <v>15868.822749999999</v>
          </cell>
          <cell r="M14">
            <v>16214.469450000001</v>
          </cell>
          <cell r="N14">
            <v>16567.583210000001</v>
          </cell>
          <cell r="O14">
            <v>16922.905129999999</v>
          </cell>
          <cell r="P14">
            <v>17277.66633</v>
          </cell>
          <cell r="Q14">
            <v>17630.992620000001</v>
          </cell>
          <cell r="R14">
            <v>17982.87918</v>
          </cell>
          <cell r="S14">
            <v>18334.73834</v>
          </cell>
          <cell r="T14">
            <v>18688.973310000001</v>
          </cell>
          <cell r="U14">
            <v>19048.517609999999</v>
          </cell>
          <cell r="V14">
            <v>19416.38492</v>
          </cell>
          <cell r="W14">
            <v>19796.038690000001</v>
          </cell>
          <cell r="X14">
            <v>20191.22003</v>
          </cell>
          <cell r="Y14">
            <v>20605.753990000001</v>
          </cell>
          <cell r="Z14">
            <v>21043.267609999999</v>
          </cell>
          <cell r="AA14">
            <v>21506.394690000001</v>
          </cell>
          <cell r="AB14">
            <v>21998.030569999999</v>
          </cell>
          <cell r="AC14">
            <v>22521.249599999999</v>
          </cell>
          <cell r="AD14">
            <v>23079.118109999999</v>
          </cell>
          <cell r="AE14">
            <v>23674.13307</v>
          </cell>
          <cell r="AF14">
            <v>24307.85482</v>
          </cell>
          <cell r="AG14">
            <v>24980.952700000002</v>
          </cell>
          <cell r="AH14">
            <v>25693.426090000001</v>
          </cell>
          <cell r="AI14">
            <v>26444.766159999999</v>
          </cell>
          <cell r="AJ14">
            <v>27234.05615</v>
          </cell>
          <cell r="AK14">
            <v>28060.072319999999</v>
          </cell>
        </row>
        <row r="15">
          <cell r="B15">
            <v>13394.580900000001</v>
          </cell>
          <cell r="C15">
            <v>13558.98783</v>
          </cell>
          <cell r="D15">
            <v>13739.6693</v>
          </cell>
          <cell r="E15">
            <v>13938.989729999999</v>
          </cell>
          <cell r="F15">
            <v>14158.30069</v>
          </cell>
          <cell r="G15">
            <v>14398.45838</v>
          </cell>
          <cell r="H15">
            <v>14659.600930000001</v>
          </cell>
          <cell r="I15">
            <v>14941.36285</v>
          </cell>
          <cell r="J15">
            <v>15243.19665</v>
          </cell>
          <cell r="K15">
            <v>15564.559219999999</v>
          </cell>
          <cell r="L15">
            <v>15903.95867</v>
          </cell>
          <cell r="M15">
            <v>16255.3833</v>
          </cell>
          <cell r="N15">
            <v>16613.182980000001</v>
          </cell>
          <cell r="O15">
            <v>16973.08871</v>
          </cell>
          <cell r="P15">
            <v>17332.483639999999</v>
          </cell>
          <cell r="Q15">
            <v>17690.26771</v>
          </cell>
          <cell r="R15">
            <v>18046.877400000001</v>
          </cell>
          <cell r="S15">
            <v>18404.1479</v>
          </cell>
          <cell r="T15">
            <v>18764.7762</v>
          </cell>
          <cell r="U15">
            <v>19131.829549999999</v>
          </cell>
          <cell r="V15">
            <v>19508.307769999999</v>
          </cell>
          <cell r="W15">
            <v>19897.534220000001</v>
          </cell>
          <cell r="X15">
            <v>20303.006689999998</v>
          </cell>
          <cell r="Y15">
            <v>20728.220450000001</v>
          </cell>
          <cell r="Z15">
            <v>21176.401860000002</v>
          </cell>
          <cell r="AA15">
            <v>21649.74927</v>
          </cell>
          <cell r="AB15">
            <v>22150.659149999999</v>
          </cell>
          <cell r="AC15">
            <v>22681.67337</v>
          </cell>
          <cell r="AD15">
            <v>23245.261480000001</v>
          </cell>
          <cell r="AE15">
            <v>23843.255590000001</v>
          </cell>
          <cell r="AF15">
            <v>24476.493320000001</v>
          </cell>
          <cell r="AG15">
            <v>25144.881020000001</v>
          </cell>
          <cell r="AH15">
            <v>25847.606950000001</v>
          </cell>
          <cell r="AI15">
            <v>26583.28253</v>
          </cell>
          <cell r="AJ15">
            <v>27350.02044</v>
          </cell>
          <cell r="AK15">
            <v>28145.476859999999</v>
          </cell>
        </row>
        <row r="16">
          <cell r="B16">
            <v>36396.253879999997</v>
          </cell>
          <cell r="C16">
            <v>36852.33584</v>
          </cell>
          <cell r="D16">
            <v>37364.026299999998</v>
          </cell>
          <cell r="E16">
            <v>37936.36967</v>
          </cell>
          <cell r="F16">
            <v>38571.779399999999</v>
          </cell>
          <cell r="G16">
            <v>39271.40926</v>
          </cell>
          <cell r="H16">
            <v>40035.4709</v>
          </cell>
          <cell r="I16">
            <v>40839.597520000003</v>
          </cell>
          <cell r="J16">
            <v>41676.966200000003</v>
          </cell>
          <cell r="K16">
            <v>42569.277589999998</v>
          </cell>
          <cell r="L16">
            <v>43517.942280000003</v>
          </cell>
          <cell r="M16">
            <v>44501.383809999999</v>
          </cell>
          <cell r="N16">
            <v>45496.78542</v>
          </cell>
          <cell r="O16">
            <v>46487.797899999998</v>
          </cell>
          <cell r="P16">
            <v>47467.060810000003</v>
          </cell>
          <cell r="Q16">
            <v>48433.70938</v>
          </cell>
          <cell r="R16">
            <v>49391.700440000001</v>
          </cell>
          <cell r="S16">
            <v>50348.067920000001</v>
          </cell>
          <cell r="T16">
            <v>51312.548929999997</v>
          </cell>
          <cell r="U16">
            <v>52296.175179999998</v>
          </cell>
          <cell r="V16">
            <v>53310.113810000003</v>
          </cell>
          <cell r="W16">
            <v>54366.330829999999</v>
          </cell>
          <cell r="X16">
            <v>55477.274920000003</v>
          </cell>
          <cell r="Y16">
            <v>56655.240169999997</v>
          </cell>
          <cell r="Z16">
            <v>57911.396800000002</v>
          </cell>
          <cell r="AA16">
            <v>59254.215429999997</v>
          </cell>
          <cell r="AB16">
            <v>60691.861369999999</v>
          </cell>
          <cell r="AC16">
            <v>62233.608639999999</v>
          </cell>
          <cell r="AD16">
            <v>63888.694860000003</v>
          </cell>
          <cell r="AE16">
            <v>65664.028829999996</v>
          </cell>
          <cell r="AF16">
            <v>67562.909140000003</v>
          </cell>
          <cell r="AG16">
            <v>69585.480989999996</v>
          </cell>
          <cell r="AH16">
            <v>71729.733919999999</v>
          </cell>
          <cell r="AI16">
            <v>73991.933720000001</v>
          </cell>
          <cell r="AJ16">
            <v>76366.742050000001</v>
          </cell>
          <cell r="AK16">
            <v>78847.256930000003</v>
          </cell>
        </row>
        <row r="17">
          <cell r="B17">
            <v>36396.253879999997</v>
          </cell>
          <cell r="C17">
            <v>36852.33584</v>
          </cell>
          <cell r="D17">
            <v>37364.026299999998</v>
          </cell>
          <cell r="E17">
            <v>37936.36967</v>
          </cell>
          <cell r="F17">
            <v>38571.779399999999</v>
          </cell>
          <cell r="G17">
            <v>39271.40926</v>
          </cell>
          <cell r="H17">
            <v>40035.470909999996</v>
          </cell>
          <cell r="I17">
            <v>40862.879520000002</v>
          </cell>
          <cell r="J17">
            <v>41751.876960000001</v>
          </cell>
          <cell r="K17">
            <v>42700.564749999998</v>
          </cell>
          <cell r="L17">
            <v>43702.992100000003</v>
          </cell>
          <cell r="M17">
            <v>44737.566129999999</v>
          </cell>
          <cell r="N17">
            <v>45785.381650000003</v>
          </cell>
          <cell r="O17">
            <v>46833.242839999999</v>
          </cell>
          <cell r="P17">
            <v>47874.161480000002</v>
          </cell>
          <cell r="Q17">
            <v>48906.483139999997</v>
          </cell>
          <cell r="R17">
            <v>49932.872669999997</v>
          </cell>
          <cell r="S17">
            <v>50960.501120000001</v>
          </cell>
          <cell r="T17">
            <v>51999.405789999997</v>
          </cell>
          <cell r="U17">
            <v>53060.707020000002</v>
          </cell>
          <cell r="V17">
            <v>54155.368849999999</v>
          </cell>
          <cell r="W17">
            <v>55294.797149999999</v>
          </cell>
          <cell r="X17">
            <v>56490.543339999997</v>
          </cell>
          <cell r="Y17">
            <v>57753.795890000001</v>
          </cell>
          <cell r="Z17">
            <v>59094.507169999997</v>
          </cell>
          <cell r="AA17">
            <v>60519.920469999997</v>
          </cell>
          <cell r="AB17">
            <v>62037.447489999999</v>
          </cell>
          <cell r="AC17">
            <v>63654.71974</v>
          </cell>
          <cell r="AD17">
            <v>65378.938219999996</v>
          </cell>
          <cell r="AE17">
            <v>67214.861489999996</v>
          </cell>
          <cell r="AF17">
            <v>69163.663249999998</v>
          </cell>
          <cell r="AG17">
            <v>71223.367570000002</v>
          </cell>
          <cell r="AH17">
            <v>73389.766959999994</v>
          </cell>
          <cell r="AI17">
            <v>75657.001759999999</v>
          </cell>
          <cell r="AJ17">
            <v>78017.86838</v>
          </cell>
          <cell r="AK17">
            <v>80463.975590000002</v>
          </cell>
        </row>
        <row r="18">
          <cell r="B18">
            <v>13360.21751</v>
          </cell>
          <cell r="C18">
            <v>13527.875309999999</v>
          </cell>
          <cell r="D18">
            <v>13715.921259999999</v>
          </cell>
          <cell r="E18">
            <v>13926.771989999999</v>
          </cell>
          <cell r="F18">
            <v>14161.21184</v>
          </cell>
          <cell r="G18">
            <v>14419.439490000001</v>
          </cell>
          <cell r="H18">
            <v>14701.09958</v>
          </cell>
          <cell r="I18">
            <v>15000.59792</v>
          </cell>
          <cell r="J18">
            <v>15316.61361</v>
          </cell>
          <cell r="K18">
            <v>15657.47709</v>
          </cell>
          <cell r="L18">
            <v>16024.276680000001</v>
          </cell>
          <cell r="M18">
            <v>16409.18045</v>
          </cell>
          <cell r="N18">
            <v>16803.570240000001</v>
          </cell>
          <cell r="O18">
            <v>17201.041539999998</v>
          </cell>
          <cell r="P18">
            <v>17598.4643</v>
          </cell>
          <cell r="Q18">
            <v>17995.183369999999</v>
          </cell>
          <cell r="R18">
            <v>18391.779559999999</v>
          </cell>
          <cell r="S18">
            <v>18790.417689999998</v>
          </cell>
          <cell r="T18">
            <v>19194.352129999999</v>
          </cell>
          <cell r="U18">
            <v>19607.348679999999</v>
          </cell>
          <cell r="V18">
            <v>20033.26915</v>
          </cell>
          <cell r="W18">
            <v>20476.235509999999</v>
          </cell>
          <cell r="X18">
            <v>20940.58971</v>
          </cell>
          <cell r="Y18">
            <v>21430.693780000001</v>
          </cell>
          <cell r="Z18">
            <v>21950.598139999998</v>
          </cell>
          <cell r="AA18">
            <v>22503.467649999999</v>
          </cell>
          <cell r="AB18">
            <v>23092.41131</v>
          </cell>
          <cell r="AC18">
            <v>23720.620040000002</v>
          </cell>
          <cell r="AD18">
            <v>24391.1842</v>
          </cell>
          <cell r="AE18">
            <v>25106.425569999999</v>
          </cell>
          <cell r="AF18">
            <v>25867.494640000001</v>
          </cell>
          <cell r="AG18">
            <v>26674.48761</v>
          </cell>
          <cell r="AH18">
            <v>27526.788270000001</v>
          </cell>
          <cell r="AI18">
            <v>28423.36578</v>
          </cell>
          <cell r="AJ18">
            <v>29363.014210000001</v>
          </cell>
          <cell r="AK18">
            <v>30344.642970000001</v>
          </cell>
        </row>
        <row r="19">
          <cell r="B19">
            <v>13360.21751</v>
          </cell>
          <cell r="C19">
            <v>13527.875309999999</v>
          </cell>
          <cell r="D19">
            <v>13715.921259999999</v>
          </cell>
          <cell r="E19">
            <v>13926.77198</v>
          </cell>
          <cell r="F19">
            <v>14161.21184</v>
          </cell>
          <cell r="G19">
            <v>14419.439490000001</v>
          </cell>
          <cell r="H19">
            <v>14701.09957</v>
          </cell>
          <cell r="I19">
            <v>15005.591109999999</v>
          </cell>
          <cell r="J19">
            <v>15332.290580000001</v>
          </cell>
          <cell r="K19">
            <v>15680.67477</v>
          </cell>
          <cell r="L19">
            <v>16048.95241</v>
          </cell>
          <cell r="M19">
            <v>16430.17712</v>
          </cell>
          <cell r="N19">
            <v>16818.03139</v>
          </cell>
          <cell r="O19">
            <v>17208.002240000002</v>
          </cell>
          <cell r="P19">
            <v>17597.62198</v>
          </cell>
          <cell r="Q19">
            <v>17986.21761</v>
          </cell>
          <cell r="R19">
            <v>18374.769540000001</v>
          </cell>
          <cell r="S19">
            <v>18765.656790000001</v>
          </cell>
          <cell r="T19">
            <v>19162.137289999999</v>
          </cell>
          <cell r="U19">
            <v>19567.825150000001</v>
          </cell>
          <cell r="V19">
            <v>19986.327069999999</v>
          </cell>
          <cell r="W19">
            <v>20421.431949999998</v>
          </cell>
          <cell r="X19">
            <v>20877.086579999999</v>
          </cell>
          <cell r="Y19">
            <v>21357.190320000002</v>
          </cell>
          <cell r="Z19">
            <v>21865.268199999999</v>
          </cell>
          <cell r="AA19">
            <v>22403.937730000001</v>
          </cell>
          <cell r="AB19">
            <v>22975.732650000002</v>
          </cell>
          <cell r="AC19">
            <v>23583.278419999999</v>
          </cell>
          <cell r="AD19">
            <v>24229.059290000001</v>
          </cell>
          <cell r="AE19">
            <v>24914.739669999999</v>
          </cell>
          <cell r="AF19">
            <v>25640.759689999999</v>
          </cell>
          <cell r="AG19">
            <v>26406.461289999999</v>
          </cell>
          <cell r="AH19">
            <v>27210.393080000002</v>
          </cell>
          <cell r="AI19">
            <v>28050.512439999999</v>
          </cell>
          <cell r="AJ19">
            <v>28924.297600000002</v>
          </cell>
          <cell r="AK19">
            <v>29828.80746</v>
          </cell>
        </row>
        <row r="20">
          <cell r="B20">
            <v>66530.747570000007</v>
          </cell>
          <cell r="C20">
            <v>67356.474390000003</v>
          </cell>
          <cell r="D20">
            <v>68276.695489999998</v>
          </cell>
          <cell r="E20">
            <v>69301.874660000001</v>
          </cell>
          <cell r="F20">
            <v>70436.558669999999</v>
          </cell>
          <cell r="G20">
            <v>71683.307339999999</v>
          </cell>
          <cell r="H20">
            <v>73041.769100000005</v>
          </cell>
          <cell r="I20">
            <v>74473.762640000001</v>
          </cell>
          <cell r="J20">
            <v>75965.253070000006</v>
          </cell>
          <cell r="K20">
            <v>77551.268880000003</v>
          </cell>
          <cell r="L20">
            <v>79236.123269999996</v>
          </cell>
          <cell r="M20">
            <v>80985.880780000007</v>
          </cell>
          <cell r="N20">
            <v>82763.288979999998</v>
          </cell>
          <cell r="O20">
            <v>84541.702650000007</v>
          </cell>
          <cell r="P20">
            <v>86309.989459999997</v>
          </cell>
          <cell r="Q20">
            <v>88068.624049999999</v>
          </cell>
          <cell r="R20">
            <v>89824.800319999995</v>
          </cell>
          <cell r="S20">
            <v>91591.760739999998</v>
          </cell>
          <cell r="T20">
            <v>93387.433399999994</v>
          </cell>
          <cell r="U20">
            <v>95232.074309999996</v>
          </cell>
          <cell r="V20">
            <v>97146.524590000001</v>
          </cell>
          <cell r="W20">
            <v>99152.999790000002</v>
          </cell>
          <cell r="X20">
            <v>101274.9993</v>
          </cell>
          <cell r="Y20">
            <v>103536.2276</v>
          </cell>
          <cell r="Z20">
            <v>105959.0243</v>
          </cell>
          <cell r="AA20">
            <v>108561.88250000001</v>
          </cell>
          <cell r="AB20">
            <v>111362.686</v>
          </cell>
          <cell r="AC20">
            <v>114381.1597</v>
          </cell>
          <cell r="AD20">
            <v>117637.1692</v>
          </cell>
          <cell r="AE20">
            <v>121147.2996</v>
          </cell>
          <cell r="AF20">
            <v>124923.0319</v>
          </cell>
          <cell r="AG20">
            <v>128971.7602</v>
          </cell>
          <cell r="AH20">
            <v>133298.87539999999</v>
          </cell>
          <cell r="AI20">
            <v>137909.2542</v>
          </cell>
          <cell r="AJ20">
            <v>142808.6808</v>
          </cell>
          <cell r="AK20">
            <v>148005.8057</v>
          </cell>
        </row>
        <row r="21">
          <cell r="B21">
            <v>66530.747570000007</v>
          </cell>
          <cell r="C21">
            <v>67356.474390000003</v>
          </cell>
          <cell r="D21">
            <v>68276.695489999998</v>
          </cell>
          <cell r="E21">
            <v>69301.874660000001</v>
          </cell>
          <cell r="F21">
            <v>70436.558669999999</v>
          </cell>
          <cell r="G21">
            <v>71683.307339999999</v>
          </cell>
          <cell r="H21">
            <v>73041.769100000005</v>
          </cell>
          <cell r="I21">
            <v>74509.987210000007</v>
          </cell>
          <cell r="J21">
            <v>76085.630600000004</v>
          </cell>
          <cell r="K21">
            <v>77766.746729999999</v>
          </cell>
          <cell r="L21">
            <v>79545.028609999994</v>
          </cell>
          <cell r="M21">
            <v>81386.800399999993</v>
          </cell>
          <cell r="N21">
            <v>83261.16704</v>
          </cell>
          <cell r="O21">
            <v>85146.294599999994</v>
          </cell>
          <cell r="P21">
            <v>87030.768219999998</v>
          </cell>
          <cell r="Q21">
            <v>88912.285860000004</v>
          </cell>
          <cell r="R21">
            <v>90797.389439999999</v>
          </cell>
          <cell r="S21">
            <v>92699.619930000001</v>
          </cell>
          <cell r="T21">
            <v>94636.80601</v>
          </cell>
          <cell r="U21">
            <v>96628.340930000006</v>
          </cell>
          <cell r="V21">
            <v>98693.384229999996</v>
          </cell>
          <cell r="W21">
            <v>100851.5632</v>
          </cell>
          <cell r="X21">
            <v>103122.977</v>
          </cell>
          <cell r="Y21">
            <v>105527.3112</v>
          </cell>
          <cell r="Z21">
            <v>108082.3268</v>
          </cell>
          <cell r="AA21">
            <v>110801.4964</v>
          </cell>
          <cell r="AB21">
            <v>113697.5811</v>
          </cell>
          <cell r="AC21">
            <v>116783.58560000001</v>
          </cell>
          <cell r="AD21">
            <v>120071.7086</v>
          </cell>
          <cell r="AE21">
            <v>123569.996</v>
          </cell>
          <cell r="AF21">
            <v>127280.3579</v>
          </cell>
          <cell r="AG21">
            <v>131199.2162</v>
          </cell>
          <cell r="AH21">
            <v>135319.07519999999</v>
          </cell>
          <cell r="AI21">
            <v>139629.59450000001</v>
          </cell>
          <cell r="AJ21">
            <v>144118.18160000001</v>
          </cell>
          <cell r="AK21">
            <v>148770.29240000001</v>
          </cell>
        </row>
        <row r="22">
          <cell r="B22">
            <v>129149.4963</v>
          </cell>
          <cell r="C22">
            <v>130816.0462</v>
          </cell>
          <cell r="D22">
            <v>132738.6967</v>
          </cell>
          <cell r="E22">
            <v>134930.8499</v>
          </cell>
          <cell r="F22">
            <v>137395.55110000001</v>
          </cell>
          <cell r="G22">
            <v>140131.17929999999</v>
          </cell>
          <cell r="H22">
            <v>143132.1544</v>
          </cell>
          <cell r="I22">
            <v>146305.28690000001</v>
          </cell>
          <cell r="J22">
            <v>149642.36189999999</v>
          </cell>
          <cell r="K22">
            <v>153264.2697</v>
          </cell>
          <cell r="L22">
            <v>157191.016</v>
          </cell>
          <cell r="M22">
            <v>161333.18239999999</v>
          </cell>
          <cell r="N22">
            <v>165585.01449999999</v>
          </cell>
          <cell r="O22">
            <v>169864.91130000001</v>
          </cell>
          <cell r="P22">
            <v>174130.97200000001</v>
          </cell>
          <cell r="Q22">
            <v>178370.60140000001</v>
          </cell>
          <cell r="R22">
            <v>182584.92679999999</v>
          </cell>
          <cell r="S22">
            <v>186797.42319999999</v>
          </cell>
          <cell r="T22">
            <v>191045.25889999999</v>
          </cell>
          <cell r="U22">
            <v>195370.8033</v>
          </cell>
          <cell r="V22">
            <v>199817.98540000001</v>
          </cell>
          <cell r="W22">
            <v>204432.76139999999</v>
          </cell>
          <cell r="X22">
            <v>209264.06770000001</v>
          </cell>
          <cell r="Y22">
            <v>214359.9889</v>
          </cell>
          <cell r="Z22">
            <v>219763.06779999999</v>
          </cell>
          <cell r="AA22">
            <v>225507.93789999999</v>
          </cell>
          <cell r="AB22">
            <v>231624.8461</v>
          </cell>
          <cell r="AC22">
            <v>238153.81299999999</v>
          </cell>
          <cell r="AD22">
            <v>245135.1183</v>
          </cell>
          <cell r="AE22">
            <v>252597.1538</v>
          </cell>
          <cell r="AF22">
            <v>260550.95759999999</v>
          </cell>
          <cell r="AG22">
            <v>268994.67080000002</v>
          </cell>
          <cell r="AH22">
            <v>277919.76750000002</v>
          </cell>
          <cell r="AI22">
            <v>287312.0073</v>
          </cell>
          <cell r="AJ22">
            <v>297151.67719999998</v>
          </cell>
          <cell r="AK22">
            <v>307414.19750000001</v>
          </cell>
        </row>
        <row r="23">
          <cell r="B23">
            <v>129149.4963</v>
          </cell>
          <cell r="C23">
            <v>130816.0462</v>
          </cell>
          <cell r="D23">
            <v>132738.6967</v>
          </cell>
          <cell r="E23">
            <v>134930.8499</v>
          </cell>
          <cell r="F23">
            <v>137395.55110000001</v>
          </cell>
          <cell r="G23">
            <v>140131.17929999999</v>
          </cell>
          <cell r="H23">
            <v>143132.1544</v>
          </cell>
          <cell r="I23">
            <v>146391.1453</v>
          </cell>
          <cell r="J23">
            <v>149901.3584</v>
          </cell>
          <cell r="K23">
            <v>153657.47990000001</v>
          </cell>
          <cell r="L23">
            <v>157635.05429999999</v>
          </cell>
          <cell r="M23">
            <v>161742.9664</v>
          </cell>
          <cell r="N23">
            <v>165903.6433</v>
          </cell>
          <cell r="O23">
            <v>170065.0313</v>
          </cell>
          <cell r="P23">
            <v>174201.95420000001</v>
          </cell>
          <cell r="Q23">
            <v>178311.4534</v>
          </cell>
          <cell r="R23">
            <v>182409.77480000001</v>
          </cell>
          <cell r="S23">
            <v>186527.76629999999</v>
          </cell>
          <cell r="T23">
            <v>190705.08100000001</v>
          </cell>
          <cell r="U23">
            <v>194984.1305</v>
          </cell>
          <cell r="V23">
            <v>199407.6433</v>
          </cell>
          <cell r="W23">
            <v>204018.67989999999</v>
          </cell>
          <cell r="X23">
            <v>208861.8316</v>
          </cell>
          <cell r="Y23">
            <v>213981.0509</v>
          </cell>
          <cell r="Z23">
            <v>219415.71710000001</v>
          </cell>
          <cell r="AA23">
            <v>225198.52970000001</v>
          </cell>
          <cell r="AB23">
            <v>231360.03479999999</v>
          </cell>
          <cell r="AC23">
            <v>237931.9001</v>
          </cell>
          <cell r="AD23">
            <v>244943.8743</v>
          </cell>
          <cell r="AE23">
            <v>252414.51560000001</v>
          </cell>
          <cell r="AF23">
            <v>260346.4553</v>
          </cell>
          <cell r="AG23">
            <v>268728.92379999999</v>
          </cell>
          <cell r="AH23">
            <v>277542.28350000002</v>
          </cell>
          <cell r="AI23">
            <v>286760.80219999998</v>
          </cell>
          <cell r="AJ23">
            <v>296354.05099999998</v>
          </cell>
          <cell r="AK23">
            <v>306287.52610000002</v>
          </cell>
        </row>
        <row r="24">
          <cell r="B24">
            <v>144874.83119999999</v>
          </cell>
          <cell r="C24">
            <v>146632.4442</v>
          </cell>
          <cell r="D24">
            <v>148550.41409999999</v>
          </cell>
          <cell r="E24">
            <v>150659.60649999999</v>
          </cell>
          <cell r="F24">
            <v>152981.16459999999</v>
          </cell>
          <cell r="G24">
            <v>155528.30850000001</v>
          </cell>
          <cell r="H24">
            <v>158303.5215</v>
          </cell>
          <cell r="I24">
            <v>161250.66940000001</v>
          </cell>
          <cell r="J24">
            <v>164352.0845</v>
          </cell>
          <cell r="K24">
            <v>167670.1735</v>
          </cell>
          <cell r="L24">
            <v>171222.4504</v>
          </cell>
          <cell r="M24">
            <v>174962.40909999999</v>
          </cell>
          <cell r="N24">
            <v>178832.9296</v>
          </cell>
          <cell r="O24">
            <v>182788.8855</v>
          </cell>
          <cell r="P24">
            <v>186806.3751</v>
          </cell>
          <cell r="Q24">
            <v>190878.45860000001</v>
          </cell>
          <cell r="R24">
            <v>195002.4437</v>
          </cell>
          <cell r="S24">
            <v>199190.04259999999</v>
          </cell>
          <cell r="T24">
            <v>203462.97839999999</v>
          </cell>
          <cell r="U24">
            <v>207848.34700000001</v>
          </cell>
          <cell r="V24">
            <v>212373.5154</v>
          </cell>
          <cell r="W24">
            <v>217070.5134</v>
          </cell>
          <cell r="X24">
            <v>221974.05470000001</v>
          </cell>
          <cell r="Y24">
            <v>227120.12580000001</v>
          </cell>
          <cell r="Z24">
            <v>232543.43460000001</v>
          </cell>
          <cell r="AA24">
            <v>238267.94959999999</v>
          </cell>
          <cell r="AB24">
            <v>244324.16130000001</v>
          </cell>
          <cell r="AC24">
            <v>250741.66740000001</v>
          </cell>
          <cell r="AD24">
            <v>257549.97260000001</v>
          </cell>
          <cell r="AE24">
            <v>264774.7513</v>
          </cell>
          <cell r="AF24">
            <v>272434.67950000003</v>
          </cell>
          <cell r="AG24">
            <v>280541.32380000001</v>
          </cell>
          <cell r="AH24">
            <v>289100.94809999998</v>
          </cell>
          <cell r="AI24">
            <v>298116.8297</v>
          </cell>
          <cell r="AJ24">
            <v>307591.19219999999</v>
          </cell>
          <cell r="AK24">
            <v>317527.38919999998</v>
          </cell>
        </row>
        <row r="25">
          <cell r="B25">
            <v>144874.83119999999</v>
          </cell>
          <cell r="C25">
            <v>146632.4442</v>
          </cell>
          <cell r="D25">
            <v>148550.41409999999</v>
          </cell>
          <cell r="E25">
            <v>150659.60649999999</v>
          </cell>
          <cell r="F25">
            <v>152981.16459999999</v>
          </cell>
          <cell r="G25">
            <v>155528.30850000001</v>
          </cell>
          <cell r="H25">
            <v>158303.5215</v>
          </cell>
          <cell r="I25">
            <v>161304.8737</v>
          </cell>
          <cell r="J25">
            <v>164529.8898</v>
          </cell>
          <cell r="K25">
            <v>167977.1752</v>
          </cell>
          <cell r="L25">
            <v>171638.24559999999</v>
          </cell>
          <cell r="M25">
            <v>175462.72409999999</v>
          </cell>
          <cell r="N25">
            <v>179400.94390000001</v>
          </cell>
          <cell r="O25">
            <v>183414.52619999999</v>
          </cell>
          <cell r="P25">
            <v>187479.4111</v>
          </cell>
          <cell r="Q25">
            <v>191584.89509999999</v>
          </cell>
          <cell r="R25">
            <v>195736.14610000001</v>
          </cell>
          <cell r="S25">
            <v>199950.3873</v>
          </cell>
          <cell r="T25">
            <v>204252.10320000001</v>
          </cell>
          <cell r="U25">
            <v>208668.62659999999</v>
          </cell>
          <cell r="V25">
            <v>213225.54749999999</v>
          </cell>
          <cell r="W25">
            <v>217951.8259</v>
          </cell>
          <cell r="X25">
            <v>222878.19080000001</v>
          </cell>
          <cell r="Y25">
            <v>228035.5949</v>
          </cell>
          <cell r="Z25">
            <v>233452.62220000001</v>
          </cell>
          <cell r="AA25">
            <v>239146.3768</v>
          </cell>
          <cell r="AB25">
            <v>245136.7579</v>
          </cell>
          <cell r="AC25">
            <v>251445.81219999999</v>
          </cell>
          <cell r="AD25">
            <v>258096.00630000001</v>
          </cell>
          <cell r="AE25">
            <v>265105.3162</v>
          </cell>
          <cell r="AF25">
            <v>272483.67489999998</v>
          </cell>
          <cell r="AG25">
            <v>280233.17969999998</v>
          </cell>
          <cell r="AH25">
            <v>288349.82429999998</v>
          </cell>
          <cell r="AI25">
            <v>296824.65659999999</v>
          </cell>
          <cell r="AJ25">
            <v>305644.32860000001</v>
          </cell>
          <cell r="AK25">
            <v>314791.26160000003</v>
          </cell>
        </row>
        <row r="26">
          <cell r="B26">
            <v>1694030.6680000001</v>
          </cell>
          <cell r="C26">
            <v>1714101.203</v>
          </cell>
          <cell r="D26">
            <v>1735421.233</v>
          </cell>
          <cell r="E26">
            <v>1758432.852</v>
          </cell>
          <cell r="F26">
            <v>1783517.541</v>
          </cell>
          <cell r="G26">
            <v>1810991.9850000001</v>
          </cell>
          <cell r="H26">
            <v>1841052.8659999999</v>
          </cell>
          <cell r="I26">
            <v>1873616.219</v>
          </cell>
          <cell r="J26">
            <v>1908681.2879999999</v>
          </cell>
          <cell r="K26">
            <v>1946537.8589999999</v>
          </cell>
          <cell r="L26">
            <v>1987557.8959999999</v>
          </cell>
          <cell r="M26">
            <v>2031954.6410000001</v>
          </cell>
          <cell r="N26">
            <v>2079817.5160000001</v>
          </cell>
          <cell r="O26">
            <v>2131176.87</v>
          </cell>
          <cell r="P26">
            <v>2186062.9339999999</v>
          </cell>
          <cell r="Q26">
            <v>2244534.44</v>
          </cell>
          <cell r="R26">
            <v>2306682.8990000002</v>
          </cell>
          <cell r="S26">
            <v>2372660.8990000002</v>
          </cell>
          <cell r="T26">
            <v>2442689.3620000002</v>
          </cell>
          <cell r="U26">
            <v>2517048.395</v>
          </cell>
          <cell r="V26">
            <v>2596024.2370000002</v>
          </cell>
          <cell r="W26">
            <v>2679973.0150000001</v>
          </cell>
          <cell r="X26">
            <v>2769300.486</v>
          </cell>
          <cell r="Y26">
            <v>2864458.8569999998</v>
          </cell>
          <cell r="Z26">
            <v>2965937.6839999999</v>
          </cell>
          <cell r="AA26">
            <v>3074126.139</v>
          </cell>
          <cell r="AB26">
            <v>3189472.0090000001</v>
          </cell>
          <cell r="AC26">
            <v>3312475.9950000001</v>
          </cell>
          <cell r="AD26">
            <v>3443724.3930000002</v>
          </cell>
          <cell r="AE26">
            <v>3583915.0419999999</v>
          </cell>
          <cell r="AF26">
            <v>3733872.4539999999</v>
          </cell>
          <cell r="AG26">
            <v>3894565.9270000001</v>
          </cell>
          <cell r="AH26">
            <v>4067153.4810000001</v>
          </cell>
          <cell r="AI26">
            <v>4253071.1780000003</v>
          </cell>
          <cell r="AJ26">
            <v>4454167.9390000002</v>
          </cell>
          <cell r="AK26">
            <v>4672916.5439999998</v>
          </cell>
        </row>
        <row r="27">
          <cell r="B27">
            <v>1694030.6680000001</v>
          </cell>
          <cell r="C27">
            <v>1714101.203</v>
          </cell>
          <cell r="D27">
            <v>1735421.233</v>
          </cell>
          <cell r="E27">
            <v>1758432.852</v>
          </cell>
          <cell r="F27">
            <v>1783517.541</v>
          </cell>
          <cell r="G27">
            <v>1810991.9850000001</v>
          </cell>
          <cell r="H27">
            <v>1841052.8659999999</v>
          </cell>
          <cell r="I27">
            <v>1873835.899</v>
          </cell>
          <cell r="J27">
            <v>1909457.899</v>
          </cell>
          <cell r="K27">
            <v>1948041.074</v>
          </cell>
          <cell r="L27">
            <v>1989733.591</v>
          </cell>
          <cell r="M27">
            <v>2034517.9680000001</v>
          </cell>
          <cell r="N27">
            <v>2082294.693</v>
          </cell>
          <cell r="O27">
            <v>2132944.747</v>
          </cell>
          <cell r="P27">
            <v>2186364.8629999999</v>
          </cell>
          <cell r="Q27">
            <v>2242484.3470000001</v>
          </cell>
          <cell r="R27">
            <v>2301326.7799999998</v>
          </cell>
          <cell r="S27">
            <v>2362999.5819999999</v>
          </cell>
          <cell r="T27">
            <v>2427667.1910000001</v>
          </cell>
          <cell r="U27">
            <v>2495521.1129999999</v>
          </cell>
          <cell r="V27">
            <v>2566718.6889999998</v>
          </cell>
          <cell r="W27">
            <v>2641448.409</v>
          </cell>
          <cell r="X27">
            <v>2719909.946</v>
          </cell>
          <cell r="Y27">
            <v>2802304.949</v>
          </cell>
          <cell r="Z27">
            <v>2888823.31</v>
          </cell>
          <cell r="AA27">
            <v>2979508.656</v>
          </cell>
          <cell r="AB27">
            <v>3074425.67</v>
          </cell>
          <cell r="AC27">
            <v>3173659.017</v>
          </cell>
          <cell r="AD27">
            <v>3277316.818</v>
          </cell>
          <cell r="AE27">
            <v>3385527.8020000001</v>
          </cell>
          <cell r="AF27">
            <v>3498426.6230000001</v>
          </cell>
          <cell r="AG27">
            <v>3616141.963</v>
          </cell>
          <cell r="AH27">
            <v>3738789.872</v>
          </cell>
          <cell r="AI27">
            <v>3866468.0180000002</v>
          </cell>
          <cell r="AJ27">
            <v>3999249.0630000001</v>
          </cell>
          <cell r="AK27">
            <v>4137172.6510000001</v>
          </cell>
        </row>
        <row r="28">
          <cell r="B28">
            <v>4359.8761270000005</v>
          </cell>
          <cell r="C28">
            <v>4412.0991130000002</v>
          </cell>
          <cell r="D28">
            <v>4467.8151630000002</v>
          </cell>
          <cell r="E28">
            <v>4527.6221150000001</v>
          </cell>
          <cell r="F28">
            <v>4591.924994</v>
          </cell>
          <cell r="G28">
            <v>4660.970534</v>
          </cell>
          <cell r="H28">
            <v>4734.737024</v>
          </cell>
          <cell r="I28">
            <v>4811.9537579999997</v>
          </cell>
          <cell r="J28">
            <v>4892.2711380000001</v>
          </cell>
          <cell r="K28">
            <v>4977.0092180000001</v>
          </cell>
          <cell r="L28">
            <v>5066.6969689999996</v>
          </cell>
          <cell r="M28">
            <v>5160.4587769999998</v>
          </cell>
          <cell r="N28">
            <v>5257.2055339999997</v>
          </cell>
          <cell r="O28">
            <v>5356.0429299999996</v>
          </cell>
          <cell r="P28">
            <v>5456.4496650000001</v>
          </cell>
          <cell r="Q28">
            <v>5558.214011</v>
          </cell>
          <cell r="R28">
            <v>5661.3671979999999</v>
          </cell>
          <cell r="S28">
            <v>5766.1481430000003</v>
          </cell>
          <cell r="T28">
            <v>5872.9854340000002</v>
          </cell>
          <cell r="U28">
            <v>5982.4169869999996</v>
          </cell>
          <cell r="V28">
            <v>6094.9333139999999</v>
          </cell>
          <cell r="W28">
            <v>6211.1778610000001</v>
          </cell>
          <cell r="X28">
            <v>6331.8267619999997</v>
          </cell>
          <cell r="Y28">
            <v>6457.5597310000003</v>
          </cell>
          <cell r="Z28">
            <v>6589.0021829999996</v>
          </cell>
          <cell r="AA28">
            <v>6726.3850679999996</v>
          </cell>
          <cell r="AB28">
            <v>6870.0933409999998</v>
          </cell>
          <cell r="AC28">
            <v>7020.5178169999999</v>
          </cell>
          <cell r="AD28">
            <v>7178.059757</v>
          </cell>
          <cell r="AE28">
            <v>7343.0485639999997</v>
          </cell>
          <cell r="AF28">
            <v>7515.6653969999998</v>
          </cell>
          <cell r="AG28">
            <v>7695.928089</v>
          </cell>
          <cell r="AH28">
            <v>7883.7243980000003</v>
          </cell>
          <cell r="AI28">
            <v>8078.8635329999997</v>
          </cell>
          <cell r="AJ28">
            <v>8281.1138329999994</v>
          </cell>
          <cell r="AK28">
            <v>8490.2447109999994</v>
          </cell>
        </row>
        <row r="29">
          <cell r="B29">
            <v>4359.8761270000005</v>
          </cell>
          <cell r="C29">
            <v>4412.0991130000002</v>
          </cell>
          <cell r="D29">
            <v>4467.8151630000002</v>
          </cell>
          <cell r="E29">
            <v>4527.6221150000001</v>
          </cell>
          <cell r="F29">
            <v>4591.924994</v>
          </cell>
          <cell r="G29">
            <v>4660.970534</v>
          </cell>
          <cell r="H29">
            <v>4734.737024</v>
          </cell>
          <cell r="I29">
            <v>4813.1314650000004</v>
          </cell>
          <cell r="J29">
            <v>4896.0582450000002</v>
          </cell>
          <cell r="K29">
            <v>4983.4489960000001</v>
          </cell>
          <cell r="L29">
            <v>5075.1476979999998</v>
          </cell>
          <cell r="M29">
            <v>5170.0474190000004</v>
          </cell>
          <cell r="N29">
            <v>5267.0794839999999</v>
          </cell>
          <cell r="O29">
            <v>5365.4259389999997</v>
          </cell>
          <cell r="P29">
            <v>5464.5732850000004</v>
          </cell>
          <cell r="Q29">
            <v>5564.2931509999999</v>
          </cell>
          <cell r="R29">
            <v>5664.7016940000003</v>
          </cell>
          <cell r="S29">
            <v>5766.1701190000003</v>
          </cell>
          <cell r="T29">
            <v>5869.2215880000003</v>
          </cell>
          <cell r="U29">
            <v>5974.4344060000003</v>
          </cell>
          <cell r="V29">
            <v>6082.2988869999999</v>
          </cell>
          <cell r="W29">
            <v>6193.4353350000001</v>
          </cell>
          <cell r="X29">
            <v>6308.4866830000001</v>
          </cell>
          <cell r="Y29">
            <v>6428.086061</v>
          </cell>
          <cell r="Z29">
            <v>6552.8034100000004</v>
          </cell>
          <cell r="AA29">
            <v>6682.8276919999998</v>
          </cell>
          <cell r="AB29">
            <v>6818.5286500000002</v>
          </cell>
          <cell r="AC29">
            <v>6960.3243540000003</v>
          </cell>
          <cell r="AD29">
            <v>7108.6431659999998</v>
          </cell>
          <cell r="AE29">
            <v>7263.8297229999998</v>
          </cell>
          <cell r="AF29">
            <v>7426.0708830000003</v>
          </cell>
          <cell r="AG29">
            <v>7595.3965490000001</v>
          </cell>
          <cell r="AH29">
            <v>7771.7110720000001</v>
          </cell>
          <cell r="AI29">
            <v>7954.8141599999999</v>
          </cell>
          <cell r="AJ29">
            <v>8144.4116549999999</v>
          </cell>
          <cell r="AK29">
            <v>8340.1203619999997</v>
          </cell>
        </row>
        <row r="30">
          <cell r="B30">
            <v>43526.008020000001</v>
          </cell>
          <cell r="C30">
            <v>44045.292399999998</v>
          </cell>
          <cell r="D30">
            <v>44598.094720000001</v>
          </cell>
          <cell r="E30">
            <v>45189.977299999999</v>
          </cell>
          <cell r="F30">
            <v>45825.529710000003</v>
          </cell>
          <cell r="G30">
            <v>46507.71574</v>
          </cell>
          <cell r="H30">
            <v>47236.324119999997</v>
          </cell>
          <cell r="I30">
            <v>47994.697540000001</v>
          </cell>
          <cell r="J30">
            <v>48777.565399999999</v>
          </cell>
          <cell r="K30">
            <v>49596.787880000003</v>
          </cell>
          <cell r="L30">
            <v>50456.774599999997</v>
          </cell>
          <cell r="M30">
            <v>51349.514309999999</v>
          </cell>
          <cell r="N30">
            <v>52264.99237</v>
          </cell>
          <cell r="O30">
            <v>53195.124580000003</v>
          </cell>
          <cell r="P30">
            <v>54135.459719999999</v>
          </cell>
          <cell r="Q30">
            <v>55084.525320000001</v>
          </cell>
          <cell r="R30">
            <v>56042.831290000002</v>
          </cell>
          <cell r="S30">
            <v>57013.053039999999</v>
          </cell>
          <cell r="T30">
            <v>57999.781779999998</v>
          </cell>
          <cell r="U30">
            <v>59008.710859999999</v>
          </cell>
          <cell r="V30">
            <v>60045.115389999999</v>
          </cell>
          <cell r="W30">
            <v>61115.79451</v>
          </cell>
          <cell r="X30">
            <v>62227.915459999997</v>
          </cell>
          <cell r="Y30">
            <v>63388.747940000001</v>
          </cell>
          <cell r="Z30">
            <v>64605.123780000002</v>
          </cell>
          <cell r="AA30">
            <v>65880.184779999996</v>
          </cell>
          <cell r="AB30">
            <v>67218.674759999994</v>
          </cell>
          <cell r="AC30">
            <v>68625.499500000005</v>
          </cell>
          <cell r="AD30">
            <v>70105.766369999998</v>
          </cell>
          <cell r="AE30">
            <v>71663.990300000005</v>
          </cell>
          <cell r="AF30">
            <v>73303.365409999999</v>
          </cell>
          <cell r="AG30">
            <v>75025.627890000003</v>
          </cell>
          <cell r="AH30">
            <v>76831.382800000007</v>
          </cell>
          <cell r="AI30">
            <v>78720.615340000004</v>
          </cell>
          <cell r="AJ30">
            <v>80693.079840000006</v>
          </cell>
          <cell r="AK30">
            <v>82748.741120000006</v>
          </cell>
        </row>
        <row r="31">
          <cell r="B31">
            <v>43526.008020000001</v>
          </cell>
          <cell r="C31">
            <v>44045.292399999998</v>
          </cell>
          <cell r="D31">
            <v>44598.094720000001</v>
          </cell>
          <cell r="E31">
            <v>45189.977299999999</v>
          </cell>
          <cell r="F31">
            <v>45825.529710000003</v>
          </cell>
          <cell r="G31">
            <v>46507.71574</v>
          </cell>
          <cell r="H31">
            <v>47236.324130000001</v>
          </cell>
          <cell r="I31">
            <v>48010.143250000001</v>
          </cell>
          <cell r="J31">
            <v>48827.896970000002</v>
          </cell>
          <cell r="K31">
            <v>49688.612430000001</v>
          </cell>
          <cell r="L31">
            <v>50590.491759999997</v>
          </cell>
          <cell r="M31">
            <v>51522.331080000004</v>
          </cell>
          <cell r="N31">
            <v>52473.347150000001</v>
          </cell>
          <cell r="O31">
            <v>53435.273889999997</v>
          </cell>
          <cell r="P31">
            <v>54402.881399999998</v>
          </cell>
          <cell r="Q31">
            <v>55373.77147</v>
          </cell>
          <cell r="R31">
            <v>56349.393539999997</v>
          </cell>
          <cell r="S31">
            <v>57333.874519999998</v>
          </cell>
          <cell r="T31">
            <v>58332.84031</v>
          </cell>
          <cell r="U31">
            <v>59352.388250000004</v>
          </cell>
          <cell r="V31">
            <v>60397.66289</v>
          </cell>
          <cell r="W31">
            <v>61475.003900000003</v>
          </cell>
          <cell r="X31">
            <v>62590.909489999998</v>
          </cell>
          <cell r="Y31">
            <v>63751.742389999999</v>
          </cell>
          <cell r="Z31">
            <v>64963.223489999997</v>
          </cell>
          <cell r="AA31">
            <v>66227.336509999994</v>
          </cell>
          <cell r="AB31">
            <v>67547.848289999994</v>
          </cell>
          <cell r="AC31">
            <v>68929.008830000006</v>
          </cell>
          <cell r="AD31">
            <v>70375.184070000003</v>
          </cell>
          <cell r="AE31">
            <v>71889.930640000006</v>
          </cell>
          <cell r="AF31">
            <v>73475.265610000002</v>
          </cell>
          <cell r="AG31">
            <v>75131.67052</v>
          </cell>
          <cell r="AH31">
            <v>76858.394939999998</v>
          </cell>
          <cell r="AI31">
            <v>78653.65496</v>
          </cell>
          <cell r="AJ31">
            <v>80514.730769999995</v>
          </cell>
          <cell r="AK31">
            <v>82438.005300000004</v>
          </cell>
        </row>
        <row r="32">
          <cell r="B32">
            <v>25746.87141</v>
          </cell>
          <cell r="C32">
            <v>26085.86001</v>
          </cell>
          <cell r="D32">
            <v>26482.730790000001</v>
          </cell>
          <cell r="E32">
            <v>26939.237939999999</v>
          </cell>
          <cell r="F32">
            <v>27454.312569999998</v>
          </cell>
          <cell r="G32">
            <v>28026.719710000001</v>
          </cell>
          <cell r="H32">
            <v>28655.141680000001</v>
          </cell>
          <cell r="I32">
            <v>29331.810389999999</v>
          </cell>
          <cell r="J32">
            <v>30066.380069999999</v>
          </cell>
          <cell r="K32">
            <v>30897.820250000001</v>
          </cell>
          <cell r="L32">
            <v>31840.351070000001</v>
          </cell>
          <cell r="M32">
            <v>32876.556949999998</v>
          </cell>
          <cell r="N32">
            <v>33978.831480000001</v>
          </cell>
          <cell r="O32">
            <v>35121.494129999999</v>
          </cell>
          <cell r="P32">
            <v>36286.958129999999</v>
          </cell>
          <cell r="Q32">
            <v>37464.492469999997</v>
          </cell>
          <cell r="R32">
            <v>38652.383529999999</v>
          </cell>
          <cell r="S32">
            <v>39855.280700000003</v>
          </cell>
          <cell r="T32">
            <v>41082.038719999997</v>
          </cell>
          <cell r="U32">
            <v>42342.99811</v>
          </cell>
          <cell r="V32">
            <v>43648.909879999999</v>
          </cell>
          <cell r="W32">
            <v>45011.059410000002</v>
          </cell>
          <cell r="X32">
            <v>46441.71056</v>
          </cell>
          <cell r="Y32">
            <v>47952.271339999999</v>
          </cell>
          <cell r="Z32">
            <v>49551.555699999997</v>
          </cell>
          <cell r="AA32">
            <v>51245.650659999999</v>
          </cell>
          <cell r="AB32">
            <v>53041.783239999997</v>
          </cell>
          <cell r="AC32">
            <v>54951.809950000003</v>
          </cell>
          <cell r="AD32">
            <v>56988.048560000003</v>
          </cell>
          <cell r="AE32">
            <v>59158.732620000002</v>
          </cell>
          <cell r="AF32">
            <v>61466.106870000003</v>
          </cell>
          <cell r="AG32">
            <v>63908.868799999997</v>
          </cell>
          <cell r="AH32">
            <v>66484.985109999994</v>
          </cell>
          <cell r="AI32">
            <v>69190.941219999993</v>
          </cell>
          <cell r="AJ32">
            <v>72020.847640000007</v>
          </cell>
          <cell r="AK32">
            <v>74965.822960000005</v>
          </cell>
        </row>
        <row r="33">
          <cell r="B33">
            <v>25746.87141</v>
          </cell>
          <cell r="C33">
            <v>26085.86001</v>
          </cell>
          <cell r="D33">
            <v>26482.730790000001</v>
          </cell>
          <cell r="E33">
            <v>26939.237939999999</v>
          </cell>
          <cell r="F33">
            <v>27454.312580000002</v>
          </cell>
          <cell r="G33">
            <v>28026.719710000001</v>
          </cell>
          <cell r="H33">
            <v>28655.141680000001</v>
          </cell>
          <cell r="I33">
            <v>29337.918409999998</v>
          </cell>
          <cell r="J33">
            <v>30073.142520000001</v>
          </cell>
          <cell r="K33">
            <v>30858.977699999999</v>
          </cell>
          <cell r="L33">
            <v>31688.73748</v>
          </cell>
          <cell r="M33">
            <v>32540.282070000001</v>
          </cell>
          <cell r="N33">
            <v>33395.390639999998</v>
          </cell>
          <cell r="O33">
            <v>34242.304109999997</v>
          </cell>
          <cell r="P33">
            <v>35075.85903</v>
          </cell>
          <cell r="Q33">
            <v>35896.214390000001</v>
          </cell>
          <cell r="R33">
            <v>36707.706980000003</v>
          </cell>
          <cell r="S33">
            <v>37518.077929999999</v>
          </cell>
          <cell r="T33">
            <v>38337.210220000001</v>
          </cell>
          <cell r="U33">
            <v>39175.585350000001</v>
          </cell>
          <cell r="V33">
            <v>40043.733200000002</v>
          </cell>
          <cell r="W33">
            <v>40951.840170000003</v>
          </cell>
          <cell r="X33">
            <v>41910.124909999999</v>
          </cell>
          <cell r="Y33">
            <v>42928.38276</v>
          </cell>
          <cell r="Z33">
            <v>44015.149469999997</v>
          </cell>
          <cell r="AA33">
            <v>45177.761469999998</v>
          </cell>
          <cell r="AB33">
            <v>46422.808799999999</v>
          </cell>
          <cell r="AC33">
            <v>47757.04868</v>
          </cell>
          <cell r="AD33">
            <v>49186.722240000003</v>
          </cell>
          <cell r="AE33">
            <v>50715.399270000002</v>
          </cell>
          <cell r="AF33">
            <v>52342.954610000001</v>
          </cell>
          <cell r="AG33">
            <v>54066.252229999998</v>
          </cell>
          <cell r="AH33">
            <v>55880.262840000003</v>
          </cell>
          <cell r="AI33">
            <v>57778.737970000002</v>
          </cell>
          <cell r="AJ33">
            <v>59754.545689999999</v>
          </cell>
          <cell r="AK33">
            <v>61799.812550000002</v>
          </cell>
        </row>
        <row r="34">
          <cell r="B34">
            <v>14916.87595</v>
          </cell>
          <cell r="C34">
            <v>15104.811760000001</v>
          </cell>
          <cell r="D34">
            <v>15316.690570000001</v>
          </cell>
          <cell r="E34">
            <v>15555.16107</v>
          </cell>
          <cell r="F34">
            <v>15821.143910000001</v>
          </cell>
          <cell r="G34">
            <v>16116.28498</v>
          </cell>
          <cell r="H34">
            <v>16441.495800000001</v>
          </cell>
          <cell r="I34">
            <v>16792.822329999999</v>
          </cell>
          <cell r="J34">
            <v>17167.007509999999</v>
          </cell>
          <cell r="K34">
            <v>17572.930639999999</v>
          </cell>
          <cell r="L34">
            <v>18014.426960000001</v>
          </cell>
          <cell r="M34">
            <v>18486.702069999999</v>
          </cell>
          <cell r="N34">
            <v>18984.42527</v>
          </cell>
          <cell r="O34">
            <v>19502.99294</v>
          </cell>
          <cell r="P34">
            <v>20039.252619999999</v>
          </cell>
          <cell r="Q34">
            <v>20591.021540000002</v>
          </cell>
          <cell r="R34">
            <v>21157.158309999999</v>
          </cell>
          <cell r="S34">
            <v>21737.315859999999</v>
          </cell>
          <cell r="T34">
            <v>22332.450870000001</v>
          </cell>
          <cell r="U34">
            <v>22944.640080000001</v>
          </cell>
          <cell r="V34">
            <v>23576.51023</v>
          </cell>
          <cell r="W34">
            <v>24231.95262</v>
          </cell>
          <cell r="X34">
            <v>24915.837449999999</v>
          </cell>
          <cell r="Y34">
            <v>25633.453519999999</v>
          </cell>
          <cell r="Z34">
            <v>26389.86751</v>
          </cell>
          <cell r="AA34">
            <v>27188.487590000001</v>
          </cell>
          <cell r="AB34">
            <v>28033.816559999999</v>
          </cell>
          <cell r="AC34">
            <v>28931.617249999999</v>
          </cell>
          <cell r="AD34">
            <v>29888.31912</v>
          </cell>
          <cell r="AE34">
            <v>30909.92236</v>
          </cell>
          <cell r="AF34">
            <v>32001.266199999998</v>
          </cell>
          <cell r="AG34">
            <v>33166.256950000003</v>
          </cell>
          <cell r="AH34">
            <v>34408.401859999998</v>
          </cell>
          <cell r="AI34">
            <v>35730.808109999998</v>
          </cell>
          <cell r="AJ34">
            <v>37136.077649999999</v>
          </cell>
          <cell r="AK34">
            <v>38626.263059999997</v>
          </cell>
        </row>
        <row r="35">
          <cell r="B35">
            <v>14916.87595</v>
          </cell>
          <cell r="C35">
            <v>15104.811760000001</v>
          </cell>
          <cell r="D35">
            <v>15316.690570000001</v>
          </cell>
          <cell r="E35">
            <v>15555.16107</v>
          </cell>
          <cell r="F35">
            <v>15821.143910000001</v>
          </cell>
          <cell r="G35">
            <v>16116.28498</v>
          </cell>
          <cell r="H35">
            <v>16441.495800000001</v>
          </cell>
          <cell r="I35">
            <v>16797.288960000002</v>
          </cell>
          <cell r="J35">
            <v>17183.8259</v>
          </cell>
          <cell r="K35">
            <v>17601.12861</v>
          </cell>
          <cell r="L35">
            <v>18047.907859999999</v>
          </cell>
          <cell r="M35">
            <v>18516.916700000002</v>
          </cell>
          <cell r="N35">
            <v>19001.090069999998</v>
          </cell>
          <cell r="O35">
            <v>19494.685010000001</v>
          </cell>
          <cell r="P35">
            <v>19993.643690000001</v>
          </cell>
          <cell r="Q35">
            <v>20495.54408</v>
          </cell>
          <cell r="R35">
            <v>21000.18548</v>
          </cell>
          <cell r="S35">
            <v>21508.984919999999</v>
          </cell>
          <cell r="T35">
            <v>22024.414769999999</v>
          </cell>
          <cell r="U35">
            <v>22549.484380000002</v>
          </cell>
          <cell r="V35">
            <v>23087.186079999999</v>
          </cell>
          <cell r="W35">
            <v>23641.214220000002</v>
          </cell>
          <cell r="X35">
            <v>24215.756069999999</v>
          </cell>
          <cell r="Y35">
            <v>24815.23574</v>
          </cell>
          <cell r="Z35">
            <v>25443.929250000001</v>
          </cell>
          <cell r="AA35">
            <v>26104.709050000001</v>
          </cell>
          <cell r="AB35">
            <v>26800.99682</v>
          </cell>
          <cell r="AC35">
            <v>27536.672310000002</v>
          </cell>
          <cell r="AD35">
            <v>28315.770680000001</v>
          </cell>
          <cell r="AE35">
            <v>29141.768520000001</v>
          </cell>
          <cell r="AF35">
            <v>30017.07733</v>
          </cell>
          <cell r="AG35">
            <v>30943.033640000001</v>
          </cell>
          <cell r="AH35">
            <v>31920.065060000001</v>
          </cell>
          <cell r="AI35">
            <v>32947.772680000002</v>
          </cell>
          <cell r="AJ35">
            <v>34024.952440000001</v>
          </cell>
          <cell r="AK35">
            <v>35149.586510000001</v>
          </cell>
        </row>
        <row r="36">
          <cell r="B36">
            <v>1989009.473</v>
          </cell>
          <cell r="C36">
            <v>2012916.6969999999</v>
          </cell>
          <cell r="D36">
            <v>2038700.807</v>
          </cell>
          <cell r="E36">
            <v>2066794.2679999999</v>
          </cell>
          <cell r="F36">
            <v>2097522.9780000001</v>
          </cell>
          <cell r="G36">
            <v>2131102.0699999998</v>
          </cell>
          <cell r="H36">
            <v>2167564.105</v>
          </cell>
          <cell r="I36">
            <v>2206345.0079999999</v>
          </cell>
          <cell r="J36">
            <v>2247276.6370000001</v>
          </cell>
          <cell r="K36">
            <v>2290908.09</v>
          </cell>
          <cell r="L36">
            <v>2337535.1940000001</v>
          </cell>
          <cell r="M36">
            <v>2386862.8870000001</v>
          </cell>
          <cell r="N36">
            <v>2438421.8629999999</v>
          </cell>
          <cell r="O36">
            <v>2491759.4569999999</v>
          </cell>
          <cell r="P36">
            <v>2546540.1260000002</v>
          </cell>
          <cell r="Q36">
            <v>2602545.7429999998</v>
          </cell>
          <cell r="R36">
            <v>2659649.0499999998</v>
          </cell>
          <cell r="S36">
            <v>2717855.0729999999</v>
          </cell>
          <cell r="T36">
            <v>2777275.9959999998</v>
          </cell>
          <cell r="U36">
            <v>2838093.7</v>
          </cell>
          <cell r="V36">
            <v>2900478.202</v>
          </cell>
          <cell r="W36">
            <v>2964696.318</v>
          </cell>
          <cell r="X36">
            <v>3031055.139</v>
          </cell>
          <cell r="Y36">
            <v>3099889.676</v>
          </cell>
          <cell r="Z36">
            <v>3171536.8020000001</v>
          </cell>
          <cell r="AA36">
            <v>3246147.1680000001</v>
          </cell>
          <cell r="AB36">
            <v>3323971.7710000002</v>
          </cell>
          <cell r="AC36">
            <v>3405287.0320000001</v>
          </cell>
          <cell r="AD36">
            <v>3490405.159</v>
          </cell>
          <cell r="AE36">
            <v>3579644.5890000002</v>
          </cell>
          <cell r="AF36">
            <v>3673293.4470000002</v>
          </cell>
          <cell r="AG36">
            <v>3771592.736</v>
          </cell>
          <cell r="AH36">
            <v>3874743.9909999999</v>
          </cell>
          <cell r="AI36">
            <v>3982935.31</v>
          </cell>
          <cell r="AJ36">
            <v>4096366.8879999998</v>
          </cell>
          <cell r="AK36">
            <v>4215284.6399999997</v>
          </cell>
        </row>
        <row r="37">
          <cell r="B37">
            <v>1989009.473</v>
          </cell>
          <cell r="C37">
            <v>2012916.6969999999</v>
          </cell>
          <cell r="D37">
            <v>2038700.807</v>
          </cell>
          <cell r="E37">
            <v>2066794.2679999999</v>
          </cell>
          <cell r="F37">
            <v>2097522.9780000001</v>
          </cell>
          <cell r="G37">
            <v>2131102.0699999998</v>
          </cell>
          <cell r="H37">
            <v>2167564.105</v>
          </cell>
          <cell r="I37">
            <v>2206877.54</v>
          </cell>
          <cell r="J37">
            <v>2249001.7629999998</v>
          </cell>
          <cell r="K37">
            <v>2293908.0699999998</v>
          </cell>
          <cell r="L37">
            <v>2341549.2349999999</v>
          </cell>
          <cell r="M37">
            <v>2391450.1290000002</v>
          </cell>
          <cell r="N37">
            <v>2443094.3220000002</v>
          </cell>
          <cell r="O37">
            <v>2496030.3420000002</v>
          </cell>
          <cell r="P37">
            <v>2549912.1630000002</v>
          </cell>
          <cell r="Q37">
            <v>2604507.699</v>
          </cell>
          <cell r="R37">
            <v>2659773.423</v>
          </cell>
          <cell r="S37">
            <v>2715804.4920000001</v>
          </cell>
          <cell r="T37">
            <v>2772779.9569999999</v>
          </cell>
          <cell r="U37">
            <v>2830918.2239999999</v>
          </cell>
          <cell r="V37">
            <v>2890400.9569999999</v>
          </cell>
          <cell r="W37">
            <v>2951492.253</v>
          </cell>
          <cell r="X37">
            <v>3014486.4819999998</v>
          </cell>
          <cell r="Y37">
            <v>3079692.1409999998</v>
          </cell>
          <cell r="Z37">
            <v>3147405.8590000002</v>
          </cell>
          <cell r="AA37">
            <v>3217732.3280000002</v>
          </cell>
          <cell r="AB37">
            <v>3290877.8489999999</v>
          </cell>
          <cell r="AC37">
            <v>3367089.341</v>
          </cell>
          <cell r="AD37">
            <v>3446637.6069999998</v>
          </cell>
          <cell r="AE37">
            <v>3529777.2540000002</v>
          </cell>
          <cell r="AF37">
            <v>3616708.1609999998</v>
          </cell>
          <cell r="AG37">
            <v>3707565.0019999999</v>
          </cell>
          <cell r="AH37">
            <v>3802421.2119999998</v>
          </cell>
          <cell r="AI37">
            <v>3901291.128</v>
          </cell>
          <cell r="AJ37">
            <v>4004129.5559999999</v>
          </cell>
          <cell r="AK37">
            <v>4110829.8250000002</v>
          </cell>
        </row>
        <row r="38">
          <cell r="B38">
            <v>436561.8676</v>
          </cell>
          <cell r="C38">
            <v>441728.41970000003</v>
          </cell>
          <cell r="D38">
            <v>447134.4584</v>
          </cell>
          <cell r="E38">
            <v>452807.14990000002</v>
          </cell>
          <cell r="F38">
            <v>458774.24469999998</v>
          </cell>
          <cell r="G38">
            <v>465048.98700000002</v>
          </cell>
          <cell r="H38">
            <v>471605.07459999999</v>
          </cell>
          <cell r="I38">
            <v>478346.45980000001</v>
          </cell>
          <cell r="J38">
            <v>485265.6348</v>
          </cell>
          <cell r="K38">
            <v>492394.54619999998</v>
          </cell>
          <cell r="L38">
            <v>499801.52269999997</v>
          </cell>
          <cell r="M38">
            <v>507491.43320000003</v>
          </cell>
          <cell r="N38">
            <v>515480.35830000002</v>
          </cell>
          <cell r="O38">
            <v>523788.24530000001</v>
          </cell>
          <cell r="P38">
            <v>532436.55649999995</v>
          </cell>
          <cell r="Q38">
            <v>541446.67409999995</v>
          </cell>
          <cell r="R38">
            <v>550834.92879999999</v>
          </cell>
          <cell r="S38">
            <v>560621.24910000002</v>
          </cell>
          <cell r="T38">
            <v>570826.83420000004</v>
          </cell>
          <cell r="U38">
            <v>581470.77009999997</v>
          </cell>
          <cell r="V38">
            <v>592534.76249999995</v>
          </cell>
          <cell r="W38">
            <v>604049.13780000003</v>
          </cell>
          <cell r="X38">
            <v>616026.13459999999</v>
          </cell>
          <cell r="Y38">
            <v>628469.40410000004</v>
          </cell>
          <cell r="Z38">
            <v>641376.49620000005</v>
          </cell>
          <cell r="AA38">
            <v>654639.90379999997</v>
          </cell>
          <cell r="AB38">
            <v>668260.03799999994</v>
          </cell>
          <cell r="AC38">
            <v>682222.17290000001</v>
          </cell>
          <cell r="AD38">
            <v>696509.90800000005</v>
          </cell>
          <cell r="AE38">
            <v>711111.23820000002</v>
          </cell>
          <cell r="AF38">
            <v>726019.27709999995</v>
          </cell>
          <cell r="AG38">
            <v>741230.65289999999</v>
          </cell>
          <cell r="AH38">
            <v>756745.25529999996</v>
          </cell>
          <cell r="AI38">
            <v>772568.91859999998</v>
          </cell>
          <cell r="AJ38">
            <v>788714.58459999994</v>
          </cell>
          <cell r="AK38">
            <v>805203.00580000004</v>
          </cell>
        </row>
        <row r="39">
          <cell r="B39">
            <v>436561.8676</v>
          </cell>
          <cell r="C39">
            <v>441728.41970000003</v>
          </cell>
          <cell r="D39">
            <v>447134.4584</v>
          </cell>
          <cell r="E39">
            <v>452807.14990000002</v>
          </cell>
          <cell r="F39">
            <v>458774.24469999998</v>
          </cell>
          <cell r="G39">
            <v>465048.98700000002</v>
          </cell>
          <cell r="H39">
            <v>471605.07459999999</v>
          </cell>
          <cell r="I39">
            <v>478428.27039999998</v>
          </cell>
          <cell r="J39">
            <v>485513.5441</v>
          </cell>
          <cell r="K39">
            <v>492862.17119999998</v>
          </cell>
          <cell r="L39">
            <v>500518.95809999999</v>
          </cell>
          <cell r="M39">
            <v>508452.6642</v>
          </cell>
          <cell r="N39">
            <v>516653.7868</v>
          </cell>
          <cell r="O39">
            <v>525125.15139999997</v>
          </cell>
          <cell r="P39">
            <v>533875.65229999996</v>
          </cell>
          <cell r="Q39">
            <v>542916.89150000003</v>
          </cell>
          <cell r="R39">
            <v>552272.25580000004</v>
          </cell>
          <cell r="S39">
            <v>561967.8308</v>
          </cell>
          <cell r="T39">
            <v>572025.95129999996</v>
          </cell>
          <cell r="U39">
            <v>582462.01580000005</v>
          </cell>
          <cell r="V39">
            <v>593250.80669999996</v>
          </cell>
          <cell r="W39">
            <v>604415.16469999996</v>
          </cell>
          <cell r="X39">
            <v>615960.14870000002</v>
          </cell>
          <cell r="Y39">
            <v>627881.88450000004</v>
          </cell>
          <cell r="Z39">
            <v>640170.48199999996</v>
          </cell>
          <cell r="AA39">
            <v>652713.08259999997</v>
          </cell>
          <cell r="AB39">
            <v>665509.93599999999</v>
          </cell>
          <cell r="AC39">
            <v>678553.26430000004</v>
          </cell>
          <cell r="AD39">
            <v>691835.24199999997</v>
          </cell>
          <cell r="AE39">
            <v>705352.6618</v>
          </cell>
          <cell r="AF39">
            <v>719107.49479999999</v>
          </cell>
          <cell r="AG39">
            <v>733106.88729999994</v>
          </cell>
          <cell r="AH39">
            <v>747362.83900000004</v>
          </cell>
          <cell r="AI39">
            <v>761891.48120000004</v>
          </cell>
          <cell r="AJ39">
            <v>776712.1875</v>
          </cell>
          <cell r="AK39">
            <v>791846.52780000004</v>
          </cell>
        </row>
        <row r="40">
          <cell r="B40">
            <v>5635.470096</v>
          </cell>
          <cell r="C40">
            <v>5701.9919650000002</v>
          </cell>
          <cell r="D40">
            <v>5772.6496070000003</v>
          </cell>
          <cell r="E40">
            <v>5848.1818560000002</v>
          </cell>
          <cell r="F40">
            <v>5929.3626430000004</v>
          </cell>
          <cell r="G40">
            <v>6016.8764279999996</v>
          </cell>
          <cell r="H40">
            <v>6110.9507089999997</v>
          </cell>
          <cell r="I40">
            <v>6207.0604800000001</v>
          </cell>
          <cell r="J40">
            <v>6303.205629</v>
          </cell>
          <cell r="K40">
            <v>6400.389752</v>
          </cell>
          <cell r="L40">
            <v>6498.9751669999996</v>
          </cell>
          <cell r="M40">
            <v>6597.7858839999999</v>
          </cell>
          <cell r="N40">
            <v>6695.2494310000002</v>
          </cell>
          <cell r="O40">
            <v>6790.0710369999997</v>
          </cell>
          <cell r="P40">
            <v>6881.5534870000001</v>
          </cell>
          <cell r="Q40">
            <v>6969.5276260000001</v>
          </cell>
          <cell r="R40">
            <v>7055.0391970000001</v>
          </cell>
          <cell r="S40">
            <v>7138.9889549999998</v>
          </cell>
          <cell r="T40">
            <v>7222.4302580000003</v>
          </cell>
          <cell r="U40">
            <v>7306.5570980000002</v>
          </cell>
          <cell r="V40">
            <v>7392.576838</v>
          </cell>
          <cell r="W40">
            <v>7481.8561499999996</v>
          </cell>
          <cell r="X40">
            <v>7575.861175</v>
          </cell>
          <cell r="Y40">
            <v>7676.0691459999998</v>
          </cell>
          <cell r="Z40">
            <v>7783.8753960000004</v>
          </cell>
          <cell r="AA40">
            <v>7900.3130419999998</v>
          </cell>
          <cell r="AB40">
            <v>8026.2162090000002</v>
          </cell>
          <cell r="AC40">
            <v>8162.7428689999997</v>
          </cell>
          <cell r="AD40">
            <v>8311.1219349999992</v>
          </cell>
          <cell r="AE40">
            <v>8472.4147599999997</v>
          </cell>
          <cell r="AF40">
            <v>8647.3910950000009</v>
          </cell>
          <cell r="AG40">
            <v>8836.5738440000005</v>
          </cell>
          <cell r="AH40">
            <v>9040.3401090000007</v>
          </cell>
          <cell r="AI40">
            <v>9258.9672350000001</v>
          </cell>
          <cell r="AJ40">
            <v>9492.6864100000003</v>
          </cell>
          <cell r="AK40">
            <v>9741.7672870000006</v>
          </cell>
        </row>
        <row r="41">
          <cell r="B41">
            <v>5635.470096</v>
          </cell>
          <cell r="C41">
            <v>5701.9919650000002</v>
          </cell>
          <cell r="D41">
            <v>5772.6496059999999</v>
          </cell>
          <cell r="E41">
            <v>5848.1818549999998</v>
          </cell>
          <cell r="F41">
            <v>5929.3626420000001</v>
          </cell>
          <cell r="G41">
            <v>6016.8764279999996</v>
          </cell>
          <cell r="H41">
            <v>6110.9507080000003</v>
          </cell>
          <cell r="I41">
            <v>6211.496521</v>
          </cell>
          <cell r="J41">
            <v>6318.2882509999999</v>
          </cell>
          <cell r="K41">
            <v>6431.0754669999997</v>
          </cell>
          <cell r="L41">
            <v>6549.326204</v>
          </cell>
          <cell r="M41">
            <v>6671.0127220000004</v>
          </cell>
          <cell r="N41">
            <v>6794.1254140000001</v>
          </cell>
          <cell r="O41">
            <v>6917.1151909999999</v>
          </cell>
          <cell r="P41">
            <v>7039.0328749999999</v>
          </cell>
          <cell r="Q41">
            <v>7159.5002379999996</v>
          </cell>
          <cell r="R41">
            <v>7278.8470349999998</v>
          </cell>
          <cell r="S41">
            <v>7397.9467050000003</v>
          </cell>
          <cell r="T41">
            <v>7518.005932</v>
          </cell>
          <cell r="U41">
            <v>7640.3691650000001</v>
          </cell>
          <cell r="V41">
            <v>7766.3342359999997</v>
          </cell>
          <cell r="W41">
            <v>7897.2840100000003</v>
          </cell>
          <cell r="X41">
            <v>8034.6333860000004</v>
          </cell>
          <cell r="Y41">
            <v>8179.7719909999996</v>
          </cell>
          <cell r="Z41">
            <v>8333.9837000000007</v>
          </cell>
          <cell r="AA41">
            <v>8498.1569909999998</v>
          </cell>
          <cell r="AB41">
            <v>8673.2128850000008</v>
          </cell>
          <cell r="AC41">
            <v>8860.0985419999997</v>
          </cell>
          <cell r="AD41">
            <v>9059.7181369999998</v>
          </cell>
          <cell r="AE41">
            <v>9272.7454429999998</v>
          </cell>
          <cell r="AF41">
            <v>9499.4989330000008</v>
          </cell>
          <cell r="AG41">
            <v>9739.9521729999997</v>
          </cell>
          <cell r="AH41">
            <v>9993.8017589999999</v>
          </cell>
          <cell r="AI41">
            <v>10260.51937</v>
          </cell>
          <cell r="AJ41">
            <v>10539.38384</v>
          </cell>
          <cell r="AK41">
            <v>10829.50056</v>
          </cell>
        </row>
        <row r="42">
          <cell r="B42">
            <v>22391.097379999999</v>
          </cell>
          <cell r="C42">
            <v>22641.45866</v>
          </cell>
          <cell r="D42">
            <v>22890.231339999998</v>
          </cell>
          <cell r="E42">
            <v>23138.369900000002</v>
          </cell>
          <cell r="F42">
            <v>23390.584060000001</v>
          </cell>
          <cell r="G42">
            <v>23652.152389999999</v>
          </cell>
          <cell r="H42">
            <v>23926.4548</v>
          </cell>
          <cell r="I42">
            <v>24177.971959999999</v>
          </cell>
          <cell r="J42">
            <v>24394.66965</v>
          </cell>
          <cell r="K42">
            <v>24578.893510000002</v>
          </cell>
          <cell r="L42">
            <v>24731.166509999999</v>
          </cell>
          <cell r="M42">
            <v>24848.85572</v>
          </cell>
          <cell r="N42">
            <v>24929.113079999999</v>
          </cell>
          <cell r="O42">
            <v>24970.262709999999</v>
          </cell>
          <cell r="P42">
            <v>24972.332539999999</v>
          </cell>
          <cell r="Q42">
            <v>24936.522870000001</v>
          </cell>
          <cell r="R42">
            <v>24862.787130000001</v>
          </cell>
          <cell r="S42">
            <v>24752.671450000002</v>
          </cell>
          <cell r="T42">
            <v>24608.644520000002</v>
          </cell>
          <cell r="U42">
            <v>24433.5913</v>
          </cell>
          <cell r="V42">
            <v>24230.44269</v>
          </cell>
          <cell r="W42">
            <v>24002.339820000001</v>
          </cell>
          <cell r="X42">
            <v>23752.491610000001</v>
          </cell>
          <cell r="Y42">
            <v>23483.98965</v>
          </cell>
          <cell r="Z42">
            <v>23199.621439999999</v>
          </cell>
          <cell r="AA42">
            <v>22901.505499999999</v>
          </cell>
          <cell r="AB42">
            <v>22592.2212</v>
          </cell>
          <cell r="AC42">
            <v>22274.02679</v>
          </cell>
          <cell r="AD42">
            <v>21948.8462</v>
          </cell>
          <cell r="AE42">
            <v>21617.98228</v>
          </cell>
          <cell r="AF42">
            <v>21281.959180000002</v>
          </cell>
          <cell r="AG42">
            <v>20940.622650000001</v>
          </cell>
          <cell r="AH42">
            <v>20593.312569999998</v>
          </cell>
          <cell r="AI42">
            <v>20238.95436</v>
          </cell>
          <cell r="AJ42">
            <v>19876.135160000002</v>
          </cell>
          <cell r="AK42">
            <v>19503.198779999999</v>
          </cell>
        </row>
        <row r="43">
          <cell r="B43">
            <v>22391.09737</v>
          </cell>
          <cell r="C43">
            <v>22641.45865</v>
          </cell>
          <cell r="D43">
            <v>22890.231319999999</v>
          </cell>
          <cell r="E43">
            <v>23138.369879999998</v>
          </cell>
          <cell r="F43">
            <v>23390.584030000002</v>
          </cell>
          <cell r="G43">
            <v>23652.15236</v>
          </cell>
          <cell r="H43">
            <v>23926.45477</v>
          </cell>
          <cell r="I43">
            <v>24214.90554</v>
          </cell>
          <cell r="J43">
            <v>24517.84203</v>
          </cell>
          <cell r="K43">
            <v>24835.125670000001</v>
          </cell>
          <cell r="L43">
            <v>25165.635750000001</v>
          </cell>
          <cell r="M43">
            <v>25504.201710000001</v>
          </cell>
          <cell r="N43">
            <v>25845.454010000001</v>
          </cell>
          <cell r="O43">
            <v>26184.986509999999</v>
          </cell>
          <cell r="P43">
            <v>26519.723870000002</v>
          </cell>
          <cell r="Q43">
            <v>26847.885470000001</v>
          </cell>
          <cell r="R43">
            <v>27169.74669</v>
          </cell>
          <cell r="S43">
            <v>27487.210139999999</v>
          </cell>
          <cell r="T43">
            <v>27803.155589999998</v>
          </cell>
          <cell r="U43">
            <v>28120.82459</v>
          </cell>
          <cell r="V43">
            <v>28443.350299999998</v>
          </cell>
          <cell r="W43">
            <v>28774.060389999999</v>
          </cell>
          <cell r="X43">
            <v>29116.392739999999</v>
          </cell>
          <cell r="Y43">
            <v>29473.815869999999</v>
          </cell>
          <cell r="Z43">
            <v>29849.67668</v>
          </cell>
          <cell r="AA43">
            <v>30246.62314</v>
          </cell>
          <cell r="AB43">
            <v>30667.56927</v>
          </cell>
          <cell r="AC43">
            <v>31115.662970000001</v>
          </cell>
          <cell r="AD43">
            <v>31594.093799999999</v>
          </cell>
          <cell r="AE43">
            <v>32105.593990000001</v>
          </cell>
          <cell r="AF43">
            <v>32652.083200000001</v>
          </cell>
          <cell r="AG43">
            <v>33234.639049999998</v>
          </cell>
          <cell r="AH43">
            <v>33853.6005</v>
          </cell>
          <cell r="AI43">
            <v>34508.63538</v>
          </cell>
          <cell r="AJ43">
            <v>35198.766230000001</v>
          </cell>
          <cell r="AK43">
            <v>35922.370459999998</v>
          </cell>
        </row>
        <row r="44">
          <cell r="B44">
            <v>1608.157915</v>
          </cell>
          <cell r="C44">
            <v>1625.6862980000001</v>
          </cell>
          <cell r="D44">
            <v>1642.4314910000001</v>
          </cell>
          <cell r="E44">
            <v>1658.4682600000001</v>
          </cell>
          <cell r="F44">
            <v>1674.183473</v>
          </cell>
          <cell r="G44">
            <v>1690.010358</v>
          </cell>
          <cell r="H44">
            <v>1706.2733109999999</v>
          </cell>
          <cell r="I44">
            <v>1744.8599300000001</v>
          </cell>
          <cell r="J44">
            <v>1813.654933</v>
          </cell>
          <cell r="K44">
            <v>1916.3678520000001</v>
          </cell>
          <cell r="L44">
            <v>2055.3172079999999</v>
          </cell>
          <cell r="M44">
            <v>2232.407991</v>
          </cell>
          <cell r="N44">
            <v>2449.3756450000001</v>
          </cell>
          <cell r="O44">
            <v>2707.853517</v>
          </cell>
          <cell r="P44">
            <v>3009.4062560000002</v>
          </cell>
          <cell r="Q44">
            <v>3355.5099810000002</v>
          </cell>
          <cell r="R44">
            <v>3747.339489</v>
          </cell>
          <cell r="S44">
            <v>4185.9861629999996</v>
          </cell>
          <cell r="T44">
            <v>4672.5675520000004</v>
          </cell>
          <cell r="U44">
            <v>5208.2624509999996</v>
          </cell>
          <cell r="V44">
            <v>5794.282209</v>
          </cell>
          <cell r="W44">
            <v>6432.0121689999996</v>
          </cell>
          <cell r="X44">
            <v>7123.061111</v>
          </cell>
          <cell r="Y44">
            <v>7869.2891200000004</v>
          </cell>
          <cell r="Z44">
            <v>8672.8163280000008</v>
          </cell>
          <cell r="AA44">
            <v>9535.822811</v>
          </cell>
          <cell r="AB44">
            <v>10460.977080000001</v>
          </cell>
          <cell r="AC44">
            <v>11451.609060000001</v>
          </cell>
          <cell r="AD44">
            <v>12511.75951</v>
          </cell>
          <cell r="AE44">
            <v>13646.127280000001</v>
          </cell>
          <cell r="AF44">
            <v>14860.041590000001</v>
          </cell>
          <cell r="AG44">
            <v>16159.603929999999</v>
          </cell>
          <cell r="AH44">
            <v>17551.98631</v>
          </cell>
          <cell r="AI44">
            <v>19045.818309999999</v>
          </cell>
          <cell r="AJ44">
            <v>20651.814719999998</v>
          </cell>
          <cell r="AK44">
            <v>22383.89328</v>
          </cell>
        </row>
        <row r="45">
          <cell r="B45">
            <v>1608.157915</v>
          </cell>
          <cell r="C45">
            <v>1625.6862980000001</v>
          </cell>
          <cell r="D45">
            <v>1642.4314910000001</v>
          </cell>
          <cell r="E45">
            <v>1658.4682600000001</v>
          </cell>
          <cell r="F45">
            <v>1674.183473</v>
          </cell>
          <cell r="G45">
            <v>1690.010358</v>
          </cell>
          <cell r="H45">
            <v>1706.2733109999999</v>
          </cell>
          <cell r="I45">
            <v>1723.1529370000001</v>
          </cell>
          <cell r="J45">
            <v>1740.7347850000001</v>
          </cell>
          <cell r="K45">
            <v>1759.0513309999999</v>
          </cell>
          <cell r="L45">
            <v>1778.0868640000001</v>
          </cell>
          <cell r="M45">
            <v>1797.66778</v>
          </cell>
          <cell r="N45">
            <v>1817.583948</v>
          </cell>
          <cell r="O45">
            <v>1837.636751</v>
          </cell>
          <cell r="P45">
            <v>1857.660396</v>
          </cell>
          <cell r="Q45">
            <v>1877.5292219999999</v>
          </cell>
          <cell r="R45">
            <v>1897.198983</v>
          </cell>
          <cell r="S45">
            <v>1916.7072860000001</v>
          </cell>
          <cell r="T45">
            <v>1936.144041</v>
          </cell>
          <cell r="U45">
            <v>1955.6224580000001</v>
          </cell>
          <cell r="V45">
            <v>1975.2532650000001</v>
          </cell>
          <cell r="W45">
            <v>1995.160451</v>
          </cell>
          <cell r="X45">
            <v>2015.477067</v>
          </cell>
          <cell r="Y45">
            <v>2036.3425810000001</v>
          </cell>
          <cell r="Z45">
            <v>2057.8977180000002</v>
          </cell>
          <cell r="AA45">
            <v>2080.251624</v>
          </cell>
          <cell r="AB45">
            <v>2103.5288310000001</v>
          </cell>
          <cell r="AC45">
            <v>2127.8674639999999</v>
          </cell>
          <cell r="AD45">
            <v>2153.4124969999998</v>
          </cell>
          <cell r="AE45">
            <v>2180.298194</v>
          </cell>
          <cell r="AF45">
            <v>2208.632869</v>
          </cell>
          <cell r="AG45">
            <v>2238.493215</v>
          </cell>
          <cell r="AH45">
            <v>2269.9237699999999</v>
          </cell>
          <cell r="AI45">
            <v>2302.9362599999999</v>
          </cell>
          <cell r="AJ45">
            <v>2337.508366</v>
          </cell>
          <cell r="AK45">
            <v>2373.5824029999999</v>
          </cell>
        </row>
        <row r="46">
          <cell r="B46">
            <v>534.22115250000002</v>
          </cell>
          <cell r="C46">
            <v>540.02551819999996</v>
          </cell>
          <cell r="D46">
            <v>545.7094535</v>
          </cell>
          <cell r="E46">
            <v>551.25707629999999</v>
          </cell>
          <cell r="F46">
            <v>556.82630740000002</v>
          </cell>
          <cell r="G46">
            <v>562.57420520000005</v>
          </cell>
          <cell r="H46">
            <v>568.45213249999995</v>
          </cell>
          <cell r="I46">
            <v>572.32801280000001</v>
          </cell>
          <cell r="J46">
            <v>573.63534360000006</v>
          </cell>
          <cell r="K46">
            <v>572.51337609999996</v>
          </cell>
          <cell r="L46">
            <v>569.18334270000003</v>
          </cell>
          <cell r="M46">
            <v>563.84307249999995</v>
          </cell>
          <cell r="N46">
            <v>556.6547352</v>
          </cell>
          <cell r="O46">
            <v>547.77780770000004</v>
          </cell>
          <cell r="P46">
            <v>537.38563209999995</v>
          </cell>
          <cell r="Q46">
            <v>525.65869020000002</v>
          </cell>
          <cell r="R46">
            <v>512.7926377</v>
          </cell>
          <cell r="S46">
            <v>498.97435230000002</v>
          </cell>
          <cell r="T46">
            <v>484.37491369999998</v>
          </cell>
          <cell r="U46">
            <v>469.14742100000001</v>
          </cell>
          <cell r="V46">
            <v>453.42461320000001</v>
          </cell>
          <cell r="W46">
            <v>437.32759620000002</v>
          </cell>
          <cell r="X46">
            <v>420.96283899999997</v>
          </cell>
          <cell r="Y46">
            <v>404.4215289</v>
          </cell>
          <cell r="Z46">
            <v>387.77958690000003</v>
          </cell>
          <cell r="AA46">
            <v>371.09360240000001</v>
          </cell>
          <cell r="AB46">
            <v>354.4139619</v>
          </cell>
          <cell r="AC46">
            <v>337.78358780000002</v>
          </cell>
          <cell r="AD46">
            <v>321.23617439999998</v>
          </cell>
          <cell r="AE46">
            <v>304.79495789999999</v>
          </cell>
          <cell r="AF46">
            <v>288.47355420000002</v>
          </cell>
          <cell r="AG46">
            <v>272.27861840000003</v>
          </cell>
          <cell r="AH46">
            <v>256.21259259999999</v>
          </cell>
          <cell r="AI46">
            <v>240.27569209999999</v>
          </cell>
          <cell r="AJ46">
            <v>224.46751190000001</v>
          </cell>
          <cell r="AK46">
            <v>208.78764670000001</v>
          </cell>
        </row>
        <row r="47">
          <cell r="B47">
            <v>534.22115059999999</v>
          </cell>
          <cell r="C47">
            <v>540.02551389999996</v>
          </cell>
          <cell r="D47">
            <v>545.70944680000002</v>
          </cell>
          <cell r="E47">
            <v>551.25706730000002</v>
          </cell>
          <cell r="F47">
            <v>556.82629629999997</v>
          </cell>
          <cell r="G47">
            <v>562.5741921</v>
          </cell>
          <cell r="H47">
            <v>568.45211749999999</v>
          </cell>
          <cell r="I47">
            <v>574.37856069999998</v>
          </cell>
          <cell r="J47">
            <v>580.29596660000004</v>
          </cell>
          <cell r="K47">
            <v>586.17324529999996</v>
          </cell>
          <cell r="L47">
            <v>591.98443139999995</v>
          </cell>
          <cell r="M47">
            <v>597.61366090000001</v>
          </cell>
          <cell r="N47">
            <v>602.94904159999999</v>
          </cell>
          <cell r="O47">
            <v>607.91227530000003</v>
          </cell>
          <cell r="P47">
            <v>612.4642738</v>
          </cell>
          <cell r="Q47">
            <v>616.60079189999999</v>
          </cell>
          <cell r="R47">
            <v>620.45177079999996</v>
          </cell>
          <cell r="S47">
            <v>624.16204700000003</v>
          </cell>
          <cell r="T47">
            <v>627.86751649999997</v>
          </cell>
          <cell r="U47">
            <v>631.68805050000003</v>
          </cell>
          <cell r="V47">
            <v>635.72136009999997</v>
          </cell>
          <cell r="W47">
            <v>640.06405400000006</v>
          </cell>
          <cell r="X47">
            <v>644.80872790000001</v>
          </cell>
          <cell r="Y47">
            <v>650.04344639999999</v>
          </cell>
          <cell r="Z47">
            <v>655.84953419999999</v>
          </cell>
          <cell r="AA47">
            <v>662.28020860000004</v>
          </cell>
          <cell r="AB47">
            <v>669.40102979999995</v>
          </cell>
          <cell r="AC47">
            <v>677.28309369999999</v>
          </cell>
          <cell r="AD47">
            <v>685.99752969999997</v>
          </cell>
          <cell r="AE47">
            <v>695.60482490000004</v>
          </cell>
          <cell r="AF47">
            <v>706.14677689999996</v>
          </cell>
          <cell r="AG47">
            <v>717.64568259999999</v>
          </cell>
          <cell r="AH47">
            <v>730.1064672</v>
          </cell>
          <cell r="AI47">
            <v>743.51872100000003</v>
          </cell>
          <cell r="AJ47">
            <v>757.85781220000001</v>
          </cell>
          <cell r="AK47">
            <v>773.08529769999996</v>
          </cell>
        </row>
        <row r="48">
          <cell r="B48">
            <v>333.5687527</v>
          </cell>
          <cell r="C48">
            <v>337.19043490000001</v>
          </cell>
          <cell r="D48">
            <v>340.73725150000001</v>
          </cell>
          <cell r="E48">
            <v>344.19789969999999</v>
          </cell>
          <cell r="F48">
            <v>347.67195029999999</v>
          </cell>
          <cell r="G48">
            <v>351.25743519999997</v>
          </cell>
          <cell r="H48">
            <v>354.92243999999999</v>
          </cell>
          <cell r="I48">
            <v>361.47097129999997</v>
          </cell>
          <cell r="J48">
            <v>371.66419409999997</v>
          </cell>
          <cell r="K48">
            <v>385.75577829999997</v>
          </cell>
          <cell r="L48">
            <v>403.77967080000002</v>
          </cell>
          <cell r="M48">
            <v>425.67361210000001</v>
          </cell>
          <cell r="N48">
            <v>451.30672270000002</v>
          </cell>
          <cell r="O48">
            <v>480.52870030000003</v>
          </cell>
          <cell r="P48">
            <v>513.20875479999995</v>
          </cell>
          <cell r="Q48">
            <v>549.24276450000002</v>
          </cell>
          <cell r="R48">
            <v>588.59731239999996</v>
          </cell>
          <cell r="S48">
            <v>631.27997310000001</v>
          </cell>
          <cell r="T48">
            <v>677.32851870000002</v>
          </cell>
          <cell r="U48">
            <v>726.80551530000002</v>
          </cell>
          <cell r="V48">
            <v>779.78439730000002</v>
          </cell>
          <cell r="W48">
            <v>836.38814009999999</v>
          </cell>
          <cell r="X48">
            <v>896.78093320000005</v>
          </cell>
          <cell r="Y48">
            <v>961.16459810000003</v>
          </cell>
          <cell r="Z48">
            <v>1029.7729870000001</v>
          </cell>
          <cell r="AA48">
            <v>1102.814797</v>
          </cell>
          <cell r="AB48">
            <v>1180.582181</v>
          </cell>
          <cell r="AC48">
            <v>1263.4586179999999</v>
          </cell>
          <cell r="AD48">
            <v>1351.91147</v>
          </cell>
          <cell r="AE48">
            <v>1446.468476</v>
          </cell>
          <cell r="AF48">
            <v>1547.7051260000001</v>
          </cell>
          <cell r="AG48">
            <v>1656.2659719999999</v>
          </cell>
          <cell r="AH48">
            <v>1772.912141</v>
          </cell>
          <cell r="AI48">
            <v>1898.580661</v>
          </cell>
          <cell r="AJ48">
            <v>2034.4710480000001</v>
          </cell>
          <cell r="AK48">
            <v>2182.1793400000001</v>
          </cell>
        </row>
        <row r="49">
          <cell r="B49">
            <v>333.56875739999998</v>
          </cell>
          <cell r="C49">
            <v>337.1904457</v>
          </cell>
          <cell r="D49">
            <v>340.73726879999998</v>
          </cell>
          <cell r="E49">
            <v>344.1979235</v>
          </cell>
          <cell r="F49">
            <v>347.6719804</v>
          </cell>
          <cell r="G49">
            <v>351.25747159999997</v>
          </cell>
          <cell r="H49">
            <v>354.92248239999998</v>
          </cell>
          <cell r="I49">
            <v>358.61449340000001</v>
          </cell>
          <cell r="J49">
            <v>362.29657350000002</v>
          </cell>
          <cell r="K49">
            <v>365.94891369999999</v>
          </cell>
          <cell r="L49">
            <v>369.5554621</v>
          </cell>
          <cell r="M49">
            <v>373.04506989999999</v>
          </cell>
          <cell r="N49">
            <v>376.34993900000001</v>
          </cell>
          <cell r="O49">
            <v>379.42369689999998</v>
          </cell>
          <cell r="P49">
            <v>382.2444026</v>
          </cell>
          <cell r="Q49">
            <v>384.81148109999998</v>
          </cell>
          <cell r="R49">
            <v>387.20852430000002</v>
          </cell>
          <cell r="S49">
            <v>389.52788889999999</v>
          </cell>
          <cell r="T49">
            <v>391.85548249999999</v>
          </cell>
          <cell r="U49">
            <v>394.26627710000002</v>
          </cell>
          <cell r="V49">
            <v>396.82055939999998</v>
          </cell>
          <cell r="W49">
            <v>399.57722999999999</v>
          </cell>
          <cell r="X49">
            <v>402.5921305</v>
          </cell>
          <cell r="Y49">
            <v>405.9178197</v>
          </cell>
          <cell r="Z49">
            <v>409.602236</v>
          </cell>
          <cell r="AA49">
            <v>413.6754621</v>
          </cell>
          <cell r="AB49">
            <v>418.17514799999998</v>
          </cell>
          <cell r="AC49">
            <v>423.14243879999998</v>
          </cell>
          <cell r="AD49">
            <v>428.61866900000001</v>
          </cell>
          <cell r="AE49">
            <v>434.63893359999997</v>
          </cell>
          <cell r="AF49">
            <v>441.22718420000001</v>
          </cell>
          <cell r="AG49">
            <v>448.39579509999999</v>
          </cell>
          <cell r="AH49">
            <v>456.14692170000001</v>
          </cell>
          <cell r="AI49">
            <v>464.47376630000002</v>
          </cell>
          <cell r="AJ49">
            <v>473.36125479999998</v>
          </cell>
          <cell r="AK49">
            <v>482.7862677</v>
          </cell>
        </row>
        <row r="50">
          <cell r="B50">
            <v>27533.715670000001</v>
          </cell>
          <cell r="C50">
            <v>27861.297999999999</v>
          </cell>
          <cell r="D50">
            <v>28199.892800000001</v>
          </cell>
          <cell r="E50">
            <v>28551.387599999998</v>
          </cell>
          <cell r="F50">
            <v>28913.62127</v>
          </cell>
          <cell r="G50">
            <v>29285.961319999999</v>
          </cell>
          <cell r="H50">
            <v>29669.545139999998</v>
          </cell>
          <cell r="I50">
            <v>30088.714970000001</v>
          </cell>
          <cell r="J50">
            <v>30556.38031</v>
          </cell>
          <cell r="K50">
            <v>31080.88711</v>
          </cell>
          <cell r="L50">
            <v>31660.105029999999</v>
          </cell>
          <cell r="M50">
            <v>32276.482</v>
          </cell>
          <cell r="N50">
            <v>32913.135880000002</v>
          </cell>
          <cell r="O50">
            <v>33558.748809999997</v>
          </cell>
          <cell r="P50">
            <v>34208.128920000003</v>
          </cell>
          <cell r="Q50">
            <v>34860.672570000002</v>
          </cell>
          <cell r="R50">
            <v>35518.63306</v>
          </cell>
          <cell r="S50">
            <v>36187.061309999997</v>
          </cell>
          <cell r="T50">
            <v>36872.571799999998</v>
          </cell>
          <cell r="U50">
            <v>37583.168129999998</v>
          </cell>
          <cell r="V50">
            <v>38327.879639999999</v>
          </cell>
          <cell r="W50">
            <v>39118.281779999998</v>
          </cell>
          <cell r="X50">
            <v>39968.272089999999</v>
          </cell>
          <cell r="Y50">
            <v>40893.887759999998</v>
          </cell>
          <cell r="Z50">
            <v>41913.231740000003</v>
          </cell>
          <cell r="AA50">
            <v>43044.938990000002</v>
          </cell>
          <cell r="AB50">
            <v>44312.738879999997</v>
          </cell>
          <cell r="AC50">
            <v>45745.218769999999</v>
          </cell>
          <cell r="AD50">
            <v>47376.31669</v>
          </cell>
          <cell r="AE50">
            <v>49245.774380000003</v>
          </cell>
          <cell r="AF50">
            <v>51400.415650000003</v>
          </cell>
          <cell r="AG50">
            <v>53897.169090000003</v>
          </cell>
          <cell r="AH50">
            <v>56807.987200000003</v>
          </cell>
          <cell r="AI50">
            <v>60226.823530000001</v>
          </cell>
          <cell r="AJ50">
            <v>64280.571340000002</v>
          </cell>
          <cell r="AK50">
            <v>69147.153969999999</v>
          </cell>
        </row>
        <row r="51">
          <cell r="B51">
            <v>27533.715670000001</v>
          </cell>
          <cell r="C51">
            <v>27861.297989999999</v>
          </cell>
          <cell r="D51">
            <v>28199.892800000001</v>
          </cell>
          <cell r="E51">
            <v>28551.387599999998</v>
          </cell>
          <cell r="F51">
            <v>28913.62127</v>
          </cell>
          <cell r="G51">
            <v>29285.961319999999</v>
          </cell>
          <cell r="H51">
            <v>29669.545139999998</v>
          </cell>
          <cell r="I51">
            <v>30066.067370000001</v>
          </cell>
          <cell r="J51">
            <v>30476.579040000001</v>
          </cell>
          <cell r="K51">
            <v>30901.42137</v>
          </cell>
          <cell r="L51">
            <v>31339.745999999999</v>
          </cell>
          <cell r="M51">
            <v>31784.78342</v>
          </cell>
          <cell r="N51">
            <v>32228.90914</v>
          </cell>
          <cell r="O51">
            <v>32665.655500000001</v>
          </cell>
          <cell r="P51">
            <v>33090.550519999997</v>
          </cell>
          <cell r="Q51">
            <v>33501.268049999999</v>
          </cell>
          <cell r="R51">
            <v>33896.785159999999</v>
          </cell>
          <cell r="S51">
            <v>34278.032859999999</v>
          </cell>
          <cell r="T51">
            <v>34648.040220000003</v>
          </cell>
          <cell r="U51">
            <v>35011.215689999997</v>
          </cell>
          <cell r="V51">
            <v>35372.32127</v>
          </cell>
          <cell r="W51">
            <v>35737.226540000003</v>
          </cell>
          <cell r="X51">
            <v>36112.260869999998</v>
          </cell>
          <cell r="Y51">
            <v>36503.894849999997</v>
          </cell>
          <cell r="Z51">
            <v>36918.478510000001</v>
          </cell>
          <cell r="AA51">
            <v>37360.706480000001</v>
          </cell>
          <cell r="AB51">
            <v>37836.065280000003</v>
          </cell>
          <cell r="AC51">
            <v>38350.202120000002</v>
          </cell>
          <cell r="AD51">
            <v>38908.524460000001</v>
          </cell>
          <cell r="AE51">
            <v>39515.479659999997</v>
          </cell>
          <cell r="AF51">
            <v>40174.058989999998</v>
          </cell>
          <cell r="AG51">
            <v>40885.743540000003</v>
          </cell>
          <cell r="AH51">
            <v>41650.672189999997</v>
          </cell>
          <cell r="AI51">
            <v>42467.801939999998</v>
          </cell>
          <cell r="AJ51">
            <v>43335.028149999998</v>
          </cell>
          <cell r="AK51">
            <v>44249.278729999998</v>
          </cell>
        </row>
        <row r="52">
          <cell r="B52">
            <v>548.74308729999996</v>
          </cell>
          <cell r="C52">
            <v>555.27175720000002</v>
          </cell>
          <cell r="D52">
            <v>562.019904</v>
          </cell>
          <cell r="E52">
            <v>569.02514610000003</v>
          </cell>
          <cell r="F52">
            <v>576.24441230000002</v>
          </cell>
          <cell r="G52">
            <v>583.66509719999999</v>
          </cell>
          <cell r="H52">
            <v>591.30986889999997</v>
          </cell>
          <cell r="I52">
            <v>599.19763539999997</v>
          </cell>
          <cell r="J52">
            <v>607.39984089999996</v>
          </cell>
          <cell r="K52">
            <v>615.98548310000001</v>
          </cell>
          <cell r="L52">
            <v>624.8433258</v>
          </cell>
          <cell r="M52">
            <v>633.58073999999999</v>
          </cell>
          <cell r="N52">
            <v>641.83307749999994</v>
          </cell>
          <cell r="O52">
            <v>649.35079259999998</v>
          </cell>
          <cell r="P52">
            <v>656.00225049999995</v>
          </cell>
          <cell r="Q52">
            <v>661.7384892</v>
          </cell>
          <cell r="R52">
            <v>666.55669909999995</v>
          </cell>
          <cell r="S52">
            <v>670.49375640000005</v>
          </cell>
          <cell r="T52">
            <v>673.6005212</v>
          </cell>
          <cell r="U52">
            <v>675.93463889999998</v>
          </cell>
          <cell r="V52">
            <v>677.55042460000004</v>
          </cell>
          <cell r="W52">
            <v>678.51610100000005</v>
          </cell>
          <cell r="X52">
            <v>678.90215339999997</v>
          </cell>
          <cell r="Y52">
            <v>678.76977150000005</v>
          </cell>
          <cell r="Z52">
            <v>678.16001210000002</v>
          </cell>
          <cell r="AA52">
            <v>677.06458280000004</v>
          </cell>
          <cell r="AB52">
            <v>675.46855249999999</v>
          </cell>
          <cell r="AC52">
            <v>673.32508610000002</v>
          </cell>
          <cell r="AD52">
            <v>670.53490499999998</v>
          </cell>
          <cell r="AE52">
            <v>666.91981099999998</v>
          </cell>
          <cell r="AF52">
            <v>662.19659200000001</v>
          </cell>
          <cell r="AG52">
            <v>655.95251089999999</v>
          </cell>
          <cell r="AH52">
            <v>647.61181750000003</v>
          </cell>
          <cell r="AI52">
            <v>636.37969350000003</v>
          </cell>
          <cell r="AJ52">
            <v>621.15323269999999</v>
          </cell>
          <cell r="AK52">
            <v>600.37147679999998</v>
          </cell>
        </row>
        <row r="53">
          <cell r="B53">
            <v>548.74308729999996</v>
          </cell>
          <cell r="C53">
            <v>555.27175709999995</v>
          </cell>
          <cell r="D53">
            <v>562.019904</v>
          </cell>
          <cell r="E53">
            <v>569.02514610000003</v>
          </cell>
          <cell r="F53">
            <v>576.24441230000002</v>
          </cell>
          <cell r="G53">
            <v>583.66509719999999</v>
          </cell>
          <cell r="H53">
            <v>591.3098688</v>
          </cell>
          <cell r="I53">
            <v>599.21250129999999</v>
          </cell>
          <cell r="J53">
            <v>607.39394130000005</v>
          </cell>
          <cell r="K53">
            <v>615.86098919999995</v>
          </cell>
          <cell r="L53">
            <v>624.59673750000002</v>
          </cell>
          <cell r="M53">
            <v>633.4662707</v>
          </cell>
          <cell r="N53">
            <v>642.31763409999996</v>
          </cell>
          <cell r="O53">
            <v>651.02192769999999</v>
          </cell>
          <cell r="P53">
            <v>659.49002580000001</v>
          </cell>
          <cell r="Q53">
            <v>667.67556839999997</v>
          </cell>
          <cell r="R53">
            <v>675.55816890000006</v>
          </cell>
          <cell r="S53">
            <v>683.15638200000001</v>
          </cell>
          <cell r="T53">
            <v>690.53057679999995</v>
          </cell>
          <cell r="U53">
            <v>697.76861289999999</v>
          </cell>
          <cell r="V53">
            <v>704.96539640000003</v>
          </cell>
          <cell r="W53">
            <v>712.23790729999996</v>
          </cell>
          <cell r="X53">
            <v>719.71228880000001</v>
          </cell>
          <cell r="Y53">
            <v>727.51749900000004</v>
          </cell>
          <cell r="Z53">
            <v>735.78009310000004</v>
          </cell>
          <cell r="AA53">
            <v>744.59363450000001</v>
          </cell>
          <cell r="AB53">
            <v>754.06746869999995</v>
          </cell>
          <cell r="AC53">
            <v>764.31414380000001</v>
          </cell>
          <cell r="AD53">
            <v>775.44142950000003</v>
          </cell>
          <cell r="AE53">
            <v>787.53796130000001</v>
          </cell>
          <cell r="AF53">
            <v>800.66335500000002</v>
          </cell>
          <cell r="AG53">
            <v>814.84712809999996</v>
          </cell>
          <cell r="AH53">
            <v>830.09204880000004</v>
          </cell>
          <cell r="AI53">
            <v>846.37733000000003</v>
          </cell>
          <cell r="AJ53">
            <v>863.66102650000005</v>
          </cell>
          <cell r="AK53">
            <v>881.88191229999995</v>
          </cell>
        </row>
        <row r="54">
          <cell r="B54">
            <v>797.41588769999998</v>
          </cell>
          <cell r="C54">
            <v>806.90314169999999</v>
          </cell>
          <cell r="D54">
            <v>816.70933260000004</v>
          </cell>
          <cell r="E54">
            <v>826.88912619999996</v>
          </cell>
          <cell r="F54">
            <v>837.37993270000004</v>
          </cell>
          <cell r="G54">
            <v>848.16343449999999</v>
          </cell>
          <cell r="H54">
            <v>859.2725719</v>
          </cell>
          <cell r="I54">
            <v>870.64409799999999</v>
          </cell>
          <cell r="J54">
            <v>882.34582</v>
          </cell>
          <cell r="K54">
            <v>894.45944369999995</v>
          </cell>
          <cell r="L54">
            <v>906.81049849999999</v>
          </cell>
          <cell r="M54">
            <v>918.82083060000002</v>
          </cell>
          <cell r="N54">
            <v>929.9559825</v>
          </cell>
          <cell r="O54">
            <v>939.84978769999998</v>
          </cell>
          <cell r="P54">
            <v>948.30685140000003</v>
          </cell>
          <cell r="Q54">
            <v>955.25049530000001</v>
          </cell>
          <cell r="R54">
            <v>960.66935009999997</v>
          </cell>
          <cell r="S54">
            <v>964.60702030000004</v>
          </cell>
          <cell r="T54">
            <v>967.12462159999995</v>
          </cell>
          <cell r="U54">
            <v>968.2897428</v>
          </cell>
          <cell r="V54">
            <v>968.16137449999997</v>
          </cell>
          <cell r="W54">
            <v>966.81273139999996</v>
          </cell>
          <cell r="X54">
            <v>964.31332190000001</v>
          </cell>
          <cell r="Y54">
            <v>960.71113339999999</v>
          </cell>
          <cell r="Z54">
            <v>956.01577099999997</v>
          </cell>
          <cell r="AA54">
            <v>950.15709040000002</v>
          </cell>
          <cell r="AB54">
            <v>943.0396154</v>
          </cell>
          <cell r="AC54">
            <v>934.50391219999995</v>
          </cell>
          <cell r="AD54">
            <v>924.29391050000004</v>
          </cell>
          <cell r="AE54">
            <v>912.01598939999997</v>
          </cell>
          <cell r="AF54">
            <v>897.09781469999996</v>
          </cell>
          <cell r="AG54">
            <v>878.74699469999996</v>
          </cell>
          <cell r="AH54">
            <v>855.89403549999997</v>
          </cell>
          <cell r="AI54">
            <v>827.09937579999996</v>
          </cell>
          <cell r="AJ54">
            <v>790.39499669999998</v>
          </cell>
          <cell r="AK54">
            <v>742.86887899999999</v>
          </cell>
        </row>
        <row r="55">
          <cell r="B55">
            <v>797.41588769999998</v>
          </cell>
          <cell r="C55">
            <v>806.90314169999999</v>
          </cell>
          <cell r="D55">
            <v>816.70933260000004</v>
          </cell>
          <cell r="E55">
            <v>826.88912619999996</v>
          </cell>
          <cell r="F55">
            <v>837.37993270000004</v>
          </cell>
          <cell r="G55">
            <v>848.16343440000003</v>
          </cell>
          <cell r="H55">
            <v>859.27257180000004</v>
          </cell>
          <cell r="I55">
            <v>870.75642440000001</v>
          </cell>
          <cell r="J55">
            <v>882.64543100000003</v>
          </cell>
          <cell r="K55">
            <v>894.94947400000001</v>
          </cell>
          <cell r="L55">
            <v>907.6439838</v>
          </cell>
          <cell r="M55">
            <v>920.53290560000005</v>
          </cell>
          <cell r="N55">
            <v>933.39542349999999</v>
          </cell>
          <cell r="O55">
            <v>946.0442243</v>
          </cell>
          <cell r="P55">
            <v>958.34979339999995</v>
          </cell>
          <cell r="Q55">
            <v>970.24476179999999</v>
          </cell>
          <cell r="R55">
            <v>981.69950459999995</v>
          </cell>
          <cell r="S55">
            <v>992.74098460000005</v>
          </cell>
          <cell r="T55">
            <v>1003.4569279999999</v>
          </cell>
          <cell r="U55">
            <v>1013.975011</v>
          </cell>
          <cell r="V55">
            <v>1024.4331460000001</v>
          </cell>
          <cell r="W55">
            <v>1035.0013260000001</v>
          </cell>
          <cell r="X55">
            <v>1045.862858</v>
          </cell>
          <cell r="Y55">
            <v>1057.20514</v>
          </cell>
          <cell r="Z55">
            <v>1069.2120769999999</v>
          </cell>
          <cell r="AA55">
            <v>1082.0196330000001</v>
          </cell>
          <cell r="AB55">
            <v>1095.7867060000001</v>
          </cell>
          <cell r="AC55">
            <v>1110.6768460000001</v>
          </cell>
          <cell r="AD55">
            <v>1126.846661</v>
          </cell>
          <cell r="AE55">
            <v>1144.4249540000001</v>
          </cell>
          <cell r="AF55">
            <v>1163.4983560000001</v>
          </cell>
          <cell r="AG55">
            <v>1184.1097609999999</v>
          </cell>
          <cell r="AH55">
            <v>1206.2631919999999</v>
          </cell>
          <cell r="AI55">
            <v>1229.928441</v>
          </cell>
          <cell r="AJ55">
            <v>1255.0445549999999</v>
          </cell>
          <cell r="AK55">
            <v>1281.522563</v>
          </cell>
        </row>
        <row r="56">
          <cell r="B56">
            <v>724.45685130000004</v>
          </cell>
          <cell r="C56">
            <v>733.07607529999996</v>
          </cell>
          <cell r="D56">
            <v>741.9850553</v>
          </cell>
          <cell r="E56">
            <v>751.23345549999999</v>
          </cell>
          <cell r="F56">
            <v>760.76441260000001</v>
          </cell>
          <cell r="G56">
            <v>770.56128509999996</v>
          </cell>
          <cell r="H56">
            <v>780.65399930000001</v>
          </cell>
          <cell r="I56">
            <v>790.98945049999998</v>
          </cell>
          <cell r="J56">
            <v>801.6309698</v>
          </cell>
          <cell r="K56">
            <v>812.65367639999999</v>
          </cell>
          <cell r="L56">
            <v>823.89967549999994</v>
          </cell>
          <cell r="M56">
            <v>834.84407160000001</v>
          </cell>
          <cell r="N56">
            <v>845.00152119999996</v>
          </cell>
          <cell r="O56">
            <v>854.0395231</v>
          </cell>
          <cell r="P56">
            <v>861.7807497</v>
          </cell>
          <cell r="Q56">
            <v>868.1557937</v>
          </cell>
          <cell r="R56">
            <v>873.15466449999997</v>
          </cell>
          <cell r="S56">
            <v>876.81744149999997</v>
          </cell>
          <cell r="T56">
            <v>879.20024509999996</v>
          </cell>
          <cell r="U56">
            <v>880.3652343</v>
          </cell>
          <cell r="V56">
            <v>880.36693109999999</v>
          </cell>
          <cell r="W56">
            <v>879.27305980000006</v>
          </cell>
          <cell r="X56">
            <v>877.14830210000002</v>
          </cell>
          <cell r="Y56">
            <v>874.03815729999997</v>
          </cell>
          <cell r="Z56">
            <v>869.95367209999995</v>
          </cell>
          <cell r="AA56">
            <v>864.83379849999994</v>
          </cell>
          <cell r="AB56">
            <v>858.59518600000001</v>
          </cell>
          <cell r="AC56">
            <v>851.09716390000006</v>
          </cell>
          <cell r="AD56">
            <v>842.11216079999997</v>
          </cell>
          <cell r="AE56">
            <v>831.28860940000004</v>
          </cell>
          <cell r="AF56">
            <v>818.11364060000005</v>
          </cell>
          <cell r="AG56">
            <v>801.87569559999997</v>
          </cell>
          <cell r="AH56">
            <v>781.61295519999999</v>
          </cell>
          <cell r="AI56">
            <v>756.02933110000004</v>
          </cell>
          <cell r="AJ56">
            <v>723.35296630000005</v>
          </cell>
          <cell r="AK56">
            <v>680.98732559999996</v>
          </cell>
        </row>
        <row r="57">
          <cell r="B57">
            <v>724.45685130000004</v>
          </cell>
          <cell r="C57">
            <v>733.07607529999996</v>
          </cell>
          <cell r="D57">
            <v>741.9850553</v>
          </cell>
          <cell r="E57">
            <v>751.23345540000003</v>
          </cell>
          <cell r="F57">
            <v>760.76441260000001</v>
          </cell>
          <cell r="G57">
            <v>770.561285</v>
          </cell>
          <cell r="H57">
            <v>780.65399930000001</v>
          </cell>
          <cell r="I57">
            <v>791.08714429999998</v>
          </cell>
          <cell r="J57">
            <v>801.88837430000001</v>
          </cell>
          <cell r="K57">
            <v>813.06666700000005</v>
          </cell>
          <cell r="L57">
            <v>824.59970109999995</v>
          </cell>
          <cell r="M57">
            <v>836.30935950000003</v>
          </cell>
          <cell r="N57">
            <v>847.99502989999996</v>
          </cell>
          <cell r="O57">
            <v>859.48653709999996</v>
          </cell>
          <cell r="P57">
            <v>870.66621629999997</v>
          </cell>
          <cell r="Q57">
            <v>881.47286250000002</v>
          </cell>
          <cell r="R57">
            <v>891.87956120000001</v>
          </cell>
          <cell r="S57">
            <v>901.91080829999999</v>
          </cell>
          <cell r="T57">
            <v>911.64630399999999</v>
          </cell>
          <cell r="U57">
            <v>921.20204130000002</v>
          </cell>
          <cell r="V57">
            <v>930.70331659999999</v>
          </cell>
          <cell r="W57">
            <v>940.30456800000002</v>
          </cell>
          <cell r="X57">
            <v>950.1723313</v>
          </cell>
          <cell r="Y57">
            <v>960.47685850000005</v>
          </cell>
          <cell r="Z57">
            <v>971.38522890000002</v>
          </cell>
          <cell r="AA57">
            <v>983.02096630000005</v>
          </cell>
          <cell r="AB57">
            <v>995.52842969999995</v>
          </cell>
          <cell r="AC57">
            <v>1009.056206</v>
          </cell>
          <cell r="AD57">
            <v>1023.746575</v>
          </cell>
          <cell r="AE57">
            <v>1039.7165540000001</v>
          </cell>
          <cell r="AF57">
            <v>1057.044848</v>
          </cell>
          <cell r="AG57">
            <v>1075.770426</v>
          </cell>
          <cell r="AH57">
            <v>1095.896943</v>
          </cell>
          <cell r="AI57">
            <v>1117.396956</v>
          </cell>
          <cell r="AJ57">
            <v>1140.2150879999999</v>
          </cell>
          <cell r="AK57">
            <v>1164.2705089999999</v>
          </cell>
        </row>
        <row r="58">
          <cell r="B58">
            <v>1425.718447</v>
          </cell>
          <cell r="C58">
            <v>1442.680787</v>
          </cell>
          <cell r="D58">
            <v>1460.213319</v>
          </cell>
          <cell r="E58">
            <v>1478.413814</v>
          </cell>
          <cell r="F58">
            <v>1497.170376</v>
          </cell>
          <cell r="G58">
            <v>1516.4502580000001</v>
          </cell>
          <cell r="H58">
            <v>1536.3123559999999</v>
          </cell>
          <cell r="I58">
            <v>1581.376712</v>
          </cell>
          <cell r="J58">
            <v>1662.4810709999999</v>
          </cell>
          <cell r="K58">
            <v>1786.665389</v>
          </cell>
          <cell r="L58">
            <v>1959.4322520000001</v>
          </cell>
          <cell r="M58">
            <v>2184.4824610000001</v>
          </cell>
          <cell r="N58">
            <v>2465.044425</v>
          </cell>
          <cell r="O58">
            <v>2804.6064070000002</v>
          </cell>
          <cell r="P58">
            <v>3207.3556629999998</v>
          </cell>
          <cell r="Q58">
            <v>3678.3378640000001</v>
          </cell>
          <cell r="R58">
            <v>4223.4870730000002</v>
          </cell>
          <cell r="S58">
            <v>4849.963925</v>
          </cell>
          <cell r="T58">
            <v>5566.2083419999999</v>
          </cell>
          <cell r="U58">
            <v>6382.2243580000004</v>
          </cell>
          <cell r="V58">
            <v>7309.8232589999998</v>
          </cell>
          <cell r="W58">
            <v>8363.6571230000009</v>
          </cell>
          <cell r="X58">
            <v>9561.8353569999999</v>
          </cell>
          <cell r="Y58">
            <v>10926.628339999999</v>
          </cell>
          <cell r="Z58">
            <v>12485.314850000001</v>
          </cell>
          <cell r="AA58">
            <v>14270.246929999999</v>
          </cell>
          <cell r="AB58">
            <v>16322.77441</v>
          </cell>
          <cell r="AC58">
            <v>18695.164270000001</v>
          </cell>
          <cell r="AD58">
            <v>21453.401290000002</v>
          </cell>
          <cell r="AE58">
            <v>24680.570189999999</v>
          </cell>
          <cell r="AF58">
            <v>28481.765630000002</v>
          </cell>
          <cell r="AG58">
            <v>32992.057070000003</v>
          </cell>
          <cell r="AH58">
            <v>38388.900309999997</v>
          </cell>
          <cell r="AI58">
            <v>44910.852610000002</v>
          </cell>
          <cell r="AJ58">
            <v>52887.345249999998</v>
          </cell>
          <cell r="AK58">
            <v>62788.272920000003</v>
          </cell>
        </row>
        <row r="59">
          <cell r="B59">
            <v>1425.718447</v>
          </cell>
          <cell r="C59">
            <v>1442.680787</v>
          </cell>
          <cell r="D59">
            <v>1460.213319</v>
          </cell>
          <cell r="E59">
            <v>1478.413814</v>
          </cell>
          <cell r="F59">
            <v>1497.1703749999999</v>
          </cell>
          <cell r="G59">
            <v>1516.450257</v>
          </cell>
          <cell r="H59">
            <v>1536.312355</v>
          </cell>
          <cell r="I59">
            <v>1556.8444199999999</v>
          </cell>
          <cell r="J59">
            <v>1578.100874</v>
          </cell>
          <cell r="K59">
            <v>1600.0993860000001</v>
          </cell>
          <cell r="L59">
            <v>1622.796028</v>
          </cell>
          <cell r="M59">
            <v>1645.8402699999999</v>
          </cell>
          <cell r="N59">
            <v>1668.8373099999999</v>
          </cell>
          <cell r="O59">
            <v>1691.4522469999999</v>
          </cell>
          <cell r="P59">
            <v>1713.4535209999999</v>
          </cell>
          <cell r="Q59">
            <v>1734.720679</v>
          </cell>
          <cell r="R59">
            <v>1755.2007570000001</v>
          </cell>
          <cell r="S59">
            <v>1774.941959</v>
          </cell>
          <cell r="T59">
            <v>1794.101136</v>
          </cell>
          <cell r="U59">
            <v>1812.9065579999999</v>
          </cell>
          <cell r="V59">
            <v>1831.6048060000001</v>
          </cell>
          <cell r="W59">
            <v>1850.4998109999999</v>
          </cell>
          <cell r="X59">
            <v>1869.9193110000001</v>
          </cell>
          <cell r="Y59">
            <v>1890.1983580000001</v>
          </cell>
          <cell r="Z59">
            <v>1911.665761</v>
          </cell>
          <cell r="AA59">
            <v>1934.564611</v>
          </cell>
          <cell r="AB59">
            <v>1959.179005</v>
          </cell>
          <cell r="AC59">
            <v>1985.801359</v>
          </cell>
          <cell r="AD59">
            <v>2014.711673</v>
          </cell>
          <cell r="AE59">
            <v>2046.1402370000001</v>
          </cell>
          <cell r="AF59">
            <v>2080.2419399999999</v>
          </cell>
          <cell r="AG59">
            <v>2117.0934729999999</v>
          </cell>
          <cell r="AH59">
            <v>2156.702029</v>
          </cell>
          <cell r="AI59">
            <v>2199.0136000000002</v>
          </cell>
          <cell r="AJ59">
            <v>2243.9192039999998</v>
          </cell>
          <cell r="AK59">
            <v>2291.2597689999998</v>
          </cell>
        </row>
        <row r="60">
          <cell r="B60">
            <v>518.30310889999998</v>
          </cell>
          <cell r="C60">
            <v>524.46961920000001</v>
          </cell>
          <cell r="D60">
            <v>530.84343160000003</v>
          </cell>
          <cell r="E60">
            <v>537.46007759999998</v>
          </cell>
          <cell r="F60">
            <v>544.27887529999998</v>
          </cell>
          <cell r="G60">
            <v>551.28791860000001</v>
          </cell>
          <cell r="H60">
            <v>558.50861799999996</v>
          </cell>
          <cell r="I60">
            <v>589.55635529999995</v>
          </cell>
          <cell r="J60">
            <v>656.47121519999996</v>
          </cell>
          <cell r="K60">
            <v>768.39774709999995</v>
          </cell>
          <cell r="L60">
            <v>933.23262090000003</v>
          </cell>
          <cell r="M60">
            <v>1157.3382630000001</v>
          </cell>
          <cell r="N60">
            <v>1446.2955019999999</v>
          </cell>
          <cell r="O60">
            <v>1805.4832039999999</v>
          </cell>
          <cell r="P60">
            <v>2240.5444440000001</v>
          </cell>
          <cell r="Q60">
            <v>2757.6477060000002</v>
          </cell>
          <cell r="R60">
            <v>3363.617107</v>
          </cell>
          <cell r="S60">
            <v>4066.3499670000001</v>
          </cell>
          <cell r="T60">
            <v>4874.9512070000001</v>
          </cell>
          <cell r="U60">
            <v>5800.0854339999996</v>
          </cell>
          <cell r="V60">
            <v>6854.2812059999997</v>
          </cell>
          <cell r="W60">
            <v>8053.0683170000002</v>
          </cell>
          <cell r="X60">
            <v>9415.6902019999998</v>
          </cell>
          <cell r="Y60">
            <v>10965.89975</v>
          </cell>
          <cell r="Z60">
            <v>12732.899950000001</v>
          </cell>
          <cell r="AA60">
            <v>14751.419900000001</v>
          </cell>
          <cell r="AB60">
            <v>17065.98847</v>
          </cell>
          <cell r="AC60">
            <v>19733.03528</v>
          </cell>
          <cell r="AD60">
            <v>22823.935270000002</v>
          </cell>
          <cell r="AE60">
            <v>26428.66935</v>
          </cell>
          <cell r="AF60">
            <v>30661.137009999999</v>
          </cell>
          <cell r="AG60">
            <v>35667.793270000002</v>
          </cell>
          <cell r="AH60">
            <v>41641.123200000002</v>
          </cell>
          <cell r="AI60">
            <v>48839.960639999998</v>
          </cell>
          <cell r="AJ60">
            <v>57621.814359999997</v>
          </cell>
          <cell r="AK60">
            <v>68496.712150000007</v>
          </cell>
        </row>
        <row r="61">
          <cell r="B61">
            <v>518.30310889999998</v>
          </cell>
          <cell r="C61">
            <v>524.46961920000001</v>
          </cell>
          <cell r="D61">
            <v>530.84343149999995</v>
          </cell>
          <cell r="E61">
            <v>537.46007750000001</v>
          </cell>
          <cell r="F61">
            <v>544.27887529999998</v>
          </cell>
          <cell r="G61">
            <v>551.28791850000005</v>
          </cell>
          <cell r="H61">
            <v>558.50861799999996</v>
          </cell>
          <cell r="I61">
            <v>565.97287419999998</v>
          </cell>
          <cell r="J61">
            <v>573.70047179999995</v>
          </cell>
          <cell r="K61">
            <v>581.69783399999994</v>
          </cell>
          <cell r="L61">
            <v>589.94899129999999</v>
          </cell>
          <cell r="M61">
            <v>598.32651220000002</v>
          </cell>
          <cell r="N61">
            <v>606.68687109999996</v>
          </cell>
          <cell r="O61">
            <v>614.90831849999995</v>
          </cell>
          <cell r="P61">
            <v>622.90667269999994</v>
          </cell>
          <cell r="Q61">
            <v>630.63814530000002</v>
          </cell>
          <cell r="R61">
            <v>638.08348079999996</v>
          </cell>
          <cell r="S61">
            <v>645.26020440000002</v>
          </cell>
          <cell r="T61">
            <v>652.22533639999995</v>
          </cell>
          <cell r="U61">
            <v>659.06186279999997</v>
          </cell>
          <cell r="V61">
            <v>665.85942499999999</v>
          </cell>
          <cell r="W61">
            <v>672.72851390000005</v>
          </cell>
          <cell r="X61">
            <v>679.78827509999996</v>
          </cell>
          <cell r="Y61">
            <v>687.16051330000005</v>
          </cell>
          <cell r="Z61">
            <v>694.96476319999999</v>
          </cell>
          <cell r="AA61">
            <v>703.28939820000005</v>
          </cell>
          <cell r="AB61">
            <v>712.23769809999999</v>
          </cell>
          <cell r="AC61">
            <v>721.91596770000001</v>
          </cell>
          <cell r="AD61">
            <v>732.42599859999996</v>
          </cell>
          <cell r="AE61">
            <v>743.85150940000005</v>
          </cell>
          <cell r="AF61">
            <v>756.24880880000001</v>
          </cell>
          <cell r="AG61">
            <v>769.64577689999999</v>
          </cell>
          <cell r="AH61">
            <v>784.04502860000002</v>
          </cell>
          <cell r="AI61">
            <v>799.42692969999996</v>
          </cell>
          <cell r="AJ61">
            <v>815.75186169999995</v>
          </cell>
          <cell r="AK61">
            <v>832.96199509999997</v>
          </cell>
        </row>
        <row r="62">
          <cell r="B62">
            <v>3989.9757450000002</v>
          </cell>
          <cell r="C62">
            <v>4037.4464739999999</v>
          </cell>
          <cell r="D62">
            <v>4086.513046</v>
          </cell>
          <cell r="E62">
            <v>4137.4489880000001</v>
          </cell>
          <cell r="F62">
            <v>4189.9411250000003</v>
          </cell>
          <cell r="G62">
            <v>4243.8977999999997</v>
          </cell>
          <cell r="H62">
            <v>4299.4838369999998</v>
          </cell>
          <cell r="I62">
            <v>4365.4610709999997</v>
          </cell>
          <cell r="J62">
            <v>4445.8068800000001</v>
          </cell>
          <cell r="K62">
            <v>4542.8730770000002</v>
          </cell>
          <cell r="L62">
            <v>4657.193843</v>
          </cell>
          <cell r="M62">
            <v>4786.7971129999996</v>
          </cell>
          <cell r="N62">
            <v>4929.6639409999998</v>
          </cell>
          <cell r="O62">
            <v>5084.5557650000001</v>
          </cell>
          <cell r="P62">
            <v>5251.1920959999998</v>
          </cell>
          <cell r="Q62">
            <v>5430.0822850000004</v>
          </cell>
          <cell r="R62">
            <v>5622.3011470000001</v>
          </cell>
          <cell r="S62">
            <v>5829.5463829999999</v>
          </cell>
          <cell r="T62">
            <v>6053.9793829999999</v>
          </cell>
          <cell r="U62">
            <v>6298.252058</v>
          </cell>
          <cell r="V62">
            <v>6565.4989930000002</v>
          </cell>
          <cell r="W62">
            <v>6859.7278569999999</v>
          </cell>
          <cell r="X62">
            <v>7185.8937340000002</v>
          </cell>
          <cell r="Y62">
            <v>7549.9949210000004</v>
          </cell>
          <cell r="Z62">
            <v>7959.210067</v>
          </cell>
          <cell r="AA62">
            <v>8421.701067</v>
          </cell>
          <cell r="AB62">
            <v>8947.9263869999995</v>
          </cell>
          <cell r="AC62">
            <v>9550.9468500000003</v>
          </cell>
          <cell r="AD62">
            <v>10246.99043</v>
          </cell>
          <cell r="AE62">
            <v>11056.120209999999</v>
          </cell>
          <cell r="AF62">
            <v>12003.29017</v>
          </cell>
          <cell r="AG62">
            <v>13120.182150000001</v>
          </cell>
          <cell r="AH62">
            <v>14448.092360000001</v>
          </cell>
          <cell r="AI62">
            <v>16042.225210000001</v>
          </cell>
          <cell r="AJ62">
            <v>17978.502509999998</v>
          </cell>
          <cell r="AK62">
            <v>20364.888630000001</v>
          </cell>
        </row>
        <row r="63">
          <cell r="B63">
            <v>3989.9757450000002</v>
          </cell>
          <cell r="C63">
            <v>4037.4464739999999</v>
          </cell>
          <cell r="D63">
            <v>4086.513046</v>
          </cell>
          <cell r="E63">
            <v>4137.4489880000001</v>
          </cell>
          <cell r="F63">
            <v>4189.9411239999999</v>
          </cell>
          <cell r="G63">
            <v>4243.8977999999997</v>
          </cell>
          <cell r="H63">
            <v>4299.4838360000003</v>
          </cell>
          <cell r="I63">
            <v>4356.94481</v>
          </cell>
          <cell r="J63">
            <v>4416.4330259999997</v>
          </cell>
          <cell r="K63">
            <v>4477.9979300000005</v>
          </cell>
          <cell r="L63">
            <v>4541.5165870000001</v>
          </cell>
          <cell r="M63">
            <v>4606.0080099999996</v>
          </cell>
          <cell r="N63">
            <v>4670.3673179999996</v>
          </cell>
          <cell r="O63">
            <v>4733.6572640000004</v>
          </cell>
          <cell r="P63">
            <v>4795.2298039999996</v>
          </cell>
          <cell r="Q63">
            <v>4854.7478499999997</v>
          </cell>
          <cell r="R63">
            <v>4912.063169</v>
          </cell>
          <cell r="S63">
            <v>4967.310673</v>
          </cell>
          <cell r="T63">
            <v>5020.9293129999996</v>
          </cell>
          <cell r="U63">
            <v>5073.5579280000002</v>
          </cell>
          <cell r="V63">
            <v>5125.8865900000001</v>
          </cell>
          <cell r="W63">
            <v>5178.7658750000001</v>
          </cell>
          <cell r="X63">
            <v>5233.1129849999998</v>
          </cell>
          <cell r="Y63">
            <v>5289.8655900000003</v>
          </cell>
          <cell r="Z63">
            <v>5349.943886</v>
          </cell>
          <cell r="AA63">
            <v>5414.0281859999996</v>
          </cell>
          <cell r="AB63">
            <v>5482.913552</v>
          </cell>
          <cell r="AC63">
            <v>5557.4183359999997</v>
          </cell>
          <cell r="AD63">
            <v>5638.3261439999997</v>
          </cell>
          <cell r="AE63">
            <v>5726.2814539999999</v>
          </cell>
          <cell r="AF63">
            <v>5821.7177410000004</v>
          </cell>
          <cell r="AG63">
            <v>5924.8496279999999</v>
          </cell>
          <cell r="AH63">
            <v>6035.6972459999997</v>
          </cell>
          <cell r="AI63">
            <v>6154.1094480000002</v>
          </cell>
          <cell r="AJ63">
            <v>6279.7812450000001</v>
          </cell>
          <cell r="AK63">
            <v>6412.2674550000002</v>
          </cell>
        </row>
        <row r="64">
          <cell r="B64">
            <v>4700.0919050000002</v>
          </cell>
          <cell r="C64">
            <v>4754.8118940000004</v>
          </cell>
          <cell r="D64">
            <v>4810.5635949999996</v>
          </cell>
          <cell r="E64">
            <v>4867.4636119999996</v>
          </cell>
          <cell r="F64">
            <v>4925.3047569999999</v>
          </cell>
          <cell r="G64">
            <v>4984.201024</v>
          </cell>
          <cell r="H64">
            <v>5044.0588299999999</v>
          </cell>
          <cell r="I64">
            <v>5109.862298</v>
          </cell>
          <cell r="J64">
            <v>5183.4650760000004</v>
          </cell>
          <cell r="K64">
            <v>5266.5607639999998</v>
          </cell>
          <cell r="L64">
            <v>5360.2902889999996</v>
          </cell>
          <cell r="M64">
            <v>5463.8148209999999</v>
          </cell>
          <cell r="N64">
            <v>5576.1228220000003</v>
          </cell>
          <cell r="O64">
            <v>5696.4969330000004</v>
          </cell>
          <cell r="P64">
            <v>5824.6562610000001</v>
          </cell>
          <cell r="Q64">
            <v>5960.7180049999997</v>
          </cell>
          <cell r="R64">
            <v>6105.2935649999999</v>
          </cell>
          <cell r="S64">
            <v>6259.3253169999998</v>
          </cell>
          <cell r="T64">
            <v>6423.9927600000001</v>
          </cell>
          <cell r="U64">
            <v>6600.7518479999999</v>
          </cell>
          <cell r="V64">
            <v>6791.1989240000003</v>
          </cell>
          <cell r="W64">
            <v>6997.6718060000003</v>
          </cell>
          <cell r="X64">
            <v>7223.1198880000002</v>
          </cell>
          <cell r="Y64">
            <v>7471.1303090000001</v>
          </cell>
          <cell r="Z64">
            <v>7746.0096350000003</v>
          </cell>
          <cell r="AA64">
            <v>8052.2352469999996</v>
          </cell>
          <cell r="AB64">
            <v>8396.0198189999992</v>
          </cell>
          <cell r="AC64">
            <v>8785.2253660000006</v>
          </cell>
          <cell r="AD64">
            <v>9229.5983510000005</v>
          </cell>
          <cell r="AE64">
            <v>9741.1211930000009</v>
          </cell>
          <cell r="AF64">
            <v>10334.61463</v>
          </cell>
          <cell r="AG64">
            <v>11028.812159999999</v>
          </cell>
          <cell r="AH64">
            <v>11848.036029999999</v>
          </cell>
          <cell r="AI64">
            <v>12824.6975</v>
          </cell>
          <cell r="AJ64">
            <v>14003.28289</v>
          </cell>
          <cell r="AK64">
            <v>15446.97861</v>
          </cell>
        </row>
        <row r="65">
          <cell r="B65">
            <v>4700.0919050000002</v>
          </cell>
          <cell r="C65">
            <v>4754.8118940000004</v>
          </cell>
          <cell r="D65">
            <v>4810.5635949999996</v>
          </cell>
          <cell r="E65">
            <v>4867.4636129999999</v>
          </cell>
          <cell r="F65">
            <v>4925.3047589999996</v>
          </cell>
          <cell r="G65">
            <v>4984.2010270000001</v>
          </cell>
          <cell r="H65">
            <v>5044.0588340000004</v>
          </cell>
          <cell r="I65">
            <v>5104.7498439999999</v>
          </cell>
          <cell r="J65">
            <v>5166.1242499999998</v>
          </cell>
          <cell r="K65">
            <v>5228.0551340000002</v>
          </cell>
          <cell r="L65">
            <v>5290.6023420000001</v>
          </cell>
          <cell r="M65">
            <v>5352.9886269999997</v>
          </cell>
          <cell r="N65">
            <v>5414.3656959999998</v>
          </cell>
          <cell r="O65">
            <v>5474.0573240000003</v>
          </cell>
          <cell r="P65">
            <v>5531.6224460000003</v>
          </cell>
          <cell r="Q65">
            <v>5586.8495759999996</v>
          </cell>
          <cell r="R65">
            <v>5639.8903030000001</v>
          </cell>
          <cell r="S65">
            <v>5691.1472629999998</v>
          </cell>
          <cell r="T65">
            <v>5741.1831140000004</v>
          </cell>
          <cell r="U65">
            <v>5790.5944849999996</v>
          </cell>
          <cell r="V65">
            <v>5839.7943340000002</v>
          </cell>
          <cell r="W65">
            <v>5889.4534540000004</v>
          </cell>
          <cell r="X65">
            <v>5940.2826880000002</v>
          </cell>
          <cell r="Y65">
            <v>5992.9811079999999</v>
          </cell>
          <cell r="Z65">
            <v>6048.2174240000004</v>
          </cell>
          <cell r="AA65">
            <v>6106.1021600000004</v>
          </cell>
          <cell r="AB65">
            <v>6167.1533600000002</v>
          </cell>
          <cell r="AC65">
            <v>6231.9897250000004</v>
          </cell>
          <cell r="AD65">
            <v>6301.2216040000003</v>
          </cell>
          <cell r="AE65">
            <v>6375.362102</v>
          </cell>
          <cell r="AF65">
            <v>6454.7728829999996</v>
          </cell>
          <cell r="AG65">
            <v>6539.6566080000002</v>
          </cell>
          <cell r="AH65">
            <v>6630.0722699999997</v>
          </cell>
          <cell r="AI65">
            <v>6725.9501959999998</v>
          </cell>
          <cell r="AJ65">
            <v>6827.1034849999996</v>
          </cell>
          <cell r="AK65">
            <v>6933.2371890000004</v>
          </cell>
        </row>
        <row r="66">
          <cell r="B66">
            <v>65.176447120000006</v>
          </cell>
          <cell r="C66">
            <v>65.951883780000003</v>
          </cell>
          <cell r="D66">
            <v>66.753388610000002</v>
          </cell>
          <cell r="E66">
            <v>67.585429689999998</v>
          </cell>
          <cell r="F66">
            <v>68.442891279999998</v>
          </cell>
          <cell r="G66">
            <v>69.324276190000006</v>
          </cell>
          <cell r="H66">
            <v>70.232276799999994</v>
          </cell>
          <cell r="I66">
            <v>71.205372789999998</v>
          </cell>
          <cell r="J66">
            <v>72.266474349999996</v>
          </cell>
          <cell r="K66">
            <v>73.43129476</v>
          </cell>
          <cell r="L66">
            <v>74.691899770000006</v>
          </cell>
          <cell r="M66">
            <v>76.004894849999999</v>
          </cell>
          <cell r="N66">
            <v>77.329050100000003</v>
          </cell>
          <cell r="O66">
            <v>78.636456179999996</v>
          </cell>
          <cell r="P66">
            <v>79.91350645</v>
          </cell>
          <cell r="Q66">
            <v>81.157063829999998</v>
          </cell>
          <cell r="R66">
            <v>82.370274269999996</v>
          </cell>
          <cell r="S66">
            <v>83.562200239999996</v>
          </cell>
          <cell r="T66">
            <v>84.744843889999999</v>
          </cell>
          <cell r="U66">
            <v>85.932566739999999</v>
          </cell>
          <cell r="V66">
            <v>87.141093409999996</v>
          </cell>
          <cell r="W66">
            <v>88.390542879999998</v>
          </cell>
          <cell r="X66">
            <v>89.704565990000006</v>
          </cell>
          <cell r="Y66">
            <v>91.109539389999995</v>
          </cell>
          <cell r="Z66">
            <v>92.633941250000007</v>
          </cell>
          <cell r="AA66">
            <v>94.304706190000005</v>
          </cell>
          <cell r="AB66">
            <v>96.155886140000007</v>
          </cell>
          <cell r="AC66">
            <v>98.227069560000004</v>
          </cell>
          <cell r="AD66">
            <v>100.5630479</v>
          </cell>
          <cell r="AE66">
            <v>103.2130772</v>
          </cell>
          <cell r="AF66">
            <v>106.23126929999999</v>
          </cell>
          <cell r="AG66">
            <v>109.6794632</v>
          </cell>
          <cell r="AH66">
            <v>113.6321985</v>
          </cell>
          <cell r="AI66">
            <v>118.1831822</v>
          </cell>
          <cell r="AJ66">
            <v>123.4552063</v>
          </cell>
          <cell r="AK66">
            <v>129.6163693</v>
          </cell>
        </row>
        <row r="67">
          <cell r="B67">
            <v>65.176447120000006</v>
          </cell>
          <cell r="C67">
            <v>65.951883780000003</v>
          </cell>
          <cell r="D67">
            <v>66.753388610000002</v>
          </cell>
          <cell r="E67">
            <v>67.585429689999998</v>
          </cell>
          <cell r="F67">
            <v>68.442891279999998</v>
          </cell>
          <cell r="G67">
            <v>69.324276190000006</v>
          </cell>
          <cell r="H67">
            <v>70.23227679</v>
          </cell>
          <cell r="I67">
            <v>71.170904570000005</v>
          </cell>
          <cell r="J67">
            <v>72.142647460000006</v>
          </cell>
          <cell r="K67">
            <v>73.148313160000001</v>
          </cell>
          <cell r="L67">
            <v>74.185893500000006</v>
          </cell>
          <cell r="M67">
            <v>75.239364019999996</v>
          </cell>
          <cell r="N67">
            <v>76.290676419999997</v>
          </cell>
          <cell r="O67">
            <v>77.324520759999999</v>
          </cell>
          <cell r="P67">
            <v>78.330311190000003</v>
          </cell>
          <cell r="Q67">
            <v>79.302541360000006</v>
          </cell>
          <cell r="R67">
            <v>80.238789870000005</v>
          </cell>
          <cell r="S67">
            <v>81.141260520000003</v>
          </cell>
          <cell r="T67">
            <v>82.017123609999999</v>
          </cell>
          <cell r="U67">
            <v>82.876814580000001</v>
          </cell>
          <cell r="V67">
            <v>83.731605810000005</v>
          </cell>
          <cell r="W67">
            <v>84.595391489999997</v>
          </cell>
          <cell r="X67">
            <v>85.483154170000006</v>
          </cell>
          <cell r="Y67">
            <v>86.410210719999995</v>
          </cell>
          <cell r="Z67">
            <v>87.391592599999996</v>
          </cell>
          <cell r="AA67">
            <v>88.438412740000004</v>
          </cell>
          <cell r="AB67">
            <v>89.563658540000006</v>
          </cell>
          <cell r="AC67">
            <v>90.780697790000005</v>
          </cell>
          <cell r="AD67">
            <v>92.102330749999993</v>
          </cell>
          <cell r="AE67">
            <v>93.539085009999994</v>
          </cell>
          <cell r="AF67">
            <v>95.098041370000004</v>
          </cell>
          <cell r="AG67">
            <v>96.782705750000005</v>
          </cell>
          <cell r="AH67">
            <v>98.593406959999996</v>
          </cell>
          <cell r="AI67">
            <v>100.527676</v>
          </cell>
          <cell r="AJ67">
            <v>102.5805309</v>
          </cell>
          <cell r="AK67">
            <v>104.7446996</v>
          </cell>
        </row>
      </sheetData>
      <sheetData sheetId="6">
        <row r="3">
          <cell r="F3">
            <v>32317.940999999999</v>
          </cell>
          <cell r="G3">
            <v>31921.42887</v>
          </cell>
          <cell r="H3">
            <v>31769.025269999998</v>
          </cell>
          <cell r="I3">
            <v>31782.68073</v>
          </cell>
          <cell r="J3">
            <v>31936.173500000001</v>
          </cell>
          <cell r="K3">
            <v>32190.84057</v>
          </cell>
          <cell r="L3">
            <v>32500.176080000001</v>
          </cell>
          <cell r="M3">
            <v>32741.847170000001</v>
          </cell>
          <cell r="N3">
            <v>32980.92712</v>
          </cell>
          <cell r="O3">
            <v>33250.097179999997</v>
          </cell>
          <cell r="P3">
            <v>33561.064299999998</v>
          </cell>
          <cell r="Q3">
            <v>33932.268980000001</v>
          </cell>
          <cell r="R3">
            <v>34340.515350000001</v>
          </cell>
          <cell r="S3">
            <v>34761.313589999998</v>
          </cell>
          <cell r="T3">
            <v>35177.76799</v>
          </cell>
          <cell r="U3">
            <v>35580.134769999997</v>
          </cell>
          <cell r="V3">
            <v>35955.696320000003</v>
          </cell>
          <cell r="W3">
            <v>36312.336940000001</v>
          </cell>
          <cell r="X3">
            <v>36656.432820000002</v>
          </cell>
          <cell r="Y3">
            <v>36992.591220000002</v>
          </cell>
          <cell r="Z3">
            <v>37320.862099999998</v>
          </cell>
          <cell r="AA3">
            <v>37650.382259999998</v>
          </cell>
          <cell r="AB3">
            <v>37985.792029999997</v>
          </cell>
          <cell r="AC3">
            <v>38332.581189999997</v>
          </cell>
          <cell r="AD3">
            <v>38695.75419</v>
          </cell>
          <cell r="AE3">
            <v>39068.758159999998</v>
          </cell>
          <cell r="AF3">
            <v>39463.52981</v>
          </cell>
          <cell r="AG3">
            <v>39884.590929999998</v>
          </cell>
          <cell r="AH3">
            <v>40338.238830000002</v>
          </cell>
          <cell r="AI3">
            <v>40830.81551</v>
          </cell>
          <cell r="AJ3">
            <v>41366.808900000004</v>
          </cell>
          <cell r="AK3">
            <v>41948.417600000001</v>
          </cell>
          <cell r="AL3">
            <v>42576.44457</v>
          </cell>
          <cell r="AM3">
            <v>43251.667630000004</v>
          </cell>
          <cell r="AN3">
            <v>43975.067080000001</v>
          </cell>
          <cell r="AO3">
            <v>44748.018210000002</v>
          </cell>
        </row>
        <row r="4">
          <cell r="F4">
            <v>32271.24</v>
          </cell>
          <cell r="G4">
            <v>31856.522639999999</v>
          </cell>
          <cell r="H4">
            <v>31683.98445</v>
          </cell>
          <cell r="I4">
            <v>31675.833930000001</v>
          </cell>
          <cell r="J4">
            <v>31805.7251</v>
          </cell>
          <cell r="K4">
            <v>32035.359250000001</v>
          </cell>
          <cell r="L4">
            <v>32318.626629999999</v>
          </cell>
          <cell r="M4">
            <v>32533.221290000001</v>
          </cell>
          <cell r="N4">
            <v>32738.876960000001</v>
          </cell>
          <cell r="O4">
            <v>32962.99583</v>
          </cell>
          <cell r="P4">
            <v>33211.081129999999</v>
          </cell>
          <cell r="Q4">
            <v>33496.626479999999</v>
          </cell>
          <cell r="R4">
            <v>33796.54765</v>
          </cell>
          <cell r="S4">
            <v>34087.108959999998</v>
          </cell>
          <cell r="T4">
            <v>34352.292509999999</v>
          </cell>
          <cell r="U4">
            <v>34583.148939999999</v>
          </cell>
          <cell r="V4">
            <v>34767.699410000001</v>
          </cell>
          <cell r="W4">
            <v>34912.775970000002</v>
          </cell>
          <cell r="X4">
            <v>35024.094899999996</v>
          </cell>
          <cell r="Y4">
            <v>35105.834040000002</v>
          </cell>
          <cell r="Z4">
            <v>35158.081720000002</v>
          </cell>
          <cell r="AA4">
            <v>35188.937879999998</v>
          </cell>
          <cell r="AB4">
            <v>35202.28082</v>
          </cell>
          <cell r="AC4">
            <v>35202.526429999998</v>
          </cell>
          <cell r="AD4">
            <v>35193.436320000001</v>
          </cell>
          <cell r="AE4">
            <v>35168.876020000003</v>
          </cell>
          <cell r="AF4">
            <v>35138.117230000003</v>
          </cell>
          <cell r="AG4">
            <v>35103.839119999997</v>
          </cell>
          <cell r="AH4">
            <v>35069.853139999999</v>
          </cell>
          <cell r="AI4">
            <v>35039.646180000003</v>
          </cell>
          <cell r="AJ4">
            <v>35014.895190000003</v>
          </cell>
          <cell r="AK4">
            <v>34995.226920000001</v>
          </cell>
          <cell r="AL4">
            <v>34979.014260000004</v>
          </cell>
          <cell r="AM4">
            <v>34964.474880000002</v>
          </cell>
          <cell r="AN4">
            <v>34949.850769999997</v>
          </cell>
          <cell r="AO4">
            <v>34933.543259999999</v>
          </cell>
        </row>
        <row r="12">
          <cell r="F12">
            <v>44.765000000000001</v>
          </cell>
          <cell r="G12">
            <v>62.915090480000003</v>
          </cell>
          <cell r="H12">
            <v>82.980340990000002</v>
          </cell>
          <cell r="I12">
            <v>104.7086468</v>
          </cell>
          <cell r="J12">
            <v>128.22587580000001</v>
          </cell>
          <cell r="K12">
            <v>153.17047049999999</v>
          </cell>
          <cell r="L12">
            <v>179.14979740000001</v>
          </cell>
          <cell r="M12">
            <v>206.1468769</v>
          </cell>
          <cell r="N12">
            <v>239.49612070000001</v>
          </cell>
          <cell r="O12">
            <v>284.47406640000003</v>
          </cell>
          <cell r="P12">
            <v>347.28373679999999</v>
          </cell>
          <cell r="Q12">
            <v>432.870653</v>
          </cell>
          <cell r="R12">
            <v>541.12489359999995</v>
          </cell>
          <cell r="S12">
            <v>671.29413609999995</v>
          </cell>
          <cell r="T12">
            <v>822.50175520000005</v>
          </cell>
          <cell r="U12">
            <v>993.95398929999999</v>
          </cell>
          <cell r="V12">
            <v>1184.912951</v>
          </cell>
          <cell r="W12">
            <v>1396.430261</v>
          </cell>
          <cell r="X12">
            <v>1629.1652779999999</v>
          </cell>
          <cell r="Y12">
            <v>1883.5469760000001</v>
          </cell>
          <cell r="Z12">
            <v>2159.5369089999999</v>
          </cell>
          <cell r="AA12">
            <v>2458.1711730000002</v>
          </cell>
          <cell r="AB12">
            <v>2780.2113920000002</v>
          </cell>
          <cell r="AC12">
            <v>3126.7310050000001</v>
          </cell>
          <cell r="AD12">
            <v>3498.9724689999998</v>
          </cell>
          <cell r="AE12">
            <v>3896.517801</v>
          </cell>
          <cell r="AF12">
            <v>4322.0311689999999</v>
          </cell>
          <cell r="AG12">
            <v>4777.3548769999998</v>
          </cell>
          <cell r="AH12">
            <v>5264.9744170000004</v>
          </cell>
          <cell r="AI12">
            <v>5787.7445129999996</v>
          </cell>
          <cell r="AJ12">
            <v>6348.4759389999999</v>
          </cell>
          <cell r="AK12">
            <v>6949.740503</v>
          </cell>
          <cell r="AL12">
            <v>7593.9683269999996</v>
          </cell>
          <cell r="AM12">
            <v>8283.7196710000007</v>
          </cell>
          <cell r="AN12">
            <v>9021.7329449999997</v>
          </cell>
          <cell r="AO12">
            <v>9810.982172</v>
          </cell>
        </row>
        <row r="20">
          <cell r="F20">
            <v>1.9359999999999999</v>
          </cell>
          <cell r="G20">
            <v>1.9911427610000001</v>
          </cell>
          <cell r="H20">
            <v>2.0604734649999998</v>
          </cell>
          <cell r="I20">
            <v>2.1381533469999998</v>
          </cell>
          <cell r="J20">
            <v>2.2225219709999999</v>
          </cell>
          <cell r="K20">
            <v>2.3108462670000001</v>
          </cell>
          <cell r="L20">
            <v>2.3996573830000001</v>
          </cell>
          <cell r="M20">
            <v>2.4790004919999999</v>
          </cell>
          <cell r="N20">
            <v>2.5540366649999999</v>
          </cell>
          <cell r="O20">
            <v>2.6272787279999998</v>
          </cell>
          <cell r="P20">
            <v>2.6994218550000002</v>
          </cell>
          <cell r="Q20">
            <v>2.77182503</v>
          </cell>
          <cell r="R20">
            <v>2.8427775780000002</v>
          </cell>
          <cell r="S20">
            <v>2.9104700910000001</v>
          </cell>
          <cell r="T20">
            <v>2.9736994490000002</v>
          </cell>
          <cell r="U20">
            <v>3.0318268380000002</v>
          </cell>
          <cell r="V20">
            <v>3.0839403550000002</v>
          </cell>
          <cell r="W20">
            <v>3.1306870920000001</v>
          </cell>
          <cell r="X20">
            <v>3.1726246300000001</v>
          </cell>
          <cell r="Y20">
            <v>3.2101838279999999</v>
          </cell>
          <cell r="Z20">
            <v>3.243452365</v>
          </cell>
          <cell r="AA20">
            <v>3.273186081</v>
          </cell>
          <cell r="AB20">
            <v>3.29979187</v>
          </cell>
          <cell r="AC20">
            <v>3.3237217100000001</v>
          </cell>
          <cell r="AD20">
            <v>3.3453732380000001</v>
          </cell>
          <cell r="AE20">
            <v>3.3643124499999999</v>
          </cell>
          <cell r="AF20">
            <v>3.3813866479999999</v>
          </cell>
          <cell r="AG20">
            <v>3.3968969530000002</v>
          </cell>
          <cell r="AH20">
            <v>3.4112383020000001</v>
          </cell>
          <cell r="AI20">
            <v>3.4247786009999999</v>
          </cell>
          <cell r="AJ20">
            <v>3.4377335050000002</v>
          </cell>
          <cell r="AK20">
            <v>3.4501439139999999</v>
          </cell>
          <cell r="AL20">
            <v>3.4619403950000001</v>
          </cell>
          <cell r="AM20">
            <v>3.473034175</v>
          </cell>
          <cell r="AN20">
            <v>3.4833324189999999</v>
          </cell>
          <cell r="AO20">
            <v>3.4927499879999999</v>
          </cell>
        </row>
        <row r="28">
          <cell r="F28">
            <v>32317.940999999999</v>
          </cell>
          <cell r="G28">
            <v>31921.42887</v>
          </cell>
          <cell r="H28">
            <v>31769.025269999998</v>
          </cell>
          <cell r="I28">
            <v>31782.68073</v>
          </cell>
          <cell r="J28">
            <v>31936.173490000001</v>
          </cell>
          <cell r="K28">
            <v>32190.840560000001</v>
          </cell>
          <cell r="L28">
            <v>32500.176080000001</v>
          </cell>
          <cell r="M28">
            <v>32841.252959999998</v>
          </cell>
          <cell r="N28">
            <v>33205.569340000002</v>
          </cell>
          <cell r="O28">
            <v>33589.238499999999</v>
          </cell>
          <cell r="P28">
            <v>33992.930890000003</v>
          </cell>
          <cell r="Q28">
            <v>34399.444069999998</v>
          </cell>
          <cell r="R28">
            <v>34798.835950000001</v>
          </cell>
          <cell r="S28">
            <v>35182.570749999999</v>
          </cell>
          <cell r="T28">
            <v>35544.23734</v>
          </cell>
          <cell r="U28">
            <v>35880.241110000003</v>
          </cell>
          <cell r="V28">
            <v>36206.484409999997</v>
          </cell>
          <cell r="W28">
            <v>36528.032639999998</v>
          </cell>
          <cell r="X28">
            <v>36844.598440000002</v>
          </cell>
          <cell r="Y28">
            <v>37155.28847</v>
          </cell>
          <cell r="Z28">
            <v>37456.550049999998</v>
          </cell>
          <cell r="AA28">
            <v>37755.202299999997</v>
          </cell>
          <cell r="AB28">
            <v>38054.658880000003</v>
          </cell>
          <cell r="AC28">
            <v>38359.221610000001</v>
          </cell>
          <cell r="AD28">
            <v>38672.858339999999</v>
          </cell>
          <cell r="AE28">
            <v>38988.667269999998</v>
          </cell>
          <cell r="AF28">
            <v>39318.459300000002</v>
          </cell>
          <cell r="AG28">
            <v>39667.02362</v>
          </cell>
          <cell r="AH28">
            <v>40039.30833</v>
          </cell>
          <cell r="AI28">
            <v>40439.695529999997</v>
          </cell>
          <cell r="AJ28">
            <v>40870.616620000001</v>
          </cell>
          <cell r="AK28">
            <v>41332.32804</v>
          </cell>
          <cell r="AL28">
            <v>41823.263039999998</v>
          </cell>
          <cell r="AM28">
            <v>42340.415260000002</v>
          </cell>
          <cell r="AN28">
            <v>42879.694170000002</v>
          </cell>
          <cell r="AO28">
            <v>43436.201690000002</v>
          </cell>
        </row>
        <row r="29">
          <cell r="F29">
            <v>32271.24</v>
          </cell>
          <cell r="G29">
            <v>31856.522639999999</v>
          </cell>
          <cell r="H29">
            <v>31683.98445</v>
          </cell>
          <cell r="I29">
            <v>31675.833920000001</v>
          </cell>
          <cell r="J29">
            <v>31805.72509</v>
          </cell>
          <cell r="K29">
            <v>32035.359240000002</v>
          </cell>
          <cell r="L29">
            <v>32318.626619999999</v>
          </cell>
          <cell r="M29">
            <v>32632.573759999999</v>
          </cell>
          <cell r="N29">
            <v>32968.390720000003</v>
          </cell>
          <cell r="O29">
            <v>33321.769460000003</v>
          </cell>
          <cell r="P29">
            <v>33692.858189999999</v>
          </cell>
          <cell r="Q29">
            <v>34064.181329999999</v>
          </cell>
          <cell r="R29">
            <v>34425.46443</v>
          </cell>
          <cell r="S29">
            <v>34767.863660000003</v>
          </cell>
          <cell r="T29">
            <v>35084.666960000002</v>
          </cell>
          <cell r="U29">
            <v>35371.956100000003</v>
          </cell>
          <cell r="V29">
            <v>35645.024460000001</v>
          </cell>
          <cell r="W29">
            <v>35908.767140000004</v>
          </cell>
          <cell r="X29">
            <v>36162.912539999998</v>
          </cell>
          <cell r="Y29">
            <v>36406.576419999998</v>
          </cell>
          <cell r="Z29">
            <v>36636.243139999999</v>
          </cell>
          <cell r="AA29">
            <v>36858.36982</v>
          </cell>
          <cell r="AB29">
            <v>37076.009339999997</v>
          </cell>
          <cell r="AC29">
            <v>37292.973270000002</v>
          </cell>
          <cell r="AD29">
            <v>37512.649510000003</v>
          </cell>
          <cell r="AE29">
            <v>37727.940020000002</v>
          </cell>
          <cell r="AF29">
            <v>37949.577100000002</v>
          </cell>
          <cell r="AG29">
            <v>38181.437769999997</v>
          </cell>
          <cell r="AH29">
            <v>38427.425069999998</v>
          </cell>
          <cell r="AI29">
            <v>38690.777049999997</v>
          </cell>
          <cell r="AJ29">
            <v>38972.770149999997</v>
          </cell>
          <cell r="AK29">
            <v>39272.537040000003</v>
          </cell>
          <cell r="AL29">
            <v>39587.429900000003</v>
          </cell>
          <cell r="AM29">
            <v>39913.410770000002</v>
          </cell>
          <cell r="AN29">
            <v>40245.41214</v>
          </cell>
          <cell r="AO29">
            <v>40577.621420000003</v>
          </cell>
        </row>
        <row r="37">
          <cell r="F37">
            <v>44.765000000000001</v>
          </cell>
          <cell r="G37">
            <v>62.915090480000003</v>
          </cell>
          <cell r="H37">
            <v>82.980340990000002</v>
          </cell>
          <cell r="I37">
            <v>104.7086468</v>
          </cell>
          <cell r="J37">
            <v>128.22587590000001</v>
          </cell>
          <cell r="K37">
            <v>153.17047059999999</v>
          </cell>
          <cell r="L37">
            <v>179.1497976</v>
          </cell>
          <cell r="M37">
            <v>206.1918459</v>
          </cell>
          <cell r="N37">
            <v>234.60517859999999</v>
          </cell>
          <cell r="O37">
            <v>264.81121610000002</v>
          </cell>
          <cell r="P37">
            <v>297.33194989999998</v>
          </cell>
          <cell r="Q37">
            <v>332.44181859999998</v>
          </cell>
          <cell r="R37">
            <v>370.47384349999999</v>
          </cell>
          <cell r="S37">
            <v>411.73669749999999</v>
          </cell>
          <cell r="T37">
            <v>456.53171179999998</v>
          </cell>
          <cell r="U37">
            <v>505.1827432</v>
          </cell>
          <cell r="V37">
            <v>558.29737969999996</v>
          </cell>
          <cell r="W37">
            <v>616.04538060000004</v>
          </cell>
          <cell r="X37">
            <v>678.41092460000004</v>
          </cell>
          <cell r="Y37">
            <v>745.38486130000001</v>
          </cell>
          <cell r="Z37">
            <v>816.93036989999996</v>
          </cell>
          <cell r="AA37">
            <v>893.40878980000002</v>
          </cell>
          <cell r="AB37">
            <v>975.1805703</v>
          </cell>
          <cell r="AC37">
            <v>1062.7355560000001</v>
          </cell>
          <cell r="AD37">
            <v>1156.653327</v>
          </cell>
          <cell r="AE37">
            <v>1257.130631</v>
          </cell>
          <cell r="AF37">
            <v>1365.2451040000001</v>
          </cell>
          <cell r="AG37">
            <v>1481.9084800000001</v>
          </cell>
          <cell r="AH37">
            <v>1608.165446</v>
          </cell>
          <cell r="AI37">
            <v>1745.159674</v>
          </cell>
          <cell r="AJ37">
            <v>1894.0459410000001</v>
          </cell>
          <cell r="AK37">
            <v>2055.9480319999998</v>
          </cell>
          <cell r="AL37">
            <v>2231.9471530000001</v>
          </cell>
          <cell r="AM37">
            <v>2423.0751799999998</v>
          </cell>
          <cell r="AN37">
            <v>2630.309467</v>
          </cell>
          <cell r="AO37">
            <v>2854.5649720000001</v>
          </cell>
        </row>
        <row r="45">
          <cell r="F45">
            <v>1.9359999999999999</v>
          </cell>
          <cell r="G45">
            <v>1.9911427610000001</v>
          </cell>
          <cell r="H45">
            <v>2.0604734649999998</v>
          </cell>
          <cell r="I45">
            <v>2.1381533469999998</v>
          </cell>
          <cell r="J45">
            <v>2.2225219699999998</v>
          </cell>
          <cell r="K45">
            <v>2.310846266</v>
          </cell>
          <cell r="L45">
            <v>2.399657382</v>
          </cell>
          <cell r="M45">
            <v>2.4873471920000001</v>
          </cell>
          <cell r="N45">
            <v>2.573446224</v>
          </cell>
          <cell r="O45">
            <v>2.6578349590000001</v>
          </cell>
          <cell r="P45">
            <v>2.7407475610000001</v>
          </cell>
          <cell r="Q45">
            <v>2.820923928</v>
          </cell>
          <cell r="R45">
            <v>2.897673444</v>
          </cell>
          <cell r="S45">
            <v>2.9704016649999998</v>
          </cell>
          <cell r="T45">
            <v>3.038672579</v>
          </cell>
          <cell r="U45">
            <v>3.1022682490000002</v>
          </cell>
          <cell r="V45">
            <v>3.1625727330000002</v>
          </cell>
          <cell r="W45">
            <v>3.2201099989999999</v>
          </cell>
          <cell r="X45">
            <v>3.2749692110000002</v>
          </cell>
          <cell r="Y45">
            <v>3.3271807170000001</v>
          </cell>
          <cell r="Z45">
            <v>3.3765461189999999</v>
          </cell>
          <cell r="AA45">
            <v>3.4236942560000001</v>
          </cell>
          <cell r="AB45">
            <v>3.4689708889999999</v>
          </cell>
          <cell r="AC45">
            <v>3.5127838640000002</v>
          </cell>
          <cell r="AD45">
            <v>3.5555048619999998</v>
          </cell>
          <cell r="AE45">
            <v>3.5966235530000001</v>
          </cell>
          <cell r="AF45">
            <v>3.6371130370000002</v>
          </cell>
          <cell r="AG45">
            <v>3.6773798470000001</v>
          </cell>
          <cell r="AH45">
            <v>3.7178326359999998</v>
          </cell>
          <cell r="AI45">
            <v>3.7588241710000001</v>
          </cell>
          <cell r="AJ45">
            <v>3.800541543</v>
          </cell>
          <cell r="AK45">
            <v>3.8429883920000001</v>
          </cell>
          <cell r="AL45">
            <v>3.8860128829999998</v>
          </cell>
          <cell r="AM45">
            <v>3.9293385719999998</v>
          </cell>
          <cell r="AN45">
            <v>3.9725933979999999</v>
          </cell>
          <cell r="AO45">
            <v>4.0153328290000001</v>
          </cell>
        </row>
        <row r="104">
          <cell r="F104">
            <v>3.476542051</v>
          </cell>
          <cell r="G104">
            <v>8.5159715200000008</v>
          </cell>
          <cell r="H104">
            <v>14.62076905</v>
          </cell>
          <cell r="I104">
            <v>21.22959187</v>
          </cell>
          <cell r="J104">
            <v>28.1926086</v>
          </cell>
          <cell r="K104">
            <v>34.92924447</v>
          </cell>
          <cell r="L104">
            <v>41.300974429999997</v>
          </cell>
          <cell r="M104">
            <v>48.103092740000001</v>
          </cell>
          <cell r="N104">
            <v>60.629301750000003</v>
          </cell>
          <cell r="O104">
            <v>81.1484655</v>
          </cell>
          <cell r="P104">
            <v>111.16511319999999</v>
          </cell>
          <cell r="Q104">
            <v>149.4996677</v>
          </cell>
          <cell r="R104">
            <v>190.43718860000001</v>
          </cell>
          <cell r="S104">
            <v>230.90942870000001</v>
          </cell>
          <cell r="T104">
            <v>269.47169719999999</v>
          </cell>
          <cell r="U104">
            <v>305.5837214</v>
          </cell>
          <cell r="V104">
            <v>339.57003279999998</v>
          </cell>
          <cell r="W104">
            <v>372.76773509999998</v>
          </cell>
          <cell r="X104">
            <v>405.47702179999999</v>
          </cell>
          <cell r="Y104">
            <v>437.55961000000002</v>
          </cell>
          <cell r="Z104">
            <v>468.68839850000001</v>
          </cell>
          <cell r="AA104">
            <v>498.58452199999999</v>
          </cell>
          <cell r="AB104">
            <v>526.9256097</v>
          </cell>
          <cell r="AC104">
            <v>553.47093689999997</v>
          </cell>
          <cell r="AD104">
            <v>578.05400569999995</v>
          </cell>
          <cell r="AE104">
            <v>600.51130460000002</v>
          </cell>
          <cell r="AF104">
            <v>620.92991119999999</v>
          </cell>
          <cell r="AG104">
            <v>639.31283169999995</v>
          </cell>
          <cell r="AH104">
            <v>655.76414550000004</v>
          </cell>
          <cell r="AI104">
            <v>670.44713939999997</v>
          </cell>
          <cell r="AJ104">
            <v>683.55557429999999</v>
          </cell>
          <cell r="AK104">
            <v>695.28640250000001</v>
          </cell>
          <cell r="AL104">
            <v>705.8226793</v>
          </cell>
          <cell r="AM104">
            <v>715.32945480000001</v>
          </cell>
          <cell r="AN104">
            <v>723.95456879999995</v>
          </cell>
          <cell r="AO104">
            <v>731.82653170000003</v>
          </cell>
        </row>
        <row r="105">
          <cell r="F105">
            <v>68.80476281</v>
          </cell>
          <cell r="G105">
            <v>75.142112150000003</v>
          </cell>
          <cell r="H105">
            <v>80.773742799999994</v>
          </cell>
          <cell r="I105">
            <v>85.743141219999998</v>
          </cell>
          <cell r="J105">
            <v>90.387602299999998</v>
          </cell>
          <cell r="K105">
            <v>94.840936909999996</v>
          </cell>
          <cell r="L105">
            <v>98.58727949</v>
          </cell>
          <cell r="M105">
            <v>102.2551739</v>
          </cell>
          <cell r="N105">
            <v>106.4190303</v>
          </cell>
          <cell r="O105">
            <v>111.1994183</v>
          </cell>
          <cell r="P105">
            <v>117.86730900000001</v>
          </cell>
          <cell r="Q105">
            <v>124.3716033</v>
          </cell>
          <cell r="R105">
            <v>131.08297099999999</v>
          </cell>
          <cell r="S105">
            <v>137.66184809999999</v>
          </cell>
          <cell r="T105">
            <v>143.9583672</v>
          </cell>
          <cell r="U105">
            <v>149.9294362</v>
          </cell>
          <cell r="V105">
            <v>155.62783329999999</v>
          </cell>
          <cell r="W105">
            <v>161.21466000000001</v>
          </cell>
          <cell r="X105">
            <v>166.73861210000001</v>
          </cell>
          <cell r="Y105">
            <v>172.1988131</v>
          </cell>
          <cell r="Z105">
            <v>176.88776569999999</v>
          </cell>
          <cell r="AA105">
            <v>182.14719049999999</v>
          </cell>
          <cell r="AB105">
            <v>187.2731436</v>
          </cell>
          <cell r="AC105">
            <v>192.24552449999999</v>
          </cell>
          <cell r="AD105">
            <v>197.04954799999999</v>
          </cell>
          <cell r="AE105">
            <v>199.80038959999999</v>
          </cell>
          <cell r="AF105">
            <v>203.3496299</v>
          </cell>
          <cell r="AG105">
            <v>206.7105813</v>
          </cell>
          <cell r="AH105">
            <v>209.89023510000001</v>
          </cell>
          <cell r="AI105">
            <v>212.90090609999999</v>
          </cell>
          <cell r="AJ105">
            <v>215.75795650000001</v>
          </cell>
          <cell r="AK105">
            <v>218.47753299999999</v>
          </cell>
          <cell r="AL105">
            <v>221.07500300000001</v>
          </cell>
          <cell r="AM105">
            <v>223.5644283</v>
          </cell>
          <cell r="AN105">
            <v>225.95874459999999</v>
          </cell>
          <cell r="AO105">
            <v>228.2697028</v>
          </cell>
        </row>
        <row r="106">
          <cell r="F106">
            <v>408.28039699999999</v>
          </cell>
          <cell r="G106">
            <v>422.15073510000002</v>
          </cell>
          <cell r="H106">
            <v>435.4278314</v>
          </cell>
          <cell r="I106">
            <v>447.4907417</v>
          </cell>
          <cell r="J106">
            <v>458.9422788</v>
          </cell>
          <cell r="K106">
            <v>470.00719420000001</v>
          </cell>
          <cell r="L106">
            <v>479.15420599999999</v>
          </cell>
          <cell r="M106">
            <v>488.1541924</v>
          </cell>
          <cell r="N106">
            <v>497.9688913</v>
          </cell>
          <cell r="O106">
            <v>507.85152890000001</v>
          </cell>
          <cell r="P106">
            <v>520.03097270000001</v>
          </cell>
          <cell r="Q106">
            <v>528.34412740000005</v>
          </cell>
          <cell r="R106">
            <v>536.00605080000003</v>
          </cell>
          <cell r="S106">
            <v>543.34079550000001</v>
          </cell>
          <cell r="T106">
            <v>550.54529630000002</v>
          </cell>
          <cell r="U106">
            <v>557.71499719999997</v>
          </cell>
          <cell r="V106">
            <v>564.86876840000002</v>
          </cell>
          <cell r="W106">
            <v>571.94625110000004</v>
          </cell>
          <cell r="X106">
            <v>578.91828780000003</v>
          </cell>
          <cell r="Y106">
            <v>585.78174349999995</v>
          </cell>
          <cell r="Z106">
            <v>590.62133749999998</v>
          </cell>
          <cell r="AA106">
            <v>597.31664660000001</v>
          </cell>
          <cell r="AB106">
            <v>603.9652135</v>
          </cell>
          <cell r="AC106">
            <v>610.59238830000004</v>
          </cell>
          <cell r="AD106">
            <v>617.22130749999997</v>
          </cell>
          <cell r="AE106">
            <v>618.60596009999995</v>
          </cell>
          <cell r="AF106">
            <v>622.81395669999995</v>
          </cell>
          <cell r="AG106">
            <v>627.06217809999998</v>
          </cell>
          <cell r="AH106">
            <v>631.35790250000002</v>
          </cell>
          <cell r="AI106">
            <v>635.70404599999995</v>
          </cell>
          <cell r="AJ106">
            <v>640.10055290000003</v>
          </cell>
          <cell r="AK106">
            <v>644.5458208</v>
          </cell>
          <cell r="AL106">
            <v>649.03778190000003</v>
          </cell>
          <cell r="AM106">
            <v>653.57442939999999</v>
          </cell>
          <cell r="AN106">
            <v>658.15378109999995</v>
          </cell>
          <cell r="AO106">
            <v>662.77399490000005</v>
          </cell>
        </row>
        <row r="107">
          <cell r="F107">
            <v>954.38155940000001</v>
          </cell>
          <cell r="G107">
            <v>951.23402829999998</v>
          </cell>
          <cell r="H107">
            <v>950.12006399999996</v>
          </cell>
          <cell r="I107">
            <v>950.09858469999995</v>
          </cell>
          <cell r="J107">
            <v>950.76240680000001</v>
          </cell>
          <cell r="K107">
            <v>951.07427910000001</v>
          </cell>
          <cell r="L107">
            <v>950.80078700000001</v>
          </cell>
          <cell r="M107">
            <v>950.77927609999995</v>
          </cell>
          <cell r="N107">
            <v>959.997254</v>
          </cell>
          <cell r="O107">
            <v>978.56096579999996</v>
          </cell>
          <cell r="P107">
            <v>1001.505368</v>
          </cell>
          <cell r="Q107">
            <v>1022.603473</v>
          </cell>
          <cell r="R107">
            <v>1038.918118</v>
          </cell>
          <cell r="S107">
            <v>1050.6446679999999</v>
          </cell>
          <cell r="T107">
            <v>1058.8264489999999</v>
          </cell>
          <cell r="U107">
            <v>1064.420388</v>
          </cell>
          <cell r="V107">
            <v>1068.228188</v>
          </cell>
          <cell r="W107">
            <v>1070.7472949999999</v>
          </cell>
          <cell r="X107">
            <v>1071.732702</v>
          </cell>
          <cell r="Y107">
            <v>1070.9834519999999</v>
          </cell>
          <cell r="Z107">
            <v>1068.5244540000001</v>
          </cell>
          <cell r="AA107">
            <v>1064.5772959999999</v>
          </cell>
          <cell r="AB107">
            <v>1059.4780880000001</v>
          </cell>
          <cell r="AC107">
            <v>1053.6088119999999</v>
          </cell>
          <cell r="AD107">
            <v>1047.332899</v>
          </cell>
          <cell r="AE107">
            <v>1040.962121</v>
          </cell>
          <cell r="AF107">
            <v>1034.7423590000001</v>
          </cell>
          <cell r="AG107">
            <v>1028.8501240000001</v>
          </cell>
          <cell r="AH107">
            <v>1023.385725</v>
          </cell>
          <cell r="AI107">
            <v>1018.375528</v>
          </cell>
          <cell r="AJ107">
            <v>1013.797299</v>
          </cell>
          <cell r="AK107">
            <v>1009.605455</v>
          </cell>
          <cell r="AL107">
            <v>1005.748301</v>
          </cell>
          <cell r="AM107">
            <v>1002.174478</v>
          </cell>
          <cell r="AN107">
            <v>998.83436529999994</v>
          </cell>
          <cell r="AO107">
            <v>995.6831535</v>
          </cell>
        </row>
        <row r="108">
          <cell r="F108">
            <v>878.79999729999997</v>
          </cell>
          <cell r="G108">
            <v>866.99024150000002</v>
          </cell>
          <cell r="H108">
            <v>855.87546950000001</v>
          </cell>
          <cell r="I108">
            <v>845.05580889999999</v>
          </cell>
          <cell r="J108">
            <v>834.14508430000001</v>
          </cell>
          <cell r="K108">
            <v>824.41437529999996</v>
          </cell>
          <cell r="L108">
            <v>815.87859300000002</v>
          </cell>
          <cell r="M108">
            <v>806.86848869999994</v>
          </cell>
          <cell r="N108">
            <v>781.51131829999997</v>
          </cell>
          <cell r="O108">
            <v>738.10043510000003</v>
          </cell>
          <cell r="P108">
            <v>680.62526609999998</v>
          </cell>
          <cell r="Q108">
            <v>616.76759479999998</v>
          </cell>
          <cell r="R108">
            <v>555.60892699999999</v>
          </cell>
          <cell r="S108">
            <v>500.04028260000001</v>
          </cell>
          <cell r="T108">
            <v>450.40481519999997</v>
          </cell>
          <cell r="U108">
            <v>406.21898040000002</v>
          </cell>
          <cell r="V108">
            <v>366.27166570000003</v>
          </cell>
          <cell r="W108">
            <v>328.61732940000002</v>
          </cell>
          <cell r="X108">
            <v>293.17588619999998</v>
          </cell>
          <cell r="Y108">
            <v>260.2863936</v>
          </cell>
          <cell r="Z108">
            <v>230.22671690000001</v>
          </cell>
          <cell r="AA108">
            <v>203.10422120000001</v>
          </cell>
          <cell r="AB108">
            <v>178.87337890000001</v>
          </cell>
          <cell r="AC108">
            <v>157.38410769999999</v>
          </cell>
          <cell r="AD108">
            <v>138.42885580000001</v>
          </cell>
          <cell r="AE108">
            <v>121.7753053</v>
          </cell>
          <cell r="AF108">
            <v>107.18568190000001</v>
          </cell>
          <cell r="AG108">
            <v>94.430276230000004</v>
          </cell>
          <cell r="AH108">
            <v>83.291437700000003</v>
          </cell>
          <cell r="AI108">
            <v>73.566822930000001</v>
          </cell>
          <cell r="AJ108">
            <v>65.073360199999996</v>
          </cell>
          <cell r="AK108">
            <v>57.649430449999997</v>
          </cell>
          <cell r="AL108">
            <v>51.154619109999999</v>
          </cell>
          <cell r="AM108">
            <v>45.4673236</v>
          </cell>
          <cell r="AN108">
            <v>40.482592109999999</v>
          </cell>
          <cell r="AO108">
            <v>36.110994509999998</v>
          </cell>
        </row>
        <row r="109">
          <cell r="F109">
            <v>139.85209269999999</v>
          </cell>
          <cell r="G109">
            <v>137.96808909999999</v>
          </cell>
          <cell r="H109">
            <v>136.10853560000001</v>
          </cell>
          <cell r="I109">
            <v>134.27518789999999</v>
          </cell>
          <cell r="J109">
            <v>132.4713016</v>
          </cell>
          <cell r="K109">
            <v>130.68610709999999</v>
          </cell>
          <cell r="L109">
            <v>128.9222149</v>
          </cell>
          <cell r="M109">
            <v>127.19940339999999</v>
          </cell>
          <cell r="N109">
            <v>125.5708247</v>
          </cell>
          <cell r="O109">
            <v>123.9974878</v>
          </cell>
          <cell r="P109">
            <v>122.4450698</v>
          </cell>
          <cell r="Q109">
            <v>120.8831694</v>
          </cell>
          <cell r="R109">
            <v>119.2766939</v>
          </cell>
          <cell r="S109">
            <v>117.6225541</v>
          </cell>
          <cell r="T109">
            <v>115.93097760000001</v>
          </cell>
          <cell r="U109">
            <v>114.2156961</v>
          </cell>
          <cell r="V109">
            <v>112.4893223</v>
          </cell>
          <cell r="W109">
            <v>110.7615631</v>
          </cell>
          <cell r="X109">
            <v>109.0376989</v>
          </cell>
          <cell r="Y109">
            <v>107.3220409</v>
          </cell>
          <cell r="Z109">
            <v>105.61926579999999</v>
          </cell>
          <cell r="AA109">
            <v>103.93439410000001</v>
          </cell>
          <cell r="AB109">
            <v>102.27221400000001</v>
          </cell>
          <cell r="AC109">
            <v>100.6365413</v>
          </cell>
          <cell r="AD109">
            <v>99.029911049999995</v>
          </cell>
          <cell r="AE109">
            <v>97.453840959999994</v>
          </cell>
          <cell r="AF109">
            <v>95.909066039999999</v>
          </cell>
          <cell r="AG109">
            <v>94.395752569999999</v>
          </cell>
          <cell r="AH109">
            <v>92.913109640000002</v>
          </cell>
          <cell r="AI109">
            <v>91.458847789999993</v>
          </cell>
          <cell r="AJ109">
            <v>90.029474829999998</v>
          </cell>
          <cell r="AK109">
            <v>88.620963829999994</v>
          </cell>
          <cell r="AL109">
            <v>87.229317280000004</v>
          </cell>
          <cell r="AM109">
            <v>85.850618589999996</v>
          </cell>
          <cell r="AN109">
            <v>84.480862079999994</v>
          </cell>
          <cell r="AO109">
            <v>83.116065050000003</v>
          </cell>
        </row>
        <row r="110">
          <cell r="F110">
            <v>3.874567114</v>
          </cell>
          <cell r="G110">
            <v>3.7251958549999999</v>
          </cell>
          <cell r="H110">
            <v>3.581694508</v>
          </cell>
          <cell r="I110">
            <v>3.44392845</v>
          </cell>
          <cell r="J110">
            <v>3.311931044</v>
          </cell>
          <cell r="K110">
            <v>3.1848629540000002</v>
          </cell>
          <cell r="L110">
            <v>3.0627348259999998</v>
          </cell>
          <cell r="M110">
            <v>2.9462214979999999</v>
          </cell>
          <cell r="N110">
            <v>2.8376572929999999</v>
          </cell>
          <cell r="O110">
            <v>2.7338734869999999</v>
          </cell>
          <cell r="P110">
            <v>2.6327817750000002</v>
          </cell>
          <cell r="Q110">
            <v>2.5330204030000001</v>
          </cell>
          <cell r="R110">
            <v>2.4333015699999998</v>
          </cell>
          <cell r="S110">
            <v>2.3341899920000002</v>
          </cell>
          <cell r="T110">
            <v>2.2367042339999998</v>
          </cell>
          <cell r="U110">
            <v>2.141752522</v>
          </cell>
          <cell r="V110">
            <v>2.0500566340000002</v>
          </cell>
          <cell r="W110">
            <v>1.962259454</v>
          </cell>
          <cell r="X110">
            <v>1.8785464869999999</v>
          </cell>
          <cell r="Y110">
            <v>1.7989037910000001</v>
          </cell>
          <cell r="Z110">
            <v>1.723250806</v>
          </cell>
          <cell r="AA110">
            <v>1.651487843</v>
          </cell>
          <cell r="AB110">
            <v>1.5835023340000001</v>
          </cell>
          <cell r="AC110">
            <v>1.5191586960000001</v>
          </cell>
          <cell r="AD110">
            <v>1.4582956149999999</v>
          </cell>
          <cell r="AE110">
            <v>1.4007389750000001</v>
          </cell>
          <cell r="AF110">
            <v>1.346310753</v>
          </cell>
          <cell r="AG110">
            <v>1.294834826</v>
          </cell>
          <cell r="AH110">
            <v>1.246121303</v>
          </cell>
          <cell r="AI110">
            <v>1.199947396</v>
          </cell>
          <cell r="AJ110">
            <v>1.1560694739999999</v>
          </cell>
          <cell r="AK110">
            <v>1.114246525</v>
          </cell>
          <cell r="AL110">
            <v>1.0742579910000001</v>
          </cell>
          <cell r="AM110">
            <v>1.0359035999999999</v>
          </cell>
          <cell r="AN110">
            <v>0.99899646129999997</v>
          </cell>
          <cell r="AO110">
            <v>0.96336563689999999</v>
          </cell>
        </row>
        <row r="112">
          <cell r="F112">
            <v>3.476542051</v>
          </cell>
          <cell r="G112">
            <v>8.5159714100000006</v>
          </cell>
          <cell r="H112">
            <v>14.62076879</v>
          </cell>
          <cell r="I112">
            <v>21.229591429999999</v>
          </cell>
          <cell r="J112">
            <v>28.19260796</v>
          </cell>
          <cell r="K112">
            <v>34.929243630000002</v>
          </cell>
          <cell r="L112">
            <v>41.300973399999997</v>
          </cell>
          <cell r="M112">
            <v>47.492134870000001</v>
          </cell>
          <cell r="N112">
            <v>53.687498230000003</v>
          </cell>
          <cell r="O112">
            <v>60.028859279999999</v>
          </cell>
          <cell r="P112">
            <v>66.671761489999994</v>
          </cell>
          <cell r="Q112">
            <v>73.633563420000002</v>
          </cell>
          <cell r="R112">
            <v>81.032246189999995</v>
          </cell>
          <cell r="S112">
            <v>88.198854389999994</v>
          </cell>
          <cell r="T112">
            <v>95.080102650000001</v>
          </cell>
          <cell r="U112">
            <v>101.73440340000001</v>
          </cell>
          <cell r="V112">
            <v>108.3280951</v>
          </cell>
          <cell r="W112">
            <v>115.22536650000001</v>
          </cell>
          <cell r="X112">
            <v>120.7822996</v>
          </cell>
          <cell r="Y112">
            <v>125.67035370000001</v>
          </cell>
          <cell r="Z112">
            <v>130.17891370000001</v>
          </cell>
          <cell r="AA112">
            <v>134.49876710000001</v>
          </cell>
          <cell r="AB112">
            <v>138.6655691</v>
          </cell>
          <cell r="AC112">
            <v>142.70815769999999</v>
          </cell>
          <cell r="AD112">
            <v>146.64112</v>
          </cell>
          <cell r="AE112">
            <v>150.39167330000001</v>
          </cell>
          <cell r="AF112">
            <v>154.07083420000001</v>
          </cell>
          <cell r="AG112">
            <v>157.64031220000001</v>
          </cell>
          <cell r="AH112">
            <v>161.10152360000001</v>
          </cell>
          <cell r="AI112">
            <v>164.45965709999999</v>
          </cell>
          <cell r="AJ112">
            <v>167.72652719999999</v>
          </cell>
          <cell r="AK112">
            <v>170.9213829</v>
          </cell>
          <cell r="AL112">
            <v>174.06964260000001</v>
          </cell>
          <cell r="AM112">
            <v>177.1991788</v>
          </cell>
          <cell r="AN112">
            <v>180.3373254</v>
          </cell>
          <cell r="AO112">
            <v>183.50823399999999</v>
          </cell>
        </row>
        <row r="113">
          <cell r="F113">
            <v>68.80476281</v>
          </cell>
          <cell r="G113">
            <v>75.142112119999993</v>
          </cell>
          <cell r="H113">
            <v>80.773742740000003</v>
          </cell>
          <cell r="I113">
            <v>85.743141129999998</v>
          </cell>
          <cell r="J113">
            <v>90.387602169999994</v>
          </cell>
          <cell r="K113">
            <v>94.840936749999997</v>
          </cell>
          <cell r="L113">
            <v>98.587279289999998</v>
          </cell>
          <cell r="M113">
            <v>102.3177963</v>
          </cell>
          <cell r="N113">
            <v>106.06966509999999</v>
          </cell>
          <cell r="O113">
            <v>109.8700006</v>
          </cell>
          <cell r="P113">
            <v>114.779223</v>
          </cell>
          <cell r="Q113">
            <v>118.74334639999999</v>
          </cell>
          <cell r="R113">
            <v>122.8088736</v>
          </cell>
          <cell r="S113">
            <v>126.77731439999999</v>
          </cell>
          <cell r="T113">
            <v>130.63288489999999</v>
          </cell>
          <cell r="U113">
            <v>134.39589319999999</v>
          </cell>
          <cell r="V113">
            <v>138.12374109999999</v>
          </cell>
          <cell r="W113">
            <v>141.94131400000001</v>
          </cell>
          <cell r="X113">
            <v>145.4263857</v>
          </cell>
          <cell r="Y113">
            <v>148.76725830000001</v>
          </cell>
          <cell r="Z113">
            <v>151.36812269999999</v>
          </cell>
          <cell r="AA113">
            <v>154.64322540000001</v>
          </cell>
          <cell r="AB113">
            <v>157.9285519</v>
          </cell>
          <cell r="AC113">
            <v>161.2361051</v>
          </cell>
          <cell r="AD113">
            <v>164.57495900000001</v>
          </cell>
          <cell r="AE113">
            <v>166.07443509999999</v>
          </cell>
          <cell r="AF113">
            <v>168.60566460000001</v>
          </cell>
          <cell r="AG113">
            <v>171.1805717</v>
          </cell>
          <cell r="AH113">
            <v>173.80285789999999</v>
          </cell>
          <cell r="AI113">
            <v>176.47358689999999</v>
          </cell>
          <cell r="AJ113">
            <v>179.1896639</v>
          </cell>
          <cell r="AK113">
            <v>181.94308799999999</v>
          </cell>
          <cell r="AL113">
            <v>184.721315</v>
          </cell>
          <cell r="AM113">
            <v>187.5091788</v>
          </cell>
          <cell r="AN113">
            <v>190.2908841</v>
          </cell>
          <cell r="AO113">
            <v>193.0520215</v>
          </cell>
        </row>
        <row r="114">
          <cell r="F114">
            <v>408.28039699999999</v>
          </cell>
          <cell r="G114">
            <v>422.15073510000002</v>
          </cell>
          <cell r="H114">
            <v>435.42783129999998</v>
          </cell>
          <cell r="I114">
            <v>447.49074159999998</v>
          </cell>
          <cell r="J114">
            <v>458.94227869999997</v>
          </cell>
          <cell r="K114">
            <v>470.00719400000003</v>
          </cell>
          <cell r="L114">
            <v>479.1542058</v>
          </cell>
          <cell r="M114">
            <v>488.27517979999999</v>
          </cell>
          <cell r="N114">
            <v>497.45276250000001</v>
          </cell>
          <cell r="O114">
            <v>506.74941209999997</v>
          </cell>
          <cell r="P114">
            <v>519.1315932</v>
          </cell>
          <cell r="Q114">
            <v>528.82277829999998</v>
          </cell>
          <cell r="R114">
            <v>538.75278409999999</v>
          </cell>
          <cell r="S114">
            <v>548.44386010000005</v>
          </cell>
          <cell r="T114">
            <v>557.86087080000004</v>
          </cell>
          <cell r="U114">
            <v>567.05435869999997</v>
          </cell>
          <cell r="V114">
            <v>576.16337920000001</v>
          </cell>
          <cell r="W114">
            <v>585.49513520000005</v>
          </cell>
          <cell r="X114">
            <v>594.04915830000004</v>
          </cell>
          <cell r="Y114">
            <v>602.26097059999995</v>
          </cell>
          <cell r="Z114">
            <v>608.40853389999995</v>
          </cell>
          <cell r="AA114">
            <v>616.43548129999999</v>
          </cell>
          <cell r="AB114">
            <v>624.46086609999998</v>
          </cell>
          <cell r="AC114">
            <v>632.50585899999999</v>
          </cell>
          <cell r="AD114">
            <v>640.58485020000001</v>
          </cell>
          <cell r="AE114">
            <v>643.43521550000003</v>
          </cell>
          <cell r="AF114">
            <v>649.10689630000002</v>
          </cell>
          <cell r="AG114">
            <v>654.81712930000003</v>
          </cell>
          <cell r="AH114">
            <v>660.57038750000004</v>
          </cell>
          <cell r="AI114">
            <v>666.36866359999999</v>
          </cell>
          <cell r="AJ114">
            <v>672.21014100000002</v>
          </cell>
          <cell r="AK114">
            <v>678.08845120000001</v>
          </cell>
          <cell r="AL114">
            <v>683.99292260000004</v>
          </cell>
          <cell r="AM114">
            <v>689.91028649999998</v>
          </cell>
          <cell r="AN114">
            <v>695.82645079999998</v>
          </cell>
          <cell r="AO114">
            <v>701.72833009999999</v>
          </cell>
        </row>
        <row r="115">
          <cell r="F115">
            <v>954.38155940000001</v>
          </cell>
          <cell r="G115">
            <v>951.23402850000002</v>
          </cell>
          <cell r="H115">
            <v>950.12006450000001</v>
          </cell>
          <cell r="I115">
            <v>950.09858569999994</v>
          </cell>
          <cell r="J115">
            <v>950.76240840000003</v>
          </cell>
          <cell r="K115">
            <v>951.07428119999997</v>
          </cell>
          <cell r="L115">
            <v>950.80078960000003</v>
          </cell>
          <cell r="M115">
            <v>949.85362329999998</v>
          </cell>
          <cell r="N115">
            <v>948.29031139999995</v>
          </cell>
          <cell r="O115">
            <v>946.13693420000004</v>
          </cell>
          <cell r="P115">
            <v>943.39106530000004</v>
          </cell>
          <cell r="Q115">
            <v>940.03095199999996</v>
          </cell>
          <cell r="R115">
            <v>936.03949379999995</v>
          </cell>
          <cell r="S115">
            <v>932.56070990000001</v>
          </cell>
          <cell r="T115">
            <v>929.58222109999997</v>
          </cell>
          <cell r="U115">
            <v>926.93620039999996</v>
          </cell>
          <cell r="V115">
            <v>924.32242169999995</v>
          </cell>
          <cell r="W115">
            <v>921.15973580000002</v>
          </cell>
          <cell r="X115">
            <v>919.86618880000003</v>
          </cell>
          <cell r="Y115">
            <v>919.14567030000001</v>
          </cell>
          <cell r="Z115">
            <v>918.54010000000005</v>
          </cell>
          <cell r="AA115">
            <v>917.91937329999996</v>
          </cell>
          <cell r="AB115">
            <v>917.25576960000001</v>
          </cell>
          <cell r="AC115">
            <v>916.54662399999995</v>
          </cell>
          <cell r="AD115">
            <v>915.79000180000003</v>
          </cell>
          <cell r="AE115">
            <v>914.99761460000002</v>
          </cell>
          <cell r="AF115">
            <v>914.16676500000005</v>
          </cell>
          <cell r="AG115">
            <v>913.29711110000005</v>
          </cell>
          <cell r="AH115">
            <v>912.38843999999995</v>
          </cell>
          <cell r="AI115">
            <v>911.44097980000004</v>
          </cell>
          <cell r="AJ115">
            <v>910.45583409999995</v>
          </cell>
          <cell r="AK115">
            <v>909.43555860000004</v>
          </cell>
          <cell r="AL115">
            <v>908.38471860000004</v>
          </cell>
          <cell r="AM115">
            <v>907.30990880000002</v>
          </cell>
          <cell r="AN115">
            <v>906.21902379999995</v>
          </cell>
          <cell r="AO115">
            <v>905.12016010000002</v>
          </cell>
        </row>
        <row r="116">
          <cell r="F116">
            <v>878.79999729999997</v>
          </cell>
          <cell r="G116">
            <v>866.99024150000002</v>
          </cell>
          <cell r="H116">
            <v>855.87546929999996</v>
          </cell>
          <cell r="I116">
            <v>845.05580850000001</v>
          </cell>
          <cell r="J116">
            <v>834.14508360000002</v>
          </cell>
          <cell r="K116">
            <v>824.41437440000004</v>
          </cell>
          <cell r="L116">
            <v>815.87859189999995</v>
          </cell>
          <cell r="M116">
            <v>808.23249190000001</v>
          </cell>
          <cell r="N116">
            <v>801.11213480000004</v>
          </cell>
          <cell r="O116">
            <v>794.2633869</v>
          </cell>
          <cell r="P116">
            <v>787.50314309999999</v>
          </cell>
          <cell r="Q116">
            <v>780.70001890000003</v>
          </cell>
          <cell r="R116">
            <v>773.75950950000004</v>
          </cell>
          <cell r="S116">
            <v>766.88550480000004</v>
          </cell>
          <cell r="T116">
            <v>760.19539680000003</v>
          </cell>
          <cell r="U116">
            <v>753.72664239999995</v>
          </cell>
          <cell r="V116">
            <v>747.41576210000005</v>
          </cell>
          <cell r="W116">
            <v>741.04926680000005</v>
          </cell>
          <cell r="X116">
            <v>735.27285110000003</v>
          </cell>
          <cell r="Y116">
            <v>730.08262649999995</v>
          </cell>
          <cell r="Z116">
            <v>725.31798909999998</v>
          </cell>
          <cell r="AA116">
            <v>720.83333249999998</v>
          </cell>
          <cell r="AB116">
            <v>716.53042530000005</v>
          </cell>
          <cell r="AC116">
            <v>712.34962819999998</v>
          </cell>
          <cell r="AD116">
            <v>708.25540209999997</v>
          </cell>
          <cell r="AE116">
            <v>704.22973209999998</v>
          </cell>
          <cell r="AF116">
            <v>700.26001050000002</v>
          </cell>
          <cell r="AG116">
            <v>696.33824509999999</v>
          </cell>
          <cell r="AH116">
            <v>692.45814819999998</v>
          </cell>
          <cell r="AI116">
            <v>688.61470959999997</v>
          </cell>
          <cell r="AJ116">
            <v>684.80367869999998</v>
          </cell>
          <cell r="AK116">
            <v>681.02137240000002</v>
          </cell>
          <cell r="AL116">
            <v>677.26453860000004</v>
          </cell>
          <cell r="AM116">
            <v>673.53027940000004</v>
          </cell>
          <cell r="AN116">
            <v>669.81588920000002</v>
          </cell>
          <cell r="AO116">
            <v>666.11868530000004</v>
          </cell>
        </row>
        <row r="117">
          <cell r="F117">
            <v>139.85209269999999</v>
          </cell>
          <cell r="G117">
            <v>137.96808909999999</v>
          </cell>
          <cell r="H117">
            <v>136.10853560000001</v>
          </cell>
          <cell r="I117">
            <v>134.27518789999999</v>
          </cell>
          <cell r="J117">
            <v>132.4713016</v>
          </cell>
          <cell r="K117">
            <v>130.68610709999999</v>
          </cell>
          <cell r="L117">
            <v>128.92221480000001</v>
          </cell>
          <cell r="M117">
            <v>127.1890427</v>
          </cell>
          <cell r="N117">
            <v>125.4888219</v>
          </cell>
          <cell r="O117">
            <v>123.8187889</v>
          </cell>
          <cell r="P117">
            <v>122.1747644</v>
          </cell>
          <cell r="Q117">
            <v>120.5525825</v>
          </cell>
          <cell r="R117">
            <v>118.9485025</v>
          </cell>
          <cell r="S117">
            <v>117.3600309</v>
          </cell>
          <cell r="T117">
            <v>115.7864885</v>
          </cell>
          <cell r="U117">
            <v>114.22903650000001</v>
          </cell>
          <cell r="V117">
            <v>112.68859380000001</v>
          </cell>
          <cell r="W117">
            <v>111.16348139999999</v>
          </cell>
          <cell r="X117">
            <v>109.656465</v>
          </cell>
          <cell r="Y117">
            <v>108.17222169999999</v>
          </cell>
          <cell r="Z117">
            <v>106.71535830000001</v>
          </cell>
          <cell r="AA117">
            <v>105.2893069</v>
          </cell>
          <cell r="AB117">
            <v>103.8959752</v>
          </cell>
          <cell r="AC117">
            <v>102.53597069999999</v>
          </cell>
          <cell r="AD117">
            <v>101.2090444</v>
          </cell>
          <cell r="AE117">
            <v>99.914262519999994</v>
          </cell>
          <cell r="AF117">
            <v>98.650003639999994</v>
          </cell>
          <cell r="AG117">
            <v>97.413960040000006</v>
          </cell>
          <cell r="AH117">
            <v>96.203305150000006</v>
          </cell>
          <cell r="AI117">
            <v>95.014835360000006</v>
          </cell>
          <cell r="AJ117">
            <v>93.845047339999994</v>
          </cell>
          <cell r="AK117">
            <v>92.69042469</v>
          </cell>
          <cell r="AL117">
            <v>91.547663679999999</v>
          </cell>
          <cell r="AM117">
            <v>90.413814250000001</v>
          </cell>
          <cell r="AN117">
            <v>89.286396359999998</v>
          </cell>
          <cell r="AO117">
            <v>88.163466279999994</v>
          </cell>
        </row>
        <row r="118">
          <cell r="F118">
            <v>3.874567114</v>
          </cell>
          <cell r="G118">
            <v>3.7251958549999999</v>
          </cell>
          <cell r="H118">
            <v>3.5816945069999999</v>
          </cell>
          <cell r="I118">
            <v>3.44392845</v>
          </cell>
          <cell r="J118">
            <v>3.311931043</v>
          </cell>
          <cell r="K118">
            <v>3.1848629530000001</v>
          </cell>
          <cell r="L118">
            <v>3.0627348240000001</v>
          </cell>
          <cell r="M118">
            <v>2.9455797700000002</v>
          </cell>
          <cell r="N118">
            <v>2.8330833929999999</v>
          </cell>
          <cell r="O118">
            <v>2.7247939080000001</v>
          </cell>
          <cell r="P118">
            <v>2.6203310200000001</v>
          </cell>
          <cell r="Q118">
            <v>2.5194156780000001</v>
          </cell>
          <cell r="R118">
            <v>2.421842598</v>
          </cell>
          <cell r="S118">
            <v>2.327493773</v>
          </cell>
          <cell r="T118">
            <v>2.2363431980000001</v>
          </cell>
          <cell r="U118">
            <v>2.1484389739999998</v>
          </cell>
          <cell r="V118">
            <v>2.0638749829999998</v>
          </cell>
          <cell r="W118">
            <v>1.9827947990000001</v>
          </cell>
          <cell r="X118">
            <v>1.9054082080000001</v>
          </cell>
          <cell r="Y118">
            <v>1.8318575930000001</v>
          </cell>
          <cell r="Z118">
            <v>1.7621727570000001</v>
          </cell>
          <cell r="AA118">
            <v>1.696272832</v>
          </cell>
          <cell r="AB118">
            <v>1.633993611</v>
          </cell>
          <cell r="AC118">
            <v>1.5751259390000001</v>
          </cell>
          <cell r="AD118">
            <v>1.5194465500000001</v>
          </cell>
          <cell r="AE118">
            <v>1.466728805</v>
          </cell>
          <cell r="AF118">
            <v>1.4167423320000001</v>
          </cell>
          <cell r="AG118">
            <v>1.36925042</v>
          </cell>
          <cell r="AH118">
            <v>1.3240160050000001</v>
          </cell>
          <cell r="AI118">
            <v>1.280806506</v>
          </cell>
          <cell r="AJ118">
            <v>1.2393959530000001</v>
          </cell>
          <cell r="AK118">
            <v>1.1995753300000001</v>
          </cell>
          <cell r="AL118">
            <v>1.161159665</v>
          </cell>
          <cell r="AM118">
            <v>1.123991392</v>
          </cell>
          <cell r="AN118">
            <v>1.0879420849999999</v>
          </cell>
          <cell r="AO118">
            <v>1.052912115</v>
          </cell>
        </row>
        <row r="205">
          <cell r="E205" t="str">
            <v>YG_toe_2</v>
          </cell>
          <cell r="F205">
            <v>148.5608263</v>
          </cell>
          <cell r="G205">
            <v>150.19286389999999</v>
          </cell>
          <cell r="H205">
            <v>151.85586259999999</v>
          </cell>
          <cell r="I205">
            <v>153.65625120000001</v>
          </cell>
          <cell r="J205">
            <v>155.67224899999999</v>
          </cell>
          <cell r="K205">
            <v>157.93062939999999</v>
          </cell>
          <cell r="L205">
            <v>160.34835430000001</v>
          </cell>
          <cell r="M205">
            <v>163.81185579999999</v>
          </cell>
          <cell r="N205">
            <v>167.54098970000001</v>
          </cell>
          <cell r="O205">
            <v>172.00837079999999</v>
          </cell>
          <cell r="P205">
            <v>176.51093940000001</v>
          </cell>
          <cell r="Q205">
            <v>180.43330560000001</v>
          </cell>
          <cell r="R205">
            <v>183.9571814</v>
          </cell>
          <cell r="S205">
            <v>187.3076198</v>
          </cell>
          <cell r="T205">
            <v>190.71300500000001</v>
          </cell>
          <cell r="U205">
            <v>194.3148928</v>
          </cell>
          <cell r="V205">
            <v>198.0051053</v>
          </cell>
          <cell r="W205">
            <v>202.06936959999999</v>
          </cell>
          <cell r="X205">
            <v>206.59743879999999</v>
          </cell>
          <cell r="Y205">
            <v>211.67793649999999</v>
          </cell>
          <cell r="Z205">
            <v>217.37420589999999</v>
          </cell>
          <cell r="AA205">
            <v>223.864057</v>
          </cell>
          <cell r="AB205">
            <v>231.28441559999999</v>
          </cell>
          <cell r="AC205">
            <v>239.77285739999999</v>
          </cell>
          <cell r="AD205">
            <v>249.47283210000001</v>
          </cell>
          <cell r="AE205">
            <v>260.43216960000001</v>
          </cell>
          <cell r="AF205">
            <v>273.10517779999998</v>
          </cell>
          <cell r="AG205">
            <v>287.76268229999999</v>
          </cell>
          <cell r="AH205">
            <v>304.76831190000001</v>
          </cell>
          <cell r="AI205">
            <v>324.51671870000001</v>
          </cell>
          <cell r="AJ205">
            <v>347.5031692</v>
          </cell>
          <cell r="AK205">
            <v>374.43936220000001</v>
          </cell>
          <cell r="AL205">
            <v>406.35316990000001</v>
          </cell>
          <cell r="AM205">
            <v>444.70009210000001</v>
          </cell>
          <cell r="AN205">
            <v>491.6216422</v>
          </cell>
          <cell r="AO205">
            <v>550.39611449999995</v>
          </cell>
        </row>
        <row r="206">
          <cell r="E206" t="str">
            <v>YG_toe_ccoa_2</v>
          </cell>
          <cell r="F206">
            <v>2.3689359419999998</v>
          </cell>
          <cell r="G206">
            <v>2.3856670709999999</v>
          </cell>
          <cell r="H206">
            <v>2.4040604120000002</v>
          </cell>
          <cell r="I206">
            <v>2.4171692180000002</v>
          </cell>
          <cell r="J206">
            <v>2.44547954</v>
          </cell>
          <cell r="K206">
            <v>2.4860861920000001</v>
          </cell>
          <cell r="L206">
            <v>2.5314085940000002</v>
          </cell>
          <cell r="M206">
            <v>2.4753438490000002</v>
          </cell>
          <cell r="N206">
            <v>2.4038033539999999</v>
          </cell>
          <cell r="O206">
            <v>2.3449394049999999</v>
          </cell>
          <cell r="P206">
            <v>2.288494853</v>
          </cell>
          <cell r="Q206">
            <v>2.2379023330000001</v>
          </cell>
          <cell r="R206">
            <v>2.1902393729999998</v>
          </cell>
          <cell r="S206">
            <v>2.1452144230000001</v>
          </cell>
          <cell r="T206">
            <v>2.1038679020000002</v>
          </cell>
          <cell r="U206">
            <v>2.066459305</v>
          </cell>
          <cell r="V206">
            <v>2.027250081</v>
          </cell>
          <cell r="W206">
            <v>1.9893673510000001</v>
          </cell>
          <cell r="X206">
            <v>1.9543586740000001</v>
          </cell>
          <cell r="Y206">
            <v>1.922770297</v>
          </cell>
          <cell r="Z206">
            <v>1.8947468860000001</v>
          </cell>
          <cell r="AA206">
            <v>1.870392517</v>
          </cell>
          <cell r="AB206">
            <v>1.8498637710000001</v>
          </cell>
          <cell r="AC206">
            <v>1.8330667700000001</v>
          </cell>
          <cell r="AD206">
            <v>1.819671724</v>
          </cell>
          <cell r="AE206">
            <v>1.809281506</v>
          </cell>
          <cell r="AF206">
            <v>1.802336443</v>
          </cell>
          <cell r="AG206">
            <v>1.7989520560000001</v>
          </cell>
          <cell r="AH206">
            <v>1.799128842</v>
          </cell>
          <cell r="AI206">
            <v>1.8023774589999999</v>
          </cell>
          <cell r="AJ206">
            <v>1.8081865020000001</v>
          </cell>
          <cell r="AK206">
            <v>1.816572751</v>
          </cell>
          <cell r="AL206">
            <v>1.8281840119999999</v>
          </cell>
          <cell r="AM206">
            <v>1.8442339320000001</v>
          </cell>
          <cell r="AN206">
            <v>1.86685678</v>
          </cell>
          <cell r="AO206">
            <v>1.89998281</v>
          </cell>
        </row>
        <row r="209">
          <cell r="E209" t="str">
            <v>YG_toe_ccoi_2</v>
          </cell>
          <cell r="F209">
            <v>1.0946754059999999</v>
          </cell>
          <cell r="G209">
            <v>1.104975104</v>
          </cell>
          <cell r="H209">
            <v>1.115445794</v>
          </cell>
          <cell r="I209">
            <v>1.1269424969999999</v>
          </cell>
          <cell r="J209">
            <v>1.1412536550000001</v>
          </cell>
          <cell r="K209">
            <v>1.158404099</v>
          </cell>
          <cell r="L209">
            <v>1.1771594510000001</v>
          </cell>
          <cell r="M209">
            <v>1.171434734</v>
          </cell>
          <cell r="N209">
            <v>1.16245029</v>
          </cell>
          <cell r="O209">
            <v>1.156704094</v>
          </cell>
          <cell r="P209">
            <v>1.150433161</v>
          </cell>
          <cell r="Q209">
            <v>1.1409674219999999</v>
          </cell>
          <cell r="R209">
            <v>1.128620245</v>
          </cell>
          <cell r="S209">
            <v>1.114262619</v>
          </cell>
          <cell r="T209">
            <v>1.0988957159999999</v>
          </cell>
          <cell r="U209">
            <v>1.0830613060000001</v>
          </cell>
          <cell r="V209">
            <v>1.065788011</v>
          </cell>
          <cell r="W209">
            <v>1.0482816989999999</v>
          </cell>
          <cell r="X209">
            <v>1.030913215</v>
          </cell>
          <cell r="Y209">
            <v>1.013809843</v>
          </cell>
          <cell r="Z209">
            <v>0.99694806390000001</v>
          </cell>
          <cell r="AA209">
            <v>0.980493948</v>
          </cell>
          <cell r="AB209">
            <v>0.96452244649999996</v>
          </cell>
          <cell r="AC209">
            <v>0.94900266369999997</v>
          </cell>
          <cell r="AD209">
            <v>0.93379521470000004</v>
          </cell>
          <cell r="AE209">
            <v>0.91852124329999996</v>
          </cell>
          <cell r="AF209">
            <v>0.90372200609999997</v>
          </cell>
          <cell r="AG209">
            <v>0.88911869519999998</v>
          </cell>
          <cell r="AH209">
            <v>0.87455461639999998</v>
          </cell>
          <cell r="AI209">
            <v>0.85964853190000001</v>
          </cell>
          <cell r="AJ209">
            <v>0.8439123221</v>
          </cell>
          <cell r="AK209">
            <v>0.82692734320000005</v>
          </cell>
          <cell r="AL209">
            <v>0.80836176780000002</v>
          </cell>
          <cell r="AM209">
            <v>0.78789382139999997</v>
          </cell>
          <cell r="AN209">
            <v>0.76519780680000005</v>
          </cell>
          <cell r="AO209">
            <v>0.73994008290000002</v>
          </cell>
        </row>
        <row r="212">
          <cell r="E212" t="str">
            <v>YG_toe_cfut_2</v>
          </cell>
          <cell r="F212">
            <v>42.288296580000001</v>
          </cell>
          <cell r="G212">
            <v>42.548102579999998</v>
          </cell>
          <cell r="H212">
            <v>42.809167070000001</v>
          </cell>
          <cell r="I212">
            <v>43.123597289999999</v>
          </cell>
          <cell r="J212">
            <v>43.562713819999999</v>
          </cell>
          <cell r="K212">
            <v>44.114508649999998</v>
          </cell>
          <cell r="L212">
            <v>44.738527580000003</v>
          </cell>
          <cell r="M212">
            <v>45.648696510000001</v>
          </cell>
          <cell r="N212">
            <v>46.59356691</v>
          </cell>
          <cell r="O212">
            <v>47.644722199999997</v>
          </cell>
          <cell r="P212">
            <v>48.736484679999997</v>
          </cell>
          <cell r="Q212">
            <v>49.833755080000003</v>
          </cell>
          <cell r="R212">
            <v>50.92850996</v>
          </cell>
          <cell r="S212">
            <v>52.024009220000003</v>
          </cell>
          <cell r="T212">
            <v>53.13184614</v>
          </cell>
          <cell r="U212">
            <v>54.260142520000002</v>
          </cell>
          <cell r="V212">
            <v>55.395337699999999</v>
          </cell>
          <cell r="W212">
            <v>56.558932509999998</v>
          </cell>
          <cell r="X212">
            <v>57.770166230000001</v>
          </cell>
          <cell r="Y212">
            <v>59.043591249999999</v>
          </cell>
          <cell r="Z212">
            <v>60.385873920000002</v>
          </cell>
          <cell r="AA212">
            <v>61.817284489999999</v>
          </cell>
          <cell r="AB212">
            <v>63.35169982</v>
          </cell>
          <cell r="AC212">
            <v>65.00132748</v>
          </cell>
          <cell r="AD212">
            <v>66.776093860000003</v>
          </cell>
          <cell r="AE212">
            <v>68.667772069999998</v>
          </cell>
          <cell r="AF212">
            <v>70.706010190000001</v>
          </cell>
          <cell r="AG212">
            <v>72.912381839999995</v>
          </cell>
          <cell r="AH212">
            <v>75.305316520000005</v>
          </cell>
          <cell r="AI212">
            <v>77.896699369999993</v>
          </cell>
          <cell r="AJ212">
            <v>80.695888310000001</v>
          </cell>
          <cell r="AK212">
            <v>83.717442930000004</v>
          </cell>
          <cell r="AL212">
            <v>86.984389719999996</v>
          </cell>
          <cell r="AM212">
            <v>90.528157379999996</v>
          </cell>
          <cell r="AN212">
            <v>94.394788969999993</v>
          </cell>
          <cell r="AO212">
            <v>98.656356180000003</v>
          </cell>
        </row>
        <row r="215">
          <cell r="E215" t="str">
            <v>YG_toe_cfuh_2</v>
          </cell>
          <cell r="F215">
            <v>7.921345187</v>
          </cell>
          <cell r="G215">
            <v>7.9775738729999999</v>
          </cell>
          <cell r="H215">
            <v>8.0342132759999991</v>
          </cell>
          <cell r="I215">
            <v>8.0899670199999996</v>
          </cell>
          <cell r="J215">
            <v>8.1659663059999996</v>
          </cell>
          <cell r="K215">
            <v>8.2594118820000002</v>
          </cell>
          <cell r="L215">
            <v>8.3566745480000009</v>
          </cell>
          <cell r="M215">
            <v>8.0881925040000002</v>
          </cell>
          <cell r="N215">
            <v>7.7946198559999997</v>
          </cell>
          <cell r="O215">
            <v>7.5033527309999997</v>
          </cell>
          <cell r="P215">
            <v>7.2037027199999999</v>
          </cell>
          <cell r="Q215">
            <v>6.8962658069999998</v>
          </cell>
          <cell r="R215">
            <v>6.587000755</v>
          </cell>
          <cell r="S215">
            <v>6.2818756799999997</v>
          </cell>
          <cell r="T215">
            <v>5.985121629</v>
          </cell>
          <cell r="U215">
            <v>5.6980379929999998</v>
          </cell>
          <cell r="V215">
            <v>5.418883525</v>
          </cell>
          <cell r="W215">
            <v>5.1479425120000002</v>
          </cell>
          <cell r="X215">
            <v>4.8849546979999996</v>
          </cell>
          <cell r="Y215">
            <v>4.6293991280000002</v>
          </cell>
          <cell r="Z215">
            <v>4.3795869390000002</v>
          </cell>
          <cell r="AA215">
            <v>4.1367401719999997</v>
          </cell>
          <cell r="AB215">
            <v>3.8997734130000001</v>
          </cell>
          <cell r="AC215">
            <v>3.6672830310000002</v>
          </cell>
          <cell r="AD215">
            <v>3.4375776889999998</v>
          </cell>
          <cell r="AE215">
            <v>3.2065842240000002</v>
          </cell>
          <cell r="AF215">
            <v>2.9754106020000002</v>
          </cell>
          <cell r="AG215">
            <v>2.7424434209999999</v>
          </cell>
          <cell r="AH215">
            <v>2.5057678999999999</v>
          </cell>
          <cell r="AI215">
            <v>2.2630062789999998</v>
          </cell>
          <cell r="AJ215">
            <v>2.0116761890000001</v>
          </cell>
          <cell r="AK215">
            <v>1.7494844249999999</v>
          </cell>
          <cell r="AL215">
            <v>1.474297575</v>
          </cell>
          <cell r="AM215">
            <v>1.183968656</v>
          </cell>
          <cell r="AN215">
            <v>0.87618263770000004</v>
          </cell>
          <cell r="AO215">
            <v>0.54821211940000003</v>
          </cell>
        </row>
        <row r="217">
          <cell r="E217" t="str">
            <v>YG_toe_cgas_2</v>
          </cell>
          <cell r="F217">
            <v>6.6386592799999997</v>
          </cell>
          <cell r="G217">
            <v>6.5224267960000004</v>
          </cell>
          <cell r="H217">
            <v>6.4213552619999996</v>
          </cell>
          <cell r="I217">
            <v>6.3212467930000003</v>
          </cell>
          <cell r="J217">
            <v>6.2612674180000001</v>
          </cell>
          <cell r="K217">
            <v>6.2076439910000003</v>
          </cell>
          <cell r="L217">
            <v>6.1326408450000001</v>
          </cell>
          <cell r="M217">
            <v>5.9267926769999999</v>
          </cell>
          <cell r="N217">
            <v>5.7980153679999997</v>
          </cell>
          <cell r="O217">
            <v>5.6836171919999998</v>
          </cell>
          <cell r="P217">
            <v>5.5997204739999997</v>
          </cell>
          <cell r="Q217">
            <v>5.5659829439999999</v>
          </cell>
          <cell r="R217">
            <v>5.5541088460000001</v>
          </cell>
          <cell r="S217">
            <v>5.5494886990000003</v>
          </cell>
          <cell r="T217">
            <v>5.5429462149999997</v>
          </cell>
          <cell r="U217">
            <v>5.5306588620000001</v>
          </cell>
          <cell r="V217">
            <v>5.5084503150000002</v>
          </cell>
          <cell r="W217">
            <v>5.4733527840000002</v>
          </cell>
          <cell r="X217">
            <v>5.4231798449999999</v>
          </cell>
          <cell r="Y217">
            <v>5.3572328039999997</v>
          </cell>
          <cell r="Z217">
            <v>5.2744954340000003</v>
          </cell>
          <cell r="AA217">
            <v>5.1760358210000001</v>
          </cell>
          <cell r="AB217">
            <v>5.0591907020000004</v>
          </cell>
          <cell r="AC217">
            <v>4.9225659540000004</v>
          </cell>
          <cell r="AD217">
            <v>4.7658836899999999</v>
          </cell>
          <cell r="AE217">
            <v>4.5869099440000003</v>
          </cell>
          <cell r="AF217">
            <v>4.386441928</v>
          </cell>
          <cell r="AG217">
            <v>4.1606279439999998</v>
          </cell>
          <cell r="AH217">
            <v>3.9067355070000001</v>
          </cell>
          <cell r="AI217">
            <v>3.6233228770000001</v>
          </cell>
          <cell r="AJ217">
            <v>3.308637477</v>
          </cell>
          <cell r="AK217">
            <v>2.9585657109999999</v>
          </cell>
          <cell r="AL217">
            <v>2.565950414</v>
          </cell>
          <cell r="AM217">
            <v>2.1204491339999998</v>
          </cell>
          <cell r="AN217">
            <v>1.6065308899999999</v>
          </cell>
          <cell r="AO217">
            <v>0.99982674490000001</v>
          </cell>
        </row>
        <row r="223">
          <cell r="E223" t="str">
            <v>YG_toe_cele_2</v>
          </cell>
          <cell r="F223">
            <v>57.5470325</v>
          </cell>
          <cell r="G223">
            <v>58.554275990000001</v>
          </cell>
          <cell r="H223">
            <v>59.548888349999999</v>
          </cell>
          <cell r="I223">
            <v>60.623778039999998</v>
          </cell>
          <cell r="J223">
            <v>61.642122190000002</v>
          </cell>
          <cell r="K223">
            <v>62.687911640000003</v>
          </cell>
          <cell r="L223">
            <v>63.796400249999998</v>
          </cell>
          <cell r="M223">
            <v>66.530569779999993</v>
          </cell>
          <cell r="N223">
            <v>69.502836389999999</v>
          </cell>
          <cell r="O223">
            <v>72.889158350000002</v>
          </cell>
          <cell r="P223">
            <v>76.278069599999995</v>
          </cell>
          <cell r="Q223">
            <v>79.193520500000005</v>
          </cell>
          <cell r="R223">
            <v>81.801425969999997</v>
          </cell>
          <cell r="S223">
            <v>84.275002979999996</v>
          </cell>
          <cell r="T223">
            <v>86.777949739999997</v>
          </cell>
          <cell r="U223">
            <v>89.417252820000002</v>
          </cell>
          <cell r="V223">
            <v>92.192872199999996</v>
          </cell>
          <cell r="W223">
            <v>95.274102540000001</v>
          </cell>
          <cell r="X223">
            <v>98.718147299999998</v>
          </cell>
          <cell r="Y223">
            <v>102.5910811</v>
          </cell>
          <cell r="Z223">
            <v>106.95330060000001</v>
          </cell>
          <cell r="AA223">
            <v>111.935075</v>
          </cell>
          <cell r="AB223">
            <v>117.65334900000001</v>
          </cell>
          <cell r="AC223">
            <v>124.229122</v>
          </cell>
          <cell r="AD223">
            <v>131.7942764</v>
          </cell>
          <cell r="AE223">
            <v>140.4342757</v>
          </cell>
          <cell r="AF223">
            <v>150.4980655</v>
          </cell>
          <cell r="AG223">
            <v>162.2491665</v>
          </cell>
          <cell r="AH223">
            <v>176.0240221</v>
          </cell>
          <cell r="AI223">
            <v>192.2062238</v>
          </cell>
          <cell r="AJ223">
            <v>211.28285890000001</v>
          </cell>
          <cell r="AK223">
            <v>233.94169740000001</v>
          </cell>
          <cell r="AL223">
            <v>261.16503</v>
          </cell>
          <cell r="AM223">
            <v>294.34064330000001</v>
          </cell>
          <cell r="AN223">
            <v>335.50626419999998</v>
          </cell>
          <cell r="AO223">
            <v>387.77610970000001</v>
          </cell>
        </row>
        <row r="233">
          <cell r="E233" t="str">
            <v>YG_toe_chea_2</v>
          </cell>
          <cell r="F233">
            <v>5.7001631780000004</v>
          </cell>
          <cell r="G233">
            <v>5.767720594</v>
          </cell>
          <cell r="H233">
            <v>5.8379820520000001</v>
          </cell>
          <cell r="I233">
            <v>5.9069385949999997</v>
          </cell>
          <cell r="J233">
            <v>5.9803053610000001</v>
          </cell>
          <cell r="K233">
            <v>6.0636773259999996</v>
          </cell>
          <cell r="L233">
            <v>6.1425221749999999</v>
          </cell>
          <cell r="M233">
            <v>6.183064667</v>
          </cell>
          <cell r="N233">
            <v>6.2014702149999996</v>
          </cell>
          <cell r="O233">
            <v>6.2385623819999996</v>
          </cell>
          <cell r="P233">
            <v>6.2939641450000003</v>
          </cell>
          <cell r="Q233">
            <v>6.3458612089999997</v>
          </cell>
          <cell r="R233">
            <v>6.3961795549999998</v>
          </cell>
          <cell r="S233">
            <v>6.4436928919999996</v>
          </cell>
          <cell r="T233">
            <v>6.4887535090000004</v>
          </cell>
          <cell r="U233">
            <v>6.5319755979999998</v>
          </cell>
          <cell r="V233">
            <v>6.5776464020000001</v>
          </cell>
          <cell r="W233">
            <v>6.6247268229999996</v>
          </cell>
          <cell r="X233">
            <v>6.6736823620000001</v>
          </cell>
          <cell r="Y233">
            <v>6.7252516499999997</v>
          </cell>
          <cell r="Z233">
            <v>6.776046547</v>
          </cell>
          <cell r="AA233">
            <v>6.8345579519999999</v>
          </cell>
          <cell r="AB233">
            <v>6.9010033679999996</v>
          </cell>
          <cell r="AC233">
            <v>6.9762556980000001</v>
          </cell>
          <cell r="AD233">
            <v>7.0613026220000004</v>
          </cell>
          <cell r="AE233">
            <v>7.1448678000000001</v>
          </cell>
          <cell r="AF233">
            <v>7.2424555640000001</v>
          </cell>
          <cell r="AG233">
            <v>7.3551555029999998</v>
          </cell>
          <cell r="AH233">
            <v>7.4836818379999999</v>
          </cell>
          <cell r="AI233">
            <v>7.6278702679999997</v>
          </cell>
          <cell r="AJ233">
            <v>7.7872764180000003</v>
          </cell>
          <cell r="AK233">
            <v>7.9619717259999998</v>
          </cell>
          <cell r="AL233">
            <v>8.1522656480000002</v>
          </cell>
          <cell r="AM233">
            <v>8.358728739</v>
          </cell>
          <cell r="AN233">
            <v>8.5828533470000004</v>
          </cell>
          <cell r="AO233">
            <v>8.827361196</v>
          </cell>
        </row>
        <row r="235">
          <cell r="E235" t="str">
            <v>YG_toe_cbio_2</v>
          </cell>
          <cell r="F235">
            <v>11.16413483</v>
          </cell>
          <cell r="G235">
            <v>11.16170726</v>
          </cell>
          <cell r="H235">
            <v>11.159221799999999</v>
          </cell>
          <cell r="I235">
            <v>11.152932939999999</v>
          </cell>
          <cell r="J235">
            <v>11.18466334</v>
          </cell>
          <cell r="K235">
            <v>11.24155421</v>
          </cell>
          <cell r="L235">
            <v>11.315169040000001</v>
          </cell>
          <cell r="M235">
            <v>11.28831053</v>
          </cell>
          <cell r="N235">
            <v>11.25441453</v>
          </cell>
          <cell r="O235">
            <v>11.22218374</v>
          </cell>
          <cell r="P235">
            <v>11.168105880000001</v>
          </cell>
          <cell r="Q235">
            <v>11.09209102</v>
          </cell>
          <cell r="R235">
            <v>11.003422179999999</v>
          </cell>
          <cell r="S235">
            <v>10.91815661</v>
          </cell>
          <cell r="T235">
            <v>10.84925546</v>
          </cell>
          <cell r="U235">
            <v>10.80320672</v>
          </cell>
          <cell r="V235">
            <v>10.764292449999999</v>
          </cell>
          <cell r="W235">
            <v>10.74537213</v>
          </cell>
          <cell r="X235">
            <v>10.7501225</v>
          </cell>
          <cell r="Y235">
            <v>10.78214945</v>
          </cell>
          <cell r="Z235">
            <v>10.841575280000001</v>
          </cell>
          <cell r="AA235">
            <v>10.938997499999999</v>
          </cell>
          <cell r="AB235">
            <v>11.078519310000001</v>
          </cell>
          <cell r="AC235">
            <v>11.264126109999999</v>
          </cell>
          <cell r="AD235">
            <v>11.49983473</v>
          </cell>
          <cell r="AE235">
            <v>11.778937470000001</v>
          </cell>
          <cell r="AF235">
            <v>12.123151119999999</v>
          </cell>
          <cell r="AG235">
            <v>12.53960049</v>
          </cell>
          <cell r="AH235">
            <v>13.03812447</v>
          </cell>
          <cell r="AI235">
            <v>13.6290301</v>
          </cell>
          <cell r="AJ235">
            <v>14.32528409</v>
          </cell>
          <cell r="AK235">
            <v>15.146093560000001</v>
          </cell>
          <cell r="AL235">
            <v>16.119846160000002</v>
          </cell>
          <cell r="AM235">
            <v>17.287427220000001</v>
          </cell>
          <cell r="AN235">
            <v>18.709462049999999</v>
          </cell>
          <cell r="AO235">
            <v>20.478455029999999</v>
          </cell>
        </row>
        <row r="238">
          <cell r="E238" t="str">
            <v>YG_toe_cote_2</v>
          </cell>
          <cell r="F238">
            <v>13.83758336</v>
          </cell>
          <cell r="G238">
            <v>14.17041467</v>
          </cell>
          <cell r="H238">
            <v>14.525528570000001</v>
          </cell>
          <cell r="I238">
            <v>14.893678810000001</v>
          </cell>
          <cell r="J238">
            <v>15.288477350000001</v>
          </cell>
          <cell r="K238">
            <v>15.71143139</v>
          </cell>
          <cell r="L238">
            <v>16.157851780000001</v>
          </cell>
          <cell r="M238">
            <v>16.49945057</v>
          </cell>
          <cell r="N238">
            <v>16.82981277</v>
          </cell>
          <cell r="O238">
            <v>17.325130699999999</v>
          </cell>
          <cell r="P238">
            <v>17.79196391</v>
          </cell>
          <cell r="Q238">
            <v>18.12695926</v>
          </cell>
          <cell r="R238">
            <v>18.367674480000002</v>
          </cell>
          <cell r="S238">
            <v>18.555916719999999</v>
          </cell>
          <cell r="T238">
            <v>18.734368700000001</v>
          </cell>
          <cell r="U238">
            <v>18.92409769</v>
          </cell>
          <cell r="V238">
            <v>19.05458466</v>
          </cell>
          <cell r="W238">
            <v>19.207291250000001</v>
          </cell>
          <cell r="X238">
            <v>19.391914010000001</v>
          </cell>
          <cell r="Y238">
            <v>19.61265101</v>
          </cell>
          <cell r="Z238">
            <v>19.87163219</v>
          </cell>
          <cell r="AA238">
            <v>20.174479649999999</v>
          </cell>
          <cell r="AB238">
            <v>20.5264937</v>
          </cell>
          <cell r="AC238">
            <v>20.930107750000001</v>
          </cell>
          <cell r="AD238">
            <v>21.384396169999999</v>
          </cell>
          <cell r="AE238">
            <v>21.885019610000001</v>
          </cell>
          <cell r="AF238">
            <v>22.467584509999998</v>
          </cell>
          <cell r="AG238">
            <v>23.115235850000001</v>
          </cell>
          <cell r="AH238">
            <v>23.830980109999999</v>
          </cell>
          <cell r="AI238">
            <v>24.608539950000001</v>
          </cell>
          <cell r="AJ238">
            <v>25.439448980000002</v>
          </cell>
          <cell r="AK238">
            <v>26.320606300000001</v>
          </cell>
          <cell r="AL238">
            <v>27.25484458</v>
          </cell>
          <cell r="AM238">
            <v>28.24858995</v>
          </cell>
          <cell r="AN238">
            <v>29.31350552</v>
          </cell>
          <cell r="AO238">
            <v>30.469870629999999</v>
          </cell>
        </row>
        <row r="241">
          <cell r="E241" t="str">
            <v>YG_toe_0</v>
          </cell>
          <cell r="F241">
            <v>148.56082459999999</v>
          </cell>
          <cell r="G241">
            <v>150.1928623</v>
          </cell>
          <cell r="H241">
            <v>151.855861</v>
          </cell>
          <cell r="I241">
            <v>153.6562496</v>
          </cell>
          <cell r="J241">
            <v>155.6722474</v>
          </cell>
          <cell r="K241">
            <v>157.9306278</v>
          </cell>
          <cell r="L241">
            <v>160.34835279999999</v>
          </cell>
          <cell r="M241">
            <v>162.8720065</v>
          </cell>
          <cell r="N241">
            <v>165.46069729999999</v>
          </cell>
          <cell r="O241">
            <v>168.09214080000001</v>
          </cell>
          <cell r="P241">
            <v>170.69548810000001</v>
          </cell>
          <cell r="Q241">
            <v>172.85295980000001</v>
          </cell>
          <cell r="R241">
            <v>174.6551188</v>
          </cell>
          <cell r="S241">
            <v>176.19314220000001</v>
          </cell>
          <cell r="T241">
            <v>177.5678983</v>
          </cell>
          <cell r="U241">
            <v>178.87046649999999</v>
          </cell>
          <cell r="V241">
            <v>180.20123430000001</v>
          </cell>
          <cell r="W241">
            <v>181.65579890000001</v>
          </cell>
          <cell r="X241">
            <v>183.31496730000001</v>
          </cell>
          <cell r="Y241">
            <v>185.21314100000001</v>
          </cell>
          <cell r="Z241">
            <v>187.33841279999999</v>
          </cell>
          <cell r="AA241">
            <v>189.75844910000001</v>
          </cell>
          <cell r="AB241">
            <v>192.48959350000001</v>
          </cell>
          <cell r="AC241">
            <v>195.5423351</v>
          </cell>
          <cell r="AD241">
            <v>198.9144632</v>
          </cell>
          <cell r="AE241">
            <v>202.5060168</v>
          </cell>
          <cell r="AF241">
            <v>206.41758469999999</v>
          </cell>
          <cell r="AG241">
            <v>210.66229559999999</v>
          </cell>
          <cell r="AH241">
            <v>215.23661010000001</v>
          </cell>
          <cell r="AI241">
            <v>220.0915253</v>
          </cell>
          <cell r="AJ241">
            <v>225.15747590000001</v>
          </cell>
          <cell r="AK241">
            <v>230.3721482</v>
          </cell>
          <cell r="AL241">
            <v>235.6842335</v>
          </cell>
          <cell r="AM241">
            <v>241.04758659999999</v>
          </cell>
          <cell r="AN241">
            <v>246.41837090000001</v>
          </cell>
          <cell r="AO241">
            <v>251.7538338</v>
          </cell>
        </row>
        <row r="242">
          <cell r="E242" t="str">
            <v>YG_toe_ccoa_0</v>
          </cell>
          <cell r="F242">
            <v>2.3689359379999999</v>
          </cell>
          <cell r="G242">
            <v>2.3856670659999999</v>
          </cell>
          <cell r="H242">
            <v>2.4040604079999999</v>
          </cell>
          <cell r="I242">
            <v>2.4171692139999998</v>
          </cell>
          <cell r="J242">
            <v>2.4454795360000001</v>
          </cell>
          <cell r="K242">
            <v>2.4860861889999999</v>
          </cell>
          <cell r="L242">
            <v>2.5314085899999998</v>
          </cell>
          <cell r="M242">
            <v>2.5768915570000002</v>
          </cell>
          <cell r="N242">
            <v>2.6219816979999999</v>
          </cell>
          <cell r="O242">
            <v>2.6668357249999999</v>
          </cell>
          <cell r="P242">
            <v>2.7092407760000001</v>
          </cell>
          <cell r="Q242">
            <v>2.740843903</v>
          </cell>
          <cell r="R242">
            <v>2.7644071829999999</v>
          </cell>
          <cell r="S242">
            <v>2.782870585</v>
          </cell>
          <cell r="T242">
            <v>2.7989672049999998</v>
          </cell>
          <cell r="U242">
            <v>2.8148140700000002</v>
          </cell>
          <cell r="V242">
            <v>2.8361039799999999</v>
          </cell>
          <cell r="W242">
            <v>2.864803357</v>
          </cell>
          <cell r="X242">
            <v>2.90138973</v>
          </cell>
          <cell r="Y242">
            <v>2.9455152930000001</v>
          </cell>
          <cell r="Z242">
            <v>2.9966102239999999</v>
          </cell>
          <cell r="AA242">
            <v>3.0544247910000002</v>
          </cell>
          <cell r="AB242">
            <v>3.1189981219999998</v>
          </cell>
          <cell r="AC242">
            <v>3.1902686569999998</v>
          </cell>
          <cell r="AD242">
            <v>3.2678781899999998</v>
          </cell>
          <cell r="AE242">
            <v>3.351142775</v>
          </cell>
          <cell r="AF242">
            <v>3.440232687</v>
          </cell>
          <cell r="AG242">
            <v>3.5356260100000001</v>
          </cell>
          <cell r="AH242">
            <v>3.637400827</v>
          </cell>
          <cell r="AI242">
            <v>3.7445853690000002</v>
          </cell>
          <cell r="AJ242">
            <v>3.8557448079999999</v>
          </cell>
          <cell r="AK242">
            <v>3.9696998369999998</v>
          </cell>
          <cell r="AL242">
            <v>4.0856279630000003</v>
          </cell>
          <cell r="AM242">
            <v>4.2028404009999996</v>
          </cell>
          <cell r="AN242">
            <v>4.3206642070000001</v>
          </cell>
          <cell r="AO242">
            <v>4.4383882899999998</v>
          </cell>
        </row>
        <row r="245">
          <cell r="E245" t="str">
            <v>YG_toe_ccoi_0</v>
          </cell>
          <cell r="F245">
            <v>1.0946754030000001</v>
          </cell>
          <cell r="G245">
            <v>1.1049751000000001</v>
          </cell>
          <cell r="H245">
            <v>1.1154457900000001</v>
          </cell>
          <cell r="I245">
            <v>1.126942493</v>
          </cell>
          <cell r="J245">
            <v>1.1412536520000001</v>
          </cell>
          <cell r="K245">
            <v>1.1584040950000001</v>
          </cell>
          <cell r="L245">
            <v>1.177159447</v>
          </cell>
          <cell r="M245">
            <v>1.19664897</v>
          </cell>
          <cell r="N245">
            <v>1.216491843</v>
          </cell>
          <cell r="O245">
            <v>1.2365653240000001</v>
          </cell>
          <cell r="P245">
            <v>1.2562797320000001</v>
          </cell>
          <cell r="Q245">
            <v>1.2730188819999999</v>
          </cell>
          <cell r="R245">
            <v>1.28716586</v>
          </cell>
          <cell r="S245">
            <v>1.2993910719999999</v>
          </cell>
          <cell r="T245">
            <v>1.3103983889999999</v>
          </cell>
          <cell r="U245">
            <v>1.3207964539999999</v>
          </cell>
          <cell r="V245">
            <v>1.331651183</v>
          </cell>
          <cell r="W245">
            <v>1.343717834</v>
          </cell>
          <cell r="X245">
            <v>1.357415858</v>
          </cell>
          <cell r="Y245">
            <v>1.3728665019999999</v>
          </cell>
          <cell r="Z245">
            <v>1.3899840649999999</v>
          </cell>
          <cell r="AA245">
            <v>1.4089567110000001</v>
          </cell>
          <cell r="AB245">
            <v>1.4299006059999999</v>
          </cell>
          <cell r="AC245">
            <v>1.4528863940000001</v>
          </cell>
          <cell r="AD245">
            <v>1.4778917819999999</v>
          </cell>
          <cell r="AE245">
            <v>1.5045350710000001</v>
          </cell>
          <cell r="AF245">
            <v>1.533138173</v>
          </cell>
          <cell r="AG245">
            <v>1.5639040790000001</v>
          </cell>
          <cell r="AH245">
            <v>1.5968944979999999</v>
          </cell>
          <cell r="AI245">
            <v>1.6318565359999999</v>
          </cell>
          <cell r="AJ245">
            <v>1.668364129</v>
          </cell>
          <cell r="AK245">
            <v>1.7060236710000001</v>
          </cell>
          <cell r="AL245">
            <v>1.744516594</v>
          </cell>
          <cell r="AM245">
            <v>1.78355179</v>
          </cell>
          <cell r="AN245">
            <v>1.8228398189999999</v>
          </cell>
          <cell r="AO245">
            <v>1.862080902</v>
          </cell>
        </row>
        <row r="248">
          <cell r="E248" t="str">
            <v>YG_toe_cfut_0</v>
          </cell>
          <cell r="F248">
            <v>42.28829657</v>
          </cell>
          <cell r="G248">
            <v>42.548102569999998</v>
          </cell>
          <cell r="H248">
            <v>42.80916706</v>
          </cell>
          <cell r="I248">
            <v>43.123597279999998</v>
          </cell>
          <cell r="J248">
            <v>43.562713799999997</v>
          </cell>
          <cell r="K248">
            <v>44.114508639999997</v>
          </cell>
          <cell r="L248">
            <v>44.738527570000002</v>
          </cell>
          <cell r="M248">
            <v>45.397055139999999</v>
          </cell>
          <cell r="N248">
            <v>46.07258221</v>
          </cell>
          <cell r="O248">
            <v>46.757328399999999</v>
          </cell>
          <cell r="P248">
            <v>47.438859010000002</v>
          </cell>
          <cell r="Q248">
            <v>48.048547640000002</v>
          </cell>
          <cell r="R248">
            <v>48.59196626</v>
          </cell>
          <cell r="S248">
            <v>49.079127270000001</v>
          </cell>
          <cell r="T248">
            <v>49.523342499999998</v>
          </cell>
          <cell r="U248">
            <v>49.938285180000001</v>
          </cell>
          <cell r="V248">
            <v>50.351786429999997</v>
          </cell>
          <cell r="W248">
            <v>50.789159669999997</v>
          </cell>
          <cell r="X248">
            <v>51.264077139999998</v>
          </cell>
          <cell r="Y248">
            <v>51.781962</v>
          </cell>
          <cell r="Z248">
            <v>52.339901640000001</v>
          </cell>
          <cell r="AA248">
            <v>52.947728580000003</v>
          </cell>
          <cell r="AB248">
            <v>53.609107829999999</v>
          </cell>
          <cell r="AC248">
            <v>54.327213720000003</v>
          </cell>
          <cell r="AD248">
            <v>55.103142159999997</v>
          </cell>
          <cell r="AE248">
            <v>55.921124630000001</v>
          </cell>
          <cell r="AF248">
            <v>56.796555040000001</v>
          </cell>
          <cell r="AG248">
            <v>57.73392226</v>
          </cell>
          <cell r="AH248">
            <v>58.73529396</v>
          </cell>
          <cell r="AI248">
            <v>59.795428809999997</v>
          </cell>
          <cell r="AJ248">
            <v>60.904536059999998</v>
          </cell>
          <cell r="AK248">
            <v>62.052451009999999</v>
          </cell>
          <cell r="AL248">
            <v>63.2297291</v>
          </cell>
          <cell r="AM248">
            <v>64.426849300000001</v>
          </cell>
          <cell r="AN248">
            <v>65.633912659999993</v>
          </cell>
          <cell r="AO248">
            <v>66.840610799999993</v>
          </cell>
        </row>
        <row r="251">
          <cell r="E251" t="str">
            <v>YG_toe_cfuh_0</v>
          </cell>
          <cell r="F251">
            <v>7.9213451880000001</v>
          </cell>
          <cell r="G251">
            <v>7.9775738729999999</v>
          </cell>
          <cell r="H251">
            <v>8.0342132759999991</v>
          </cell>
          <cell r="I251">
            <v>8.0899670189999995</v>
          </cell>
          <cell r="J251">
            <v>8.1659663049999995</v>
          </cell>
          <cell r="K251">
            <v>8.2594118810000001</v>
          </cell>
          <cell r="L251">
            <v>8.3566745470000008</v>
          </cell>
          <cell r="M251">
            <v>8.4520067119999993</v>
          </cell>
          <cell r="N251">
            <v>8.5455760670000007</v>
          </cell>
          <cell r="O251">
            <v>8.6384065270000008</v>
          </cell>
          <cell r="P251">
            <v>8.7305727419999997</v>
          </cell>
          <cell r="Q251">
            <v>8.8044127210000003</v>
          </cell>
          <cell r="R251">
            <v>8.8627550270000004</v>
          </cell>
          <cell r="S251">
            <v>8.909513703</v>
          </cell>
          <cell r="T251">
            <v>8.9487056119999995</v>
          </cell>
          <cell r="U251">
            <v>8.9839159439999996</v>
          </cell>
          <cell r="V251">
            <v>9.0262570869999994</v>
          </cell>
          <cell r="W251">
            <v>9.0796203510000009</v>
          </cell>
          <cell r="X251">
            <v>9.1460141840000002</v>
          </cell>
          <cell r="Y251">
            <v>9.2253880410000004</v>
          </cell>
          <cell r="Z251">
            <v>9.3151601379999995</v>
          </cell>
          <cell r="AA251">
            <v>9.4186014619999998</v>
          </cell>
          <cell r="AB251">
            <v>9.5353743079999997</v>
          </cell>
          <cell r="AC251">
            <v>9.6656380219999996</v>
          </cell>
          <cell r="AD251">
            <v>9.8093289039999991</v>
          </cell>
          <cell r="AE251">
            <v>9.9600842089999997</v>
          </cell>
          <cell r="AF251">
            <v>10.124813700000001</v>
          </cell>
          <cell r="AG251">
            <v>10.304134149999999</v>
          </cell>
          <cell r="AH251">
            <v>10.498287749999999</v>
          </cell>
          <cell r="AI251">
            <v>10.70588484</v>
          </cell>
          <cell r="AJ251">
            <v>10.92451799</v>
          </cell>
          <cell r="AK251">
            <v>11.15178124</v>
          </cell>
          <cell r="AL251">
            <v>11.385407150000001</v>
          </cell>
          <cell r="AM251">
            <v>11.62321698</v>
          </cell>
          <cell r="AN251">
            <v>11.86312457</v>
          </cell>
          <cell r="AO251">
            <v>12.10305393</v>
          </cell>
        </row>
        <row r="253">
          <cell r="E253" t="str">
            <v>YG_toe_cgas_0</v>
          </cell>
          <cell r="F253">
            <v>6.6386576159999997</v>
          </cell>
          <cell r="G253">
            <v>6.522425191</v>
          </cell>
          <cell r="H253">
            <v>6.4213536949999996</v>
          </cell>
          <cell r="I253">
            <v>6.3212452590000003</v>
          </cell>
          <cell r="J253">
            <v>6.2612658950000002</v>
          </cell>
          <cell r="K253">
            <v>6.2076424709999998</v>
          </cell>
          <cell r="L253">
            <v>6.1326393330000002</v>
          </cell>
          <cell r="M253">
            <v>6.0562320029999999</v>
          </cell>
          <cell r="N253">
            <v>5.988897047</v>
          </cell>
          <cell r="O253">
            <v>5.932130248</v>
          </cell>
          <cell r="P253">
            <v>5.8932909359999996</v>
          </cell>
          <cell r="Q253">
            <v>5.8901836730000001</v>
          </cell>
          <cell r="R253">
            <v>5.9144278290000001</v>
          </cell>
          <cell r="S253">
            <v>5.9594628529999998</v>
          </cell>
          <cell r="T253">
            <v>6.0177920150000004</v>
          </cell>
          <cell r="U253">
            <v>6.0825305600000004</v>
          </cell>
          <cell r="V253">
            <v>6.1538527060000003</v>
          </cell>
          <cell r="W253">
            <v>6.213217255</v>
          </cell>
          <cell r="X253">
            <v>6.2565631279999998</v>
          </cell>
          <cell r="Y253">
            <v>6.2815123389999998</v>
          </cell>
          <cell r="Z253">
            <v>6.2858742850000002</v>
          </cell>
          <cell r="AA253">
            <v>6.2708272779999996</v>
          </cell>
          <cell r="AB253">
            <v>6.2356752220000002</v>
          </cell>
          <cell r="AC253">
            <v>6.180366169</v>
          </cell>
          <cell r="AD253">
            <v>6.1057540369999996</v>
          </cell>
          <cell r="AE253">
            <v>6.0105595779999996</v>
          </cell>
          <cell r="AF253">
            <v>5.8977544870000003</v>
          </cell>
          <cell r="AG253">
            <v>5.766881251</v>
          </cell>
          <cell r="AH253">
            <v>5.6181806620000003</v>
          </cell>
          <cell r="AI253">
            <v>5.4546402839999999</v>
          </cell>
          <cell r="AJ253">
            <v>5.2804157050000002</v>
          </cell>
          <cell r="AK253">
            <v>5.0991108389999997</v>
          </cell>
          <cell r="AL253">
            <v>4.9130373870000001</v>
          </cell>
          <cell r="AM253">
            <v>4.7245029949999999</v>
          </cell>
          <cell r="AN253">
            <v>4.5359318709999998</v>
          </cell>
          <cell r="AO253">
            <v>4.3498480080000004</v>
          </cell>
        </row>
        <row r="259">
          <cell r="E259" t="str">
            <v>YG_toe_cele_0</v>
          </cell>
          <cell r="F259">
            <v>57.547032489999999</v>
          </cell>
          <cell r="G259">
            <v>58.55427598</v>
          </cell>
          <cell r="H259">
            <v>59.548888339999998</v>
          </cell>
          <cell r="I259">
            <v>60.623778020000003</v>
          </cell>
          <cell r="J259">
            <v>61.642122180000001</v>
          </cell>
          <cell r="K259">
            <v>62.687911630000002</v>
          </cell>
          <cell r="L259">
            <v>63.796400249999998</v>
          </cell>
          <cell r="M259">
            <v>64.962668640000004</v>
          </cell>
          <cell r="N259">
            <v>66.160676899999999</v>
          </cell>
          <cell r="O259">
            <v>67.375159229999994</v>
          </cell>
          <cell r="P259">
            <v>68.560540700000004</v>
          </cell>
          <cell r="Q259">
            <v>69.502153019999994</v>
          </cell>
          <cell r="R259">
            <v>70.248246750000007</v>
          </cell>
          <cell r="S259">
            <v>70.847907570000004</v>
          </cell>
          <cell r="T259">
            <v>71.358616789999999</v>
          </cell>
          <cell r="U259">
            <v>71.833910520000003</v>
          </cell>
          <cell r="V259">
            <v>72.300600450000005</v>
          </cell>
          <cell r="W259">
            <v>72.815270740000003</v>
          </cell>
          <cell r="X259">
            <v>73.428794359999998</v>
          </cell>
          <cell r="Y259">
            <v>74.168536070000002</v>
          </cell>
          <cell r="Z259">
            <v>75.038690360000004</v>
          </cell>
          <cell r="AA259">
            <v>76.07472971</v>
          </cell>
          <cell r="AB259">
            <v>77.287740119999995</v>
          </cell>
          <cell r="AC259">
            <v>78.684043860000003</v>
          </cell>
          <cell r="AD259">
            <v>80.262831640000002</v>
          </cell>
          <cell r="AE259">
            <v>81.979327170000005</v>
          </cell>
          <cell r="AF259">
            <v>83.876476440000005</v>
          </cell>
          <cell r="AG259">
            <v>85.957248710000002</v>
          </cell>
          <cell r="AH259">
            <v>88.216010960000006</v>
          </cell>
          <cell r="AI259">
            <v>90.622213270000003</v>
          </cell>
          <cell r="AJ259">
            <v>93.134744569999995</v>
          </cell>
          <cell r="AK259">
            <v>95.716889300000005</v>
          </cell>
          <cell r="AL259">
            <v>98.338958439999999</v>
          </cell>
          <cell r="AM259">
            <v>100.9747893</v>
          </cell>
          <cell r="AN259">
            <v>103.60031290000001</v>
          </cell>
          <cell r="AO259">
            <v>106.1929993</v>
          </cell>
        </row>
        <row r="269">
          <cell r="E269" t="str">
            <v>YG_toe_chea_0</v>
          </cell>
          <cell r="F269">
            <v>5.7001631799999997</v>
          </cell>
          <cell r="G269">
            <v>5.7677206009999997</v>
          </cell>
          <cell r="H269">
            <v>5.8379820660000004</v>
          </cell>
          <cell r="I269">
            <v>5.9069386169999998</v>
          </cell>
          <cell r="J269">
            <v>5.9803053889999997</v>
          </cell>
          <cell r="K269">
            <v>6.0636773589999997</v>
          </cell>
          <cell r="L269">
            <v>6.1425222100000001</v>
          </cell>
          <cell r="M269">
            <v>6.2162056789999998</v>
          </cell>
          <cell r="N269">
            <v>6.285579823</v>
          </cell>
          <cell r="O269">
            <v>6.3522731759999997</v>
          </cell>
          <cell r="P269">
            <v>6.421887678</v>
          </cell>
          <cell r="Q269">
            <v>6.475403515</v>
          </cell>
          <cell r="R269">
            <v>6.5172705530000004</v>
          </cell>
          <cell r="S269">
            <v>6.5511276430000001</v>
          </cell>
          <cell r="T269">
            <v>6.5800948010000004</v>
          </cell>
          <cell r="U269">
            <v>6.606743668</v>
          </cell>
          <cell r="V269">
            <v>6.641120999</v>
          </cell>
          <cell r="W269">
            <v>6.6852565630000003</v>
          </cell>
          <cell r="X269">
            <v>6.7392457180000003</v>
          </cell>
          <cell r="Y269">
            <v>6.8016795659999998</v>
          </cell>
          <cell r="Z269">
            <v>6.8674706739999998</v>
          </cell>
          <cell r="AA269">
            <v>6.9439296329999998</v>
          </cell>
          <cell r="AB269">
            <v>7.0300715010000001</v>
          </cell>
          <cell r="AC269">
            <v>7.1255949330000004</v>
          </cell>
          <cell r="AD269">
            <v>7.230228554</v>
          </cell>
          <cell r="AE269">
            <v>7.3313102490000004</v>
          </cell>
          <cell r="AF269">
            <v>7.4430717570000002</v>
          </cell>
          <cell r="AG269">
            <v>7.5651104509999998</v>
          </cell>
          <cell r="AH269">
            <v>7.697054219</v>
          </cell>
          <cell r="AI269">
            <v>7.8374717460000003</v>
          </cell>
          <cell r="AJ269">
            <v>7.9843844600000002</v>
          </cell>
          <cell r="AK269">
            <v>8.1359304300000002</v>
          </cell>
          <cell r="AL269">
            <v>8.2905154349999997</v>
          </cell>
          <cell r="AM269">
            <v>8.4466667530000006</v>
          </cell>
          <cell r="AN269">
            <v>8.6029675700000006</v>
          </cell>
          <cell r="AO269">
            <v>8.7580384389999999</v>
          </cell>
        </row>
        <row r="271">
          <cell r="E271" t="str">
            <v>YG_toe_cbio_0</v>
          </cell>
          <cell r="F271">
            <v>11.16413483</v>
          </cell>
          <cell r="G271">
            <v>11.161707249999999</v>
          </cell>
          <cell r="H271">
            <v>11.15922179</v>
          </cell>
          <cell r="I271">
            <v>11.152932939999999</v>
          </cell>
          <cell r="J271">
            <v>11.18466334</v>
          </cell>
          <cell r="K271">
            <v>11.24155421</v>
          </cell>
          <cell r="L271">
            <v>11.315169040000001</v>
          </cell>
          <cell r="M271">
            <v>11.398500090000001</v>
          </cell>
          <cell r="N271">
            <v>11.48814396</v>
          </cell>
          <cell r="O271">
            <v>11.581376199999999</v>
          </cell>
          <cell r="P271">
            <v>11.67817106</v>
          </cell>
          <cell r="Q271">
            <v>11.753937260000001</v>
          </cell>
          <cell r="R271">
            <v>11.81189638</v>
          </cell>
          <cell r="S271">
            <v>11.85720242</v>
          </cell>
          <cell r="T271">
            <v>11.89519995</v>
          </cell>
          <cell r="U271">
            <v>11.930483410000001</v>
          </cell>
          <cell r="V271">
            <v>11.964012820000001</v>
          </cell>
          <cell r="W271">
            <v>12.00046974</v>
          </cell>
          <cell r="X271">
            <v>12.04673101</v>
          </cell>
          <cell r="Y271">
            <v>12.105280520000001</v>
          </cell>
          <cell r="Z271">
            <v>12.173057460000001</v>
          </cell>
          <cell r="AA271">
            <v>12.25693081</v>
          </cell>
          <cell r="AB271">
            <v>12.35675983</v>
          </cell>
          <cell r="AC271">
            <v>12.472429289999999</v>
          </cell>
          <cell r="AD271">
            <v>12.603498699999999</v>
          </cell>
          <cell r="AE271">
            <v>12.73817639</v>
          </cell>
          <cell r="AF271">
            <v>12.8884524</v>
          </cell>
          <cell r="AG271">
            <v>13.05474476</v>
          </cell>
          <cell r="AH271">
            <v>13.236560519999999</v>
          </cell>
          <cell r="AI271">
            <v>13.431521330000001</v>
          </cell>
          <cell r="AJ271">
            <v>13.63634967</v>
          </cell>
          <cell r="AK271">
            <v>13.84803318</v>
          </cell>
          <cell r="AL271">
            <v>14.063915939999999</v>
          </cell>
          <cell r="AM271">
            <v>14.28168269</v>
          </cell>
          <cell r="AN271">
            <v>14.499201559999999</v>
          </cell>
          <cell r="AO271">
            <v>14.71445961</v>
          </cell>
        </row>
        <row r="274">
          <cell r="E274" t="str">
            <v>YG_toe_cote_0</v>
          </cell>
          <cell r="F274">
            <v>13.83758336</v>
          </cell>
          <cell r="G274">
            <v>14.17041466</v>
          </cell>
          <cell r="H274">
            <v>14.525528570000001</v>
          </cell>
          <cell r="I274">
            <v>14.8936788</v>
          </cell>
          <cell r="J274">
            <v>15.288477350000001</v>
          </cell>
          <cell r="K274">
            <v>15.711431380000001</v>
          </cell>
          <cell r="L274">
            <v>16.157851780000001</v>
          </cell>
          <cell r="M274">
            <v>16.615797749999999</v>
          </cell>
          <cell r="N274">
            <v>17.0807678</v>
          </cell>
          <cell r="O274">
            <v>17.552065949999999</v>
          </cell>
          <cell r="P274">
            <v>18.00664548</v>
          </cell>
          <cell r="Q274">
            <v>18.364459199999999</v>
          </cell>
          <cell r="R274">
            <v>18.656982920000001</v>
          </cell>
          <cell r="S274">
            <v>18.906539120000001</v>
          </cell>
          <cell r="T274">
            <v>19.134781010000001</v>
          </cell>
          <cell r="U274">
            <v>19.358986689999998</v>
          </cell>
          <cell r="V274">
            <v>19.59584864</v>
          </cell>
          <cell r="W274">
            <v>19.864283409999999</v>
          </cell>
          <cell r="X274">
            <v>20.174736200000002</v>
          </cell>
          <cell r="Y274">
            <v>20.530400629999999</v>
          </cell>
          <cell r="Z274">
            <v>20.931663990000001</v>
          </cell>
          <cell r="AA274">
            <v>21.382320150000002</v>
          </cell>
          <cell r="AB274">
            <v>21.885965989999999</v>
          </cell>
          <cell r="AC274">
            <v>22.443894050000001</v>
          </cell>
          <cell r="AD274">
            <v>23.053909260000001</v>
          </cell>
          <cell r="AE274">
            <v>23.709756720000001</v>
          </cell>
          <cell r="AF274">
            <v>24.41709002</v>
          </cell>
          <cell r="AG274">
            <v>25.180723929999999</v>
          </cell>
          <cell r="AH274">
            <v>26.000926710000002</v>
          </cell>
          <cell r="AI274">
            <v>26.867923149999999</v>
          </cell>
          <cell r="AJ274">
            <v>27.76841851</v>
          </cell>
          <cell r="AK274">
            <v>28.69222869</v>
          </cell>
          <cell r="AL274">
            <v>29.632525449999999</v>
          </cell>
          <cell r="AM274">
            <v>30.583486440000001</v>
          </cell>
          <cell r="AN274">
            <v>31.539415760000001</v>
          </cell>
          <cell r="AO274">
            <v>32.494354569999999</v>
          </cell>
        </row>
        <row r="281">
          <cell r="F281">
            <v>161.694278</v>
          </cell>
          <cell r="G281">
            <v>162.56035790000001</v>
          </cell>
          <cell r="H281">
            <v>163.5037744</v>
          </cell>
          <cell r="I281">
            <v>164.4875127</v>
          </cell>
          <cell r="J281">
            <v>166.08890919999999</v>
          </cell>
          <cell r="K281">
            <v>168.2065844</v>
          </cell>
          <cell r="L281">
            <v>170.3682201</v>
          </cell>
          <cell r="M281">
            <v>170.44844409999999</v>
          </cell>
          <cell r="N281">
            <v>170.1835222</v>
          </cell>
          <cell r="O281">
            <v>170.36272940000001</v>
          </cell>
          <cell r="P281">
            <v>170.58770949999999</v>
          </cell>
          <cell r="Q281">
            <v>170.6197114</v>
          </cell>
          <cell r="R281">
            <v>170.47898259999999</v>
          </cell>
          <cell r="S281">
            <v>170.2552349</v>
          </cell>
          <cell r="T281">
            <v>170.06128630000001</v>
          </cell>
          <cell r="U281">
            <v>169.96166049999999</v>
          </cell>
          <cell r="V281">
            <v>169.99725989999999</v>
          </cell>
          <cell r="W281">
            <v>170.1943028</v>
          </cell>
          <cell r="X281">
            <v>170.5962068</v>
          </cell>
          <cell r="Y281">
            <v>171.2414972</v>
          </cell>
          <cell r="Z281">
            <v>172.12940259999999</v>
          </cell>
          <cell r="AA281">
            <v>173.36146650000001</v>
          </cell>
          <cell r="AB281">
            <v>174.96918410000001</v>
          </cell>
          <cell r="AC281">
            <v>176.97688120000001</v>
          </cell>
          <cell r="AD281">
            <v>179.3981508</v>
          </cell>
          <cell r="AE281">
            <v>182.13088980000001</v>
          </cell>
          <cell r="AF281">
            <v>185.31930249999999</v>
          </cell>
          <cell r="AG281">
            <v>189.01768659999999</v>
          </cell>
          <cell r="AH281">
            <v>193.2531357</v>
          </cell>
          <cell r="AI281">
            <v>198.01643079999999</v>
          </cell>
          <cell r="AJ281">
            <v>203.28643539999999</v>
          </cell>
          <cell r="AK281">
            <v>209.06421330000001</v>
          </cell>
          <cell r="AL281">
            <v>215.38052329999999</v>
          </cell>
          <cell r="AM281">
            <v>222.28838049999999</v>
          </cell>
          <cell r="AN281">
            <v>229.8820825</v>
          </cell>
          <cell r="AO281">
            <v>238.3284625</v>
          </cell>
        </row>
        <row r="282">
          <cell r="E282" t="str">
            <v>CF_toe_ccoa_2</v>
          </cell>
          <cell r="F282">
            <v>5.4028819029999999</v>
          </cell>
          <cell r="G282">
            <v>5.4417643299999998</v>
          </cell>
          <cell r="H282">
            <v>5.4869099500000003</v>
          </cell>
          <cell r="I282">
            <v>5.5157433400000002</v>
          </cell>
          <cell r="J282">
            <v>5.5836629550000003</v>
          </cell>
          <cell r="K282">
            <v>5.6822486789999997</v>
          </cell>
          <cell r="L282">
            <v>5.7931502889999997</v>
          </cell>
          <cell r="M282">
            <v>5.6864711630000002</v>
          </cell>
          <cell r="N282">
            <v>5.5459079259999999</v>
          </cell>
          <cell r="O282">
            <v>5.4358420619999999</v>
          </cell>
          <cell r="P282">
            <v>5.3298127099999997</v>
          </cell>
          <cell r="Q282">
            <v>5.236475328</v>
          </cell>
          <cell r="R282">
            <v>5.1497445820000003</v>
          </cell>
          <cell r="S282">
            <v>5.0703202479999998</v>
          </cell>
          <cell r="T282">
            <v>5.0018012709999997</v>
          </cell>
          <cell r="U282">
            <v>4.9455317430000001</v>
          </cell>
          <cell r="V282">
            <v>4.8895358140000003</v>
          </cell>
          <cell r="W282">
            <v>4.8398783849999996</v>
          </cell>
          <cell r="X282">
            <v>4.8005603819999996</v>
          </cell>
          <cell r="Y282">
            <v>4.7734204059999996</v>
          </cell>
          <cell r="Z282">
            <v>4.7590040350000002</v>
          </cell>
          <cell r="AA282">
            <v>4.7586378749999998</v>
          </cell>
          <cell r="AB282">
            <v>4.773137438</v>
          </cell>
          <cell r="AC282">
            <v>4.8025233900000002</v>
          </cell>
          <cell r="AD282">
            <v>4.8461388640000003</v>
          </cell>
          <cell r="AE282">
            <v>4.9019888490000003</v>
          </cell>
          <cell r="AF282">
            <v>4.9708925009999998</v>
          </cell>
          <cell r="AG282">
            <v>5.0544632309999997</v>
          </cell>
          <cell r="AH282">
            <v>5.152439963</v>
          </cell>
          <cell r="AI282">
            <v>5.2628198780000002</v>
          </cell>
          <cell r="AJ282">
            <v>5.3831477559999996</v>
          </cell>
          <cell r="AK282">
            <v>5.5119283460000004</v>
          </cell>
          <cell r="AL282">
            <v>5.6486535690000004</v>
          </cell>
          <cell r="AM282">
            <v>5.7931166530000002</v>
          </cell>
          <cell r="AN282">
            <v>5.945704836</v>
          </cell>
          <cell r="AO282">
            <v>6.1077716009999996</v>
          </cell>
        </row>
        <row r="285">
          <cell r="E285" t="str">
            <v>CF_toe_ccoi_2</v>
          </cell>
          <cell r="F285">
            <v>8.3953620399999998E-2</v>
          </cell>
          <cell r="G285">
            <v>8.4487726900000004E-2</v>
          </cell>
          <cell r="H285">
            <v>8.5096733600000002E-2</v>
          </cell>
          <cell r="I285">
            <v>8.5569667000000002E-2</v>
          </cell>
          <cell r="J285">
            <v>8.6607630300000002E-2</v>
          </cell>
          <cell r="K285">
            <v>8.8118457900000002E-2</v>
          </cell>
          <cell r="L285">
            <v>8.9341862300000005E-2</v>
          </cell>
          <cell r="M285">
            <v>8.7874883000000001E-2</v>
          </cell>
          <cell r="N285">
            <v>8.5906913900000006E-2</v>
          </cell>
          <cell r="O285">
            <v>8.4336401500000005E-2</v>
          </cell>
          <cell r="P285">
            <v>8.2923241199999997E-2</v>
          </cell>
          <cell r="Q285">
            <v>8.17042189E-2</v>
          </cell>
          <cell r="R285">
            <v>8.0564281700000004E-2</v>
          </cell>
          <cell r="S285">
            <v>7.9480792100000003E-2</v>
          </cell>
          <cell r="T285">
            <v>7.8485562600000003E-2</v>
          </cell>
          <cell r="U285">
            <v>7.7596101900000006E-2</v>
          </cell>
          <cell r="V285">
            <v>7.6855001899999997E-2</v>
          </cell>
          <cell r="W285">
            <v>7.6266440800000002E-2</v>
          </cell>
          <cell r="X285">
            <v>7.5848628900000006E-2</v>
          </cell>
          <cell r="Y285">
            <v>7.56134423E-2</v>
          </cell>
          <cell r="Z285">
            <v>7.5558632200000003E-2</v>
          </cell>
          <cell r="AA285">
            <v>7.5717658300000004E-2</v>
          </cell>
          <cell r="AB285">
            <v>7.6104705300000006E-2</v>
          </cell>
          <cell r="AC285">
            <v>7.6725222499999995E-2</v>
          </cell>
          <cell r="AD285">
            <v>7.7575812800000005E-2</v>
          </cell>
          <cell r="AE285">
            <v>7.86159741E-2</v>
          </cell>
          <cell r="AF285">
            <v>7.9893198700000001E-2</v>
          </cell>
          <cell r="AG285">
            <v>8.1440271600000003E-2</v>
          </cell>
          <cell r="AH285">
            <v>8.3265785999999994E-2</v>
          </cell>
          <cell r="AI285">
            <v>8.5352988000000005E-2</v>
          </cell>
          <cell r="AJ285">
            <v>8.7677744899999993E-2</v>
          </cell>
          <cell r="AK285">
            <v>9.0232540999999999E-2</v>
          </cell>
          <cell r="AL285">
            <v>9.3029906900000001E-2</v>
          </cell>
          <cell r="AM285">
            <v>9.6094160900000003E-2</v>
          </cell>
          <cell r="AN285">
            <v>9.9474450899999997E-2</v>
          </cell>
          <cell r="AO285">
            <v>0.1032660727</v>
          </cell>
        </row>
        <row r="288">
          <cell r="E288" t="str">
            <v>CF_toe_cfut_2</v>
          </cell>
          <cell r="F288">
            <v>47.250386450000001</v>
          </cell>
          <cell r="G288">
            <v>47.454178390000003</v>
          </cell>
          <cell r="H288">
            <v>47.664633569999999</v>
          </cell>
          <cell r="I288">
            <v>47.948648009999999</v>
          </cell>
          <cell r="J288">
            <v>48.426721260000001</v>
          </cell>
          <cell r="K288">
            <v>49.07871188</v>
          </cell>
          <cell r="L288">
            <v>49.835805049999998</v>
          </cell>
          <cell r="M288">
            <v>50.177500549999998</v>
          </cell>
          <cell r="N288">
            <v>50.421549759999998</v>
          </cell>
          <cell r="O288">
            <v>50.780576910000001</v>
          </cell>
          <cell r="P288">
            <v>51.172807630000001</v>
          </cell>
          <cell r="Q288">
            <v>51.561140199999997</v>
          </cell>
          <cell r="R288">
            <v>51.927047299999998</v>
          </cell>
          <cell r="S288">
            <v>52.266564809999998</v>
          </cell>
          <cell r="T288">
            <v>52.589047479999998</v>
          </cell>
          <cell r="U288">
            <v>52.900719860000002</v>
          </cell>
          <cell r="V288">
            <v>53.181804720000002</v>
          </cell>
          <cell r="W288">
            <v>53.457785149999999</v>
          </cell>
          <cell r="X288">
            <v>53.752634049999998</v>
          </cell>
          <cell r="Y288">
            <v>54.08344632</v>
          </cell>
          <cell r="Z288">
            <v>54.45630525</v>
          </cell>
          <cell r="AA288">
            <v>54.894156629999998</v>
          </cell>
          <cell r="AB288">
            <v>55.41023182</v>
          </cell>
          <cell r="AC288">
            <v>56.014710309999998</v>
          </cell>
          <cell r="AD288">
            <v>56.714194910000003</v>
          </cell>
          <cell r="AE288">
            <v>57.492584620000002</v>
          </cell>
          <cell r="AF288">
            <v>58.379992399999999</v>
          </cell>
          <cell r="AG288">
            <v>59.395774950000003</v>
          </cell>
          <cell r="AH288">
            <v>60.553795340000001</v>
          </cell>
          <cell r="AI288">
            <v>61.859716290000001</v>
          </cell>
          <cell r="AJ288">
            <v>63.316399099999998</v>
          </cell>
          <cell r="AK288">
            <v>64.932859480000005</v>
          </cell>
          <cell r="AL288">
            <v>66.727429529999995</v>
          </cell>
          <cell r="AM288">
            <v>68.727493350000003</v>
          </cell>
          <cell r="AN288">
            <v>70.976800499999996</v>
          </cell>
          <cell r="AO288">
            <v>73.548354369999998</v>
          </cell>
        </row>
        <row r="291">
          <cell r="E291" t="str">
            <v>CF_toe_cfuh_2</v>
          </cell>
          <cell r="F291">
            <v>14.789342299999999</v>
          </cell>
          <cell r="G291">
            <v>14.86579527</v>
          </cell>
          <cell r="H291">
            <v>14.93813982</v>
          </cell>
          <cell r="I291">
            <v>15.004858560000001</v>
          </cell>
          <cell r="J291">
            <v>15.11535231</v>
          </cell>
          <cell r="K291">
            <v>15.26344581</v>
          </cell>
          <cell r="L291">
            <v>15.419957139999999</v>
          </cell>
          <cell r="M291">
            <v>15.37695873</v>
          </cell>
          <cell r="N291">
            <v>15.27669727</v>
          </cell>
          <cell r="O291">
            <v>15.17093244</v>
          </cell>
          <cell r="P291">
            <v>15.04040348</v>
          </cell>
          <cell r="Q291">
            <v>14.8920575</v>
          </cell>
          <cell r="R291">
            <v>14.73839179</v>
          </cell>
          <cell r="S291">
            <v>14.59297847</v>
          </cell>
          <cell r="T291">
            <v>14.466439619999999</v>
          </cell>
          <cell r="U291">
            <v>14.36331607</v>
          </cell>
          <cell r="V291">
            <v>14.279787929999999</v>
          </cell>
          <cell r="W291">
            <v>14.21832086</v>
          </cell>
          <cell r="X291">
            <v>14.18059682</v>
          </cell>
          <cell r="Y291">
            <v>14.16843989</v>
          </cell>
          <cell r="Z291">
            <v>14.180224730000001</v>
          </cell>
          <cell r="AA291">
            <v>14.22542133</v>
          </cell>
          <cell r="AB291">
            <v>14.30642587</v>
          </cell>
          <cell r="AC291">
            <v>14.42492977</v>
          </cell>
          <cell r="AD291">
            <v>14.58194557</v>
          </cell>
          <cell r="AE291">
            <v>14.7664825</v>
          </cell>
          <cell r="AF291">
            <v>14.99299409</v>
          </cell>
          <cell r="AG291">
            <v>15.26470104</v>
          </cell>
          <cell r="AH291">
            <v>15.584181600000001</v>
          </cell>
          <cell r="AI291">
            <v>15.95188602</v>
          </cell>
          <cell r="AJ291">
            <v>16.367539059999999</v>
          </cell>
          <cell r="AK291">
            <v>16.832348369999998</v>
          </cell>
          <cell r="AL291">
            <v>17.350065799999999</v>
          </cell>
          <cell r="AM291">
            <v>17.92741367</v>
          </cell>
          <cell r="AN291">
            <v>18.575726939999999</v>
          </cell>
          <cell r="AO291">
            <v>19.314254909999999</v>
          </cell>
        </row>
        <row r="293">
          <cell r="E293" t="str">
            <v>CF_toe_cgas_2</v>
          </cell>
          <cell r="F293">
            <v>34.131798230000001</v>
          </cell>
          <cell r="G293">
            <v>33.929933200000001</v>
          </cell>
          <cell r="H293">
            <v>33.779355010000003</v>
          </cell>
          <cell r="I293">
            <v>33.555110650000003</v>
          </cell>
          <cell r="J293">
            <v>33.647932879999999</v>
          </cell>
          <cell r="K293">
            <v>33.940239400000003</v>
          </cell>
          <cell r="L293">
            <v>34.084864469999999</v>
          </cell>
          <cell r="M293">
            <v>32.989752109999998</v>
          </cell>
          <cell r="N293">
            <v>31.9131456</v>
          </cell>
          <cell r="O293">
            <v>31.073389580000001</v>
          </cell>
          <cell r="P293">
            <v>30.39337128</v>
          </cell>
          <cell r="Q293">
            <v>29.918490569999999</v>
          </cell>
          <cell r="R293">
            <v>29.5441763</v>
          </cell>
          <cell r="S293">
            <v>29.231415089999999</v>
          </cell>
          <cell r="T293">
            <v>28.9729919</v>
          </cell>
          <cell r="U293">
            <v>28.766245139999999</v>
          </cell>
          <cell r="V293">
            <v>28.634771579999999</v>
          </cell>
          <cell r="W293">
            <v>28.57143258</v>
          </cell>
          <cell r="X293">
            <v>28.57554373</v>
          </cell>
          <cell r="Y293">
            <v>28.6479122</v>
          </cell>
          <cell r="Z293">
            <v>28.782966420000001</v>
          </cell>
          <cell r="AA293">
            <v>28.999557540000001</v>
          </cell>
          <cell r="AB293">
            <v>29.29809358</v>
          </cell>
          <cell r="AC293">
            <v>29.68089642</v>
          </cell>
          <cell r="AD293">
            <v>30.150859799999999</v>
          </cell>
          <cell r="AE293">
            <v>30.687518140000002</v>
          </cell>
          <cell r="AF293">
            <v>31.325276590000001</v>
          </cell>
          <cell r="AG293">
            <v>32.077785140000003</v>
          </cell>
          <cell r="AH293">
            <v>32.954943290000003</v>
          </cell>
          <cell r="AI293">
            <v>33.962201399999998</v>
          </cell>
          <cell r="AJ293">
            <v>35.10483327</v>
          </cell>
          <cell r="AK293">
            <v>36.394388470000003</v>
          </cell>
          <cell r="AL293">
            <v>37.850784089999998</v>
          </cell>
          <cell r="AM293">
            <v>39.50194698</v>
          </cell>
          <cell r="AN293">
            <v>41.389245000000003</v>
          </cell>
          <cell r="AO293">
            <v>43.576637640000001</v>
          </cell>
        </row>
        <row r="299">
          <cell r="E299" t="str">
            <v>CF_toe_cele_2</v>
          </cell>
          <cell r="F299">
            <v>38.0292125</v>
          </cell>
          <cell r="G299">
            <v>38.591823099999999</v>
          </cell>
          <cell r="H299">
            <v>39.149834990000002</v>
          </cell>
          <cell r="I299">
            <v>39.77689213</v>
          </cell>
          <cell r="J299">
            <v>40.360251099999999</v>
          </cell>
          <cell r="K299">
            <v>40.963831149999997</v>
          </cell>
          <cell r="L299">
            <v>41.61658079</v>
          </cell>
          <cell r="M299">
            <v>42.59322272</v>
          </cell>
          <cell r="N299">
            <v>43.47354773</v>
          </cell>
          <cell r="O299">
            <v>44.373541600000003</v>
          </cell>
          <cell r="P299">
            <v>45.175988050000001</v>
          </cell>
          <cell r="Q299">
            <v>45.646250049999999</v>
          </cell>
          <cell r="R299">
            <v>45.906073280000001</v>
          </cell>
          <cell r="S299">
            <v>46.04754243</v>
          </cell>
          <cell r="T299">
            <v>46.140897690000003</v>
          </cell>
          <cell r="U299">
            <v>46.227758899999998</v>
          </cell>
          <cell r="V299">
            <v>46.366384940000003</v>
          </cell>
          <cell r="W299">
            <v>46.545398980000002</v>
          </cell>
          <cell r="X299">
            <v>46.770820149999999</v>
          </cell>
          <cell r="Y299">
            <v>47.054928859999997</v>
          </cell>
          <cell r="Z299">
            <v>47.401072890000002</v>
          </cell>
          <cell r="AA299">
            <v>47.84290266</v>
          </cell>
          <cell r="AB299">
            <v>48.392795569999997</v>
          </cell>
          <cell r="AC299">
            <v>49.059939</v>
          </cell>
          <cell r="AD299">
            <v>49.849153909999998</v>
          </cell>
          <cell r="AE299">
            <v>50.729389959999999</v>
          </cell>
          <cell r="AF299">
            <v>51.742057940000002</v>
          </cell>
          <cell r="AG299">
            <v>52.897729490000003</v>
          </cell>
          <cell r="AH299">
            <v>54.197621699999999</v>
          </cell>
          <cell r="AI299">
            <v>55.630034379999998</v>
          </cell>
          <cell r="AJ299">
            <v>57.177731340000001</v>
          </cell>
          <cell r="AK299">
            <v>58.827560759999997</v>
          </cell>
          <cell r="AL299">
            <v>60.571796910000003</v>
          </cell>
          <cell r="AM299">
            <v>62.40417515</v>
          </cell>
          <cell r="AN299">
            <v>64.323095660000007</v>
          </cell>
          <cell r="AO299">
            <v>66.336220789999999</v>
          </cell>
        </row>
        <row r="309">
          <cell r="E309" t="str">
            <v>CF_toe_chea_2</v>
          </cell>
          <cell r="F309">
            <v>5.1300730300000001</v>
          </cell>
          <cell r="G309">
            <v>5.1908649349999996</v>
          </cell>
          <cell r="H309">
            <v>5.2540962630000001</v>
          </cell>
          <cell r="I309">
            <v>5.3161463649999998</v>
          </cell>
          <cell r="J309">
            <v>5.3821779159999998</v>
          </cell>
          <cell r="K309">
            <v>5.4572244269999999</v>
          </cell>
          <cell r="L309">
            <v>5.528191005</v>
          </cell>
          <cell r="M309">
            <v>5.5644791189999996</v>
          </cell>
          <cell r="N309">
            <v>5.5807805730000002</v>
          </cell>
          <cell r="O309">
            <v>5.6138896049999998</v>
          </cell>
          <cell r="P309">
            <v>5.663478853</v>
          </cell>
          <cell r="Q309">
            <v>5.7099324649999996</v>
          </cell>
          <cell r="R309">
            <v>5.7549792909999997</v>
          </cell>
          <cell r="S309">
            <v>5.7975031579999996</v>
          </cell>
          <cell r="T309">
            <v>5.837810835</v>
          </cell>
          <cell r="U309">
            <v>5.876447486</v>
          </cell>
          <cell r="V309">
            <v>5.9172670959999998</v>
          </cell>
          <cell r="W309">
            <v>5.9593263829999996</v>
          </cell>
          <cell r="X309">
            <v>6.0030402179999998</v>
          </cell>
          <cell r="Y309">
            <v>6.049067934</v>
          </cell>
          <cell r="Z309">
            <v>6.09435196</v>
          </cell>
          <cell r="AA309">
            <v>6.1465277260000004</v>
          </cell>
          <cell r="AB309">
            <v>6.205778209</v>
          </cell>
          <cell r="AC309">
            <v>6.2728760880000003</v>
          </cell>
          <cell r="AD309">
            <v>6.3486954710000001</v>
          </cell>
          <cell r="AE309">
            <v>6.4230683270000002</v>
          </cell>
          <cell r="AF309">
            <v>6.5099277390000001</v>
          </cell>
          <cell r="AG309">
            <v>6.6102218610000003</v>
          </cell>
          <cell r="AH309">
            <v>6.7245551209999999</v>
          </cell>
          <cell r="AI309">
            <v>6.8527330969999998</v>
          </cell>
          <cell r="AJ309">
            <v>6.9942968609999996</v>
          </cell>
          <cell r="AK309">
            <v>7.1492308539999998</v>
          </cell>
          <cell r="AL309">
            <v>7.3177015269999997</v>
          </cell>
          <cell r="AM309">
            <v>7.5000637059999997</v>
          </cell>
          <cell r="AN309">
            <v>7.6974287370000001</v>
          </cell>
          <cell r="AO309">
            <v>7.9118936770000001</v>
          </cell>
        </row>
        <row r="311">
          <cell r="E311" t="str">
            <v>CF_toe_cbio_2</v>
          </cell>
          <cell r="F311">
            <v>8.1755841379999996</v>
          </cell>
          <cell r="G311">
            <v>8.1045385169999999</v>
          </cell>
          <cell r="H311">
            <v>8.0306456379999993</v>
          </cell>
          <cell r="I311">
            <v>7.944790534</v>
          </cell>
          <cell r="J311">
            <v>7.906079428</v>
          </cell>
          <cell r="K311">
            <v>7.8959381110000004</v>
          </cell>
          <cell r="L311">
            <v>7.9012156969999996</v>
          </cell>
          <cell r="M311">
            <v>7.7209294750000002</v>
          </cell>
          <cell r="N311">
            <v>7.5123285639999997</v>
          </cell>
          <cell r="O311">
            <v>7.2769323840000002</v>
          </cell>
          <cell r="P311">
            <v>7.0109702739999999</v>
          </cell>
          <cell r="Q311">
            <v>6.751216909</v>
          </cell>
          <cell r="R311">
            <v>6.4999608240000004</v>
          </cell>
          <cell r="S311">
            <v>6.265402023</v>
          </cell>
          <cell r="T311">
            <v>6.0528488899999999</v>
          </cell>
          <cell r="U311">
            <v>5.8635133420000001</v>
          </cell>
          <cell r="V311">
            <v>5.6799422740000001</v>
          </cell>
          <cell r="W311">
            <v>5.5071336540000004</v>
          </cell>
          <cell r="X311">
            <v>5.3470981899999996</v>
          </cell>
          <cell r="Y311">
            <v>5.2013482529999999</v>
          </cell>
          <cell r="Z311">
            <v>5.069079458</v>
          </cell>
          <cell r="AA311">
            <v>4.9546035609999999</v>
          </cell>
          <cell r="AB311">
            <v>4.8578134869999996</v>
          </cell>
          <cell r="AC311">
            <v>4.7784064620000004</v>
          </cell>
          <cell r="AD311">
            <v>4.7158251729999998</v>
          </cell>
          <cell r="AE311">
            <v>4.6637711370000003</v>
          </cell>
          <cell r="AF311">
            <v>4.6280147610000002</v>
          </cell>
          <cell r="AG311">
            <v>4.6079573089999997</v>
          </cell>
          <cell r="AH311">
            <v>4.6026433759999996</v>
          </cell>
          <cell r="AI311">
            <v>4.6106336680000002</v>
          </cell>
          <cell r="AJ311">
            <v>4.63035482</v>
          </cell>
          <cell r="AK311">
            <v>4.6605625049999997</v>
          </cell>
          <cell r="AL311">
            <v>4.7003741679999997</v>
          </cell>
          <cell r="AM311">
            <v>4.749064035</v>
          </cell>
          <cell r="AN311">
            <v>4.8062311050000002</v>
          </cell>
          <cell r="AO311">
            <v>4.8719481499999997</v>
          </cell>
        </row>
        <row r="314">
          <cell r="E314" t="str">
            <v>CF_toe_cote_2</v>
          </cell>
          <cell r="F314">
            <v>8.7010457809999995</v>
          </cell>
          <cell r="G314">
            <v>8.8969724009999993</v>
          </cell>
          <cell r="H314">
            <v>9.1150623989999993</v>
          </cell>
          <cell r="I314">
            <v>9.339753451</v>
          </cell>
          <cell r="J314">
            <v>9.5801237480000001</v>
          </cell>
          <cell r="K314">
            <v>9.8368265029999993</v>
          </cell>
          <cell r="L314">
            <v>10.09911376</v>
          </cell>
          <cell r="M314">
            <v>10.251255329999999</v>
          </cell>
          <cell r="N314">
            <v>10.37365786</v>
          </cell>
          <cell r="O314">
            <v>10.553288419999999</v>
          </cell>
          <cell r="P314">
            <v>10.71795404</v>
          </cell>
          <cell r="Q314">
            <v>10.8224442</v>
          </cell>
          <cell r="R314">
            <v>10.878044940000001</v>
          </cell>
          <cell r="S314">
            <v>10.904027859999999</v>
          </cell>
          <cell r="T314">
            <v>10.92096302</v>
          </cell>
          <cell r="U314">
            <v>10.940531869999999</v>
          </cell>
          <cell r="V314">
            <v>10.97091058</v>
          </cell>
          <cell r="W314">
            <v>11.018760370000001</v>
          </cell>
          <cell r="X314">
            <v>11.090064630000001</v>
          </cell>
          <cell r="Y314">
            <v>11.187319840000001</v>
          </cell>
          <cell r="Z314">
            <v>11.31083918</v>
          </cell>
          <cell r="AA314">
            <v>11.463941549999999</v>
          </cell>
          <cell r="AB314">
            <v>11.64880346</v>
          </cell>
          <cell r="AC314">
            <v>11.865874489999999</v>
          </cell>
          <cell r="AD314">
            <v>12.1137613</v>
          </cell>
          <cell r="AE314">
            <v>12.38747029</v>
          </cell>
          <cell r="AF314">
            <v>12.690253309999999</v>
          </cell>
          <cell r="AG314">
            <v>13.02761332</v>
          </cell>
          <cell r="AH314">
            <v>13.39968949</v>
          </cell>
          <cell r="AI314">
            <v>13.80105309</v>
          </cell>
          <cell r="AJ314">
            <v>14.224455470000001</v>
          </cell>
          <cell r="AK314">
            <v>14.665101930000001</v>
          </cell>
          <cell r="AL314">
            <v>15.120687820000001</v>
          </cell>
          <cell r="AM314">
            <v>15.58901281</v>
          </cell>
          <cell r="AN314">
            <v>16.068375230000001</v>
          </cell>
          <cell r="AO314">
            <v>16.55811529</v>
          </cell>
        </row>
        <row r="317">
          <cell r="E317" t="str">
            <v>CF_toe_0</v>
          </cell>
          <cell r="F317">
            <v>161.694278</v>
          </cell>
          <cell r="G317">
            <v>162.5603581</v>
          </cell>
          <cell r="H317">
            <v>163.5037748</v>
          </cell>
          <cell r="I317">
            <v>164.48751329999999</v>
          </cell>
          <cell r="J317">
            <v>166.0889099</v>
          </cell>
          <cell r="K317">
            <v>168.20658520000001</v>
          </cell>
          <cell r="L317">
            <v>170.36822079999999</v>
          </cell>
          <cell r="M317">
            <v>172.53202659999999</v>
          </cell>
          <cell r="N317">
            <v>174.70423170000001</v>
          </cell>
          <cell r="O317">
            <v>176.8893966</v>
          </cell>
          <cell r="P317">
            <v>179.04627500000001</v>
          </cell>
          <cell r="Q317">
            <v>180.73530790000001</v>
          </cell>
          <cell r="R317">
            <v>182.0309115</v>
          </cell>
          <cell r="S317">
            <v>183.025712</v>
          </cell>
          <cell r="T317">
            <v>183.82264559999999</v>
          </cell>
          <cell r="U317">
            <v>184.5175931</v>
          </cell>
          <cell r="V317">
            <v>185.41387779999999</v>
          </cell>
          <cell r="W317">
            <v>186.55140610000001</v>
          </cell>
          <cell r="X317">
            <v>187.977282</v>
          </cell>
          <cell r="Y317">
            <v>189.70395669999999</v>
          </cell>
          <cell r="Z317">
            <v>191.69626650000001</v>
          </cell>
          <cell r="AA317">
            <v>194.02784919999999</v>
          </cell>
          <cell r="AB317">
            <v>196.7083451</v>
          </cell>
          <cell r="AC317">
            <v>199.7486293</v>
          </cell>
          <cell r="AD317">
            <v>203.14912939999999</v>
          </cell>
          <cell r="AE317">
            <v>206.7866683</v>
          </cell>
          <cell r="AF317">
            <v>210.79011819999999</v>
          </cell>
          <cell r="AG317">
            <v>215.172279</v>
          </cell>
          <cell r="AH317">
            <v>219.93427199999999</v>
          </cell>
          <cell r="AI317">
            <v>225.0327188</v>
          </cell>
          <cell r="AJ317">
            <v>230.3995457</v>
          </cell>
          <cell r="AK317">
            <v>235.96876829999999</v>
          </cell>
          <cell r="AL317">
            <v>241.6813756</v>
          </cell>
          <cell r="AM317">
            <v>247.481977</v>
          </cell>
          <cell r="AN317">
            <v>253.31634410000001</v>
          </cell>
          <cell r="AO317">
            <v>259.13033539999998</v>
          </cell>
        </row>
        <row r="318">
          <cell r="E318" t="str">
            <v>CF_toe_ccoa_0</v>
          </cell>
          <cell r="F318">
            <v>5.4028819019999998</v>
          </cell>
          <cell r="G318">
            <v>5.4417643299999998</v>
          </cell>
          <cell r="H318">
            <v>5.4869099500000003</v>
          </cell>
          <cell r="I318">
            <v>5.5157433400000002</v>
          </cell>
          <cell r="J318">
            <v>5.5836629550000003</v>
          </cell>
          <cell r="K318">
            <v>5.6822486789999997</v>
          </cell>
          <cell r="L318">
            <v>5.7931502889999997</v>
          </cell>
          <cell r="M318">
            <v>5.904596551</v>
          </cell>
          <cell r="N318">
            <v>6.015123902</v>
          </cell>
          <cell r="O318">
            <v>6.1248755160000004</v>
          </cell>
          <cell r="P318">
            <v>6.2281093280000004</v>
          </cell>
          <cell r="Q318">
            <v>6.3013899200000001</v>
          </cell>
          <cell r="R318">
            <v>6.3521947839999999</v>
          </cell>
          <cell r="S318">
            <v>6.3883249879999999</v>
          </cell>
          <cell r="T318">
            <v>6.4173612169999998</v>
          </cell>
          <cell r="U318">
            <v>6.4454470449999999</v>
          </cell>
          <cell r="V318">
            <v>6.4876812959999999</v>
          </cell>
          <cell r="W318">
            <v>6.5497212930000002</v>
          </cell>
          <cell r="X318">
            <v>6.6334619149999998</v>
          </cell>
          <cell r="Y318">
            <v>6.7385375099999996</v>
          </cell>
          <cell r="Z318">
            <v>6.8635617849999999</v>
          </cell>
          <cell r="AA318">
            <v>7.0087065050000001</v>
          </cell>
          <cell r="AB318">
            <v>7.1741720170000001</v>
          </cell>
          <cell r="AC318">
            <v>7.3598138500000001</v>
          </cell>
          <cell r="AD318">
            <v>7.5646970170000003</v>
          </cell>
          <cell r="AE318">
            <v>7.7859858180000003</v>
          </cell>
          <cell r="AF318">
            <v>8.0250149289999992</v>
          </cell>
          <cell r="AG318">
            <v>8.2827825239999999</v>
          </cell>
          <cell r="AH318">
            <v>8.5591897039999996</v>
          </cell>
          <cell r="AI318">
            <v>8.8512613210000008</v>
          </cell>
          <cell r="AJ318">
            <v>9.1547819869999998</v>
          </cell>
          <cell r="AK318">
            <v>9.4662108790000001</v>
          </cell>
          <cell r="AL318">
            <v>9.7829812169999997</v>
          </cell>
          <cell r="AM318">
            <v>10.102926610000001</v>
          </cell>
          <cell r="AN318">
            <v>10.42398427</v>
          </cell>
          <cell r="AO318">
            <v>10.744065020000001</v>
          </cell>
        </row>
        <row r="321">
          <cell r="E321" t="str">
            <v>CF_toe_ccoi_0</v>
          </cell>
          <cell r="F321">
            <v>8.3953620399999998E-2</v>
          </cell>
          <cell r="G321">
            <v>8.4487726900000004E-2</v>
          </cell>
          <cell r="H321">
            <v>8.5096733699999996E-2</v>
          </cell>
          <cell r="I321">
            <v>8.5569667099999996E-2</v>
          </cell>
          <cell r="J321">
            <v>8.6607630399999996E-2</v>
          </cell>
          <cell r="K321">
            <v>8.8118457999999997E-2</v>
          </cell>
          <cell r="L321">
            <v>8.9341862399999999E-2</v>
          </cell>
          <cell r="M321">
            <v>9.0342719500000002E-2</v>
          </cell>
          <cell r="N321">
            <v>9.1212743499999999E-2</v>
          </cell>
          <cell r="O321">
            <v>9.2012485800000002E-2</v>
          </cell>
          <cell r="P321">
            <v>9.2722118199999995E-2</v>
          </cell>
          <cell r="Q321">
            <v>9.3046341099999999E-2</v>
          </cell>
          <cell r="R321">
            <v>9.3060580599999998E-2</v>
          </cell>
          <cell r="S321">
            <v>9.2841646999999999E-2</v>
          </cell>
          <cell r="T321">
            <v>9.2474109700000001E-2</v>
          </cell>
          <cell r="U321">
            <v>9.20368451E-2</v>
          </cell>
          <cell r="V321">
            <v>9.1979032299999999E-2</v>
          </cell>
          <cell r="W321">
            <v>9.2250730500000003E-2</v>
          </cell>
          <cell r="X321">
            <v>9.2823295299999997E-2</v>
          </cell>
          <cell r="Y321">
            <v>9.3675742899999997E-2</v>
          </cell>
          <cell r="Z321">
            <v>9.4779959100000005E-2</v>
          </cell>
          <cell r="AA321">
            <v>9.6160374300000004E-2</v>
          </cell>
          <cell r="AB321">
            <v>9.7822180699999997E-2</v>
          </cell>
          <cell r="AC321">
            <v>9.9771509800000005E-2</v>
          </cell>
          <cell r="AD321">
            <v>0.10200695579999999</v>
          </cell>
          <cell r="AE321">
            <v>0.10447493049999999</v>
          </cell>
          <cell r="AF321">
            <v>0.1072320254</v>
          </cell>
          <cell r="AG321">
            <v>0.1102906964</v>
          </cell>
          <cell r="AH321">
            <v>0.1136542649</v>
          </cell>
          <cell r="AI321">
            <v>0.11729335809999999</v>
          </cell>
          <cell r="AJ321">
            <v>0.1211596316</v>
          </cell>
          <cell r="AK321">
            <v>0.12520543370000001</v>
          </cell>
          <cell r="AL321">
            <v>0.1293883005</v>
          </cell>
          <cell r="AM321">
            <v>0.13366667030000001</v>
          </cell>
          <cell r="AN321">
            <v>0.1379979764</v>
          </cell>
          <cell r="AO321">
            <v>0.1423379585</v>
          </cell>
        </row>
        <row r="324">
          <cell r="E324" t="str">
            <v>CF_toe_cfut_0</v>
          </cell>
          <cell r="F324">
            <v>47.250386450000001</v>
          </cell>
          <cell r="G324">
            <v>47.454178390000003</v>
          </cell>
          <cell r="H324">
            <v>47.664633559999999</v>
          </cell>
          <cell r="I324">
            <v>47.948647999999999</v>
          </cell>
          <cell r="J324">
            <v>48.42672125</v>
          </cell>
          <cell r="K324">
            <v>49.078711869999999</v>
          </cell>
          <cell r="L324">
            <v>49.835805030000003</v>
          </cell>
          <cell r="M324">
            <v>50.642800970000003</v>
          </cell>
          <cell r="N324">
            <v>51.475016119999999</v>
          </cell>
          <cell r="O324">
            <v>52.321227159999999</v>
          </cell>
          <cell r="P324">
            <v>53.162007610000003</v>
          </cell>
          <cell r="Q324">
            <v>53.89355578</v>
          </cell>
          <cell r="R324">
            <v>54.524306850000002</v>
          </cell>
          <cell r="S324">
            <v>55.067749450000001</v>
          </cell>
          <cell r="T324">
            <v>55.542700259999997</v>
          </cell>
          <cell r="U324">
            <v>55.969112719999998</v>
          </cell>
          <cell r="V324">
            <v>56.392937709999998</v>
          </cell>
          <cell r="W324">
            <v>56.849757840000002</v>
          </cell>
          <cell r="X324">
            <v>57.358826219999997</v>
          </cell>
          <cell r="Y324">
            <v>57.928297870000002</v>
          </cell>
          <cell r="Z324">
            <v>58.554567970000001</v>
          </cell>
          <cell r="AA324">
            <v>59.25300867</v>
          </cell>
          <cell r="AB324">
            <v>60.030094570000003</v>
          </cell>
          <cell r="AC324">
            <v>60.891373309999999</v>
          </cell>
          <cell r="AD324">
            <v>61.839076079999998</v>
          </cell>
          <cell r="AE324">
            <v>62.850276090000001</v>
          </cell>
          <cell r="AF324">
            <v>63.948070049999998</v>
          </cell>
          <cell r="AG324">
            <v>65.139770229999996</v>
          </cell>
          <cell r="AH324">
            <v>66.428947750000006</v>
          </cell>
          <cell r="AI324">
            <v>67.808094760000003</v>
          </cell>
          <cell r="AJ324">
            <v>69.26275158</v>
          </cell>
          <cell r="AK324">
            <v>70.777698119999997</v>
          </cell>
          <cell r="AL324">
            <v>72.338530840000004</v>
          </cell>
          <cell r="AM324">
            <v>73.930470720000002</v>
          </cell>
          <cell r="AN324">
            <v>75.537974669999997</v>
          </cell>
          <cell r="AO324">
            <v>77.144734310000004</v>
          </cell>
        </row>
        <row r="327">
          <cell r="E327" t="str">
            <v>CF_toe_cfuh_0</v>
          </cell>
          <cell r="F327">
            <v>14.789342299999999</v>
          </cell>
          <cell r="G327">
            <v>14.86579527</v>
          </cell>
          <cell r="H327">
            <v>14.93813982</v>
          </cell>
          <cell r="I327">
            <v>15.00485855</v>
          </cell>
          <cell r="J327">
            <v>15.1153523</v>
          </cell>
          <cell r="K327">
            <v>15.2634458</v>
          </cell>
          <cell r="L327">
            <v>15.41995713</v>
          </cell>
          <cell r="M327">
            <v>15.57238873</v>
          </cell>
          <cell r="N327">
            <v>15.721192739999999</v>
          </cell>
          <cell r="O327">
            <v>15.868483729999999</v>
          </cell>
          <cell r="P327">
            <v>16.015205330000001</v>
          </cell>
          <cell r="Q327">
            <v>16.128264359999999</v>
          </cell>
          <cell r="R327">
            <v>16.212605310000001</v>
          </cell>
          <cell r="S327">
            <v>16.27534309</v>
          </cell>
          <cell r="T327">
            <v>16.323722289999999</v>
          </cell>
          <cell r="U327">
            <v>16.364196969999998</v>
          </cell>
          <cell r="V327">
            <v>16.419435060000001</v>
          </cell>
          <cell r="W327">
            <v>16.496408070000001</v>
          </cell>
          <cell r="X327">
            <v>16.598637889999999</v>
          </cell>
          <cell r="Y327">
            <v>16.725595129999999</v>
          </cell>
          <cell r="Z327">
            <v>16.871814440000001</v>
          </cell>
          <cell r="AA327">
            <v>17.043616669999999</v>
          </cell>
          <cell r="AB327">
            <v>17.240023040000001</v>
          </cell>
          <cell r="AC327">
            <v>17.461270030000001</v>
          </cell>
          <cell r="AD327">
            <v>17.707362639999999</v>
          </cell>
          <cell r="AE327">
            <v>17.96590973</v>
          </cell>
          <cell r="AF327">
            <v>18.250899220000001</v>
          </cell>
          <cell r="AG327">
            <v>18.56353781</v>
          </cell>
          <cell r="AH327">
            <v>18.904398650000001</v>
          </cell>
          <cell r="AI327">
            <v>19.2710762</v>
          </cell>
          <cell r="AJ327">
            <v>19.659258399999999</v>
          </cell>
          <cell r="AK327">
            <v>20.06454029</v>
          </cell>
          <cell r="AL327">
            <v>20.48261325</v>
          </cell>
          <cell r="AM327">
            <v>20.909260459999999</v>
          </cell>
          <cell r="AN327">
            <v>21.340420219999999</v>
          </cell>
          <cell r="AO327">
            <v>21.772022379999999</v>
          </cell>
        </row>
        <row r="329">
          <cell r="E329" t="str">
            <v>CF_toe_cgas_0</v>
          </cell>
          <cell r="F329">
            <v>34.131798310000001</v>
          </cell>
          <cell r="G329">
            <v>33.929933460000001</v>
          </cell>
          <cell r="H329">
            <v>33.779355440000003</v>
          </cell>
          <cell r="I329">
            <v>33.555111250000003</v>
          </cell>
          <cell r="J329">
            <v>33.64793358</v>
          </cell>
          <cell r="K329">
            <v>33.940240170000003</v>
          </cell>
          <cell r="L329">
            <v>34.084865260000001</v>
          </cell>
          <cell r="M329">
            <v>34.138685449999997</v>
          </cell>
          <cell r="N329">
            <v>34.157497900000003</v>
          </cell>
          <cell r="O329">
            <v>34.167268079999999</v>
          </cell>
          <cell r="P329">
            <v>34.175391529999999</v>
          </cell>
          <cell r="Q329">
            <v>34.09728647</v>
          </cell>
          <cell r="R329">
            <v>33.954123590000002</v>
          </cell>
          <cell r="S329">
            <v>33.767364399999998</v>
          </cell>
          <cell r="T329">
            <v>33.557113190000003</v>
          </cell>
          <cell r="U329">
            <v>33.340361850000001</v>
          </cell>
          <cell r="V329">
            <v>33.299966089999998</v>
          </cell>
          <cell r="W329">
            <v>33.37545935</v>
          </cell>
          <cell r="X329">
            <v>33.543436560000004</v>
          </cell>
          <cell r="Y329">
            <v>33.78701203</v>
          </cell>
          <cell r="Z329">
            <v>34.086678810000002</v>
          </cell>
          <cell r="AA329">
            <v>34.454020270000001</v>
          </cell>
          <cell r="AB329">
            <v>34.886654200000002</v>
          </cell>
          <cell r="AC329">
            <v>35.384941730000001</v>
          </cell>
          <cell r="AD329">
            <v>35.948267819999998</v>
          </cell>
          <cell r="AE329">
            <v>36.548897750000002</v>
          </cell>
          <cell r="AF329">
            <v>37.218863730000002</v>
          </cell>
          <cell r="AG329">
            <v>37.960035920000003</v>
          </cell>
          <cell r="AH329">
            <v>38.773218819999997</v>
          </cell>
          <cell r="AI329">
            <v>39.651993359999999</v>
          </cell>
          <cell r="AJ329">
            <v>40.585352659999998</v>
          </cell>
          <cell r="AK329">
            <v>41.562316670000001</v>
          </cell>
          <cell r="AL329">
            <v>42.572038329999998</v>
          </cell>
          <cell r="AM329">
            <v>43.604468730000001</v>
          </cell>
          <cell r="AN329">
            <v>44.649744349999999</v>
          </cell>
          <cell r="AO329">
            <v>45.697839129999998</v>
          </cell>
        </row>
        <row r="335">
          <cell r="E335" t="str">
            <v>CF_toe_cele_0</v>
          </cell>
          <cell r="F335">
            <v>38.029212489999999</v>
          </cell>
          <cell r="G335">
            <v>38.591823089999998</v>
          </cell>
          <cell r="H335">
            <v>39.149834980000001</v>
          </cell>
          <cell r="I335">
            <v>39.776892109999999</v>
          </cell>
          <cell r="J335">
            <v>40.360251079999998</v>
          </cell>
          <cell r="K335">
            <v>40.963831130000003</v>
          </cell>
          <cell r="L335">
            <v>41.61658078</v>
          </cell>
          <cell r="M335">
            <v>42.315707410000002</v>
          </cell>
          <cell r="N335">
            <v>43.041437549999998</v>
          </cell>
          <cell r="O335">
            <v>43.781826289999998</v>
          </cell>
          <cell r="P335">
            <v>44.51842027</v>
          </cell>
          <cell r="Q335">
            <v>45.132856339999996</v>
          </cell>
          <cell r="R335">
            <v>45.635594220000002</v>
          </cell>
          <cell r="S335">
            <v>46.047995190000002</v>
          </cell>
          <cell r="T335">
            <v>46.398911200000001</v>
          </cell>
          <cell r="U335">
            <v>46.718032000000001</v>
          </cell>
          <cell r="V335">
            <v>47.013624739999997</v>
          </cell>
          <cell r="W335">
            <v>47.321982329999997</v>
          </cell>
          <cell r="X335">
            <v>47.678036910000003</v>
          </cell>
          <cell r="Y335">
            <v>48.102130129999999</v>
          </cell>
          <cell r="Z335">
            <v>48.597012049999996</v>
          </cell>
          <cell r="AA335">
            <v>49.190626039999998</v>
          </cell>
          <cell r="AB335">
            <v>49.890005789999996</v>
          </cell>
          <cell r="AC335">
            <v>50.70064842</v>
          </cell>
          <cell r="AD335">
            <v>51.624688890000002</v>
          </cell>
          <cell r="AE335">
            <v>52.62937445</v>
          </cell>
          <cell r="AF335">
            <v>53.749386520000002</v>
          </cell>
          <cell r="AG335">
            <v>54.985118759999999</v>
          </cell>
          <cell r="AH335">
            <v>56.334030380000002</v>
          </cell>
          <cell r="AI335">
            <v>57.780689940000002</v>
          </cell>
          <cell r="AJ335">
            <v>59.302859929999997</v>
          </cell>
          <cell r="AK335">
            <v>60.8788524</v>
          </cell>
          <cell r="AL335">
            <v>62.489655829999997</v>
          </cell>
          <cell r="AM335">
            <v>64.117827399999996</v>
          </cell>
          <cell r="AN335">
            <v>65.746951429999996</v>
          </cell>
          <cell r="AO335">
            <v>67.361483079999999</v>
          </cell>
        </row>
        <row r="345">
          <cell r="E345" t="str">
            <v>CF_toe_chea_0</v>
          </cell>
          <cell r="F345">
            <v>5.1300730310000002</v>
          </cell>
          <cell r="G345">
            <v>5.1908649420000001</v>
          </cell>
          <cell r="H345">
            <v>5.2540962760000003</v>
          </cell>
          <cell r="I345">
            <v>5.3161463849999997</v>
          </cell>
          <cell r="J345">
            <v>5.3821779410000001</v>
          </cell>
          <cell r="K345">
            <v>5.4572244559999996</v>
          </cell>
          <cell r="L345">
            <v>5.5281910359999999</v>
          </cell>
          <cell r="M345">
            <v>5.5945057450000002</v>
          </cell>
          <cell r="N345">
            <v>5.6569371830000001</v>
          </cell>
          <cell r="O345">
            <v>5.7169529270000004</v>
          </cell>
          <cell r="P345">
            <v>5.7795986170000004</v>
          </cell>
          <cell r="Q345">
            <v>5.8277507699999997</v>
          </cell>
          <cell r="R345">
            <v>5.8654190560000004</v>
          </cell>
          <cell r="S345">
            <v>5.8958791719999999</v>
          </cell>
          <cell r="T345">
            <v>5.9219389690000002</v>
          </cell>
          <cell r="U345">
            <v>5.9459124729999999</v>
          </cell>
          <cell r="V345">
            <v>5.9768494360000002</v>
          </cell>
          <cell r="W345">
            <v>6.016575134</v>
          </cell>
          <cell r="X345">
            <v>6.0651725360000004</v>
          </cell>
          <cell r="Y345">
            <v>6.1213712070000001</v>
          </cell>
          <cell r="Z345">
            <v>6.1805894739999996</v>
          </cell>
          <cell r="AA345">
            <v>6.2494098810000001</v>
          </cell>
          <cell r="AB345">
            <v>6.3269441779999998</v>
          </cell>
          <cell r="AC345">
            <v>6.4129207929999996</v>
          </cell>
          <cell r="AD345">
            <v>6.5070952960000001</v>
          </cell>
          <cell r="AE345">
            <v>6.5980667549999996</v>
          </cell>
          <cell r="AF345">
            <v>6.6986512439999997</v>
          </cell>
          <cell r="AG345">
            <v>6.8084845039999999</v>
          </cell>
          <cell r="AH345">
            <v>6.9272314899999996</v>
          </cell>
          <cell r="AI345">
            <v>7.0536039940000004</v>
          </cell>
          <cell r="AJ345">
            <v>7.185821411</v>
          </cell>
          <cell r="AK345">
            <v>7.3222082100000003</v>
          </cell>
          <cell r="AL345">
            <v>7.4613297889999997</v>
          </cell>
          <cell r="AM345">
            <v>7.601860812</v>
          </cell>
          <cell r="AN345">
            <v>7.7425261870000002</v>
          </cell>
          <cell r="AO345">
            <v>7.8820843920000003</v>
          </cell>
        </row>
        <row r="347">
          <cell r="E347" t="str">
            <v>CF_toe_cbio_0</v>
          </cell>
          <cell r="F347">
            <v>8.1755841379999996</v>
          </cell>
          <cell r="G347">
            <v>8.1045385169999999</v>
          </cell>
          <cell r="H347">
            <v>8.0306456389999994</v>
          </cell>
          <cell r="I347">
            <v>7.9447905350000001</v>
          </cell>
          <cell r="J347">
            <v>7.906079429</v>
          </cell>
          <cell r="K347">
            <v>7.8959381119999996</v>
          </cell>
          <cell r="L347">
            <v>7.9012156979999997</v>
          </cell>
          <cell r="M347">
            <v>7.9141262699999997</v>
          </cell>
          <cell r="N347">
            <v>7.9321488679999996</v>
          </cell>
          <cell r="O347">
            <v>7.9528265649999996</v>
          </cell>
          <cell r="P347">
            <v>7.9764616400000001</v>
          </cell>
          <cell r="Q347">
            <v>7.9898640509999996</v>
          </cell>
          <cell r="R347">
            <v>7.9941997420000002</v>
          </cell>
          <cell r="S347">
            <v>7.9922626699999997</v>
          </cell>
          <cell r="T347">
            <v>7.9868522860000004</v>
          </cell>
          <cell r="U347">
            <v>7.980289</v>
          </cell>
          <cell r="V347">
            <v>7.9747424330000003</v>
          </cell>
          <cell r="W347">
            <v>7.9714945799999999</v>
          </cell>
          <cell r="X347">
            <v>7.9749693539999997</v>
          </cell>
          <cell r="Y347">
            <v>7.986503527</v>
          </cell>
          <cell r="Z347">
            <v>8.0036825480000005</v>
          </cell>
          <cell r="AA347">
            <v>8.0302516019999999</v>
          </cell>
          <cell r="AB347">
            <v>8.0654110770000003</v>
          </cell>
          <cell r="AC347">
            <v>8.1087714880000004</v>
          </cell>
          <cell r="AD347">
            <v>8.1599336989999998</v>
          </cell>
          <cell r="AE347">
            <v>8.2115510530000009</v>
          </cell>
          <cell r="AF347">
            <v>8.2711303699999998</v>
          </cell>
          <cell r="AG347">
            <v>8.3384962520000006</v>
          </cell>
          <cell r="AH347">
            <v>8.413358315</v>
          </cell>
          <cell r="AI347">
            <v>8.4946647009999996</v>
          </cell>
          <cell r="AJ347">
            <v>8.5809481680000008</v>
          </cell>
          <cell r="AK347">
            <v>8.6707931439999992</v>
          </cell>
          <cell r="AL347">
            <v>8.7628023010000007</v>
          </cell>
          <cell r="AM347">
            <v>8.8557620460000006</v>
          </cell>
          <cell r="AN347">
            <v>8.9485597620000004</v>
          </cell>
          <cell r="AO347">
            <v>9.0401508960000001</v>
          </cell>
        </row>
        <row r="350">
          <cell r="E350" t="str">
            <v>CF_toe_cote_0</v>
          </cell>
          <cell r="F350">
            <v>8.7010457809999995</v>
          </cell>
          <cell r="G350">
            <v>8.8969724009999993</v>
          </cell>
          <cell r="H350">
            <v>9.1150623989999993</v>
          </cell>
          <cell r="I350">
            <v>9.339753451</v>
          </cell>
          <cell r="J350">
            <v>9.5801237480000001</v>
          </cell>
          <cell r="K350">
            <v>9.8368265039999994</v>
          </cell>
          <cell r="L350">
            <v>10.09911376</v>
          </cell>
          <cell r="M350">
            <v>10.358872740000001</v>
          </cell>
          <cell r="N350">
            <v>10.61366465</v>
          </cell>
          <cell r="O350">
            <v>10.863923870000001</v>
          </cell>
          <cell r="P350">
            <v>11.098358579999999</v>
          </cell>
          <cell r="Q350">
            <v>11.271293849999999</v>
          </cell>
          <cell r="R350">
            <v>11.39940732</v>
          </cell>
          <cell r="S350">
            <v>11.49795138</v>
          </cell>
          <cell r="T350">
            <v>11.581572120000001</v>
          </cell>
          <cell r="U350">
            <v>11.6622042</v>
          </cell>
          <cell r="V350">
            <v>11.756662</v>
          </cell>
          <cell r="W350">
            <v>11.877756740000001</v>
          </cell>
          <cell r="X350">
            <v>12.0319173</v>
          </cell>
          <cell r="Y350">
            <v>12.22083353</v>
          </cell>
          <cell r="Z350">
            <v>12.443579440000001</v>
          </cell>
          <cell r="AA350">
            <v>12.70204914</v>
          </cell>
          <cell r="AB350">
            <v>12.99721802</v>
          </cell>
          <cell r="AC350">
            <v>13.329118210000001</v>
          </cell>
          <cell r="AD350">
            <v>13.69600105</v>
          </cell>
          <cell r="AE350">
            <v>14.092131719999999</v>
          </cell>
          <cell r="AF350">
            <v>14.52087015</v>
          </cell>
          <cell r="AG350">
            <v>14.98376229</v>
          </cell>
          <cell r="AH350">
            <v>15.48024262</v>
          </cell>
          <cell r="AI350">
            <v>16.004041180000002</v>
          </cell>
          <cell r="AJ350">
            <v>16.546611939999998</v>
          </cell>
          <cell r="AK350">
            <v>17.1009432</v>
          </cell>
          <cell r="AL350">
            <v>17.662035710000001</v>
          </cell>
          <cell r="AM350">
            <v>18.22573354</v>
          </cell>
          <cell r="AN350">
            <v>18.78818527</v>
          </cell>
          <cell r="AO350">
            <v>19.345618200000001</v>
          </cell>
        </row>
        <row r="353">
          <cell r="F353">
            <v>64.301440170000006</v>
          </cell>
          <cell r="G353">
            <v>63.922819750000002</v>
          </cell>
          <cell r="H353">
            <v>63.440136699999996</v>
          </cell>
          <cell r="I353">
            <v>62.974754050000001</v>
          </cell>
          <cell r="J353">
            <v>62.748425130000001</v>
          </cell>
          <cell r="K353">
            <v>62.694371060000002</v>
          </cell>
          <cell r="L353">
            <v>62.608698799999999</v>
          </cell>
          <cell r="M353">
            <v>62.009539629999999</v>
          </cell>
          <cell r="N353">
            <v>61.391717</v>
          </cell>
          <cell r="O353">
            <v>60.744370289999999</v>
          </cell>
          <cell r="P353">
            <v>60.076819720000003</v>
          </cell>
          <cell r="Q353">
            <v>59.437847550000001</v>
          </cell>
          <cell r="R353">
            <v>58.848126669999999</v>
          </cell>
          <cell r="S353">
            <v>58.323483109999998</v>
          </cell>
          <cell r="T353">
            <v>57.865248809999997</v>
          </cell>
          <cell r="U353">
            <v>57.466049529999999</v>
          </cell>
          <cell r="V353">
            <v>57.133147200000003</v>
          </cell>
          <cell r="W353">
            <v>56.832926209999997</v>
          </cell>
          <cell r="X353">
            <v>56.5500471</v>
          </cell>
          <cell r="Y353">
            <v>56.282153389999998</v>
          </cell>
          <cell r="Z353">
            <v>56.016510060000002</v>
          </cell>
          <cell r="AA353">
            <v>55.787107149999997</v>
          </cell>
          <cell r="AB353">
            <v>55.593335600000003</v>
          </cell>
          <cell r="AC353">
            <v>55.437600709999998</v>
          </cell>
          <cell r="AD353">
            <v>55.323883670000001</v>
          </cell>
          <cell r="AE353">
            <v>55.208097389999999</v>
          </cell>
          <cell r="AF353">
            <v>55.143646609999998</v>
          </cell>
          <cell r="AG353">
            <v>55.131425749999998</v>
          </cell>
          <cell r="AH353">
            <v>55.173053709999998</v>
          </cell>
          <cell r="AI353">
            <v>55.270232890000003</v>
          </cell>
          <cell r="AJ353">
            <v>55.423932819999997</v>
          </cell>
          <cell r="AK353">
            <v>55.634166810000004</v>
          </cell>
          <cell r="AL353">
            <v>55.900179180000002</v>
          </cell>
          <cell r="AM353">
            <v>56.221675789999999</v>
          </cell>
          <cell r="AN353">
            <v>56.599697339999999</v>
          </cell>
          <cell r="AO353">
            <v>57.037157809999997</v>
          </cell>
        </row>
        <row r="354">
          <cell r="F354">
            <v>42.52087745</v>
          </cell>
          <cell r="G354">
            <v>42.432148990000002</v>
          </cell>
          <cell r="H354">
            <v>42.077085049999994</v>
          </cell>
          <cell r="I354">
            <v>41.6294246</v>
          </cell>
          <cell r="J354">
            <v>41.328722620000001</v>
          </cell>
          <cell r="K354">
            <v>41.13391137</v>
          </cell>
          <cell r="L354">
            <v>40.87195732</v>
          </cell>
          <cell r="M354">
            <v>40.142328570000004</v>
          </cell>
          <cell r="N354">
            <v>39.398606860000001</v>
          </cell>
          <cell r="O354">
            <v>38.609669869999998</v>
          </cell>
          <cell r="P354">
            <v>37.778648310000001</v>
          </cell>
          <cell r="Q354">
            <v>36.943246819999999</v>
          </cell>
          <cell r="R354">
            <v>36.138958680000002</v>
          </cell>
          <cell r="S354">
            <v>35.397135720000001</v>
          </cell>
          <cell r="T354">
            <v>34.729663020000004</v>
          </cell>
          <cell r="U354">
            <v>34.135109610000001</v>
          </cell>
          <cell r="V354">
            <v>33.628712319999998</v>
          </cell>
          <cell r="W354">
            <v>33.171868289999999</v>
          </cell>
          <cell r="X354">
            <v>32.745150250000002</v>
          </cell>
          <cell r="Y354">
            <v>32.34324419</v>
          </cell>
          <cell r="Z354">
            <v>31.953353190000001</v>
          </cell>
          <cell r="AA354">
            <v>31.603777219999998</v>
          </cell>
          <cell r="AB354">
            <v>31.29111494</v>
          </cell>
          <cell r="AC354">
            <v>31.014526399999998</v>
          </cell>
          <cell r="AD354">
            <v>30.775127480000002</v>
          </cell>
          <cell r="AE354">
            <v>30.533097949999998</v>
          </cell>
          <cell r="AF354">
            <v>30.334849500000001</v>
          </cell>
          <cell r="AG354">
            <v>30.17892711</v>
          </cell>
          <cell r="AH354">
            <v>30.0636084</v>
          </cell>
          <cell r="AI354">
            <v>29.98730522</v>
          </cell>
          <cell r="AJ354">
            <v>29.948875649999998</v>
          </cell>
          <cell r="AK354">
            <v>29.947636320000001</v>
          </cell>
          <cell r="AL354">
            <v>29.982995300000002</v>
          </cell>
          <cell r="AM354">
            <v>30.054858710000001</v>
          </cell>
          <cell r="AN354">
            <v>30.164368140000001</v>
          </cell>
          <cell r="AO354">
            <v>30.314331829999997</v>
          </cell>
        </row>
        <row r="362">
          <cell r="F362">
            <v>21.78056273</v>
          </cell>
          <cell r="G362">
            <v>21.49067076</v>
          </cell>
          <cell r="H362">
            <v>21.363051649999999</v>
          </cell>
          <cell r="I362">
            <v>21.34532944</v>
          </cell>
          <cell r="J362">
            <v>21.41970251</v>
          </cell>
          <cell r="K362">
            <v>21.560459699999999</v>
          </cell>
          <cell r="L362">
            <v>21.736741479999999</v>
          </cell>
          <cell r="M362">
            <v>21.867211059999999</v>
          </cell>
          <cell r="N362">
            <v>21.993110139999999</v>
          </cell>
          <cell r="O362">
            <v>22.134700420000001</v>
          </cell>
          <cell r="P362">
            <v>22.298171420000003</v>
          </cell>
          <cell r="Q362">
            <v>22.494600719999998</v>
          </cell>
          <cell r="R362">
            <v>22.709167989999997</v>
          </cell>
          <cell r="S362">
            <v>22.92634739</v>
          </cell>
          <cell r="T362">
            <v>23.13558579</v>
          </cell>
          <cell r="U362">
            <v>23.33093993</v>
          </cell>
          <cell r="V362">
            <v>23.504434879999998</v>
          </cell>
          <cell r="W362">
            <v>23.661057920000001</v>
          </cell>
          <cell r="X362">
            <v>23.804896850000002</v>
          </cell>
          <cell r="Y362">
            <v>23.938909199999998</v>
          </cell>
          <cell r="Z362">
            <v>24.06315687</v>
          </cell>
          <cell r="AA362">
            <v>24.183329920000002</v>
          </cell>
          <cell r="AB362">
            <v>24.302220670000001</v>
          </cell>
          <cell r="AC362">
            <v>24.423074309999997</v>
          </cell>
          <cell r="AD362">
            <v>24.548756190000002</v>
          </cell>
          <cell r="AE362">
            <v>24.674999440000001</v>
          </cell>
          <cell r="AF362">
            <v>24.808797120000001</v>
          </cell>
          <cell r="AG362">
            <v>24.952498629999997</v>
          </cell>
          <cell r="AH362">
            <v>25.109445309999998</v>
          </cell>
          <cell r="AI362">
            <v>25.282927670000003</v>
          </cell>
          <cell r="AJ362">
            <v>25.475057159999999</v>
          </cell>
          <cell r="AK362">
            <v>25.686530489999999</v>
          </cell>
          <cell r="AL362">
            <v>25.91718389</v>
          </cell>
          <cell r="AM362">
            <v>26.166817079999998</v>
          </cell>
          <cell r="AN362">
            <v>26.435329199999998</v>
          </cell>
          <cell r="AO362">
            <v>26.72282598</v>
          </cell>
        </row>
        <row r="366">
          <cell r="F366">
            <v>26.32744194</v>
          </cell>
          <cell r="G366">
            <v>26.790744719999999</v>
          </cell>
          <cell r="H366">
            <v>27.311239870000001</v>
          </cell>
          <cell r="I366">
            <v>27.86300876</v>
          </cell>
          <cell r="J366">
            <v>28.458724960000001</v>
          </cell>
          <cell r="K366">
            <v>29.097191250000002</v>
          </cell>
          <cell r="L366">
            <v>29.752440010000001</v>
          </cell>
          <cell r="M366">
            <v>30.245790100000001</v>
          </cell>
          <cell r="N366">
            <v>30.70115766</v>
          </cell>
          <cell r="O366">
            <v>31.285201600000001</v>
          </cell>
          <cell r="P366">
            <v>31.882250689999999</v>
          </cell>
          <cell r="Q366">
            <v>32.38291839</v>
          </cell>
          <cell r="R366">
            <v>32.790949519999998</v>
          </cell>
          <cell r="S366">
            <v>33.130329799999998</v>
          </cell>
          <cell r="T366">
            <v>33.434455</v>
          </cell>
          <cell r="U366">
            <v>33.726170439999997</v>
          </cell>
          <cell r="V366">
            <v>34.01875089</v>
          </cell>
          <cell r="W366">
            <v>34.333381119999999</v>
          </cell>
          <cell r="X366">
            <v>34.688275509999997</v>
          </cell>
          <cell r="Y366">
            <v>35.09522741</v>
          </cell>
          <cell r="Z366">
            <v>35.556235520000001</v>
          </cell>
          <cell r="AA366">
            <v>36.090825850000002</v>
          </cell>
          <cell r="AB366">
            <v>36.707468859999999</v>
          </cell>
          <cell r="AC366">
            <v>37.411560700000003</v>
          </cell>
          <cell r="AD366">
            <v>38.204468749999997</v>
          </cell>
          <cell r="AE366">
            <v>39.065269579999999</v>
          </cell>
          <cell r="AF366">
            <v>40.022166730000002</v>
          </cell>
          <cell r="AG366">
            <v>41.086966230000002</v>
          </cell>
          <cell r="AH366">
            <v>42.265180270000002</v>
          </cell>
          <cell r="AI366">
            <v>43.551907640000003</v>
          </cell>
          <cell r="AJ366">
            <v>44.937673449999998</v>
          </cell>
          <cell r="AK366">
            <v>46.417532649999998</v>
          </cell>
          <cell r="AL366">
            <v>47.992576919999998</v>
          </cell>
          <cell r="AM366">
            <v>49.666158619999997</v>
          </cell>
          <cell r="AN366">
            <v>51.445825759999998</v>
          </cell>
          <cell r="AO366">
            <v>53.346368179999999</v>
          </cell>
        </row>
        <row r="378">
          <cell r="F378">
            <v>4.8754571579999997</v>
          </cell>
          <cell r="G378">
            <v>4.9299355729999998</v>
          </cell>
          <cell r="H378">
            <v>4.9964467570000002</v>
          </cell>
          <cell r="I378">
            <v>5.0711807960000002</v>
          </cell>
          <cell r="J378">
            <v>5.1667834499999996</v>
          </cell>
          <cell r="K378">
            <v>5.2814454509999997</v>
          </cell>
          <cell r="L378">
            <v>5.4055125390000001</v>
          </cell>
          <cell r="M378">
            <v>5.4614583830000001</v>
          </cell>
          <cell r="N378">
            <v>5.4971221310000002</v>
          </cell>
          <cell r="O378">
            <v>5.5480565469999998</v>
          </cell>
          <cell r="P378">
            <v>5.6001885250000001</v>
          </cell>
          <cell r="Q378">
            <v>5.6448324999999997</v>
          </cell>
          <cell r="R378">
            <v>5.6814098639999999</v>
          </cell>
          <cell r="S378">
            <v>5.7117941730000004</v>
          </cell>
          <cell r="T378">
            <v>5.7395892699999997</v>
          </cell>
          <cell r="U378">
            <v>5.7673836029999999</v>
          </cell>
          <cell r="V378">
            <v>5.7950687109999999</v>
          </cell>
          <cell r="W378">
            <v>5.8258746219999997</v>
          </cell>
          <cell r="X378">
            <v>5.8633468420000003</v>
          </cell>
          <cell r="Y378">
            <v>5.9103218440000003</v>
          </cell>
          <cell r="Z378">
            <v>5.968150563</v>
          </cell>
          <cell r="AA378">
            <v>6.040471739</v>
          </cell>
          <cell r="AB378">
            <v>6.1298009840000001</v>
          </cell>
          <cell r="AC378">
            <v>6.2380297669999996</v>
          </cell>
          <cell r="AD378">
            <v>6.3664643290000003</v>
          </cell>
          <cell r="AE378">
            <v>6.5130376710000002</v>
          </cell>
          <cell r="AF378">
            <v>6.6809519650000002</v>
          </cell>
          <cell r="AG378">
            <v>6.8742139160000004</v>
          </cell>
          <cell r="AH378">
            <v>7.0952312339999999</v>
          </cell>
          <cell r="AI378">
            <v>7.3447933489999997</v>
          </cell>
          <cell r="AJ378">
            <v>7.6229925639999996</v>
          </cell>
          <cell r="AK378">
            <v>7.930523848</v>
          </cell>
          <cell r="AL378">
            <v>8.2691661849999996</v>
          </cell>
          <cell r="AM378">
            <v>8.6417730410000004</v>
          </cell>
          <cell r="AN378">
            <v>9.0529322380000004</v>
          </cell>
          <cell r="AO378">
            <v>9.5099933419999996</v>
          </cell>
        </row>
        <row r="390">
          <cell r="F390">
            <v>43.906102930000003</v>
          </cell>
          <cell r="G390">
            <v>44.522865340000003</v>
          </cell>
          <cell r="H390">
            <v>45.220461460000003</v>
          </cell>
          <cell r="I390">
            <v>45.905631749999998</v>
          </cell>
          <cell r="J390">
            <v>46.776872480000002</v>
          </cell>
          <cell r="K390">
            <v>47.819843820000003</v>
          </cell>
          <cell r="L390">
            <v>48.888747010000003</v>
          </cell>
          <cell r="M390">
            <v>49.034985200000001</v>
          </cell>
          <cell r="N390">
            <v>48.978493409999999</v>
          </cell>
          <cell r="O390">
            <v>49.182080339999999</v>
          </cell>
          <cell r="P390">
            <v>49.389013089999999</v>
          </cell>
          <cell r="Q390">
            <v>49.468123349999999</v>
          </cell>
          <cell r="R390">
            <v>49.431485960000003</v>
          </cell>
          <cell r="S390">
            <v>49.331907450000003</v>
          </cell>
          <cell r="T390">
            <v>49.237598900000002</v>
          </cell>
          <cell r="U390">
            <v>49.18800401</v>
          </cell>
          <cell r="V390">
            <v>49.202440639999999</v>
          </cell>
          <cell r="W390">
            <v>49.306259359999999</v>
          </cell>
          <cell r="X390">
            <v>49.525044090000002</v>
          </cell>
          <cell r="Y390">
            <v>49.874026669999999</v>
          </cell>
          <cell r="Z390">
            <v>50.359799250000002</v>
          </cell>
          <cell r="AA390">
            <v>51.002757369999998</v>
          </cell>
          <cell r="AB390">
            <v>51.817630620000003</v>
          </cell>
          <cell r="AC390">
            <v>52.811910269999998</v>
          </cell>
          <cell r="AD390">
            <v>53.986459619999998</v>
          </cell>
          <cell r="AE390">
            <v>55.325078830000002</v>
          </cell>
          <cell r="AF390">
            <v>56.85006877</v>
          </cell>
          <cell r="AG390">
            <v>58.591843480000001</v>
          </cell>
          <cell r="AH390">
            <v>60.560840239999997</v>
          </cell>
          <cell r="AI390">
            <v>62.747408460000003</v>
          </cell>
          <cell r="AJ390">
            <v>65.13729275</v>
          </cell>
          <cell r="AK390">
            <v>67.730478180000006</v>
          </cell>
          <cell r="AL390">
            <v>70.544528830000004</v>
          </cell>
          <cell r="AM390">
            <v>73.609662389999997</v>
          </cell>
          <cell r="AN390">
            <v>76.979204210000006</v>
          </cell>
          <cell r="AO390">
            <v>80.748261819999996</v>
          </cell>
        </row>
        <row r="402">
          <cell r="F402">
            <v>22.283835759999999</v>
          </cell>
          <cell r="G402">
            <v>22.393992480000001</v>
          </cell>
          <cell r="H402">
            <v>22.53548958</v>
          </cell>
          <cell r="I402">
            <v>22.672937350000002</v>
          </cell>
          <cell r="J402">
            <v>22.9381032</v>
          </cell>
          <cell r="K402">
            <v>23.313732829999999</v>
          </cell>
          <cell r="L402">
            <v>23.71282171</v>
          </cell>
          <cell r="M402">
            <v>23.69667076</v>
          </cell>
          <cell r="N402">
            <v>23.61503201</v>
          </cell>
          <cell r="O402">
            <v>23.60302063</v>
          </cell>
          <cell r="P402">
            <v>23.639437520000001</v>
          </cell>
          <cell r="Q402">
            <v>23.685989639999999</v>
          </cell>
          <cell r="R402">
            <v>23.727010580000002</v>
          </cell>
          <cell r="S402">
            <v>23.757720339999999</v>
          </cell>
          <cell r="T402">
            <v>23.784394290000002</v>
          </cell>
          <cell r="U402">
            <v>23.814052929999999</v>
          </cell>
          <cell r="V402">
            <v>23.847852490000001</v>
          </cell>
          <cell r="W402">
            <v>23.895861490000001</v>
          </cell>
          <cell r="X402">
            <v>23.96949326</v>
          </cell>
          <cell r="Y402">
            <v>24.079767839999999</v>
          </cell>
          <cell r="Z402">
            <v>24.228707159999999</v>
          </cell>
          <cell r="AA402">
            <v>24.44030442</v>
          </cell>
          <cell r="AB402">
            <v>24.720948079999999</v>
          </cell>
          <cell r="AC402">
            <v>25.077779710000002</v>
          </cell>
          <cell r="AD402">
            <v>25.516874430000001</v>
          </cell>
          <cell r="AE402">
            <v>26.01940634</v>
          </cell>
          <cell r="AF402">
            <v>26.62246846</v>
          </cell>
          <cell r="AG402">
            <v>27.333237239999999</v>
          </cell>
          <cell r="AH402">
            <v>28.158830210000001</v>
          </cell>
          <cell r="AI402">
            <v>29.102088470000002</v>
          </cell>
          <cell r="AJ402">
            <v>30.16454383</v>
          </cell>
          <cell r="AK402">
            <v>31.351511769999998</v>
          </cell>
          <cell r="AL402">
            <v>32.674072199999998</v>
          </cell>
          <cell r="AM402">
            <v>34.14911068</v>
          </cell>
          <cell r="AN402">
            <v>35.80442291</v>
          </cell>
          <cell r="AO402">
            <v>37.686681350000001</v>
          </cell>
        </row>
        <row r="414">
          <cell r="F414">
            <v>64.301440170000006</v>
          </cell>
          <cell r="G414">
            <v>63.922819850000003</v>
          </cell>
          <cell r="H414">
            <v>63.440136860000003</v>
          </cell>
          <cell r="I414">
            <v>62.974754279999999</v>
          </cell>
          <cell r="J414">
            <v>62.74842538</v>
          </cell>
          <cell r="K414">
            <v>62.694371320000002</v>
          </cell>
          <cell r="L414">
            <v>62.608699049999998</v>
          </cell>
          <cell r="M414">
            <v>62.517238810000002</v>
          </cell>
          <cell r="N414">
            <v>62.440707619999998</v>
          </cell>
          <cell r="O414">
            <v>62.385266950000002</v>
          </cell>
          <cell r="P414">
            <v>62.377370089999999</v>
          </cell>
          <cell r="Q414">
            <v>62.368570239999997</v>
          </cell>
          <cell r="R414">
            <v>62.357377759999999</v>
          </cell>
          <cell r="S414">
            <v>62.347508859999998</v>
          </cell>
          <cell r="T414">
            <v>62.337057940000001</v>
          </cell>
          <cell r="U414">
            <v>62.321483630000003</v>
          </cell>
          <cell r="V414">
            <v>62.385090380000001</v>
          </cell>
          <cell r="W414">
            <v>62.483769870000003</v>
          </cell>
          <cell r="X414">
            <v>62.611399040000002</v>
          </cell>
          <cell r="Y414">
            <v>62.753495839999999</v>
          </cell>
          <cell r="Z414">
            <v>62.881171399999999</v>
          </cell>
          <cell r="AA414">
            <v>63.01600895</v>
          </cell>
          <cell r="AB414">
            <v>63.151696899999997</v>
          </cell>
          <cell r="AC414">
            <v>63.287098159999999</v>
          </cell>
          <cell r="AD414">
            <v>63.423569909999998</v>
          </cell>
          <cell r="AE414">
            <v>63.515566819999997</v>
          </cell>
          <cell r="AF414">
            <v>63.617486749999998</v>
          </cell>
          <cell r="AG414">
            <v>63.731848290000002</v>
          </cell>
          <cell r="AH414">
            <v>63.861972289999997</v>
          </cell>
          <cell r="AI414">
            <v>64.011526509999996</v>
          </cell>
          <cell r="AJ414">
            <v>64.183019259999995</v>
          </cell>
          <cell r="AK414">
            <v>64.377251509999994</v>
          </cell>
          <cell r="AL414">
            <v>64.591868360000007</v>
          </cell>
          <cell r="AM414">
            <v>64.823839309999997</v>
          </cell>
          <cell r="AN414">
            <v>65.069753809999995</v>
          </cell>
          <cell r="AO414">
            <v>65.325764410000005</v>
          </cell>
        </row>
        <row r="415">
          <cell r="F415">
            <v>42.52087745</v>
          </cell>
          <cell r="G415">
            <v>42.432149079999995</v>
          </cell>
          <cell r="H415">
            <v>42.07708521</v>
          </cell>
          <cell r="I415">
            <v>41.629424840000006</v>
          </cell>
          <cell r="J415">
            <v>41.32872287</v>
          </cell>
          <cell r="K415">
            <v>41.13391163</v>
          </cell>
          <cell r="L415">
            <v>40.87195758</v>
          </cell>
          <cell r="M415">
            <v>40.584000799999998</v>
          </cell>
          <cell r="N415">
            <v>40.296529700000001</v>
          </cell>
          <cell r="O415">
            <v>40.018394170000001</v>
          </cell>
          <cell r="P415">
            <v>39.775710240000002</v>
          </cell>
          <cell r="Q415">
            <v>39.531336659999994</v>
          </cell>
          <cell r="R415">
            <v>39.290233919999999</v>
          </cell>
          <cell r="S415">
            <v>39.061591669999999</v>
          </cell>
          <cell r="T415">
            <v>38.847579329999995</v>
          </cell>
          <cell r="U415">
            <v>38.645916440000001</v>
          </cell>
          <cell r="V415">
            <v>38.53046415</v>
          </cell>
          <cell r="W415">
            <v>38.453682799999996</v>
          </cell>
          <cell r="X415">
            <v>38.409537619999995</v>
          </cell>
          <cell r="Y415">
            <v>38.384096720000002</v>
          </cell>
          <cell r="Z415">
            <v>38.350809670000004</v>
          </cell>
          <cell r="AA415">
            <v>38.32694781</v>
          </cell>
          <cell r="AB415">
            <v>38.30414656</v>
          </cell>
          <cell r="AC415">
            <v>38.278689679999999</v>
          </cell>
          <cell r="AD415">
            <v>38.249617499999999</v>
          </cell>
          <cell r="AE415">
            <v>38.176089220000001</v>
          </cell>
          <cell r="AF415">
            <v>38.105206299999999</v>
          </cell>
          <cell r="AG415">
            <v>38.036738149999998</v>
          </cell>
          <cell r="AH415">
            <v>37.97117995</v>
          </cell>
          <cell r="AI415">
            <v>37.909750430000003</v>
          </cell>
          <cell r="AJ415">
            <v>37.853761579999997</v>
          </cell>
          <cell r="AK415">
            <v>37.804203569999999</v>
          </cell>
          <cell r="AL415">
            <v>37.76006289</v>
          </cell>
          <cell r="AM415">
            <v>37.720551130000004</v>
          </cell>
          <cell r="AN415">
            <v>37.685168700000006</v>
          </cell>
          <cell r="AO415">
            <v>37.653467200000001</v>
          </cell>
        </row>
        <row r="423">
          <cell r="F423">
            <v>21.78056273</v>
          </cell>
          <cell r="G423">
            <v>21.49067076</v>
          </cell>
          <cell r="H423">
            <v>21.363051649999999</v>
          </cell>
          <cell r="I423">
            <v>21.34532944</v>
          </cell>
          <cell r="J423">
            <v>21.41970251</v>
          </cell>
          <cell r="K423">
            <v>21.560459690000002</v>
          </cell>
          <cell r="L423">
            <v>21.736741469999998</v>
          </cell>
          <cell r="M423">
            <v>21.93323801</v>
          </cell>
          <cell r="N423">
            <v>22.14417791</v>
          </cell>
          <cell r="O423">
            <v>22.366872780000001</v>
          </cell>
          <cell r="P423">
            <v>22.601659859999998</v>
          </cell>
          <cell r="Q423">
            <v>22.837233579999999</v>
          </cell>
          <cell r="R423">
            <v>23.06714384</v>
          </cell>
          <cell r="S423">
            <v>23.2859172</v>
          </cell>
          <cell r="T423">
            <v>23.489478609999999</v>
          </cell>
          <cell r="U423">
            <v>23.675567190000002</v>
          </cell>
          <cell r="V423">
            <v>23.854626230000001</v>
          </cell>
          <cell r="W423">
            <v>24.03008706</v>
          </cell>
          <cell r="X423">
            <v>24.201861409999999</v>
          </cell>
          <cell r="Y423">
            <v>24.369399120000001</v>
          </cell>
          <cell r="Z423">
            <v>24.530361729999999</v>
          </cell>
          <cell r="AA423">
            <v>24.68906114</v>
          </cell>
          <cell r="AB423">
            <v>24.847550340000002</v>
          </cell>
          <cell r="AC423">
            <v>25.00840848</v>
          </cell>
          <cell r="AD423">
            <v>25.173952410000002</v>
          </cell>
          <cell r="AE423">
            <v>25.339477590000001</v>
          </cell>
          <cell r="AF423">
            <v>25.512280449999999</v>
          </cell>
          <cell r="AG423">
            <v>25.69511013</v>
          </cell>
          <cell r="AH423">
            <v>25.890792340000001</v>
          </cell>
          <cell r="AI423">
            <v>26.101776079999997</v>
          </cell>
          <cell r="AJ423">
            <v>26.329257680000001</v>
          </cell>
          <cell r="AK423">
            <v>26.573047930000001</v>
          </cell>
          <cell r="AL423">
            <v>26.831805469999999</v>
          </cell>
          <cell r="AM423">
            <v>27.10328818</v>
          </cell>
          <cell r="AN423">
            <v>27.38458511</v>
          </cell>
          <cell r="AO423">
            <v>27.672297219999997</v>
          </cell>
        </row>
        <row r="427">
          <cell r="F427">
            <v>26.32744194</v>
          </cell>
          <cell r="G427">
            <v>26.790744719999999</v>
          </cell>
          <cell r="H427">
            <v>27.311239870000001</v>
          </cell>
          <cell r="I427">
            <v>27.86300876</v>
          </cell>
          <cell r="J427">
            <v>28.458724960000001</v>
          </cell>
          <cell r="K427">
            <v>29.097191250000002</v>
          </cell>
          <cell r="L427">
            <v>29.752440010000001</v>
          </cell>
          <cell r="M427">
            <v>30.413580710000002</v>
          </cell>
          <cell r="N427">
            <v>31.076592099999999</v>
          </cell>
          <cell r="O427">
            <v>31.741263849999999</v>
          </cell>
          <cell r="P427">
            <v>32.392410599999998</v>
          </cell>
          <cell r="Q427">
            <v>32.932770300000001</v>
          </cell>
          <cell r="R427">
            <v>33.382607839999999</v>
          </cell>
          <cell r="S427">
            <v>33.764614100000003</v>
          </cell>
          <cell r="T427">
            <v>34.103743309999999</v>
          </cell>
          <cell r="U427">
            <v>34.4230248</v>
          </cell>
          <cell r="V427">
            <v>34.755813170000003</v>
          </cell>
          <cell r="W427">
            <v>35.126130170000003</v>
          </cell>
          <cell r="X427">
            <v>35.549103170000002</v>
          </cell>
          <cell r="Y427">
            <v>36.032203529999997</v>
          </cell>
          <cell r="Z427">
            <v>36.57299776</v>
          </cell>
          <cell r="AA427">
            <v>37.18662363</v>
          </cell>
          <cell r="AB427">
            <v>37.877401429999999</v>
          </cell>
          <cell r="AC427">
            <v>38.64812731</v>
          </cell>
          <cell r="AD427">
            <v>39.497761570000002</v>
          </cell>
          <cell r="AE427">
            <v>40.402267139999999</v>
          </cell>
          <cell r="AF427">
            <v>41.382905540000003</v>
          </cell>
          <cell r="AG427">
            <v>42.442755329999997</v>
          </cell>
          <cell r="AH427">
            <v>43.581623710000002</v>
          </cell>
          <cell r="AI427">
            <v>44.788738840000001</v>
          </cell>
          <cell r="AJ427">
            <v>46.047734800000001</v>
          </cell>
          <cell r="AK427">
            <v>47.343582179999999</v>
          </cell>
          <cell r="AL427">
            <v>48.664116579999998</v>
          </cell>
          <cell r="AM427">
            <v>49.998450300000002</v>
          </cell>
          <cell r="AN427">
            <v>51.336223850000003</v>
          </cell>
          <cell r="AO427">
            <v>52.667298420000002</v>
          </cell>
        </row>
        <row r="439">
          <cell r="F439">
            <v>4.8754571579999997</v>
          </cell>
          <cell r="G439">
            <v>4.9299355739999999</v>
          </cell>
          <cell r="H439">
            <v>4.9964467580000003</v>
          </cell>
          <cell r="I439">
            <v>5.0711807980000003</v>
          </cell>
          <cell r="J439">
            <v>5.1667834519999998</v>
          </cell>
          <cell r="K439">
            <v>5.281445454</v>
          </cell>
          <cell r="L439">
            <v>5.4055125420000003</v>
          </cell>
          <cell r="M439">
            <v>5.5333460509999997</v>
          </cell>
          <cell r="N439">
            <v>5.6627418360000004</v>
          </cell>
          <cell r="O439">
            <v>5.7928131199999999</v>
          </cell>
          <cell r="P439">
            <v>5.9202326940000001</v>
          </cell>
          <cell r="Q439">
            <v>6.0272060920000001</v>
          </cell>
          <cell r="R439">
            <v>6.1147990950000004</v>
          </cell>
          <cell r="S439">
            <v>6.185699713</v>
          </cell>
          <cell r="T439">
            <v>6.2438887789999997</v>
          </cell>
          <cell r="U439">
            <v>6.2937205260000004</v>
          </cell>
          <cell r="V439">
            <v>6.3438235560000003</v>
          </cell>
          <cell r="W439">
            <v>6.4000987990000002</v>
          </cell>
          <cell r="X439">
            <v>6.466334442</v>
          </cell>
          <cell r="Y439">
            <v>6.5446300190000004</v>
          </cell>
          <cell r="Z439">
            <v>6.6351963730000003</v>
          </cell>
          <cell r="AA439">
            <v>6.7407003950000002</v>
          </cell>
          <cell r="AB439">
            <v>6.8626695030000002</v>
          </cell>
          <cell r="AC439">
            <v>7.0021116860000001</v>
          </cell>
          <cell r="AD439">
            <v>7.1593431000000001</v>
          </cell>
          <cell r="AE439">
            <v>7.3308849049999996</v>
          </cell>
          <cell r="AF439">
            <v>7.5196992260000002</v>
          </cell>
          <cell r="AG439">
            <v>7.7271939779999999</v>
          </cell>
          <cell r="AH439">
            <v>7.9537916979999999</v>
          </cell>
          <cell r="AI439">
            <v>8.1978304360000003</v>
          </cell>
          <cell r="AJ439">
            <v>8.4563466540000007</v>
          </cell>
          <cell r="AK439">
            <v>8.7262423689999995</v>
          </cell>
          <cell r="AL439">
            <v>9.0046373969999998</v>
          </cell>
          <cell r="AM439">
            <v>9.2886954910000004</v>
          </cell>
          <cell r="AN439">
            <v>9.5755562550000004</v>
          </cell>
          <cell r="AO439">
            <v>9.8623227960000008</v>
          </cell>
        </row>
        <row r="451">
          <cell r="F451">
            <v>43.906102959999998</v>
          </cell>
          <cell r="G451">
            <v>44.522865410000001</v>
          </cell>
          <cell r="H451">
            <v>45.220461579999998</v>
          </cell>
          <cell r="I451">
            <v>45.905631919999998</v>
          </cell>
          <cell r="J451">
            <v>46.776872699999998</v>
          </cell>
          <cell r="K451">
            <v>47.819844060000001</v>
          </cell>
          <cell r="L451">
            <v>48.888747270000003</v>
          </cell>
          <cell r="M451">
            <v>49.946307240000003</v>
          </cell>
          <cell r="N451">
            <v>50.987564229999997</v>
          </cell>
          <cell r="O451">
            <v>52.014743439999997</v>
          </cell>
          <cell r="P451">
            <v>52.980096060000001</v>
          </cell>
          <cell r="Q451">
            <v>53.680261369999997</v>
          </cell>
          <cell r="R451">
            <v>54.169257399999999</v>
          </cell>
          <cell r="S451">
            <v>54.505383510000001</v>
          </cell>
          <cell r="T451">
            <v>54.751820360000004</v>
          </cell>
          <cell r="U451">
            <v>54.965047560000002</v>
          </cell>
          <cell r="V451">
            <v>55.26797972</v>
          </cell>
          <cell r="W451">
            <v>55.702529490000003</v>
          </cell>
          <cell r="X451">
            <v>56.292468450000001</v>
          </cell>
          <cell r="Y451">
            <v>57.04676997</v>
          </cell>
          <cell r="Z451">
            <v>57.963974380000003</v>
          </cell>
          <cell r="AA451">
            <v>59.05664737</v>
          </cell>
          <cell r="AB451">
            <v>60.332670829999998</v>
          </cell>
          <cell r="AC451">
            <v>61.795822909999998</v>
          </cell>
          <cell r="AD451">
            <v>63.442791270000001</v>
          </cell>
          <cell r="AE451">
            <v>65.249803610000001</v>
          </cell>
          <cell r="AF451">
            <v>67.234086430000005</v>
          </cell>
          <cell r="AG451">
            <v>69.403832350000002</v>
          </cell>
          <cell r="AH451">
            <v>71.757418680000001</v>
          </cell>
          <cell r="AI451">
            <v>74.267697999999996</v>
          </cell>
          <cell r="AJ451">
            <v>76.895687190000004</v>
          </cell>
          <cell r="AK451">
            <v>79.606338890000004</v>
          </cell>
          <cell r="AL451">
            <v>82.37139707</v>
          </cell>
          <cell r="AM451">
            <v>85.165323909999998</v>
          </cell>
          <cell r="AN451">
            <v>87.963376490000002</v>
          </cell>
          <cell r="AO451">
            <v>90.740880360000006</v>
          </cell>
        </row>
        <row r="463">
          <cell r="F463">
            <v>22.283835799999999</v>
          </cell>
          <cell r="G463">
            <v>22.393992570000002</v>
          </cell>
          <cell r="H463">
            <v>22.535489720000001</v>
          </cell>
          <cell r="I463">
            <v>22.67293754</v>
          </cell>
          <cell r="J463">
            <v>22.938103420000001</v>
          </cell>
          <cell r="K463">
            <v>23.313733089999999</v>
          </cell>
          <cell r="L463">
            <v>23.712821980000001</v>
          </cell>
          <cell r="M463">
            <v>24.121553769999998</v>
          </cell>
          <cell r="N463">
            <v>24.536625870000002</v>
          </cell>
          <cell r="O463">
            <v>24.95530926</v>
          </cell>
          <cell r="P463">
            <v>25.376165579999999</v>
          </cell>
          <cell r="Q463">
            <v>25.726499870000001</v>
          </cell>
          <cell r="R463">
            <v>26.00686936</v>
          </cell>
          <cell r="S463">
            <v>26.2225058</v>
          </cell>
          <cell r="T463">
            <v>26.386135249999999</v>
          </cell>
          <cell r="U463">
            <v>26.514316579999999</v>
          </cell>
          <cell r="V463">
            <v>26.661170980000001</v>
          </cell>
          <cell r="W463">
            <v>26.838877759999999</v>
          </cell>
          <cell r="X463">
            <v>27.057976870000001</v>
          </cell>
          <cell r="Y463">
            <v>27.326857319999998</v>
          </cell>
          <cell r="Z463">
            <v>27.642926549999999</v>
          </cell>
          <cell r="AA463">
            <v>28.0278688</v>
          </cell>
          <cell r="AB463">
            <v>28.483906399999999</v>
          </cell>
          <cell r="AC463">
            <v>29.015469270000001</v>
          </cell>
          <cell r="AD463">
            <v>29.625663580000001</v>
          </cell>
          <cell r="AE463">
            <v>30.28814581</v>
          </cell>
          <cell r="AF463">
            <v>31.035940289999999</v>
          </cell>
          <cell r="AG463">
            <v>31.866649049999999</v>
          </cell>
          <cell r="AH463">
            <v>32.779465620000003</v>
          </cell>
          <cell r="AI463">
            <v>33.766925030000003</v>
          </cell>
          <cell r="AJ463">
            <v>34.816757809999999</v>
          </cell>
          <cell r="AK463">
            <v>35.915353400000001</v>
          </cell>
          <cell r="AL463">
            <v>37.049356160000002</v>
          </cell>
          <cell r="AM463">
            <v>38.205668000000003</v>
          </cell>
          <cell r="AN463">
            <v>39.371433740000001</v>
          </cell>
          <cell r="AO463">
            <v>40.534069379999998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-0.22523456194621927</v>
          </cell>
          <cell r="N1365">
            <v>-0.45049780897455927</v>
          </cell>
          <cell r="O1365">
            <v>-0.30966370578525693</v>
          </cell>
          <cell r="P1365">
            <v>-0.14638698245715842</v>
          </cell>
          <cell r="Q1365">
            <v>-6.8356588520002148E-3</v>
          </cell>
          <cell r="R1365">
            <v>9.9731726276952593E-2</v>
          </cell>
          <cell r="S1365">
            <v>0.18640056889180912</v>
          </cell>
          <cell r="T1365">
            <v>0.27388673624948456</v>
          </cell>
          <cell r="U1365">
            <v>0.3614615744841343</v>
          </cell>
          <cell r="V1365">
            <v>0.41699918084712184</v>
          </cell>
          <cell r="W1365">
            <v>0.44684082960082527</v>
          </cell>
          <cell r="X1365">
            <v>0.45595193261491751</v>
          </cell>
          <cell r="Y1365">
            <v>0.45127261622555093</v>
          </cell>
          <cell r="Z1365">
            <v>0.43849643489730639</v>
          </cell>
          <cell r="AA1365">
            <v>0.42162429054819484</v>
          </cell>
          <cell r="AB1365">
            <v>0.40444305272659964</v>
          </cell>
          <cell r="AC1365">
            <v>0.39089215463468108</v>
          </cell>
          <cell r="AD1365">
            <v>0.38502599569165685</v>
          </cell>
          <cell r="AE1365">
            <v>0.38961106577670712</v>
          </cell>
          <cell r="AF1365">
            <v>0.40965882858514657</v>
          </cell>
          <cell r="AG1365">
            <v>0.4455874552116379</v>
          </cell>
          <cell r="AH1365">
            <v>0.5018423855732701</v>
          </cell>
          <cell r="AI1365">
            <v>0.58384902743040534</v>
          </cell>
          <cell r="AJ1365">
            <v>0.69655839325135638</v>
          </cell>
          <cell r="AK1365">
            <v>0.84434499663517126</v>
          </cell>
          <cell r="AL1365">
            <v>1.032481760451498</v>
          </cell>
          <cell r="AM1365">
            <v>1.2687232979693874</v>
          </cell>
          <cell r="AN1365">
            <v>1.5643169067570462</v>
          </cell>
          <cell r="AO1365">
            <v>1.9356238668278625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-6.2337024431258214E-9</v>
          </cell>
          <cell r="H1366">
            <v>0</v>
          </cell>
          <cell r="I1366">
            <v>0</v>
          </cell>
          <cell r="J1366">
            <v>-5.8157700877359275E-9</v>
          </cell>
          <cell r="K1366">
            <v>-5.6715299123766272E-9</v>
          </cell>
          <cell r="L1366">
            <v>0</v>
          </cell>
          <cell r="M1366">
            <v>-0.28911477561551768</v>
          </cell>
          <cell r="N1366">
            <v>-0.57178956675076886</v>
          </cell>
          <cell r="O1366">
            <v>-0.40058265509885782</v>
          </cell>
          <cell r="P1366">
            <v>-0.22303388002606894</v>
          </cell>
          <cell r="Q1366">
            <v>-9.1325777342377013E-2</v>
          </cell>
          <cell r="R1366">
            <v>-1.227119274970212E-2</v>
          </cell>
          <cell r="S1366">
            <v>3.7641510449981652E-2</v>
          </cell>
          <cell r="T1366">
            <v>8.8508382820795539E-2</v>
          </cell>
          <cell r="U1366">
            <v>0.14079818251993004</v>
          </cell>
          <cell r="V1366">
            <v>0.15741592429610041</v>
          </cell>
          <cell r="W1366">
            <v>0.1474759801788128</v>
          </cell>
          <cell r="X1366">
            <v>0.11588618814974971</v>
          </cell>
          <cell r="Y1366">
            <v>7.0080120093263254E-2</v>
          </cell>
          <cell r="Z1366">
            <v>1.6294678266470797E-2</v>
          </cell>
          <cell r="AA1366">
            <v>-4.0453770390647126E-2</v>
          </cell>
          <cell r="AB1366">
            <v>-9.5888082149753195E-2</v>
          </cell>
          <cell r="AC1366">
            <v>-0.14588884369940436</v>
          </cell>
          <cell r="AD1366">
            <v>-0.18626587142483997</v>
          </cell>
          <cell r="AE1366">
            <v>-0.2146722395520495</v>
          </cell>
          <cell r="AF1366">
            <v>-0.22473165433811726</v>
          </cell>
          <cell r="AG1366">
            <v>-0.21663406303208399</v>
          </cell>
          <cell r="AH1366">
            <v>-0.18708672905159984</v>
          </cell>
          <cell r="AI1366">
            <v>-0.13190126473167085</v>
          </cell>
          <cell r="AJ1366">
            <v>-4.7596540296956924E-2</v>
          </cell>
          <cell r="AK1366">
            <v>6.8540620546797548E-2</v>
          </cell>
          <cell r="AL1366">
            <v>0.2194577469861736</v>
          </cell>
          <cell r="AM1366">
            <v>0.40922363850441901</v>
          </cell>
          <cell r="AN1366">
            <v>0.64401128723541312</v>
          </cell>
          <cell r="AO1366">
            <v>0.9328828403921241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4.0853719645152269E-8</v>
          </cell>
          <cell r="L1367">
            <v>0</v>
          </cell>
          <cell r="M1367">
            <v>-2.3081836423336756E-2</v>
          </cell>
          <cell r="N1367">
            <v>-6.688401473795115E-2</v>
          </cell>
          <cell r="O1367">
            <v>-3.1818385200416362E-2</v>
          </cell>
          <cell r="P1367">
            <v>9.2150858239591987E-2</v>
          </cell>
          <cell r="Q1367">
            <v>0.27632835292584945</v>
          </cell>
          <cell r="R1367">
            <v>0.50380878633736437</v>
          </cell>
          <cell r="S1367">
            <v>0.74266729818635258</v>
          </cell>
          <cell r="T1367">
            <v>0.97356447435350424</v>
          </cell>
          <cell r="U1367">
            <v>1.1877826102694378</v>
          </cell>
          <cell r="V1367">
            <v>1.3754040144718114</v>
          </cell>
          <cell r="W1367">
            <v>1.5272418388251112</v>
          </cell>
          <cell r="X1367">
            <v>1.6498872852997715</v>
          </cell>
          <cell r="Y1367">
            <v>1.7497286652694388</v>
          </cell>
          <cell r="Z1367">
            <v>1.8305775873178571</v>
          </cell>
          <cell r="AA1367">
            <v>1.8916782725728931</v>
          </cell>
          <cell r="AB1367">
            <v>1.9339429596455915</v>
          </cell>
          <cell r="AC1367">
            <v>1.9603767694762524</v>
          </cell>
          <cell r="AD1367">
            <v>1.9739710527276502</v>
          </cell>
          <cell r="AE1367">
            <v>1.977485621492292</v>
          </cell>
          <cell r="AF1367">
            <v>1.9666325964500009</v>
          </cell>
          <cell r="AG1367">
            <v>1.940808664708997</v>
          </cell>
          <cell r="AH1367">
            <v>1.9067919768573238</v>
          </cell>
          <cell r="AI1367">
            <v>1.8715534984877384</v>
          </cell>
          <cell r="AJ1367">
            <v>1.8404471851014699</v>
          </cell>
          <cell r="AK1367">
            <v>1.8159395002514733</v>
          </cell>
          <cell r="AL1367">
            <v>1.8008411367286865</v>
          </cell>
          <cell r="AM1367">
            <v>1.8023998342214778</v>
          </cell>
          <cell r="AN1367">
            <v>1.8300195460657647</v>
          </cell>
          <cell r="AO1367">
            <v>1.8951719330312347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4.4658107768258778E-10</v>
          </cell>
          <cell r="H1368">
            <v>4.3753642447311446E-10</v>
          </cell>
          <cell r="I1368">
            <v>1.2841039155242746E-9</v>
          </cell>
          <cell r="J1368">
            <v>2.0916480391454859E-9</v>
          </cell>
          <cell r="K1368">
            <v>2.0426862200575761E-9</v>
          </cell>
          <cell r="L1368">
            <v>2.3941696611500134E-9</v>
          </cell>
          <cell r="M1368">
            <v>-6.6088725811536839E-2</v>
          </cell>
          <cell r="N1368">
            <v>-0.11359658917019246</v>
          </cell>
          <cell r="O1368">
            <v>-0.12963666128857798</v>
          </cell>
          <cell r="P1368">
            <v>-0.12539739055760368</v>
          </cell>
          <cell r="Q1368">
            <v>-9.168961152393941E-2</v>
          </cell>
          <cell r="R1368">
            <v>-5.2793188582409112E-2</v>
          </cell>
          <cell r="S1368">
            <v>-2.0932756417130351E-2</v>
          </cell>
          <cell r="T1368">
            <v>1.7742747545229684E-3</v>
          </cell>
          <cell r="U1368">
            <v>1.7043535226024226E-2</v>
          </cell>
          <cell r="V1368">
            <v>1.3303956029091683E-2</v>
          </cell>
          <cell r="W1368">
            <v>2.6050179864284054E-3</v>
          </cell>
          <cell r="X1368">
            <v>-7.6446085299116872E-3</v>
          </cell>
          <cell r="Y1368">
            <v>-1.4867605239817431E-2</v>
          </cell>
          <cell r="Z1368">
            <v>-1.9012705986537152E-2</v>
          </cell>
          <cell r="AA1368">
            <v>-2.0756782553958828E-2</v>
          </cell>
          <cell r="AB1368">
            <v>-2.0998037066799889E-2</v>
          </cell>
          <cell r="AC1368">
            <v>-2.0160068901577025E-2</v>
          </cell>
          <cell r="AD1368">
            <v>-1.8504859185125379E-2</v>
          </cell>
          <cell r="AE1368">
            <v>-1.6484528333920816E-2</v>
          </cell>
          <cell r="AF1368">
            <v>-1.4346299111890693E-2</v>
          </cell>
          <cell r="AG1368">
            <v>-1.239418558819964E-2</v>
          </cell>
          <cell r="AH1368">
            <v>-1.0049422678875597E-2</v>
          </cell>
          <cell r="AI1368">
            <v>-6.8183290597919419E-3</v>
          </cell>
          <cell r="AJ1368">
            <v>-2.47710740589859E-3</v>
          </cell>
          <cell r="AK1368">
            <v>2.9942109917123426E-3</v>
          </cell>
          <cell r="AL1368">
            <v>9.7472455293723011E-3</v>
          </cell>
          <cell r="AM1368">
            <v>1.8366893788324193E-2</v>
          </cell>
          <cell r="AN1368">
            <v>2.9558384394080067E-2</v>
          </cell>
          <cell r="AO1368">
            <v>4.4031211160786239E-2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4.0853748181147767E-9</v>
          </cell>
          <cell r="L1370">
            <v>3.9902802523791448E-9</v>
          </cell>
          <cell r="M1370">
            <v>-5.2912597207627358E-2</v>
          </cell>
          <cell r="N1370">
            <v>-0.1201781524273545</v>
          </cell>
          <cell r="O1370">
            <v>-0.13174447978422194</v>
          </cell>
          <cell r="P1370">
            <v>-0.11219685576611242</v>
          </cell>
          <cell r="Q1370">
            <v>-7.5566318470479066E-2</v>
          </cell>
          <cell r="R1370">
            <v>-3.2127685764344549E-2</v>
          </cell>
          <cell r="S1370">
            <v>1.5641877149442193E-2</v>
          </cell>
          <cell r="T1370">
            <v>7.0542706982679698E-2</v>
          </cell>
          <cell r="U1370">
            <v>0.13408844912567089</v>
          </cell>
          <cell r="V1370">
            <v>0.19759548739535787</v>
          </cell>
          <cell r="W1370">
            <v>0.26073984912707027</v>
          </cell>
          <cell r="X1370">
            <v>0.32538927647034011</v>
          </cell>
          <cell r="Y1370">
            <v>0.39411469457587328</v>
          </cell>
          <cell r="Z1370">
            <v>0.46950245766633264</v>
          </cell>
          <cell r="AA1370">
            <v>0.55319840366762396</v>
          </cell>
          <cell r="AB1370">
            <v>0.64687911500215112</v>
          </cell>
          <cell r="AC1370">
            <v>0.75234955830285455</v>
          </cell>
          <cell r="AD1370">
            <v>0.87152614573129306</v>
          </cell>
          <cell r="AE1370">
            <v>1.0067867708202674</v>
          </cell>
          <cell r="AF1370">
            <v>1.1590630770300214</v>
          </cell>
          <cell r="AG1370">
            <v>1.328732798313025</v>
          </cell>
          <cell r="AH1370">
            <v>1.5178335346937277</v>
          </cell>
          <cell r="AI1370">
            <v>1.7298428384273226</v>
          </cell>
          <cell r="AJ1370">
            <v>1.9694161748516756</v>
          </cell>
          <cell r="AK1370">
            <v>2.2421841664323976</v>
          </cell>
          <cell r="AL1370">
            <v>2.555731560078045</v>
          </cell>
          <cell r="AM1370">
            <v>2.9214348306030615</v>
          </cell>
          <cell r="AN1370">
            <v>3.3560600682917689</v>
          </cell>
          <cell r="AO1370">
            <v>3.8846780923408173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-4.4658120765474342E-9</v>
          </cell>
          <cell r="H1372">
            <v>-4.3753604245366629E-9</v>
          </cell>
          <cell r="I1372">
            <v>-4.2803426478479161E-9</v>
          </cell>
          <cell r="J1372">
            <v>-1.2549885799874235E-8</v>
          </cell>
          <cell r="K1372">
            <v>-8.1707448802303045E-9</v>
          </cell>
          <cell r="L1372">
            <v>-1.596112565481666E-8</v>
          </cell>
          <cell r="M1372">
            <v>-0.14924010103194058</v>
          </cell>
          <cell r="N1372">
            <v>-0.26343559612031842</v>
          </cell>
          <cell r="O1372">
            <v>-0.14610085195912703</v>
          </cell>
          <cell r="P1372">
            <v>-0.12634097402856082</v>
          </cell>
          <cell r="Q1372">
            <v>-0.20759770399113589</v>
          </cell>
          <cell r="R1372">
            <v>-0.37194935681220032</v>
          </cell>
          <cell r="S1372">
            <v>-0.57190859612749034</v>
          </cell>
          <cell r="T1372">
            <v>-0.7702204417011036</v>
          </cell>
          <cell r="U1372">
            <v>-0.96040949158170608</v>
          </cell>
          <cell r="V1372">
            <v>-1.1560003308776075</v>
          </cell>
          <cell r="W1372">
            <v>-1.3411408227591486</v>
          </cell>
          <cell r="X1372">
            <v>-1.5193245973153622</v>
          </cell>
          <cell r="Y1372">
            <v>-1.6925707749249872</v>
          </cell>
          <cell r="Z1372">
            <v>-1.8615836193155912</v>
          </cell>
          <cell r="AA1372">
            <v>-2.0232523464450329</v>
          </cell>
          <cell r="AB1372">
            <v>-2.1763790515153403</v>
          </cell>
          <cell r="AC1372">
            <v>-2.3218341673493574</v>
          </cell>
          <cell r="AD1372">
            <v>-2.4604712282713725</v>
          </cell>
          <cell r="AE1372">
            <v>-2.59466132653584</v>
          </cell>
          <cell r="AF1372">
            <v>-2.7160368990340134</v>
          </cell>
          <cell r="AG1372">
            <v>-2.8239540078103889</v>
          </cell>
          <cell r="AH1372">
            <v>-2.922783105374914</v>
          </cell>
          <cell r="AI1372">
            <v>-3.0175473596649747</v>
          </cell>
          <cell r="AJ1372">
            <v>-3.1133049667017949</v>
          </cell>
          <cell r="AK1372">
            <v>-3.2137786700486712</v>
          </cell>
          <cell r="AL1372">
            <v>-3.3240909363552094</v>
          </cell>
          <cell r="AM1372">
            <v>-3.4551113443054602</v>
          </cell>
          <cell r="AN1372">
            <v>-3.6217627076004826</v>
          </cell>
          <cell r="AO1372">
            <v>-3.8442261585441755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4.0445188821739746E-8</v>
          </cell>
          <cell r="L1373">
            <v>0</v>
          </cell>
          <cell r="M1373">
            <v>-2.1806229025445802E-2</v>
          </cell>
          <cell r="N1373">
            <v>-6.3114774517003785E-2</v>
          </cell>
          <cell r="O1373">
            <v>-2.6530496434857772E-2</v>
          </cell>
          <cell r="P1373">
            <v>9.7454456602217965E-2</v>
          </cell>
          <cell r="Q1373">
            <v>0.28027317427392312</v>
          </cell>
          <cell r="R1373">
            <v>0.50507618540056931</v>
          </cell>
          <cell r="S1373">
            <v>0.74052736617745296</v>
          </cell>
          <cell r="T1373">
            <v>0.96778645420414444</v>
          </cell>
          <cell r="U1373">
            <v>1.1784385284627779</v>
          </cell>
          <cell r="V1373">
            <v>1.362904251151873</v>
          </cell>
          <cell r="W1373">
            <v>1.5123248598916534</v>
          </cell>
          <cell r="X1373">
            <v>1.6331488282023097</v>
          </cell>
          <cell r="Y1373">
            <v>1.7315492839494648</v>
          </cell>
          <cell r="Z1373">
            <v>1.8111798451719243</v>
          </cell>
          <cell r="AA1373">
            <v>1.8712619309613254</v>
          </cell>
          <cell r="AB1373">
            <v>1.9127059656993246</v>
          </cell>
          <cell r="AC1373">
            <v>1.9385002300525835</v>
          </cell>
          <cell r="AD1373">
            <v>1.9516219522646114</v>
          </cell>
          <cell r="AE1373">
            <v>1.9548178786355932</v>
          </cell>
          <cell r="AF1373">
            <v>1.9439418562991313</v>
          </cell>
          <cell r="AG1373">
            <v>1.918496555132134</v>
          </cell>
          <cell r="AH1373">
            <v>1.8852175576587205</v>
          </cell>
          <cell r="AI1373">
            <v>1.850989174156999</v>
          </cell>
          <cell r="AJ1373">
            <v>1.8210906520241834</v>
          </cell>
          <cell r="AK1373">
            <v>1.797973420766797</v>
          </cell>
          <cell r="AL1373">
            <v>1.7844500087366932</v>
          </cell>
          <cell r="AM1373">
            <v>1.7877063920263447</v>
          </cell>
          <cell r="AN1373">
            <v>1.8170565376593097</v>
          </cell>
          <cell r="AO1373">
            <v>1.8838769077859541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4.4939151535258026E-9</v>
          </cell>
          <cell r="L1374">
            <v>3.9902802523791448E-9</v>
          </cell>
          <cell r="M1374">
            <v>-5.4188204605518313E-2</v>
          </cell>
          <cell r="N1374">
            <v>-0.1239473926483063</v>
          </cell>
          <cell r="O1374">
            <v>-0.13703236854978051</v>
          </cell>
          <cell r="P1374">
            <v>-0.1175004541287384</v>
          </cell>
          <cell r="Q1374">
            <v>-7.9511139818548598E-2</v>
          </cell>
          <cell r="R1374">
            <v>-3.3395084827549597E-2</v>
          </cell>
          <cell r="S1374">
            <v>1.7781809158337821E-2</v>
          </cell>
          <cell r="T1374">
            <v>7.6320727132035526E-2</v>
          </cell>
          <cell r="U1374">
            <v>0.1434325309323308</v>
          </cell>
          <cell r="V1374">
            <v>0.21009525071530019</v>
          </cell>
          <cell r="W1374">
            <v>0.27565682806052771</v>
          </cell>
          <cell r="X1374">
            <v>0.34212773356780163</v>
          </cell>
          <cell r="Y1374">
            <v>0.41229407589584399</v>
          </cell>
          <cell r="Z1374">
            <v>0.48890019981226535</v>
          </cell>
          <cell r="AA1374">
            <v>0.57361474527919154</v>
          </cell>
          <cell r="AB1374">
            <v>0.668116108948418</v>
          </cell>
          <cell r="AC1374">
            <v>0.77422609772652651</v>
          </cell>
          <cell r="AD1374">
            <v>0.89387524619433478</v>
          </cell>
          <cell r="AE1374">
            <v>1.0294545136769662</v>
          </cell>
          <cell r="AF1374">
            <v>1.1817538171808848</v>
          </cell>
          <cell r="AG1374">
            <v>1.3510449078898881</v>
          </cell>
          <cell r="AH1374">
            <v>1.5394079538923344</v>
          </cell>
          <cell r="AI1374">
            <v>1.7504071627580591</v>
          </cell>
          <cell r="AJ1374">
            <v>1.9887727079289732</v>
          </cell>
          <cell r="AK1374">
            <v>2.2601502459170737</v>
          </cell>
          <cell r="AL1374">
            <v>2.5721226880700385</v>
          </cell>
          <cell r="AM1374">
            <v>2.9361282727981943</v>
          </cell>
          <cell r="AN1374">
            <v>3.3690230766982241</v>
          </cell>
          <cell r="AO1374">
            <v>3.8959731175860974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-4.1833033832870128E-10</v>
          </cell>
          <cell r="K1375">
            <v>4.0853748181147767E-9</v>
          </cell>
          <cell r="L1375">
            <v>3.5912512980812143E-9</v>
          </cell>
          <cell r="M1375">
            <v>-4.9723933201052652E-2</v>
          </cell>
          <cell r="N1375">
            <v>-0.11360490379274116</v>
          </cell>
          <cell r="O1375">
            <v>-0.12283447793098544</v>
          </cell>
          <cell r="P1375">
            <v>-0.10175919505716702</v>
          </cell>
          <cell r="Q1375">
            <v>-6.4840145691641052E-2</v>
          </cell>
          <cell r="R1375">
            <v>-2.2018648745944055E-2</v>
          </cell>
          <cell r="S1375">
            <v>2.4491784102907303E-2</v>
          </cell>
          <cell r="T1375">
            <v>7.76233957346084E-2</v>
          </cell>
          <cell r="U1375">
            <v>0.13896639419253984</v>
          </cell>
          <cell r="V1375">
            <v>0.20037949319530643</v>
          </cell>
          <cell r="W1375">
            <v>0.26152420105944663</v>
          </cell>
          <cell r="X1375">
            <v>0.32412402036686727</v>
          </cell>
          <cell r="Y1375">
            <v>0.39061032370138338</v>
          </cell>
          <cell r="Z1375">
            <v>0.46347605591800878</v>
          </cell>
          <cell r="AA1375">
            <v>0.54436070862372521</v>
          </cell>
          <cell r="AB1375">
            <v>0.63496062344306636</v>
          </cell>
          <cell r="AC1375">
            <v>0.73708494946722747</v>
          </cell>
          <cell r="AD1375">
            <v>0.85266740357997939</v>
          </cell>
          <cell r="AE1375">
            <v>0.98413709198800392</v>
          </cell>
          <cell r="AF1375">
            <v>1.1326045677615943</v>
          </cell>
          <cell r="AG1375">
            <v>1.2986503553682864</v>
          </cell>
          <cell r="AH1375">
            <v>1.4843726543340166</v>
          </cell>
          <cell r="AI1375">
            <v>1.6932643015219202</v>
          </cell>
          <cell r="AJ1375">
            <v>1.9299842328963244</v>
          </cell>
          <cell r="AK1375">
            <v>2.2002008936145949</v>
          </cell>
          <cell r="AL1375">
            <v>2.5115320025648575</v>
          </cell>
          <cell r="AM1375">
            <v>2.8753068430450148</v>
          </cell>
          <cell r="AN1375">
            <v>3.3081984252017431</v>
          </cell>
          <cell r="AO1375">
            <v>3.835147934464473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4.0853721428651993E-10</v>
          </cell>
          <cell r="L1376">
            <v>0</v>
          </cell>
          <cell r="M1376">
            <v>-1.2756073978916612E-3</v>
          </cell>
          <cell r="N1376">
            <v>-3.7692402209511078E-3</v>
          </cell>
          <cell r="O1376">
            <v>-5.2878887655606185E-3</v>
          </cell>
          <cell r="P1376">
            <v>-5.3035983626258509E-3</v>
          </cell>
          <cell r="Q1376">
            <v>-3.9448213480696463E-3</v>
          </cell>
          <cell r="R1376">
            <v>-1.2673990632055604E-3</v>
          </cell>
          <cell r="S1376">
            <v>2.1399320088975049E-3</v>
          </cell>
          <cell r="T1376">
            <v>5.7780201493577996E-3</v>
          </cell>
          <cell r="U1376">
            <v>9.3440818066605133E-3</v>
          </cell>
          <cell r="V1376">
            <v>1.2499763319940413E-2</v>
          </cell>
          <cell r="W1376">
            <v>1.4916978933457838E-2</v>
          </cell>
          <cell r="X1376">
            <v>1.6738457097460989E-2</v>
          </cell>
          <cell r="Y1376">
            <v>1.8179381319971214E-2</v>
          </cell>
          <cell r="Z1376">
            <v>1.9397742145933424E-2</v>
          </cell>
          <cell r="AA1376">
            <v>2.0416341611567041E-2</v>
          </cell>
          <cell r="AB1376">
            <v>2.1236993946267723E-2</v>
          </cell>
          <cell r="AC1376">
            <v>2.1876539423670485E-2</v>
          </cell>
          <cell r="AD1376">
            <v>2.2349100463040044E-2</v>
          </cell>
          <cell r="AE1376">
            <v>2.266774285670043E-2</v>
          </cell>
          <cell r="AF1376">
            <v>2.2690740150866324E-2</v>
          </cell>
          <cell r="AG1376">
            <v>2.2312109576863699E-2</v>
          </cell>
          <cell r="AH1376">
            <v>2.1574419198605276E-2</v>
          </cell>
          <cell r="AI1376">
            <v>2.0564324330735476E-2</v>
          </cell>
          <cell r="AJ1376">
            <v>1.9356533077295873E-2</v>
          </cell>
          <cell r="AK1376">
            <v>1.7966079484676125E-2</v>
          </cell>
          <cell r="AL1376">
            <v>1.6391127991994138E-2</v>
          </cell>
          <cell r="AM1376">
            <v>1.4693442195134288E-2</v>
          </cell>
          <cell r="AN1376">
            <v>1.2963008406456108E-2</v>
          </cell>
          <cell r="AO1376">
            <v>1.1295025245281686E-2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4.1832942520419612E-10</v>
          </cell>
          <cell r="K1377">
            <v>0</v>
          </cell>
          <cell r="L1377">
            <v>3.9902808330416545E-10</v>
          </cell>
          <cell r="M1377">
            <v>-3.1886640065761297E-3</v>
          </cell>
          <cell r="N1377">
            <v>-6.5732486346136206E-3</v>
          </cell>
          <cell r="O1377">
            <v>-8.91000185323324E-3</v>
          </cell>
          <cell r="P1377">
            <v>-1.0437660708945385E-2</v>
          </cell>
          <cell r="Q1377">
            <v>-1.0726172778839567E-2</v>
          </cell>
          <cell r="R1377">
            <v>-1.0109037018398458E-2</v>
          </cell>
          <cell r="S1377">
            <v>-8.8499069534658612E-3</v>
          </cell>
          <cell r="T1377">
            <v>-7.0806887519289504E-3</v>
          </cell>
          <cell r="U1377">
            <v>-4.8779450668686945E-3</v>
          </cell>
          <cell r="V1377">
            <v>-2.7840057999473813E-3</v>
          </cell>
          <cell r="W1377">
            <v>-7.8435193237592817E-4</v>
          </cell>
          <cell r="X1377">
            <v>1.2652561034730762E-3</v>
          </cell>
          <cell r="Y1377">
            <v>3.504370874487653E-3</v>
          </cell>
          <cell r="Z1377">
            <v>6.0264017483241004E-3</v>
          </cell>
          <cell r="AA1377">
            <v>8.8376950438978762E-3</v>
          </cell>
          <cell r="AB1377">
            <v>1.1918491559082492E-2</v>
          </cell>
          <cell r="AC1377">
            <v>1.5264608835627269E-2</v>
          </cell>
          <cell r="AD1377">
            <v>1.8858742151313449E-2</v>
          </cell>
          <cell r="AE1377">
            <v>2.2649678832262307E-2</v>
          </cell>
          <cell r="AF1377">
            <v>2.6458509268428344E-2</v>
          </cell>
          <cell r="AG1377">
            <v>3.0082442944739583E-2</v>
          </cell>
          <cell r="AH1377">
            <v>3.3460880359710725E-2</v>
          </cell>
          <cell r="AI1377">
            <v>3.6578536905402026E-2</v>
          </cell>
          <cell r="AJ1377">
            <v>3.9431941955349624E-2</v>
          </cell>
          <cell r="AK1377">
            <v>4.1983272817803632E-2</v>
          </cell>
          <cell r="AL1377">
            <v>4.4199557513189568E-2</v>
          </cell>
          <cell r="AM1377">
            <v>4.6127987558043676E-2</v>
          </cell>
          <cell r="AN1377">
            <v>4.7861643090025913E-2</v>
          </cell>
          <cell r="AO1377">
            <v>4.9530157876345085E-2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7.4772721347926563E-8</v>
          </cell>
          <cell r="L1378">
            <v>0</v>
          </cell>
          <cell r="M1378">
            <v>-4.2157925506469685E-2</v>
          </cell>
          <cell r="N1378">
            <v>-0.12205923425104848</v>
          </cell>
          <cell r="O1378">
            <v>-5.8018777466339877E-2</v>
          </cell>
          <cell r="P1378">
            <v>0.16781761441742038</v>
          </cell>
          <cell r="Q1378">
            <v>0.50170358577354968</v>
          </cell>
          <cell r="R1378">
            <v>0.91176005098267954</v>
          </cell>
          <cell r="S1378">
            <v>1.3402639089156398</v>
          </cell>
          <cell r="T1378">
            <v>1.7536260137117843</v>
          </cell>
          <cell r="U1378">
            <v>2.1378794749860708</v>
          </cell>
          <cell r="V1378">
            <v>2.4760220556331536</v>
          </cell>
          <cell r="W1378">
            <v>2.7524936554381263</v>
          </cell>
          <cell r="X1378">
            <v>2.979803245814705</v>
          </cell>
          <cell r="Y1378">
            <v>3.1695686542229762</v>
          </cell>
          <cell r="Z1378">
            <v>3.3284422781969081</v>
          </cell>
          <cell r="AA1378">
            <v>3.4549391619382197</v>
          </cell>
          <cell r="AB1378">
            <v>3.5494778481766298</v>
          </cell>
          <cell r="AC1378">
            <v>3.6166577619992868</v>
          </cell>
          <cell r="AD1378">
            <v>3.6609887954048403</v>
          </cell>
          <cell r="AE1378">
            <v>3.6866820036135284</v>
          </cell>
          <cell r="AF1378">
            <v>3.6862482494412374</v>
          </cell>
          <cell r="AG1378">
            <v>3.656808012387569</v>
          </cell>
          <cell r="AH1378">
            <v>3.610210913949774</v>
          </cell>
          <cell r="AI1378">
            <v>3.5585814720846098</v>
          </cell>
          <cell r="AJ1378">
            <v>3.5115124776925244</v>
          </cell>
          <cell r="AK1378">
            <v>3.473756168337383</v>
          </cell>
          <cell r="AL1378">
            <v>3.4511065942250507</v>
          </cell>
          <cell r="AM1378">
            <v>3.4579952909600919</v>
          </cell>
          <cell r="AN1378">
            <v>3.5130185208499087</v>
          </cell>
          <cell r="AO1378">
            <v>3.6386816125747679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1.5145196208266043E-8</v>
          </cell>
          <cell r="H1379">
            <v>1.4078094245917327E-8</v>
          </cell>
          <cell r="I1379">
            <v>3.9705394527800308E-8</v>
          </cell>
          <cell r="J1379">
            <v>6.2805916023478403E-8</v>
          </cell>
          <cell r="K1379">
            <v>6.0255200828862598E-8</v>
          </cell>
          <cell r="L1379">
            <v>7.0253314277124446E-8</v>
          </cell>
          <cell r="M1379">
            <v>-1.9461095339429524</v>
          </cell>
          <cell r="N1379">
            <v>-3.371624718937194</v>
          </cell>
          <cell r="O1379">
            <v>-3.8851451586845553</v>
          </cell>
          <cell r="P1379">
            <v>-3.7941895674102888</v>
          </cell>
          <cell r="Q1379">
            <v>-2.7998215583067587</v>
          </cell>
          <cell r="R1379">
            <v>-1.628091177962776</v>
          </cell>
          <cell r="S1379">
            <v>-0.65261446949401725</v>
          </cell>
          <cell r="T1379">
            <v>5.5987768631093893E-2</v>
          </cell>
          <cell r="U1379">
            <v>0.54494203256971741</v>
          </cell>
          <cell r="V1379">
            <v>0.43020203126393763</v>
          </cell>
          <cell r="W1379">
            <v>8.5089637075164148E-2</v>
          </cell>
          <cell r="X1379">
            <v>-0.25225991895975186</v>
          </cell>
          <cell r="Y1379">
            <v>-0.49605844332532012</v>
          </cell>
          <cell r="Z1379">
            <v>-0.64226149386472642</v>
          </cell>
          <cell r="AA1379">
            <v>-0.71032732527936959</v>
          </cell>
          <cell r="AB1379">
            <v>-0.72822399147091099</v>
          </cell>
          <cell r="AC1379">
            <v>-0.70866164732757975</v>
          </cell>
          <cell r="AD1379">
            <v>-0.6593352792070073</v>
          </cell>
          <cell r="AE1379">
            <v>-0.59579238766399589</v>
          </cell>
          <cell r="AF1379">
            <v>-0.52575152076631548</v>
          </cell>
          <cell r="AG1379">
            <v>-0.46028495113176193</v>
          </cell>
          <cell r="AH1379">
            <v>-0.37796026138547933</v>
          </cell>
          <cell r="AI1379">
            <v>-0.259508665772612</v>
          </cell>
          <cell r="AJ1379">
            <v>-9.5342950287946593E-2</v>
          </cell>
          <cell r="AK1379">
            <v>0.11649481887736624</v>
          </cell>
          <cell r="AL1379">
            <v>0.38329234648959432</v>
          </cell>
          <cell r="AM1379">
            <v>0.73007513952041414</v>
          </cell>
          <cell r="AN1379">
            <v>1.1880734379024371</v>
          </cell>
          <cell r="AO1379">
            <v>1.7904471238182618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1.8871348927973486E-8</v>
          </cell>
          <cell r="L1381">
            <v>1.8358425890596664E-8</v>
          </cell>
          <cell r="M1381">
            <v>-0.24236136222586246</v>
          </cell>
          <cell r="N1381">
            <v>-0.54780602238670983</v>
          </cell>
          <cell r="O1381">
            <v>-0.5973811856793354</v>
          </cell>
          <cell r="P1381">
            <v>-0.50590133884415023</v>
          </cell>
          <cell r="Q1381">
            <v>-0.33833751681855428</v>
          </cell>
          <cell r="R1381">
            <v>-0.14279460164162705</v>
          </cell>
          <cell r="S1381">
            <v>6.8999798168412063E-2</v>
          </cell>
          <cell r="T1381">
            <v>0.30879847742395494</v>
          </cell>
          <cell r="U1381">
            <v>0.58241186977106008</v>
          </cell>
          <cell r="V1381">
            <v>0.85155518812312092</v>
          </cell>
          <cell r="W1381">
            <v>1.1148278774214537</v>
          </cell>
          <cell r="X1381">
            <v>1.3801815315876542</v>
          </cell>
          <cell r="Y1381">
            <v>1.6583284508742357</v>
          </cell>
          <cell r="Z1381">
            <v>1.9594581006494804</v>
          </cell>
          <cell r="AA1381">
            <v>2.2907970932450228</v>
          </cell>
          <cell r="AB1381">
            <v>2.6584723967210344</v>
          </cell>
          <cell r="AC1381">
            <v>3.0693426876797769</v>
          </cell>
          <cell r="AD1381">
            <v>3.5305672236103591</v>
          </cell>
          <cell r="AE1381">
            <v>4.0490815838162941</v>
          </cell>
          <cell r="AF1381">
            <v>4.6312815159152754</v>
          </cell>
          <cell r="AG1381">
            <v>5.2771380011270796</v>
          </cell>
          <cell r="AH1381">
            <v>5.9940765384469907</v>
          </cell>
          <cell r="AI1381">
            <v>6.7945571271710303</v>
          </cell>
          <cell r="AJ1381">
            <v>7.6952331119521711</v>
          </cell>
          <cell r="AK1381">
            <v>8.7162660941591206</v>
          </cell>
          <cell r="AL1381">
            <v>9.884911842488675</v>
          </cell>
          <cell r="AM1381">
            <v>11.242258388935177</v>
          </cell>
          <cell r="AN1381">
            <v>12.848982354578563</v>
          </cell>
          <cell r="AO1381">
            <v>14.795933679450624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-2.1112667170086752E-9</v>
          </cell>
          <cell r="K1382">
            <v>2.0536972122897623E-8</v>
          </cell>
          <cell r="L1382">
            <v>1.7965895438010193E-8</v>
          </cell>
          <cell r="M1382">
            <v>-0.2474361919633572</v>
          </cell>
          <cell r="N1382">
            <v>-0.56209270726410576</v>
          </cell>
          <cell r="O1382">
            <v>-0.60403532894810485</v>
          </cell>
          <cell r="P1382">
            <v>-0.49719863553366883</v>
          </cell>
          <cell r="Q1382">
            <v>-0.31436009005240129</v>
          </cell>
          <cell r="R1382">
            <v>-0.10590929930648363</v>
          </cell>
          <cell r="S1382">
            <v>0.11686802853241307</v>
          </cell>
          <cell r="T1382">
            <v>0.36743561721102047</v>
          </cell>
          <cell r="U1382">
            <v>0.65252044258530262</v>
          </cell>
          <cell r="V1382">
            <v>0.93332109669073127</v>
          </cell>
          <cell r="W1382">
            <v>1.208239436767844</v>
          </cell>
          <cell r="X1382">
            <v>1.4851624509114814</v>
          </cell>
          <cell r="Y1382">
            <v>1.7749783059640256</v>
          </cell>
          <cell r="Z1382">
            <v>2.088152266809673</v>
          </cell>
          <cell r="AA1382">
            <v>2.4324789480846709</v>
          </cell>
          <cell r="AB1382">
            <v>2.8145294778552321</v>
          </cell>
          <cell r="AC1382">
            <v>3.2415730892098038</v>
          </cell>
          <cell r="AD1382">
            <v>3.721244659717815</v>
          </cell>
          <cell r="AE1382">
            <v>4.2607614485876688</v>
          </cell>
          <cell r="AF1382">
            <v>4.8678718826059342</v>
          </cell>
          <cell r="AG1382">
            <v>5.5431291779310499</v>
          </cell>
          <cell r="AH1382">
            <v>6.2944752477835042</v>
          </cell>
          <cell r="AI1382">
            <v>7.1351132390022665</v>
          </cell>
          <cell r="AJ1382">
            <v>8.0827194108382017</v>
          </cell>
          <cell r="AK1382">
            <v>9.1588561746670507</v>
          </cell>
          <cell r="AL1382">
            <v>10.392616991315862</v>
          </cell>
          <cell r="AM1382">
            <v>11.827500413565083</v>
          </cell>
          <cell r="AN1382">
            <v>13.527666397465254</v>
          </cell>
          <cell r="AO1382">
            <v>15.589224474827912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-1.4742229659248096E-8</v>
          </cell>
          <cell r="I1383">
            <v>-1.4246626101055426E-8</v>
          </cell>
          <cell r="J1383">
            <v>-2.7557123249977167E-8</v>
          </cell>
          <cell r="K1383">
            <v>-2.6667712482719708E-8</v>
          </cell>
          <cell r="L1383">
            <v>-3.8736081009460577E-8</v>
          </cell>
          <cell r="M1383">
            <v>-0.98409490168257507</v>
          </cell>
          <cell r="N1383">
            <v>-1.8349862935214678</v>
          </cell>
          <cell r="O1383">
            <v>-1.4494573184980597</v>
          </cell>
          <cell r="P1383">
            <v>-1.232518839394714</v>
          </cell>
          <cell r="Q1383">
            <v>-1.2564971754897125</v>
          </cell>
          <cell r="R1383">
            <v>-1.5247123095983972</v>
          </cell>
          <cell r="S1383">
            <v>-1.9032842301520692</v>
          </cell>
          <cell r="T1383">
            <v>-2.2582139258370049</v>
          </cell>
          <cell r="U1383">
            <v>-2.5698518970331929</v>
          </cell>
          <cell r="V1383">
            <v>-2.9522499661146395</v>
          </cell>
          <cell r="W1383">
            <v>-3.3392528142106914</v>
          </cell>
          <cell r="X1383">
            <v>-3.7234468840283474</v>
          </cell>
          <cell r="Y1383">
            <v>-4.0995716304086276</v>
          </cell>
          <cell r="Z1383">
            <v>-4.4622398005330517</v>
          </cell>
          <cell r="AA1383">
            <v>-4.8029580978783626</v>
          </cell>
          <cell r="AB1383">
            <v>-5.115515361477474</v>
          </cell>
          <cell r="AC1383">
            <v>-5.3996237277076915</v>
          </cell>
          <cell r="AD1383">
            <v>-5.6555775932095269</v>
          </cell>
          <cell r="AE1383">
            <v>-5.8835318762946347</v>
          </cell>
          <cell r="AF1383">
            <v>-6.0618346023499363</v>
          </cell>
          <cell r="AG1383">
            <v>-6.1899297587963975</v>
          </cell>
          <cell r="AH1383">
            <v>-6.2738676181274826</v>
          </cell>
          <cell r="AI1383">
            <v>-6.3213751854552243</v>
          </cell>
          <cell r="AJ1383">
            <v>-6.339719332933214</v>
          </cell>
          <cell r="AK1383">
            <v>-6.3311661806170871</v>
          </cell>
          <cell r="AL1383">
            <v>-6.2973482423619771</v>
          </cell>
          <cell r="AM1383">
            <v>-6.2473811309278426</v>
          </cell>
          <cell r="AN1383">
            <v>-6.1928028761617178</v>
          </cell>
          <cell r="AO1383">
            <v>-6.1468190537050766</v>
          </cell>
        </row>
        <row r="1384">
          <cell r="E1384" t="str">
            <v>100*(M_2/M_0-1)</v>
          </cell>
          <cell r="F1384">
            <v>0</v>
          </cell>
          <cell r="G1384">
            <v>1.4978107643059957E-8</v>
          </cell>
          <cell r="H1384">
            <v>0</v>
          </cell>
          <cell r="I1384">
            <v>0</v>
          </cell>
          <cell r="J1384">
            <v>1.3878609372852679E-8</v>
          </cell>
          <cell r="K1384">
            <v>0</v>
          </cell>
          <cell r="L1384">
            <v>1.3118728325878237E-8</v>
          </cell>
          <cell r="M1384">
            <v>-0.51482876669148858</v>
          </cell>
          <cell r="N1384">
            <v>-1.0175637417919714</v>
          </cell>
          <cell r="O1384">
            <v>-1.0107971195936205</v>
          </cell>
          <cell r="P1384">
            <v>-0.85378623791698693</v>
          </cell>
          <cell r="Q1384">
            <v>-0.61163718660118827</v>
          </cell>
          <cell r="R1384">
            <v>-0.34914488475965566</v>
          </cell>
          <cell r="S1384">
            <v>-8.1587749137013166E-2</v>
          </cell>
          <cell r="T1384">
            <v>0.20583778731630975</v>
          </cell>
          <cell r="U1384">
            <v>0.50946773863946859</v>
          </cell>
          <cell r="V1384">
            <v>0.75803592122778429</v>
          </cell>
          <cell r="W1384">
            <v>0.96483639269251409</v>
          </cell>
          <cell r="X1384">
            <v>1.1462388280106151</v>
          </cell>
          <cell r="Y1384">
            <v>1.3124991517632134</v>
          </cell>
          <cell r="Z1384">
            <v>1.4680496480209193</v>
          </cell>
          <cell r="AA1384">
            <v>1.6137901117905695</v>
          </cell>
          <cell r="AB1384">
            <v>1.7501582148841344</v>
          </cell>
          <cell r="AC1384">
            <v>1.8803644797437125</v>
          </cell>
          <cell r="AD1384">
            <v>2.0081552491478138</v>
          </cell>
          <cell r="AE1384">
            <v>2.1352520190273561</v>
          </cell>
          <cell r="AF1384">
            <v>2.2664550550969942</v>
          </cell>
          <cell r="AG1384">
            <v>2.3992751154648495</v>
          </cell>
          <cell r="AH1384">
            <v>2.5436248275464868</v>
          </cell>
          <cell r="AI1384">
            <v>2.7118491560833125</v>
          </cell>
          <cell r="AJ1384">
            <v>2.9164025673298566</v>
          </cell>
          <cell r="AK1384">
            <v>3.1686682125043886</v>
          </cell>
          <cell r="AL1384">
            <v>3.4831879229923368</v>
          </cell>
          <cell r="AM1384">
            <v>3.8830830130723859</v>
          </cell>
          <cell r="AN1384">
            <v>4.4002967429461304</v>
          </cell>
          <cell r="AO1384">
            <v>5.0801014529308741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7.5132833288193979E-8</v>
          </cell>
          <cell r="L1385">
            <v>0</v>
          </cell>
          <cell r="M1385">
            <v>-4.0422683987384467E-2</v>
          </cell>
          <cell r="N1385">
            <v>-0.11689769379713555</v>
          </cell>
          <cell r="O1385">
            <v>-4.9096805651405173E-2</v>
          </cell>
          <cell r="P1385">
            <v>0.18011464748213246</v>
          </cell>
          <cell r="Q1385">
            <v>0.51642470859383227</v>
          </cell>
          <cell r="R1385">
            <v>0.92762877797718524</v>
          </cell>
          <cell r="S1385">
            <v>1.3562617784798725</v>
          </cell>
          <cell r="T1385">
            <v>1.7691605086186168</v>
          </cell>
          <cell r="U1385">
            <v>2.1526928702395365</v>
          </cell>
          <cell r="V1385">
            <v>2.4902070232835083</v>
          </cell>
          <cell r="W1385">
            <v>2.766491741446786</v>
          </cell>
          <cell r="X1385">
            <v>2.9939613021470635</v>
          </cell>
          <cell r="Y1385">
            <v>3.1839954225841405</v>
          </cell>
          <cell r="Z1385">
            <v>3.3430411801745441</v>
          </cell>
          <cell r="AA1385">
            <v>3.4695318324209357</v>
          </cell>
          <cell r="AB1385">
            <v>3.5638899875762187</v>
          </cell>
          <cell r="AC1385">
            <v>3.6307557007525748</v>
          </cell>
          <cell r="AD1385">
            <v>3.6746885928588657</v>
          </cell>
          <cell r="AE1385">
            <v>3.6999511692807019</v>
          </cell>
          <cell r="AF1385">
            <v>3.6992037731908178</v>
          </cell>
          <cell r="AG1385">
            <v>3.6697569471530578</v>
          </cell>
          <cell r="AH1385">
            <v>3.6235851504806016</v>
          </cell>
          <cell r="AI1385">
            <v>3.5728581594923536</v>
          </cell>
          <cell r="AJ1385">
            <v>3.5271889515317012</v>
          </cell>
          <cell r="AK1385">
            <v>3.4913800583928678</v>
          </cell>
          <cell r="AL1385">
            <v>3.4713163742822406</v>
          </cell>
          <cell r="AM1385">
            <v>3.4815223408907192</v>
          </cell>
          <cell r="AN1385">
            <v>3.5406922307655408</v>
          </cell>
          <cell r="AO1385">
            <v>3.6714782948734648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2.0013724011391787E-8</v>
          </cell>
          <cell r="L1386">
            <v>1.7702284083043196E-8</v>
          </cell>
          <cell r="M1386">
            <v>-0.23937397245359371</v>
          </cell>
          <cell r="N1386">
            <v>-0.54499185863109423</v>
          </cell>
          <cell r="O1386">
            <v>-0.59949183690507502</v>
          </cell>
          <cell r="P1386">
            <v>-0.51127104076067464</v>
          </cell>
          <cell r="Q1386">
            <v>-0.34359764107562141</v>
          </cell>
          <cell r="R1386">
            <v>-0.14327817430217493</v>
          </cell>
          <cell r="S1386">
            <v>7.5728980802947099E-2</v>
          </cell>
          <cell r="T1386">
            <v>0.32259556530145339</v>
          </cell>
          <cell r="U1386">
            <v>0.6016630861894301</v>
          </cell>
          <cell r="V1386">
            <v>0.87457866437363752</v>
          </cell>
          <cell r="W1386">
            <v>1.1386871219164041</v>
          </cell>
          <cell r="X1386">
            <v>1.4023502868793392</v>
          </cell>
          <cell r="Y1386">
            <v>1.6768870441906003</v>
          </cell>
          <cell r="Z1386">
            <v>1.9728635238822401</v>
          </cell>
          <cell r="AA1386">
            <v>2.2974489503538198</v>
          </cell>
          <cell r="AB1386">
            <v>2.6566344784133999</v>
          </cell>
          <cell r="AC1386">
            <v>3.057191142493787</v>
          </cell>
          <cell r="AD1386">
            <v>3.5061674804623522</v>
          </cell>
          <cell r="AE1386">
            <v>4.0104056630625884</v>
          </cell>
          <cell r="AF1386">
            <v>4.5756394569556935</v>
          </cell>
          <cell r="AG1386">
            <v>5.2014648831732568</v>
          </cell>
          <cell r="AH1386">
            <v>5.895279228165351</v>
          </cell>
          <cell r="AI1386">
            <v>6.6694963256661133</v>
          </cell>
          <cell r="AJ1386">
            <v>7.5405418457617168</v>
          </cell>
          <cell r="AK1386">
            <v>8.528032049247237</v>
          </cell>
          <cell r="AL1386">
            <v>9.6584289655692999</v>
          </cell>
          <cell r="AM1386">
            <v>10.971889532249634</v>
          </cell>
          <cell r="AN1386">
            <v>12.527727030443403</v>
          </cell>
          <cell r="AO1386">
            <v>14.414614342300736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5.071072450846259E-8</v>
          </cell>
          <cell r="L1387">
            <v>0</v>
          </cell>
          <cell r="M1387">
            <v>-0.15839009405586024</v>
          </cell>
          <cell r="N1387">
            <v>-0.46828950448580819</v>
          </cell>
          <cell r="O1387">
            <v>-0.65735687731364179</v>
          </cell>
          <cell r="P1387">
            <v>-0.65931353735914078</v>
          </cell>
          <cell r="Q1387">
            <v>-0.48932647231040294</v>
          </cell>
          <cell r="R1387">
            <v>-0.15673294517370984</v>
          </cell>
          <cell r="S1387">
            <v>0.26373410353957016</v>
          </cell>
          <cell r="T1387">
            <v>0.7097627726972755</v>
          </cell>
          <cell r="U1387">
            <v>1.1445692408051267</v>
          </cell>
          <cell r="V1387">
            <v>1.52737841293622</v>
          </cell>
          <cell r="W1387">
            <v>1.8192488185099442</v>
          </cell>
          <cell r="X1387">
            <v>2.0390204379780785</v>
          </cell>
          <cell r="Y1387">
            <v>2.2140490222418041</v>
          </cell>
          <cell r="Z1387">
            <v>2.3643783476186453</v>
          </cell>
          <cell r="AA1387">
            <v>2.4936467898576398</v>
          </cell>
          <cell r="AB1387">
            <v>2.6018439633900492</v>
          </cell>
          <cell r="AC1387">
            <v>2.6908270079190721</v>
          </cell>
          <cell r="AD1387">
            <v>2.7618459345779556</v>
          </cell>
          <cell r="AE1387">
            <v>2.8158181684271311</v>
          </cell>
          <cell r="AF1387">
            <v>2.8354850591130409</v>
          </cell>
          <cell r="AG1387">
            <v>2.8055892012996297</v>
          </cell>
          <cell r="AH1387">
            <v>2.7298026010804888</v>
          </cell>
          <cell r="AI1387">
            <v>2.6172440397739472</v>
          </cell>
          <cell r="AJ1387">
            <v>2.4761362559426958</v>
          </cell>
          <cell r="AK1387">
            <v>2.3078882095747044</v>
          </cell>
          <cell r="AL1387">
            <v>2.1122986968314716</v>
          </cell>
          <cell r="AM1387">
            <v>1.8977163806364938</v>
          </cell>
          <cell r="AN1387">
            <v>1.6763989168108395</v>
          </cell>
          <cell r="AO1387">
            <v>1.4613823564355366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2.3701351992144737E-8</v>
          </cell>
          <cell r="K1388">
            <v>0</v>
          </cell>
          <cell r="L1388">
            <v>2.2851898151543537E-8</v>
          </cell>
          <cell r="M1388">
            <v>-0.18363117546416063</v>
          </cell>
          <cell r="N1388">
            <v>-0.38061139450817905</v>
          </cell>
          <cell r="O1388">
            <v>-0.51861853383483592</v>
          </cell>
          <cell r="P1388">
            <v>-0.60999405464419176</v>
          </cell>
          <cell r="Q1388">
            <v>-0.62780419294665712</v>
          </cell>
          <cell r="R1388">
            <v>-0.5914725413029509</v>
          </cell>
          <cell r="S1388">
            <v>-0.51673272825737415</v>
          </cell>
          <cell r="T1388">
            <v>-0.41201768341621037</v>
          </cell>
          <cell r="U1388">
            <v>-0.28260002073315915</v>
          </cell>
          <cell r="V1388">
            <v>-0.16050212428305732</v>
          </cell>
          <cell r="W1388">
            <v>-4.4992724320880306E-2</v>
          </cell>
          <cell r="X1388">
            <v>7.2230764203595754E-2</v>
          </cell>
          <cell r="Y1388">
            <v>0.19919167923532211</v>
          </cell>
          <cell r="Z1388">
            <v>0.34137707094479275</v>
          </cell>
          <cell r="AA1388">
            <v>0.4993374386763838</v>
          </cell>
          <cell r="AB1388">
            <v>0.67235858321832431</v>
          </cell>
          <cell r="AC1388">
            <v>0.86082521544230683</v>
          </cell>
          <cell r="AD1388">
            <v>1.0644678610227887</v>
          </cell>
          <cell r="AE1388">
            <v>1.2818952170838172</v>
          </cell>
          <cell r="AF1388">
            <v>1.5034114385512831</v>
          </cell>
          <cell r="AG1388">
            <v>1.7180808405576897</v>
          </cell>
          <cell r="AH1388">
            <v>1.9229575035131674</v>
          </cell>
          <cell r="AI1388">
            <v>2.1170403077391819</v>
          </cell>
          <cell r="AJ1388">
            <v>2.2995467892912735</v>
          </cell>
          <cell r="AK1388">
            <v>2.467461811368965</v>
          </cell>
          <cell r="AL1388">
            <v>2.6178795014707656</v>
          </cell>
          <cell r="AM1388">
            <v>2.7525276684100985</v>
          </cell>
          <cell r="AN1388">
            <v>2.8759355897196803</v>
          </cell>
          <cell r="AO1388">
            <v>2.9949957643590208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7.0873951152350401E-8</v>
          </cell>
          <cell r="H1389">
            <v>0</v>
          </cell>
          <cell r="I1389">
            <v>6.516052142302442E-8</v>
          </cell>
          <cell r="J1389">
            <v>1.2472820554165764E-7</v>
          </cell>
          <cell r="K1389">
            <v>1.1920286979716366E-7</v>
          </cell>
          <cell r="L1389">
            <v>1.1385394849128261E-7</v>
          </cell>
          <cell r="M1389">
            <v>0.82920321294328581</v>
          </cell>
          <cell r="N1389">
            <v>1.5085876296870415</v>
          </cell>
          <cell r="O1389">
            <v>2.5457215021009283</v>
          </cell>
          <cell r="P1389">
            <v>3.8727192368074093</v>
          </cell>
          <cell r="Q1389">
            <v>5.1204748000118983</v>
          </cell>
          <cell r="R1389">
            <v>6.3917131425598628</v>
          </cell>
          <cell r="S1389">
            <v>7.6201797551313621</v>
          </cell>
          <cell r="T1389">
            <v>8.781540170049972</v>
          </cell>
          <cell r="U1389">
            <v>9.8607942817915628</v>
          </cell>
          <cell r="V1389">
            <v>10.969434385639531</v>
          </cell>
          <cell r="W1389">
            <v>12.008319578688065</v>
          </cell>
          <cell r="X1389">
            <v>12.972293368013176</v>
          </cell>
          <cell r="Y1389">
            <v>13.848652240233283</v>
          </cell>
          <cell r="Z1389">
            <v>14.624533823517382</v>
          </cell>
          <cell r="AA1389">
            <v>15.287144012448639</v>
          </cell>
          <cell r="AB1389">
            <v>15.832224055219868</v>
          </cell>
          <cell r="AC1389">
            <v>16.255601626935089</v>
          </cell>
          <cell r="AD1389">
            <v>16.554521788738153</v>
          </cell>
          <cell r="AE1389">
            <v>16.730307143495949</v>
          </cell>
          <cell r="AF1389">
            <v>16.790952747875167</v>
          </cell>
          <cell r="AG1389">
            <v>16.759530066074447</v>
          </cell>
          <cell r="AH1389">
            <v>16.656876620628537</v>
          </cell>
          <cell r="AI1389">
            <v>16.502414831769041</v>
          </cell>
          <cell r="AJ1389">
            <v>16.315878826075814</v>
          </cell>
          <cell r="AK1389">
            <v>16.122177494793853</v>
          </cell>
          <cell r="AL1389">
            <v>15.953346538511992</v>
          </cell>
          <cell r="AM1389">
            <v>15.845534416193496</v>
          </cell>
          <cell r="AN1389">
            <v>15.840103867959133</v>
          </cell>
          <cell r="AO1389">
            <v>15.988654740574626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-2.7021829218654148E-8</v>
          </cell>
          <cell r="H1390">
            <v>0</v>
          </cell>
          <cell r="I1390">
            <v>-2.8804625351597224E-8</v>
          </cell>
          <cell r="J1390">
            <v>1.2472820554165764E-7</v>
          </cell>
          <cell r="K1390">
            <v>2.9007485302656733E-8</v>
          </cell>
          <cell r="L1390">
            <v>2.5632074240888869E-8</v>
          </cell>
          <cell r="M1390">
            <v>-6.3271619623384012E-2</v>
          </cell>
          <cell r="N1390">
            <v>-0.16001186732441663</v>
          </cell>
          <cell r="O1390">
            <v>-2.1547649456410412E-2</v>
          </cell>
          <cell r="P1390">
            <v>0.27594676214648395</v>
          </cell>
          <cell r="Q1390">
            <v>0.6504574413053188</v>
          </cell>
          <cell r="R1390">
            <v>1.0905127444001073</v>
          </cell>
          <cell r="S1390">
            <v>1.5278893560521256</v>
          </cell>
          <cell r="T1390">
            <v>1.9448558258030593</v>
          </cell>
          <cell r="U1390">
            <v>2.3371405391847899</v>
          </cell>
          <cell r="V1390">
            <v>2.6865951763612941</v>
          </cell>
          <cell r="W1390">
            <v>2.9729129501636198</v>
          </cell>
          <cell r="X1390">
            <v>3.2224846994589811</v>
          </cell>
          <cell r="Y1390">
            <v>3.4428904638326383</v>
          </cell>
          <cell r="Z1390">
            <v>3.6350342920242973</v>
          </cell>
          <cell r="AA1390">
            <v>3.7905036178166096</v>
          </cell>
          <cell r="AB1390">
            <v>3.9097160572857845</v>
          </cell>
          <cell r="AC1390">
            <v>3.9986413190949293</v>
          </cell>
          <cell r="AD1390">
            <v>4.0608951228057197</v>
          </cell>
          <cell r="AE1390">
            <v>4.1001104733875202</v>
          </cell>
          <cell r="AF1390">
            <v>4.1020428809960503</v>
          </cell>
          <cell r="AG1390">
            <v>4.0678131515154092</v>
          </cell>
          <cell r="AH1390">
            <v>4.018698173124859</v>
          </cell>
          <cell r="AI1390">
            <v>3.9671540439567998</v>
          </cell>
          <cell r="AJ1390">
            <v>3.9218891981263937</v>
          </cell>
          <cell r="AK1390">
            <v>3.8859034151123879</v>
          </cell>
          <cell r="AL1390">
            <v>3.8671855307693015</v>
          </cell>
          <cell r="AM1390">
            <v>3.886749271150757</v>
          </cell>
          <cell r="AN1390">
            <v>3.9669292818809829</v>
          </cell>
          <cell r="AO1390">
            <v>4.1343679562235724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7.0873951152350401E-8</v>
          </cell>
          <cell r="H1391">
            <v>0</v>
          </cell>
          <cell r="I1391">
            <v>6.516052142302442E-8</v>
          </cell>
          <cell r="J1391">
            <v>1.2472820554165764E-7</v>
          </cell>
          <cell r="K1391">
            <v>8.4408058320661894E-8</v>
          </cell>
          <cell r="L1391">
            <v>1.1385394849128261E-7</v>
          </cell>
          <cell r="M1391">
            <v>0.90208189789588999</v>
          </cell>
          <cell r="N1391">
            <v>1.7000472385090504</v>
          </cell>
          <cell r="O1391">
            <v>2.6825150834634104</v>
          </cell>
          <cell r="P1391">
            <v>3.8353203021193938</v>
          </cell>
          <cell r="Q1391">
            <v>4.8782728647597695</v>
          </cell>
          <cell r="R1391">
            <v>5.9680391398718724</v>
          </cell>
          <cell r="S1391">
            <v>7.0546186658840826</v>
          </cell>
          <cell r="T1391">
            <v>8.1041751469065986</v>
          </cell>
          <cell r="U1391">
            <v>9.0914219521087034</v>
          </cell>
          <cell r="V1391">
            <v>10.128510847593475</v>
          </cell>
          <cell r="W1391">
            <v>11.116791286168182</v>
          </cell>
          <cell r="X1391">
            <v>12.050243720920051</v>
          </cell>
          <cell r="Y1391">
            <v>12.912875201416952</v>
          </cell>
          <cell r="Z1391">
            <v>13.687017327102756</v>
          </cell>
          <cell r="AA1391">
            <v>14.354563395656751</v>
          </cell>
          <cell r="AB1391">
            <v>14.905474043169731</v>
          </cell>
          <cell r="AC1391">
            <v>15.329866610423835</v>
          </cell>
          <cell r="AD1391">
            <v>15.619171933418597</v>
          </cell>
          <cell r="AE1391">
            <v>15.768999568935804</v>
          </cell>
          <cell r="AF1391">
            <v>15.78019833896025</v>
          </cell>
          <cell r="AG1391">
            <v>15.668399847852777</v>
          </cell>
          <cell r="AH1391">
            <v>15.446805137694344</v>
          </cell>
          <cell r="AI1391">
            <v>15.126335462682761</v>
          </cell>
          <cell r="AJ1391">
            <v>14.717324366648876</v>
          </cell>
          <cell r="AK1391">
            <v>14.233792411049492</v>
          </cell>
          <cell r="AL1391">
            <v>13.694262732007957</v>
          </cell>
          <cell r="AM1391">
            <v>13.117367037680117</v>
          </cell>
          <cell r="AN1391">
            <v>12.52002520538238</v>
          </cell>
          <cell r="AO1391">
            <v>11.917704451800892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-2.7021829218654148E-8</v>
          </cell>
          <cell r="H1392">
            <v>0</v>
          </cell>
          <cell r="I1392">
            <v>-2.8804625351597224E-8</v>
          </cell>
          <cell r="J1392">
            <v>1.2472820554165764E-7</v>
          </cell>
          <cell r="K1392">
            <v>-5.787326173845031E-9</v>
          </cell>
          <cell r="L1392">
            <v>2.5632074240888869E-8</v>
          </cell>
          <cell r="M1392">
            <v>9.6070653292201769E-3</v>
          </cell>
          <cell r="N1392">
            <v>3.1447741497592219E-2</v>
          </cell>
          <cell r="O1392">
            <v>0.11524593190607169</v>
          </cell>
          <cell r="P1392">
            <v>0.23854782745846848</v>
          </cell>
          <cell r="Q1392">
            <v>0.40825550605319005</v>
          </cell>
          <cell r="R1392">
            <v>0.66683874171211688</v>
          </cell>
          <cell r="S1392">
            <v>0.96232826680484607</v>
          </cell>
          <cell r="T1392">
            <v>1.2674908026596858</v>
          </cell>
          <cell r="U1392">
            <v>1.5677682095019305</v>
          </cell>
          <cell r="V1392">
            <v>1.8456716383152383</v>
          </cell>
          <cell r="W1392">
            <v>2.0813846576437367</v>
          </cell>
          <cell r="X1392">
            <v>2.3004350523658559</v>
          </cell>
          <cell r="Y1392">
            <v>2.507113425016307</v>
          </cell>
          <cell r="Z1392">
            <v>2.6975177956096719</v>
          </cell>
          <cell r="AA1392">
            <v>2.8579230010247212</v>
          </cell>
          <cell r="AB1392">
            <v>2.9829660452356475</v>
          </cell>
          <cell r="AC1392">
            <v>3.0729063025836751</v>
          </cell>
          <cell r="AD1392">
            <v>3.1255452674861637</v>
          </cell>
          <cell r="AE1392">
            <v>3.1388028988273753</v>
          </cell>
          <cell r="AF1392">
            <v>3.0912884720811338</v>
          </cell>
          <cell r="AG1392">
            <v>2.9766829332937395</v>
          </cell>
          <cell r="AH1392">
            <v>2.8086266901906658</v>
          </cell>
          <cell r="AI1392">
            <v>2.5910746748705193</v>
          </cell>
          <cell r="AJ1392">
            <v>2.3233347386994563</v>
          </cell>
          <cell r="AK1392">
            <v>1.9975183313680276</v>
          </cell>
          <cell r="AL1392">
            <v>1.608101724265266</v>
          </cell>
          <cell r="AM1392">
            <v>1.1585818926373772</v>
          </cell>
          <cell r="AN1392">
            <v>0.64685061930422982</v>
          </cell>
          <cell r="AO1392">
            <v>6.3417667449838788E-2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-2.7021829218654148E-8</v>
          </cell>
          <cell r="H1394">
            <v>0</v>
          </cell>
          <cell r="I1394">
            <v>-2.8804625351597224E-8</v>
          </cell>
          <cell r="J1394">
            <v>1.2472820554165764E-7</v>
          </cell>
          <cell r="K1394">
            <v>2.9007485302656733E-8</v>
          </cell>
          <cell r="L1394">
            <v>2.5632074240888869E-8</v>
          </cell>
          <cell r="M1394">
            <v>-6.3271619623384012E-2</v>
          </cell>
          <cell r="N1394">
            <v>-0.16001186732441663</v>
          </cell>
          <cell r="O1394">
            <v>-2.1547649456410412E-2</v>
          </cell>
          <cell r="P1394">
            <v>0.27594676214648395</v>
          </cell>
          <cell r="Q1394">
            <v>0.6504574413053188</v>
          </cell>
          <cell r="R1394">
            <v>1.0905127444001073</v>
          </cell>
          <cell r="S1394">
            <v>1.5278893560521256</v>
          </cell>
          <cell r="T1394">
            <v>1.9448558258030593</v>
          </cell>
          <cell r="U1394">
            <v>2.3371405391847899</v>
          </cell>
          <cell r="V1394">
            <v>2.6865951763612941</v>
          </cell>
          <cell r="W1394">
            <v>2.9729129501636198</v>
          </cell>
          <cell r="X1394">
            <v>3.2224846994589811</v>
          </cell>
          <cell r="Y1394">
            <v>3.4428904638326383</v>
          </cell>
          <cell r="Z1394">
            <v>3.6350342920242973</v>
          </cell>
          <cell r="AA1394">
            <v>3.7905036178166096</v>
          </cell>
          <cell r="AB1394">
            <v>3.9097160572857845</v>
          </cell>
          <cell r="AC1394">
            <v>3.9986413190949293</v>
          </cell>
          <cell r="AD1394">
            <v>4.0608951228057197</v>
          </cell>
          <cell r="AE1394">
            <v>4.1001104733875202</v>
          </cell>
          <cell r="AF1394">
            <v>4.1020428809960503</v>
          </cell>
          <cell r="AG1394">
            <v>4.0678131515154092</v>
          </cell>
          <cell r="AH1394">
            <v>4.018698173124859</v>
          </cell>
          <cell r="AI1394">
            <v>3.9671540439567998</v>
          </cell>
          <cell r="AJ1394">
            <v>3.9218891981263937</v>
          </cell>
          <cell r="AK1394">
            <v>3.8859034151123879</v>
          </cell>
          <cell r="AL1394">
            <v>3.8671855307693015</v>
          </cell>
          <cell r="AM1394">
            <v>3.886749271150757</v>
          </cell>
          <cell r="AN1394">
            <v>3.9669292818809829</v>
          </cell>
          <cell r="AO1394">
            <v>4.1343679562235724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9.9932395691837428E-8</v>
          </cell>
          <cell r="G1395">
            <v>9.7960040079669852E-8</v>
          </cell>
          <cell r="H1395">
            <v>0</v>
          </cell>
          <cell r="I1395">
            <v>0</v>
          </cell>
          <cell r="J1395">
            <v>9.1858209927409007E-8</v>
          </cell>
          <cell r="K1395">
            <v>8.980307608652538E-8</v>
          </cell>
          <cell r="L1395">
            <v>0</v>
          </cell>
          <cell r="M1395">
            <v>0.4705574288528469</v>
          </cell>
          <cell r="N1395">
            <v>1.0669436173666558</v>
          </cell>
          <cell r="O1395">
            <v>1.8374662295937538</v>
          </cell>
          <cell r="P1395">
            <v>2.7911305882627468</v>
          </cell>
          <cell r="Q1395">
            <v>3.7554606603888097</v>
          </cell>
          <cell r="R1395">
            <v>4.7046171639669954</v>
          </cell>
          <cell r="S1395">
            <v>5.6240623419750113</v>
          </cell>
          <cell r="T1395">
            <v>6.5026516402566514</v>
          </cell>
          <cell r="U1395">
            <v>7.328001193122291</v>
          </cell>
          <cell r="V1395">
            <v>8.1726430613693335</v>
          </cell>
          <cell r="W1395">
            <v>9.0171750683596841</v>
          </cell>
          <cell r="X1395">
            <v>9.8346253366178296</v>
          </cell>
          <cell r="Y1395">
            <v>10.602730165899032</v>
          </cell>
          <cell r="Z1395">
            <v>11.305160827765892</v>
          </cell>
          <cell r="AA1395">
            <v>11.933566753591851</v>
          </cell>
          <cell r="AB1395">
            <v>12.482723126177152</v>
          </cell>
          <cell r="AC1395">
            <v>12.944588883826036</v>
          </cell>
          <cell r="AD1395">
            <v>13.312804867711115</v>
          </cell>
          <cell r="AE1395">
            <v>13.584825203273576</v>
          </cell>
          <cell r="AF1395">
            <v>13.776014691614247</v>
          </cell>
          <cell r="AG1395">
            <v>13.909015655027002</v>
          </cell>
          <cell r="AH1395">
            <v>13.992898351760008</v>
          </cell>
          <cell r="AI1395">
            <v>14.037582524020076</v>
          </cell>
          <cell r="AJ1395">
            <v>14.056318934131639</v>
          </cell>
          <cell r="AK1395">
            <v>14.071507163690944</v>
          </cell>
          <cell r="AL1395">
            <v>14.11097593017403</v>
          </cell>
          <cell r="AM1395">
            <v>14.199618601917408</v>
          </cell>
          <cell r="AN1395">
            <v>14.366669081066519</v>
          </cell>
          <cell r="AO1395">
            <v>14.651613774563433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9.7968411161275526E-8</v>
          </cell>
          <cell r="H1396">
            <v>9.6026075979693815E-8</v>
          </cell>
          <cell r="I1396">
            <v>0</v>
          </cell>
          <cell r="J1396">
            <v>0</v>
          </cell>
          <cell r="K1396">
            <v>0</v>
          </cell>
          <cell r="L1396">
            <v>8.8101037576393537E-8</v>
          </cell>
          <cell r="M1396">
            <v>0.6105347153481322</v>
          </cell>
          <cell r="N1396">
            <v>1.3522675948156593</v>
          </cell>
          <cell r="O1396">
            <v>2.275973227041872</v>
          </cell>
          <cell r="P1396">
            <v>3.3724916540145644</v>
          </cell>
          <cell r="Q1396">
            <v>4.4053333188627031</v>
          </cell>
          <cell r="R1396">
            <v>5.3419510475583243</v>
          </cell>
          <cell r="S1396">
            <v>6.1900657580075125</v>
          </cell>
          <cell r="T1396">
            <v>6.9573690370846153</v>
          </cell>
          <cell r="U1396">
            <v>7.6462056619988283</v>
          </cell>
          <cell r="V1396">
            <v>8.3666148913701157</v>
          </cell>
          <cell r="W1396">
            <v>9.1057969874018383</v>
          </cell>
          <cell r="X1396">
            <v>9.8283434052848229</v>
          </cell>
          <cell r="Y1396">
            <v>10.507651999963663</v>
          </cell>
          <cell r="Z1396">
            <v>11.124769785599998</v>
          </cell>
          <cell r="AA1396">
            <v>11.672959801066462</v>
          </cell>
          <cell r="AB1396">
            <v>12.146723787574709</v>
          </cell>
          <cell r="AC1396">
            <v>12.534183544517941</v>
          </cell>
          <cell r="AD1396">
            <v>12.826679329038049</v>
          </cell>
          <cell r="AE1396">
            <v>13.019973886259063</v>
          </cell>
          <cell r="AF1396">
            <v>13.138794195554148</v>
          </cell>
          <cell r="AG1396">
            <v>13.210646819431693</v>
          </cell>
          <cell r="AH1396">
            <v>13.235404198209233</v>
          </cell>
          <cell r="AI1396">
            <v>13.216999200115986</v>
          </cell>
          <cell r="AJ1396">
            <v>13.163263921172064</v>
          </cell>
          <cell r="AK1396">
            <v>13.094808400468372</v>
          </cell>
          <cell r="AL1396">
            <v>13.035901090664503</v>
          </cell>
          <cell r="AM1396">
            <v>13.000374685189398</v>
          </cell>
          <cell r="AN1396">
            <v>13.004428272026459</v>
          </cell>
          <cell r="AO1396">
            <v>13.069933115227549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0.58298313371418775</v>
          </cell>
          <cell r="N1397">
            <v>1.1515608913007069</v>
          </cell>
          <cell r="O1397">
            <v>1.7818994704471791</v>
          </cell>
          <cell r="P1397">
            <v>2.4638048333529561</v>
          </cell>
          <cell r="Q1397">
            <v>2.989453820837018</v>
          </cell>
          <cell r="R1397">
            <v>3.27511274332839</v>
          </cell>
          <cell r="S1397">
            <v>3.4216676077224006</v>
          </cell>
          <cell r="T1397">
            <v>3.4719541537292065</v>
          </cell>
          <cell r="U1397">
            <v>3.4467973238613503</v>
          </cell>
          <cell r="V1397">
            <v>3.489945633488456</v>
          </cell>
          <cell r="W1397">
            <v>3.5935145826651915</v>
          </cell>
          <cell r="X1397">
            <v>3.6992144060463472</v>
          </cell>
          <cell r="Y1397">
            <v>3.7907538180641076</v>
          </cell>
          <cell r="Z1397">
            <v>3.8628119818972406</v>
          </cell>
          <cell r="AA1397">
            <v>3.9314839240121691</v>
          </cell>
          <cell r="AB1397">
            <v>3.9965094807949297</v>
          </cell>
          <cell r="AC1397">
            <v>4.0320386340177317</v>
          </cell>
          <cell r="AD1397">
            <v>4.0285963567676442</v>
          </cell>
          <cell r="AE1397">
            <v>3.9838117752452051</v>
          </cell>
          <cell r="AF1397">
            <v>3.9682992940531792</v>
          </cell>
          <cell r="AG1397">
            <v>4.0155723532105059</v>
          </cell>
          <cell r="AH1397">
            <v>4.0678411423682226</v>
          </cell>
          <cell r="AI1397">
            <v>4.1111722318514454</v>
          </cell>
          <cell r="AJ1397">
            <v>4.1431948084255321</v>
          </cell>
          <cell r="AK1397">
            <v>4.1935656584748848</v>
          </cell>
          <cell r="AL1397">
            <v>4.2833971764170364</v>
          </cell>
          <cell r="AM1397">
            <v>4.3914233430832894</v>
          </cell>
          <cell r="AN1397">
            <v>4.510944624188773</v>
          </cell>
          <cell r="AO1397">
            <v>4.6410539539595064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2.2081092510006783E-8</v>
          </cell>
          <cell r="J1398">
            <v>4.2712544612300007E-8</v>
          </cell>
          <cell r="K1398">
            <v>6.1919291916012753E-8</v>
          </cell>
          <cell r="L1398">
            <v>5.9793392459539518E-8</v>
          </cell>
          <cell r="M1398">
            <v>-1.0809148584678407E-2</v>
          </cell>
          <cell r="N1398">
            <v>0.21498934759922594</v>
          </cell>
          <cell r="O1398">
            <v>0.6820325036222652</v>
          </cell>
          <cell r="P1398">
            <v>1.3741823455651225</v>
          </cell>
          <cell r="Q1398">
            <v>2.2668828834242039</v>
          </cell>
          <cell r="R1398">
            <v>3.2552625459685069</v>
          </cell>
          <cell r="S1398">
            <v>4.2740854437291809</v>
          </cell>
          <cell r="T1398">
            <v>5.2852422123330189</v>
          </cell>
          <cell r="U1398">
            <v>6.2644731661660069</v>
          </cell>
          <cell r="V1398">
            <v>7.1912432039993979</v>
          </cell>
          <cell r="W1398">
            <v>8.0888701899642932</v>
          </cell>
          <cell r="X1398">
            <v>8.9631442482064561</v>
          </cell>
          <cell r="Y1398">
            <v>9.8070418396785328</v>
          </cell>
          <cell r="Z1398">
            <v>10.607971497997193</v>
          </cell>
          <cell r="AA1398">
            <v>11.352054634833886</v>
          </cell>
          <cell r="AB1398">
            <v>12.028590101731517</v>
          </cell>
          <cell r="AC1398">
            <v>12.629784612347628</v>
          </cell>
          <cell r="AD1398">
            <v>13.148692529329065</v>
          </cell>
          <cell r="AE1398">
            <v>13.580097756205411</v>
          </cell>
          <cell r="AF1398">
            <v>13.921443241686049</v>
          </cell>
          <cell r="AG1398">
            <v>14.179454751036502</v>
          </cell>
          <cell r="AH1398">
            <v>14.369205561873022</v>
          </cell>
          <cell r="AI1398">
            <v>14.505905744676785</v>
          </cell>
          <cell r="AJ1398">
            <v>14.605466380962584</v>
          </cell>
          <cell r="AK1398">
            <v>14.686146960188108</v>
          </cell>
          <cell r="AL1398">
            <v>14.772189788043843</v>
          </cell>
          <cell r="AM1398">
            <v>14.894772751042563</v>
          </cell>
          <cell r="AN1398">
            <v>15.090125629882746</v>
          </cell>
          <cell r="AO1398">
            <v>15.402589743529482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-9.7895791473234794E-8</v>
          </cell>
          <cell r="H1399">
            <v>0</v>
          </cell>
          <cell r="I1399">
            <v>-7.1884054264614861E-8</v>
          </cell>
          <cell r="J1399">
            <v>4.2712544612300007E-8</v>
          </cell>
          <cell r="K1399">
            <v>-2.8276081476263926E-8</v>
          </cell>
          <cell r="L1399">
            <v>-2.8428503995314713E-8</v>
          </cell>
          <cell r="M1399">
            <v>-0.89529371011107806</v>
          </cell>
          <cell r="N1399">
            <v>-1.4297532931541568</v>
          </cell>
          <cell r="O1399">
            <v>-1.8380489833938807</v>
          </cell>
          <cell r="P1399">
            <v>-2.1454241054077561</v>
          </cell>
          <cell r="Q1399">
            <v>-2.108867722035257</v>
          </cell>
          <cell r="R1399">
            <v>-1.9429387741594972</v>
          </cell>
          <cell r="S1399">
            <v>-1.7137955533909621</v>
          </cell>
          <cell r="T1399">
            <v>-1.4521623742223877</v>
          </cell>
          <cell r="U1399">
            <v>-1.1710730919310297</v>
          </cell>
          <cell r="V1399">
            <v>-1.0080969553902475</v>
          </cell>
          <cell r="W1399">
            <v>-0.86810006751746327</v>
          </cell>
          <cell r="X1399">
            <v>-0.71677976471327121</v>
          </cell>
          <cell r="Y1399">
            <v>-0.54229048112058864</v>
          </cell>
          <cell r="Z1399">
            <v>-0.34375146757701369</v>
          </cell>
          <cell r="AA1399">
            <v>-0.12967723447664392</v>
          </cell>
          <cell r="AB1399">
            <v>9.4781742917526834E-2</v>
          </cell>
          <cell r="AC1399">
            <v>0.3321168714038425</v>
          </cell>
          <cell r="AD1399">
            <v>0.58231375662014528</v>
          </cell>
          <cell r="AE1399">
            <v>0.84338047360359436</v>
          </cell>
          <cell r="AF1399">
            <v>1.0937486006945329</v>
          </cell>
          <cell r="AG1399">
            <v>1.320183840668121</v>
          </cell>
          <cell r="AH1399">
            <v>1.5368031854102737</v>
          </cell>
          <cell r="AI1399">
            <v>1.751135549043803</v>
          </cell>
          <cell r="AJ1399">
            <v>1.9676112222136277</v>
          </cell>
          <cell r="AK1399">
            <v>2.1827817259572946</v>
          </cell>
          <cell r="AL1399">
            <v>2.3963964472970112</v>
          </cell>
          <cell r="AM1399">
            <v>2.6223825153124158</v>
          </cell>
          <cell r="AN1399">
            <v>2.8755338853188483</v>
          </cell>
          <cell r="AO1399">
            <v>3.1722547800240974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1.7905876781298957E-8</v>
          </cell>
          <cell r="I1400">
            <v>1.733782006851925E-8</v>
          </cell>
          <cell r="J1400">
            <v>3.3537395083271804E-8</v>
          </cell>
          <cell r="K1400">
            <v>4.8618287173951558E-8</v>
          </cell>
          <cell r="L1400">
            <v>7.8248429957739063E-8</v>
          </cell>
          <cell r="M1400">
            <v>-1.0809152180712989E-2</v>
          </cell>
          <cell r="N1400">
            <v>0.21498934416446236</v>
          </cell>
          <cell r="O1400">
            <v>0.68203250858895892</v>
          </cell>
          <cell r="P1400">
            <v>1.3741823630196714</v>
          </cell>
          <cell r="Q1400">
            <v>2.2668828814893072</v>
          </cell>
          <cell r="R1400">
            <v>3.25526253572197</v>
          </cell>
          <cell r="S1400">
            <v>4.2740854275433726</v>
          </cell>
          <cell r="T1400">
            <v>5.2852422181587588</v>
          </cell>
          <cell r="U1400">
            <v>6.2644731622534033</v>
          </cell>
          <cell r="V1400">
            <v>7.1912431929632481</v>
          </cell>
          <cell r="W1400">
            <v>8.0888701520229986</v>
          </cell>
          <cell r="X1400">
            <v>8.9631442353042203</v>
          </cell>
          <cell r="Y1400">
            <v>9.8070418339765162</v>
          </cell>
          <cell r="Z1400">
            <v>10.607971501811853</v>
          </cell>
          <cell r="AA1400">
            <v>11.352054613558282</v>
          </cell>
          <cell r="AB1400">
            <v>12.028590086829482</v>
          </cell>
          <cell r="AC1400">
            <v>12.629784552906509</v>
          </cell>
          <cell r="AD1400">
            <v>13.148692505283034</v>
          </cell>
          <cell r="AE1400">
            <v>13.58009774792437</v>
          </cell>
          <cell r="AF1400">
            <v>13.921443207898299</v>
          </cell>
          <cell r="AG1400">
            <v>14.179454767761634</v>
          </cell>
          <cell r="AH1400">
            <v>14.369205589005452</v>
          </cell>
          <cell r="AI1400">
            <v>14.505905667089625</v>
          </cell>
          <cell r="AJ1400">
            <v>14.605466326030903</v>
          </cell>
          <cell r="AK1400">
            <v>14.686146977027459</v>
          </cell>
          <cell r="AL1400">
            <v>14.772189686722225</v>
          </cell>
          <cell r="AM1400">
            <v>14.894772750344941</v>
          </cell>
          <cell r="AN1400">
            <v>15.090125574292257</v>
          </cell>
          <cell r="AO1400">
            <v>15.402589730633043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-9.8058272612888686E-8</v>
          </cell>
          <cell r="H1401">
            <v>1.7905876781298957E-8</v>
          </cell>
          <cell r="I1401">
            <v>1.733782006851925E-8</v>
          </cell>
          <cell r="J1401">
            <v>-5.8168514449619124E-8</v>
          </cell>
          <cell r="K1401">
            <v>-4.0864045480759614E-8</v>
          </cell>
          <cell r="L1401">
            <v>7.8248429957739063E-8</v>
          </cell>
          <cell r="M1401">
            <v>8.3442222834606561E-2</v>
          </cell>
          <cell r="N1401">
            <v>3.3795021588955976E-3</v>
          </cell>
          <cell r="O1401">
            <v>-5.4742064095869569E-2</v>
          </cell>
          <cell r="P1401">
            <v>-0.11392891970144481</v>
          </cell>
          <cell r="Q1401">
            <v>-0.19706767923647339</v>
          </cell>
          <cell r="R1401">
            <v>-0.21354467431443647</v>
          </cell>
          <cell r="S1401">
            <v>-0.19334266208701489</v>
          </cell>
          <cell r="T1401">
            <v>-0.1546743276504059</v>
          </cell>
          <cell r="U1401">
            <v>-0.1043131468034586</v>
          </cell>
          <cell r="V1401">
            <v>-2.6436831185883136E-2</v>
          </cell>
          <cell r="W1401">
            <v>2.641757985035742E-2</v>
          </cell>
          <cell r="X1401">
            <v>7.8659245088785745E-2</v>
          </cell>
          <cell r="Y1401">
            <v>0.14438349122847249</v>
          </cell>
          <cell r="Z1401">
            <v>0.22804443630384252</v>
          </cell>
          <cell r="AA1401">
            <v>0.32732692918329143</v>
          </cell>
          <cell r="AB1401">
            <v>0.43786294826526628</v>
          </cell>
          <cell r="AC1401">
            <v>0.55728104763477226</v>
          </cell>
          <cell r="AD1401">
            <v>0.68422618490984188</v>
          </cell>
          <cell r="AE1401">
            <v>0.81656915919567918</v>
          </cell>
          <cell r="AF1401">
            <v>0.94496670330772581</v>
          </cell>
          <cell r="AG1401">
            <v>1.0568518751718159</v>
          </cell>
          <cell r="AH1401">
            <v>1.1481715386740587</v>
          </cell>
          <cell r="AI1401">
            <v>1.2199626171629951</v>
          </cell>
          <cell r="AJ1401">
            <v>1.2714695774972862</v>
          </cell>
          <cell r="AK1401">
            <v>1.2987944703594101</v>
          </cell>
          <cell r="AL1401">
            <v>1.2965647285565263</v>
          </cell>
          <cell r="AM1401">
            <v>1.262869378186493</v>
          </cell>
          <cell r="AN1401">
            <v>1.1979241272890295</v>
          </cell>
          <cell r="AO1401">
            <v>1.0995751021987576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3.4794811476501764E-8</v>
          </cell>
          <cell r="L1402">
            <v>0</v>
          </cell>
          <cell r="M1402">
            <v>-7.2878684952604189E-2</v>
          </cell>
          <cell r="N1402">
            <v>-0.19145960882200885</v>
          </cell>
          <cell r="O1402">
            <v>-0.1367935813624821</v>
          </cell>
          <cell r="P1402">
            <v>3.7398934688015473E-2</v>
          </cell>
          <cell r="Q1402">
            <v>0.24220193525212874</v>
          </cell>
          <cell r="R1402">
            <v>0.42367400268799038</v>
          </cell>
          <cell r="S1402">
            <v>0.56556108924727955</v>
          </cell>
          <cell r="T1402">
            <v>0.67736502314337255</v>
          </cell>
          <cell r="U1402">
            <v>0.76937232968286029</v>
          </cell>
          <cell r="V1402">
            <v>0.84092353804605668</v>
          </cell>
          <cell r="W1402">
            <v>0.89152829251988308</v>
          </cell>
          <cell r="X1402">
            <v>0.92204964709312609</v>
          </cell>
          <cell r="Y1402">
            <v>0.93577703881633223</v>
          </cell>
          <cell r="Z1402">
            <v>0.93751649641462542</v>
          </cell>
          <cell r="AA1402">
            <v>0.93258061679188931</v>
          </cell>
          <cell r="AB1402">
            <v>0.92675001205013707</v>
          </cell>
          <cell r="AC1402">
            <v>0.92573501651125323</v>
          </cell>
          <cell r="AD1402">
            <v>0.93534985531955606</v>
          </cell>
          <cell r="AE1402">
            <v>0.96130757456014404</v>
          </cell>
          <cell r="AF1402">
            <v>1.0107544089149156</v>
          </cell>
          <cell r="AG1402">
            <v>1.0911302182216698</v>
          </cell>
          <cell r="AH1402">
            <v>1.2100714829341941</v>
          </cell>
          <cell r="AI1402">
            <v>1.3760793690862805</v>
          </cell>
          <cell r="AJ1402">
            <v>1.5985544594269374</v>
          </cell>
          <cell r="AK1402">
            <v>1.8883850837443594</v>
          </cell>
          <cell r="AL1402">
            <v>2.2590838065040364</v>
          </cell>
          <cell r="AM1402">
            <v>2.7281673785133798</v>
          </cell>
          <cell r="AN1402">
            <v>3.3200786625767531</v>
          </cell>
          <cell r="AO1402">
            <v>4.0709502887737337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9.9999997473787516E-6</v>
          </cell>
          <cell r="L1403">
            <v>0</v>
          </cell>
          <cell r="M1403">
            <v>-21.504289999997127</v>
          </cell>
          <cell r="N1403">
            <v>-57.22617000000173</v>
          </cell>
          <cell r="O1403">
            <v>-41.403000000002066</v>
          </cell>
          <cell r="P1403">
            <v>11.458439999998518</v>
          </cell>
          <cell r="Q1403">
            <v>74.965530000001309</v>
          </cell>
          <cell r="R1403">
            <v>132.15766000000076</v>
          </cell>
          <cell r="S1403">
            <v>177.38808000000063</v>
          </cell>
          <cell r="T1403">
            <v>213.2233899999992</v>
          </cell>
          <cell r="U1403">
            <v>242.73228999999992</v>
          </cell>
          <cell r="V1403">
            <v>265.71518000000287</v>
          </cell>
          <cell r="W1403">
            <v>282.11007999999856</v>
          </cell>
          <cell r="X1403">
            <v>292.30079000000114</v>
          </cell>
          <cell r="Y1403">
            <v>297.41035999999804</v>
          </cell>
          <cell r="Z1403">
            <v>298.93917999999758</v>
          </cell>
          <cell r="AA1403">
            <v>298.67861000000266</v>
          </cell>
          <cell r="AB1403">
            <v>298.49692000000141</v>
          </cell>
          <cell r="AC1403">
            <v>300.25547999999981</v>
          </cell>
          <cell r="AD1403">
            <v>305.88404999999693</v>
          </cell>
          <cell r="AE1403">
            <v>317.15419000000111</v>
          </cell>
          <cell r="AF1403">
            <v>336.72467999999935</v>
          </cell>
          <cell r="AG1403">
            <v>367.39053000000422</v>
          </cell>
          <cell r="AH1403">
            <v>412.16412000000128</v>
          </cell>
          <cell r="AI1403">
            <v>474.49075000000448</v>
          </cell>
          <cell r="AJ1403">
            <v>558.26391000000149</v>
          </cell>
          <cell r="AK1403">
            <v>668.0439899999983</v>
          </cell>
          <cell r="AL1403">
            <v>809.47712999999931</v>
          </cell>
          <cell r="AM1403">
            <v>989.8087400000004</v>
          </cell>
          <cell r="AN1403">
            <v>1218.9778099999967</v>
          </cell>
          <cell r="AO1403">
            <v>1511.4405500000066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-1.000000082740371E-8</v>
          </cell>
          <cell r="I1404">
            <v>0</v>
          </cell>
          <cell r="J1404">
            <v>-1.000000082740371E-8</v>
          </cell>
          <cell r="K1404">
            <v>-9.9999994396249292E-9</v>
          </cell>
          <cell r="L1404">
            <v>-1.000000082740371E-8</v>
          </cell>
          <cell r="M1404">
            <v>5.4989929999998965E-2</v>
          </cell>
          <cell r="N1404">
            <v>0.14120982000000032</v>
          </cell>
          <cell r="O1404">
            <v>9.1601340000001252E-2</v>
          </cell>
          <cell r="P1404">
            <v>-4.2206129999999842E-2</v>
          </cell>
          <cell r="Q1404">
            <v>-0.19014674999999898</v>
          </cell>
          <cell r="R1404">
            <v>-0.31432698000000009</v>
          </cell>
          <cell r="S1404">
            <v>-0.40648449000000031</v>
          </cell>
          <cell r="T1404">
            <v>-0.47674512000000085</v>
          </cell>
          <cell r="U1404">
            <v>-0.53379248999999995</v>
          </cell>
          <cell r="V1404">
            <v>-0.57700724000000059</v>
          </cell>
          <cell r="W1404">
            <v>-0.60619583000000032</v>
          </cell>
          <cell r="X1404">
            <v>-0.62227019999999966</v>
          </cell>
          <cell r="Y1404">
            <v>-0.62787691999999917</v>
          </cell>
          <cell r="Z1404">
            <v>-0.62694618999999951</v>
          </cell>
          <cell r="AA1404">
            <v>-0.62234099000000043</v>
          </cell>
          <cell r="AB1404">
            <v>-0.61861341000000047</v>
          </cell>
          <cell r="AC1404">
            <v>-0.61959793999999957</v>
          </cell>
          <cell r="AD1404">
            <v>-0.62921939000000071</v>
          </cell>
          <cell r="AE1404">
            <v>-0.65240829000000056</v>
          </cell>
          <cell r="AF1404">
            <v>-0.69241235999999984</v>
          </cell>
          <cell r="AG1404">
            <v>-0.75557366000000015</v>
          </cell>
          <cell r="AH1404">
            <v>-0.84760352999999966</v>
          </cell>
          <cell r="AI1404">
            <v>-0.97497579000000023</v>
          </cell>
          <cell r="AJ1404">
            <v>-1.1448990499999998</v>
          </cell>
          <cell r="AK1404">
            <v>-1.3657644500000004</v>
          </cell>
          <cell r="AL1404">
            <v>-1.6480025700000001</v>
          </cell>
          <cell r="AM1404">
            <v>-2.0050752790000002</v>
          </cell>
          <cell r="AN1404">
            <v>-2.45567651</v>
          </cell>
          <cell r="AO1404">
            <v>-3.0273090069999999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-9.0850677675335945E-10</v>
          </cell>
          <cell r="G1405">
            <v>1.5714304423680714E-9</v>
          </cell>
          <cell r="H1405">
            <v>3.7658275369584215E-9</v>
          </cell>
          <cell r="I1405">
            <v>5.7029377747985777E-9</v>
          </cell>
          <cell r="J1405">
            <v>6.1775478829573238E-9</v>
          </cell>
          <cell r="K1405">
            <v>5.8791561896587297E-9</v>
          </cell>
          <cell r="L1405">
            <v>5.2914443660068144E-9</v>
          </cell>
          <cell r="M1405">
            <v>-0.14487490976849843</v>
          </cell>
          <cell r="N1405">
            <v>-0.21385745712752882</v>
          </cell>
          <cell r="O1405">
            <v>-2.3595790589974949E-2</v>
          </cell>
          <cell r="P1405">
            <v>0.1015866021615193</v>
          </cell>
          <cell r="Q1405">
            <v>0.15203547669169967</v>
          </cell>
          <cell r="R1405">
            <v>0.15549032384982731</v>
          </cell>
          <cell r="S1405">
            <v>0.1347602166918975</v>
          </cell>
          <cell r="T1405">
            <v>0.11847149214878477</v>
          </cell>
          <cell r="U1405">
            <v>0.10942572290004518</v>
          </cell>
          <cell r="V1405">
            <v>8.1539196538639447E-2</v>
          </cell>
          <cell r="W1405">
            <v>5.3078921258880446E-2</v>
          </cell>
          <cell r="X1405">
            <v>2.6708147188522768E-2</v>
          </cell>
          <cell r="Y1405">
            <v>-1.5370711673089177E-3</v>
          </cell>
          <cell r="Z1405">
            <v>-3.5315605323595761E-2</v>
          </cell>
          <cell r="AA1405">
            <v>-7.7115519146631756E-2</v>
          </cell>
          <cell r="AB1405">
            <v>-0.12684578617265518</v>
          </cell>
          <cell r="AC1405">
            <v>-0.18194171122476802</v>
          </cell>
          <cell r="AD1405">
            <v>-0.24264687769770948</v>
          </cell>
          <cell r="AE1405">
            <v>-0.31164689976916904</v>
          </cell>
          <cell r="AF1405">
            <v>-0.39240589542992449</v>
          </cell>
          <cell r="AG1405">
            <v>-0.4860141015896664</v>
          </cell>
          <cell r="AH1405">
            <v>-0.58329079307523068</v>
          </cell>
          <cell r="AI1405">
            <v>-0.68454755155710478</v>
          </cell>
          <cell r="AJ1405">
            <v>-0.79153698602228151</v>
          </cell>
          <cell r="AK1405">
            <v>-0.90927587407995947</v>
          </cell>
          <cell r="AL1405">
            <v>-1.0411720861219276</v>
          </cell>
          <cell r="AM1405">
            <v>-1.1881869935224574</v>
          </cell>
          <cell r="AN1405">
            <v>-1.357184919489774</v>
          </cell>
          <cell r="AO1405">
            <v>-1.5589018509760848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1.8170137269790665E-9</v>
          </cell>
          <cell r="G1406">
            <v>0</v>
          </cell>
          <cell r="H1406">
            <v>-1.673701108262371E-9</v>
          </cell>
          <cell r="I1406">
            <v>-4.7131583358339668E-9</v>
          </cell>
          <cell r="J1406">
            <v>-5.6423287916884668E-9</v>
          </cell>
          <cell r="K1406">
            <v>-6.4742619251823008E-9</v>
          </cell>
          <cell r="L1406">
            <v>-7.2847046103663438E-9</v>
          </cell>
          <cell r="M1406">
            <v>-5.4011464345287037E-2</v>
          </cell>
          <cell r="N1406">
            <v>-0.11851158850793089</v>
          </cell>
          <cell r="O1406">
            <v>-0.19244200818249943</v>
          </cell>
          <cell r="P1406">
            <v>-0.26639139225884573</v>
          </cell>
          <cell r="Q1406">
            <v>-0.33004320546184668</v>
          </cell>
          <cell r="R1406">
            <v>-0.38744266659855586</v>
          </cell>
          <cell r="S1406">
            <v>-0.4399938372539457</v>
          </cell>
          <cell r="T1406">
            <v>-0.48937332529025312</v>
          </cell>
          <cell r="U1406">
            <v>-0.53654022419667102</v>
          </cell>
          <cell r="V1406">
            <v>-0.56731485663112236</v>
          </cell>
          <cell r="W1406">
            <v>-0.6002334685001528</v>
          </cell>
          <cell r="X1406">
            <v>-0.63424277959943232</v>
          </cell>
          <cell r="Y1406">
            <v>-0.66821257396292222</v>
          </cell>
          <cell r="Z1406">
            <v>-0.70139252742054514</v>
          </cell>
          <cell r="AA1406">
            <v>-0.73267590151342865</v>
          </cell>
          <cell r="AB1406">
            <v>-0.761756071366539</v>
          </cell>
          <cell r="AC1406">
            <v>-0.78844978851216385</v>
          </cell>
          <cell r="AD1406">
            <v>-0.8125652752155661</v>
          </cell>
          <cell r="AE1406">
            <v>-0.83429776553564428</v>
          </cell>
          <cell r="AF1406">
            <v>-0.8536025954659785</v>
          </cell>
          <cell r="AG1406">
            <v>-0.86895614092305629</v>
          </cell>
          <cell r="AH1406">
            <v>-0.88054035232699823</v>
          </cell>
          <cell r="AI1406">
            <v>-0.88797253200633874</v>
          </cell>
          <cell r="AJ1406">
            <v>-0.89094117931415862</v>
          </cell>
          <cell r="AK1406">
            <v>-0.88894875103916415</v>
          </cell>
          <cell r="AL1406">
            <v>-0.88151449311147623</v>
          </cell>
          <cell r="AM1406">
            <v>-0.86826531370104609</v>
          </cell>
          <cell r="AN1406">
            <v>-0.84835681291156417</v>
          </cell>
          <cell r="AO1406">
            <v>-0.82036977912856612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1.362760251866213E-9</v>
          </cell>
          <cell r="G1407">
            <v>8.7301702325626174E-10</v>
          </cell>
          <cell r="H1407">
            <v>-4.1842527706559274E-10</v>
          </cell>
          <cell r="I1407">
            <v>-2.8085491723083E-9</v>
          </cell>
          <cell r="J1407">
            <v>-6.33340845046515E-9</v>
          </cell>
          <cell r="K1407">
            <v>-9.1253149134273848E-9</v>
          </cell>
          <cell r="L1407">
            <v>-1.1567699229053652E-8</v>
          </cell>
          <cell r="M1407">
            <v>0.1505550516282865</v>
          </cell>
          <cell r="N1407">
            <v>0.23880153692702397</v>
          </cell>
          <cell r="O1407">
            <v>0.18660423622534061</v>
          </cell>
          <cell r="P1407">
            <v>5.2822746177901003E-2</v>
          </cell>
          <cell r="Q1407">
            <v>-0.13907196596470578</v>
          </cell>
          <cell r="R1407">
            <v>-0.32250511258623826</v>
          </cell>
          <cell r="S1407">
            <v>-0.48064402711725795</v>
          </cell>
          <cell r="T1407">
            <v>-0.61605611498070367</v>
          </cell>
          <cell r="U1407">
            <v>-0.73350480544516827</v>
          </cell>
          <cell r="V1407">
            <v>-0.81644465567183644</v>
          </cell>
          <cell r="W1407">
            <v>-0.8824973993429186</v>
          </cell>
          <cell r="X1407">
            <v>-0.93568783341685735</v>
          </cell>
          <cell r="Y1407">
            <v>-0.97696601810883665</v>
          </cell>
          <cell r="Z1407">
            <v>-1.0057012948754953</v>
          </cell>
          <cell r="AA1407">
            <v>-1.0230723209462722</v>
          </cell>
          <cell r="AB1407">
            <v>-1.0293910695468109</v>
          </cell>
          <cell r="AC1407">
            <v>-1.0274809654622616</v>
          </cell>
          <cell r="AD1407">
            <v>-1.0201503058077364</v>
          </cell>
          <cell r="AE1407">
            <v>-1.0077719177504441</v>
          </cell>
          <cell r="AF1407">
            <v>-0.99534775054055602</v>
          </cell>
          <cell r="AG1407">
            <v>-0.98411539660539926</v>
          </cell>
          <cell r="AH1407">
            <v>-0.98028401503215401</v>
          </cell>
          <cell r="AI1407">
            <v>-0.989144017879652</v>
          </cell>
          <cell r="AJ1407">
            <v>-1.0152289548714555</v>
          </cell>
          <cell r="AK1407">
            <v>-1.0625664209162875</v>
          </cell>
          <cell r="AL1407">
            <v>-1.136778261154145</v>
          </cell>
          <cell r="AM1407">
            <v>-1.2467445910406951</v>
          </cell>
          <cell r="AN1407">
            <v>-1.403996474740772</v>
          </cell>
          <cell r="AO1407">
            <v>-1.6244068907429381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1.8170135535067189E-9</v>
          </cell>
          <cell r="G1408">
            <v>8.2936605499961402E-9</v>
          </cell>
          <cell r="H1408">
            <v>8.3685055413118548E-9</v>
          </cell>
          <cell r="I1408">
            <v>6.2022994379296037E-9</v>
          </cell>
          <cell r="J1408">
            <v>6.0038606031209696E-9</v>
          </cell>
          <cell r="K1408">
            <v>8.4478812834021255E-10</v>
          </cell>
          <cell r="L1408">
            <v>-3.4015696726355515E-9</v>
          </cell>
          <cell r="M1408">
            <v>0.14200765932184103</v>
          </cell>
          <cell r="N1408">
            <v>0.55315016180405829</v>
          </cell>
          <cell r="O1408">
            <v>0.58465607890972449</v>
          </cell>
          <cell r="P1408">
            <v>0.49903231856637009</v>
          </cell>
          <cell r="Q1408">
            <v>0.33502015481484543</v>
          </cell>
          <cell r="R1408">
            <v>8.6786327336194069E-2</v>
          </cell>
          <cell r="S1408">
            <v>-0.14635504256836351</v>
          </cell>
          <cell r="T1408">
            <v>-0.35867216660773404</v>
          </cell>
          <cell r="U1408">
            <v>-0.55151002574142582</v>
          </cell>
          <cell r="V1408">
            <v>-0.70663802080535787</v>
          </cell>
          <cell r="W1408">
            <v>-0.82413489971969733</v>
          </cell>
          <cell r="X1408">
            <v>-0.92717370048845882</v>
          </cell>
          <cell r="Y1408">
            <v>-1.0165459417030933</v>
          </cell>
          <cell r="Z1408">
            <v>-1.0892736500219893</v>
          </cell>
          <cell r="AA1408">
            <v>-1.1447630796308652</v>
          </cell>
          <cell r="AB1408">
            <v>-1.1820016121508792</v>
          </cell>
          <cell r="AC1408">
            <v>-1.2038565668620751</v>
          </cell>
          <cell r="AD1408">
            <v>-1.2130322208209163</v>
          </cell>
          <cell r="AE1408">
            <v>-1.2103286404309479</v>
          </cell>
          <cell r="AF1408">
            <v>-1.2013566776405722</v>
          </cell>
          <cell r="AG1408">
            <v>-1.1909337933413671</v>
          </cell>
          <cell r="AH1408">
            <v>-1.1889378263841039</v>
          </cell>
          <cell r="AI1408">
            <v>-1.1990119102520722</v>
          </cell>
          <cell r="AJ1408">
            <v>-1.2253855130495692</v>
          </cell>
          <cell r="AK1408">
            <v>-1.2729738623039597</v>
          </cell>
          <cell r="AL1408">
            <v>-1.3515831069212891</v>
          </cell>
          <cell r="AM1408">
            <v>-1.4746733205047546</v>
          </cell>
          <cell r="AN1408">
            <v>-1.6548177552672447</v>
          </cell>
          <cell r="AO1408">
            <v>-1.9111417574574894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-4.5027814810083555E-8</v>
          </cell>
          <cell r="J1409">
            <v>-4.2373637931802932E-8</v>
          </cell>
          <cell r="K1409">
            <v>-3.9195346968057265E-8</v>
          </cell>
          <cell r="L1409">
            <v>-3.5558778144206826E-8</v>
          </cell>
          <cell r="M1409">
            <v>-0.22449409868364745</v>
          </cell>
          <cell r="N1409">
            <v>-1.4870075269668437E-2</v>
          </cell>
          <cell r="O1409">
            <v>-0.11359318311751077</v>
          </cell>
          <cell r="P1409">
            <v>-0.35623148000312188</v>
          </cell>
          <cell r="Q1409">
            <v>-0.6364517064876396</v>
          </cell>
          <cell r="R1409">
            <v>-1.0708249675467851</v>
          </cell>
          <cell r="S1409">
            <v>-1.6359269794454012</v>
          </cell>
          <cell r="T1409">
            <v>-2.3150315724674075</v>
          </cell>
          <cell r="U1409">
            <v>-3.0873210850864421</v>
          </cell>
          <cell r="V1409">
            <v>-3.933336267248047</v>
          </cell>
          <cell r="W1409">
            <v>-4.8109701464319947</v>
          </cell>
          <cell r="X1409">
            <v>-5.7092989426161855</v>
          </cell>
          <cell r="Y1409">
            <v>-6.6205363738431391</v>
          </cell>
          <cell r="Z1409">
            <v>-7.5372580707510863</v>
          </cell>
          <cell r="AA1409">
            <v>-8.4451534701177238</v>
          </cell>
          <cell r="AB1409">
            <v>-9.3333499887682976</v>
          </cell>
          <cell r="AC1409">
            <v>-10.191723522206813</v>
          </cell>
          <cell r="AD1409">
            <v>-11.012815918868998</v>
          </cell>
          <cell r="AE1409">
            <v>-11.798773717873884</v>
          </cell>
          <cell r="AF1409">
            <v>-12.530765129022402</v>
          </cell>
          <cell r="AG1409">
            <v>-13.205313640597549</v>
          </cell>
          <cell r="AH1409">
            <v>-13.824239018374524</v>
          </cell>
          <cell r="AI1409">
            <v>-14.395164095917002</v>
          </cell>
          <cell r="AJ1409">
            <v>-14.928913418592661</v>
          </cell>
          <cell r="AK1409">
            <v>-15.435387074803309</v>
          </cell>
          <cell r="AL1409">
            <v>-15.924912583974059</v>
          </cell>
          <cell r="AM1409">
            <v>-16.412454300085876</v>
          </cell>
          <cell r="AN1409">
            <v>-16.913267144165122</v>
          </cell>
          <cell r="AO1409">
            <v>-17.439819697650893</v>
          </cell>
        </row>
        <row r="1410">
          <cell r="C1410" t="str">
            <v>PIB</v>
          </cell>
          <cell r="E1410" t="str">
            <v>GDP_2</v>
          </cell>
          <cell r="F1410">
            <v>2197953.023</v>
          </cell>
          <cell r="G1410">
            <v>2239235.804</v>
          </cell>
          <cell r="H1410">
            <v>2285524.7760000001</v>
          </cell>
          <cell r="I1410">
            <v>2336260.3130000001</v>
          </cell>
          <cell r="J1410">
            <v>2390459.6490000002</v>
          </cell>
          <cell r="K1410">
            <v>2447757.3640000001</v>
          </cell>
          <cell r="L1410">
            <v>2506088.2999999998</v>
          </cell>
          <cell r="M1410">
            <v>2559892.2940000002</v>
          </cell>
          <cell r="N1410">
            <v>2614625.037</v>
          </cell>
          <cell r="O1410">
            <v>2680208.2590000001</v>
          </cell>
          <cell r="P1410">
            <v>2747741.0389999999</v>
          </cell>
          <cell r="Q1410">
            <v>2807803.6579999998</v>
          </cell>
          <cell r="R1410">
            <v>2862630.139</v>
          </cell>
          <cell r="S1410">
            <v>2913381.5380000002</v>
          </cell>
          <cell r="T1410">
            <v>2961789.5989999999</v>
          </cell>
          <cell r="U1410">
            <v>3009008.7629999998</v>
          </cell>
          <cell r="V1410">
            <v>3056039.6439999999</v>
          </cell>
          <cell r="W1410">
            <v>3104372.8190000001</v>
          </cell>
          <cell r="X1410">
            <v>3155040.0550000002</v>
          </cell>
          <cell r="Y1410">
            <v>3208769.497</v>
          </cell>
          <cell r="Z1410">
            <v>3264980.176</v>
          </cell>
          <cell r="AA1410">
            <v>3326296.335</v>
          </cell>
          <cell r="AB1410">
            <v>3392706.906</v>
          </cell>
          <cell r="AC1410">
            <v>3464692.7710000002</v>
          </cell>
          <cell r="AD1410">
            <v>3542434.4219999998</v>
          </cell>
          <cell r="AE1410">
            <v>3622446.1779999998</v>
          </cell>
          <cell r="AF1410">
            <v>3709319.0460000001</v>
          </cell>
          <cell r="AG1410">
            <v>3802514.4369999999</v>
          </cell>
          <cell r="AH1410">
            <v>3902438.71</v>
          </cell>
          <cell r="AI1410">
            <v>4008896.1009999998</v>
          </cell>
          <cell r="AJ1410">
            <v>4121363.5430000001</v>
          </cell>
          <cell r="AK1410">
            <v>4239374.0029999996</v>
          </cell>
          <cell r="AL1410">
            <v>4362617.1619999995</v>
          </cell>
          <cell r="AM1410">
            <v>4490912.5810000002</v>
          </cell>
          <cell r="AN1410">
            <v>4624253.0999999996</v>
          </cell>
          <cell r="AO1410">
            <v>4762892.6179999998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-3.1164604230582427E-8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2.2922019837778862E-8</v>
          </cell>
          <cell r="AM1411">
            <v>2.2267188093394452E-8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1178854.173</v>
          </cell>
          <cell r="G1412">
            <v>1219274.5179999999</v>
          </cell>
          <cell r="H1412">
            <v>1258349.773</v>
          </cell>
          <cell r="I1412">
            <v>1300079.395</v>
          </cell>
          <cell r="J1412">
            <v>1343852.318</v>
          </cell>
          <cell r="K1412">
            <v>1386736.247</v>
          </cell>
          <cell r="L1412">
            <v>1430538.2139999999</v>
          </cell>
          <cell r="M1412">
            <v>1484395.9040000001</v>
          </cell>
          <cell r="N1412">
            <v>1551851.6270000001</v>
          </cell>
          <cell r="O1412">
            <v>1616353.166</v>
          </cell>
          <cell r="P1412">
            <v>1686258.32</v>
          </cell>
          <cell r="Q1412">
            <v>1753323.567</v>
          </cell>
          <cell r="R1412">
            <v>1816583.2819999999</v>
          </cell>
          <cell r="S1412">
            <v>1877844.8149999999</v>
          </cell>
          <cell r="T1412">
            <v>1936824.7239999999</v>
          </cell>
          <cell r="U1412">
            <v>1993389.02</v>
          </cell>
          <cell r="V1412">
            <v>2047969.943</v>
          </cell>
          <cell r="W1412">
            <v>2100534.9530000002</v>
          </cell>
          <cell r="X1412">
            <v>2150576.9730000002</v>
          </cell>
          <cell r="Y1412">
            <v>2198283.6370000001</v>
          </cell>
          <cell r="Z1412">
            <v>2241167.9440000001</v>
          </cell>
          <cell r="AA1412">
            <v>2285006.2220000001</v>
          </cell>
          <cell r="AB1412">
            <v>2327229.355</v>
          </cell>
          <cell r="AC1412">
            <v>2367940.1179999998</v>
          </cell>
          <cell r="AD1412">
            <v>2407357.7250000001</v>
          </cell>
          <cell r="AE1412">
            <v>2437152.423</v>
          </cell>
          <cell r="AF1412">
            <v>2470784.176</v>
          </cell>
          <cell r="AG1412">
            <v>2503666.9049999998</v>
          </cell>
          <cell r="AH1412">
            <v>2535313.96</v>
          </cell>
          <cell r="AI1412">
            <v>2565378.818</v>
          </cell>
          <cell r="AJ1412">
            <v>2593478.4550000001</v>
          </cell>
          <cell r="AK1412">
            <v>2619152.7719999999</v>
          </cell>
          <cell r="AL1412">
            <v>2641529.3840000001</v>
          </cell>
          <cell r="AM1412">
            <v>2659275.9569999999</v>
          </cell>
          <cell r="AN1412">
            <v>2671141.0989999999</v>
          </cell>
          <cell r="AO1412">
            <v>2675394.1120000002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1011152.647</v>
          </cell>
          <cell r="G1413">
            <v>1048701.6229999999</v>
          </cell>
          <cell r="H1413">
            <v>1091834.6880000001</v>
          </cell>
          <cell r="I1413">
            <v>1140623.7390000001</v>
          </cell>
          <cell r="J1413">
            <v>1194169.6580000001</v>
          </cell>
          <cell r="K1413">
            <v>1252268.845</v>
          </cell>
          <cell r="L1413">
            <v>1314912.426</v>
          </cell>
          <cell r="M1413">
            <v>1384995.4809999999</v>
          </cell>
          <cell r="N1413">
            <v>1462350.8030000001</v>
          </cell>
          <cell r="O1413">
            <v>1551701.8230000001</v>
          </cell>
          <cell r="P1413">
            <v>1652454.95</v>
          </cell>
          <cell r="Q1413">
            <v>1757201.6680000001</v>
          </cell>
          <cell r="R1413">
            <v>1862314.7180000001</v>
          </cell>
          <cell r="S1413">
            <v>1965016.0190000001</v>
          </cell>
          <cell r="T1413">
            <v>2063922.389</v>
          </cell>
          <cell r="U1413">
            <v>2158422.2390000001</v>
          </cell>
          <cell r="V1413">
            <v>2248456.5410000002</v>
          </cell>
          <cell r="W1413">
            <v>2334854.36</v>
          </cell>
          <cell r="X1413">
            <v>2418392.969</v>
          </cell>
          <cell r="Y1413">
            <v>2499961.1690000002</v>
          </cell>
          <cell r="Z1413">
            <v>2579713.6170000001</v>
          </cell>
          <cell r="AA1413">
            <v>2660265.693</v>
          </cell>
          <cell r="AB1413">
            <v>2742792.0109999999</v>
          </cell>
          <cell r="AC1413">
            <v>2828881.287</v>
          </cell>
          <cell r="AD1413">
            <v>2920064.4360000002</v>
          </cell>
          <cell r="AE1413">
            <v>3015131.0079999999</v>
          </cell>
          <cell r="AF1413">
            <v>3118932.6430000002</v>
          </cell>
          <cell r="AG1413">
            <v>3233392.3659999999</v>
          </cell>
          <cell r="AH1413">
            <v>3361014.6150000002</v>
          </cell>
          <cell r="AI1413">
            <v>3503769.9049999998</v>
          </cell>
          <cell r="AJ1413">
            <v>3663100.7429999998</v>
          </cell>
          <cell r="AK1413">
            <v>3840334.4279999998</v>
          </cell>
          <cell r="AL1413">
            <v>4036970.2820000001</v>
          </cell>
          <cell r="AM1413">
            <v>4254712.3729999997</v>
          </cell>
          <cell r="AN1413">
            <v>4495761.2889999999</v>
          </cell>
          <cell r="AO1413">
            <v>4763274.841</v>
          </cell>
        </row>
        <row r="1414">
          <cell r="C1414" t="str">
            <v>Solde public</v>
          </cell>
          <cell r="E1414" t="str">
            <v>Bal_G_tot_VAL_2</v>
          </cell>
          <cell r="F1414">
            <v>-65724.458440000002</v>
          </cell>
          <cell r="G1414">
            <v>-65309.604509999997</v>
          </cell>
          <cell r="H1414">
            <v>-57986.313970000003</v>
          </cell>
          <cell r="I1414">
            <v>-48027.568579999999</v>
          </cell>
          <cell r="J1414">
            <v>-35853.194819999997</v>
          </cell>
          <cell r="K1414">
            <v>-18845.276519999999</v>
          </cell>
          <cell r="L1414">
            <v>938.60104690000003</v>
          </cell>
          <cell r="M1414">
            <v>17117.03557</v>
          </cell>
          <cell r="N1414">
            <v>26160.783220000001</v>
          </cell>
          <cell r="O1414">
            <v>49702.224410000003</v>
          </cell>
          <cell r="P1414">
            <v>78065.085949999993</v>
          </cell>
          <cell r="Q1414">
            <v>111843.3033</v>
          </cell>
          <cell r="R1414">
            <v>148104.47289999999</v>
          </cell>
          <cell r="S1414">
            <v>182139.0171</v>
          </cell>
          <cell r="T1414">
            <v>212958.52739999999</v>
          </cell>
          <cell r="U1414">
            <v>240246.1556</v>
          </cell>
          <cell r="V1414">
            <v>263687.22610000003</v>
          </cell>
          <cell r="W1414">
            <v>284335.67340000003</v>
          </cell>
          <cell r="X1414">
            <v>303615.47840000002</v>
          </cell>
          <cell r="Y1414">
            <v>322296.24180000002</v>
          </cell>
          <cell r="Z1414">
            <v>343049.57089999999</v>
          </cell>
          <cell r="AA1414">
            <v>362610.88919999998</v>
          </cell>
          <cell r="AB1414">
            <v>384783.53019999998</v>
          </cell>
          <cell r="AC1414">
            <v>410922.86670000001</v>
          </cell>
          <cell r="AD1414">
            <v>442142.2659</v>
          </cell>
          <cell r="AE1414">
            <v>485307.02679999999</v>
          </cell>
          <cell r="AF1414">
            <v>531211.55649999995</v>
          </cell>
          <cell r="AG1414">
            <v>586227.97320000001</v>
          </cell>
          <cell r="AH1414">
            <v>652891.76820000005</v>
          </cell>
          <cell r="AI1414">
            <v>732937.61170000001</v>
          </cell>
          <cell r="AJ1414">
            <v>827521.9325</v>
          </cell>
          <cell r="AK1414">
            <v>937705.2034</v>
          </cell>
          <cell r="AL1414">
            <v>1065079.186</v>
          </cell>
          <cell r="AM1414">
            <v>1211820.7439999999</v>
          </cell>
          <cell r="AN1414">
            <v>1380413.4809999999</v>
          </cell>
          <cell r="AO1414">
            <v>1574653.3459999999</v>
          </cell>
        </row>
        <row r="1415">
          <cell r="C1415" t="str">
            <v>Dette publique</v>
          </cell>
          <cell r="E1415" t="str">
            <v>DEBT_G_VAL_2</v>
          </cell>
          <cell r="F1415">
            <v>2105265.8119999999</v>
          </cell>
          <cell r="G1415">
            <v>2170575.4160000002</v>
          </cell>
          <cell r="H1415">
            <v>2228561.73</v>
          </cell>
          <cell r="I1415">
            <v>2276589.2990000001</v>
          </cell>
          <cell r="J1415">
            <v>2312442.4939999999</v>
          </cell>
          <cell r="K1415">
            <v>2331287.77</v>
          </cell>
          <cell r="L1415">
            <v>2330349.1690000002</v>
          </cell>
          <cell r="M1415">
            <v>2313232.1340000001</v>
          </cell>
          <cell r="N1415">
            <v>2287071.35</v>
          </cell>
          <cell r="O1415">
            <v>2237369.1260000002</v>
          </cell>
          <cell r="P1415">
            <v>2159304.04</v>
          </cell>
          <cell r="Q1415">
            <v>2047460.737</v>
          </cell>
          <cell r="R1415">
            <v>1899356.264</v>
          </cell>
          <cell r="S1415">
            <v>1717217.247</v>
          </cell>
          <cell r="T1415">
            <v>1504258.719</v>
          </cell>
          <cell r="U1415">
            <v>1264012.564</v>
          </cell>
          <cell r="V1415">
            <v>1000325.338</v>
          </cell>
          <cell r="W1415">
            <v>715989.6642</v>
          </cell>
          <cell r="X1415">
            <v>412374.18579999998</v>
          </cell>
          <cell r="Y1415">
            <v>90077.94399</v>
          </cell>
          <cell r="Z1415">
            <v>-252971.6269</v>
          </cell>
          <cell r="AA1415">
            <v>-615582.51610000001</v>
          </cell>
          <cell r="AB1415">
            <v>-1000366.046</v>
          </cell>
          <cell r="AC1415">
            <v>-1411288.9129999999</v>
          </cell>
          <cell r="AD1415">
            <v>-1853431.179</v>
          </cell>
          <cell r="AE1415">
            <v>-2338738.2059999998</v>
          </cell>
          <cell r="AF1415">
            <v>-2869949.7620000001</v>
          </cell>
          <cell r="AG1415">
            <v>-3456177.7349999999</v>
          </cell>
          <cell r="AH1415">
            <v>-4109069.503</v>
          </cell>
          <cell r="AI1415">
            <v>-4842007.1150000002</v>
          </cell>
          <cell r="AJ1415">
            <v>-5669529.0480000004</v>
          </cell>
          <cell r="AK1415">
            <v>-6607234.2510000002</v>
          </cell>
          <cell r="AL1415">
            <v>-7672313.4369999999</v>
          </cell>
          <cell r="AM1415">
            <v>-8884134.1809999999</v>
          </cell>
          <cell r="AN1415">
            <v>-10264547.66</v>
          </cell>
          <cell r="AO1415">
            <v>-11839201.01</v>
          </cell>
        </row>
        <row r="1434">
          <cell r="F1434">
            <v>27379.147679999998</v>
          </cell>
          <cell r="G1434">
            <v>27521.360140000001</v>
          </cell>
          <cell r="H1434">
            <v>27744.390429999999</v>
          </cell>
          <cell r="I1434">
            <v>28034.212780000002</v>
          </cell>
          <cell r="J1434">
            <v>28370.477999999999</v>
          </cell>
          <cell r="K1434">
            <v>28739.915270000001</v>
          </cell>
          <cell r="L1434">
            <v>29121.913359999999</v>
          </cell>
          <cell r="M1434">
            <v>29485.463370000001</v>
          </cell>
          <cell r="N1434">
            <v>29832.195599999999</v>
          </cell>
          <cell r="O1434">
            <v>30225.367989999999</v>
          </cell>
          <cell r="P1434">
            <v>30649.87126</v>
          </cell>
          <cell r="Q1434">
            <v>31026.629860000001</v>
          </cell>
          <cell r="R1434">
            <v>31325.400379999999</v>
          </cell>
          <cell r="S1434">
            <v>31542.360560000001</v>
          </cell>
          <cell r="T1434">
            <v>31691.581839999999</v>
          </cell>
          <cell r="U1434">
            <v>31792.124</v>
          </cell>
          <cell r="V1434">
            <v>31863.734260000001</v>
          </cell>
          <cell r="W1434">
            <v>31925.534339999998</v>
          </cell>
          <cell r="X1434">
            <v>31993.49941</v>
          </cell>
          <cell r="Y1434">
            <v>32079.592189999999</v>
          </cell>
          <cell r="Z1434">
            <v>32185.223969999999</v>
          </cell>
          <cell r="AA1434">
            <v>32325.787540000001</v>
          </cell>
          <cell r="AB1434">
            <v>32507.49785</v>
          </cell>
          <cell r="AC1434">
            <v>32734.53469</v>
          </cell>
          <cell r="AD1434">
            <v>33008.519139999997</v>
          </cell>
          <cell r="AE1434">
            <v>33309.112059999999</v>
          </cell>
          <cell r="AF1434">
            <v>33650.91822</v>
          </cell>
          <cell r="AG1434">
            <v>34038.030740000002</v>
          </cell>
          <cell r="AH1434">
            <v>34473.302309999999</v>
          </cell>
          <cell r="AI1434">
            <v>34955.841220000002</v>
          </cell>
          <cell r="AJ1434">
            <v>35481.309959999999</v>
          </cell>
          <cell r="AK1434">
            <v>36044.514380000001</v>
          </cell>
          <cell r="AL1434">
            <v>36641.575420000001</v>
          </cell>
          <cell r="AM1434">
            <v>37270.894269999997</v>
          </cell>
          <cell r="AN1434">
            <v>37934.306989999997</v>
          </cell>
          <cell r="AO1434">
            <v>38638.903250000003</v>
          </cell>
        </row>
        <row r="1435">
          <cell r="F1435">
            <v>760.78110530000004</v>
          </cell>
          <cell r="G1435">
            <v>763.93099919999997</v>
          </cell>
          <cell r="H1435">
            <v>769.18953750000003</v>
          </cell>
          <cell r="I1435">
            <v>776.66910700000005</v>
          </cell>
          <cell r="J1435">
            <v>785.97597780000001</v>
          </cell>
          <cell r="K1435">
            <v>796.76434489999997</v>
          </cell>
          <cell r="L1435">
            <v>808.43451579999999</v>
          </cell>
          <cell r="M1435">
            <v>819.12098860000003</v>
          </cell>
          <cell r="N1435">
            <v>828.87920880000001</v>
          </cell>
          <cell r="O1435">
            <v>840.08350050000001</v>
          </cell>
          <cell r="P1435">
            <v>851.76660549999997</v>
          </cell>
          <cell r="Q1435">
            <v>861.339157</v>
          </cell>
          <cell r="R1435">
            <v>867.86223440000003</v>
          </cell>
          <cell r="S1435">
            <v>871.3831265</v>
          </cell>
          <cell r="T1435">
            <v>872.53625820000002</v>
          </cell>
          <cell r="U1435">
            <v>872.05421409999997</v>
          </cell>
          <cell r="V1435">
            <v>870.76537719999999</v>
          </cell>
          <cell r="W1435">
            <v>869.27518559999999</v>
          </cell>
          <cell r="X1435">
            <v>868.08195769999998</v>
          </cell>
          <cell r="Y1435">
            <v>867.55760780000003</v>
          </cell>
          <cell r="Z1435">
            <v>867.86517049999998</v>
          </cell>
          <cell r="AA1435">
            <v>869.3040373</v>
          </cell>
          <cell r="AB1435">
            <v>872.10342539999999</v>
          </cell>
          <cell r="AC1435">
            <v>876.40582080000001</v>
          </cell>
          <cell r="AD1435">
            <v>882.2464903</v>
          </cell>
          <cell r="AE1435">
            <v>889.2854145</v>
          </cell>
          <cell r="AF1435">
            <v>897.50863619999996</v>
          </cell>
          <cell r="AG1435">
            <v>907.06404439999994</v>
          </cell>
          <cell r="AH1435">
            <v>918.04111760000001</v>
          </cell>
          <cell r="AI1435">
            <v>930.36264589999996</v>
          </cell>
          <cell r="AJ1435">
            <v>943.79819399999997</v>
          </cell>
          <cell r="AK1435">
            <v>958.05941589999998</v>
          </cell>
          <cell r="AL1435">
            <v>972.8699924</v>
          </cell>
          <cell r="AM1435">
            <v>987.98297639999998</v>
          </cell>
          <cell r="AN1435">
            <v>1003.1936930000001</v>
          </cell>
          <cell r="AO1435">
            <v>1018.356737</v>
          </cell>
        </row>
        <row r="1438">
          <cell r="F1438">
            <v>4368.3707029999996</v>
          </cell>
          <cell r="G1438">
            <v>4397.8096649999998</v>
          </cell>
          <cell r="H1438">
            <v>4444.1747960000002</v>
          </cell>
          <cell r="I1438">
            <v>4503.7755909999996</v>
          </cell>
          <cell r="J1438">
            <v>4572.302936</v>
          </cell>
          <cell r="K1438">
            <v>4647.2753430000002</v>
          </cell>
          <cell r="L1438">
            <v>4726.0133029999997</v>
          </cell>
          <cell r="M1438">
            <v>4800.3066920000001</v>
          </cell>
          <cell r="N1438">
            <v>4871.9228220000005</v>
          </cell>
          <cell r="O1438">
            <v>4955.8857820000003</v>
          </cell>
          <cell r="P1438">
            <v>5046.0149879999999</v>
          </cell>
          <cell r="Q1438">
            <v>5126.4789140000003</v>
          </cell>
          <cell r="R1438">
            <v>5190.8425200000001</v>
          </cell>
          <cell r="S1438">
            <v>5239.078082</v>
          </cell>
          <cell r="T1438">
            <v>5275.2069380000003</v>
          </cell>
          <cell r="U1438">
            <v>5303.9438280000004</v>
          </cell>
          <cell r="V1438">
            <v>5329.4201860000003</v>
          </cell>
          <cell r="W1438">
            <v>5355.6527660000002</v>
          </cell>
          <cell r="X1438">
            <v>5385.8780360000001</v>
          </cell>
          <cell r="Y1438">
            <v>5422.411024</v>
          </cell>
          <cell r="Z1438">
            <v>5466.3386110000001</v>
          </cell>
          <cell r="AA1438">
            <v>5519.3879180000004</v>
          </cell>
          <cell r="AB1438">
            <v>5582.9303289999998</v>
          </cell>
          <cell r="AC1438">
            <v>5657.867201</v>
          </cell>
          <cell r="AD1438">
            <v>5744.5372440000001</v>
          </cell>
          <cell r="AE1438">
            <v>5841.3043950000001</v>
          </cell>
          <cell r="AF1438">
            <v>5948.803116</v>
          </cell>
          <cell r="AG1438">
            <v>6068.0138800000004</v>
          </cell>
          <cell r="AH1438">
            <v>6199.5939980000003</v>
          </cell>
          <cell r="AI1438">
            <v>6343.3390529999997</v>
          </cell>
          <cell r="AJ1438">
            <v>6498.4086539999998</v>
          </cell>
          <cell r="AK1438">
            <v>6664.0606420000004</v>
          </cell>
          <cell r="AL1438">
            <v>6840.1433809999999</v>
          </cell>
          <cell r="AM1438">
            <v>7027.2264219999997</v>
          </cell>
          <cell r="AN1438">
            <v>7226.9364599999999</v>
          </cell>
          <cell r="AO1438">
            <v>7442.5347000000002</v>
          </cell>
        </row>
        <row r="1450">
          <cell r="F1450">
            <v>868.27520900000002</v>
          </cell>
          <cell r="G1450">
            <v>872.68667340000002</v>
          </cell>
          <cell r="H1450">
            <v>879.36153960000001</v>
          </cell>
          <cell r="I1450">
            <v>887.64261710000005</v>
          </cell>
          <cell r="J1450">
            <v>897.10188949999997</v>
          </cell>
          <cell r="K1450">
            <v>907.47537069999998</v>
          </cell>
          <cell r="L1450">
            <v>918.18323729999997</v>
          </cell>
          <cell r="M1450">
            <v>926.54987640000002</v>
          </cell>
          <cell r="N1450">
            <v>933.10245540000005</v>
          </cell>
          <cell r="O1450">
            <v>940.92127949999997</v>
          </cell>
          <cell r="P1450">
            <v>949.14568310000004</v>
          </cell>
          <cell r="Q1450">
            <v>955.33931459999997</v>
          </cell>
          <cell r="R1450">
            <v>958.66824980000001</v>
          </cell>
          <cell r="S1450">
            <v>959.25138140000001</v>
          </cell>
          <cell r="T1450">
            <v>957.80119560000003</v>
          </cell>
          <cell r="U1450">
            <v>955.09413830000005</v>
          </cell>
          <cell r="V1450">
            <v>951.77111070000001</v>
          </cell>
          <cell r="W1450">
            <v>948.46008400000005</v>
          </cell>
          <cell r="X1450">
            <v>945.70873289999997</v>
          </cell>
          <cell r="Y1450">
            <v>943.9119316</v>
          </cell>
          <cell r="Z1450">
            <v>943.20932349999998</v>
          </cell>
          <cell r="AA1450">
            <v>943.94339200000002</v>
          </cell>
          <cell r="AB1450">
            <v>946.31167219999998</v>
          </cell>
          <cell r="AC1450">
            <v>950.41705019999995</v>
          </cell>
          <cell r="AD1450">
            <v>956.25482650000004</v>
          </cell>
          <cell r="AE1450">
            <v>963.39098339999998</v>
          </cell>
          <cell r="AF1450">
            <v>972.02733020000005</v>
          </cell>
          <cell r="AG1450">
            <v>982.29380739999999</v>
          </cell>
          <cell r="AH1450">
            <v>994.24202190000005</v>
          </cell>
          <cell r="AI1450">
            <v>1007.742441</v>
          </cell>
          <cell r="AJ1450">
            <v>1022.519737</v>
          </cell>
          <cell r="AK1450">
            <v>1038.2818380000001</v>
          </cell>
          <cell r="AL1450">
            <v>1054.7966329999999</v>
          </cell>
          <cell r="AM1450">
            <v>1071.885518</v>
          </cell>
          <cell r="AN1450">
            <v>1089.432243</v>
          </cell>
          <cell r="AO1450">
            <v>1107.4053200000001</v>
          </cell>
        </row>
        <row r="1455">
          <cell r="F1455">
            <v>21276.68795</v>
          </cell>
          <cell r="G1455">
            <v>21381.621920000001</v>
          </cell>
          <cell r="H1455">
            <v>21546.088489999998</v>
          </cell>
          <cell r="I1455">
            <v>21760.233540000001</v>
          </cell>
          <cell r="J1455">
            <v>22008.909790000002</v>
          </cell>
          <cell r="K1455">
            <v>22281.898990000002</v>
          </cell>
          <cell r="L1455">
            <v>22562.427159999999</v>
          </cell>
          <cell r="M1455">
            <v>22829.993480000001</v>
          </cell>
          <cell r="N1455">
            <v>23084.717260000001</v>
          </cell>
          <cell r="O1455">
            <v>23369.7392</v>
          </cell>
          <cell r="P1455">
            <v>23678.48964</v>
          </cell>
          <cell r="Q1455">
            <v>23953.456010000002</v>
          </cell>
          <cell r="R1455">
            <v>24172.867490000001</v>
          </cell>
          <cell r="S1455">
            <v>24332.753189999999</v>
          </cell>
          <cell r="T1455">
            <v>24441.65955</v>
          </cell>
          <cell r="U1455">
            <v>24512.233800000002</v>
          </cell>
          <cell r="V1455">
            <v>24558.46413</v>
          </cell>
          <cell r="W1455">
            <v>24594.056140000001</v>
          </cell>
          <cell r="X1455">
            <v>24630.573130000001</v>
          </cell>
          <cell r="Y1455">
            <v>24676.78054</v>
          </cell>
          <cell r="Z1455">
            <v>24732.604309999999</v>
          </cell>
          <cell r="AA1455">
            <v>24810.917949999999</v>
          </cell>
          <cell r="AB1455">
            <v>24915.980250000001</v>
          </cell>
          <cell r="AC1455">
            <v>25050.659090000001</v>
          </cell>
          <cell r="AD1455">
            <v>25216.031139999999</v>
          </cell>
          <cell r="AE1455">
            <v>25394.039789999999</v>
          </cell>
          <cell r="AF1455">
            <v>25598.162369999998</v>
          </cell>
          <cell r="AG1455">
            <v>25830.882320000001</v>
          </cell>
          <cell r="AH1455">
            <v>26093.840199999999</v>
          </cell>
          <cell r="AI1455">
            <v>26386.078969999999</v>
          </cell>
          <cell r="AJ1455">
            <v>26704.030549999999</v>
          </cell>
          <cell r="AK1455">
            <v>27043.059020000001</v>
          </cell>
          <cell r="AL1455">
            <v>27398.878079999999</v>
          </cell>
          <cell r="AM1455">
            <v>27768.232120000001</v>
          </cell>
          <cell r="AN1455">
            <v>28149.449079999999</v>
          </cell>
          <cell r="AO1455">
            <v>28543.220130000002</v>
          </cell>
        </row>
        <row r="1458">
          <cell r="F1458">
            <v>17.971260969999999</v>
          </cell>
          <cell r="G1458">
            <v>17.930591719999999</v>
          </cell>
          <cell r="H1458">
            <v>17.869679519999998</v>
          </cell>
          <cell r="I1458">
            <v>17.807607600000001</v>
          </cell>
          <cell r="J1458">
            <v>17.780121999999999</v>
          </cell>
          <cell r="K1458">
            <v>17.79908876</v>
          </cell>
          <cell r="L1458">
            <v>17.849823270000002</v>
          </cell>
          <cell r="M1458">
            <v>18.580971470000001</v>
          </cell>
          <cell r="N1458">
            <v>19.686184149999999</v>
          </cell>
          <cell r="O1458">
            <v>21.053678900000001</v>
          </cell>
          <cell r="P1458">
            <v>22.56892375</v>
          </cell>
          <cell r="Q1458">
            <v>24.138644559999999</v>
          </cell>
          <cell r="R1458">
            <v>25.704654640000001</v>
          </cell>
          <cell r="S1458">
            <v>27.239938899999999</v>
          </cell>
          <cell r="T1458">
            <v>28.740905609999999</v>
          </cell>
          <cell r="U1458">
            <v>30.214771020000001</v>
          </cell>
          <cell r="V1458">
            <v>31.66262592</v>
          </cell>
          <cell r="W1458">
            <v>33.099963350000003</v>
          </cell>
          <cell r="X1458">
            <v>34.544274799999997</v>
          </cell>
          <cell r="Y1458">
            <v>36.011700660000002</v>
          </cell>
          <cell r="Z1458">
            <v>37.514400340000002</v>
          </cell>
          <cell r="AA1458">
            <v>39.066827689999997</v>
          </cell>
          <cell r="AB1458">
            <v>40.682417180000002</v>
          </cell>
          <cell r="AC1458">
            <v>42.372890730000002</v>
          </cell>
          <cell r="AD1458">
            <v>44.147875409999997</v>
          </cell>
          <cell r="AE1458">
            <v>46.009426519999998</v>
          </cell>
          <cell r="AF1458">
            <v>47.971688810000003</v>
          </cell>
          <cell r="AG1458">
            <v>50.05066274</v>
          </cell>
          <cell r="AH1458">
            <v>52.262611020000001</v>
          </cell>
          <cell r="AI1458">
            <v>54.620585759999997</v>
          </cell>
          <cell r="AJ1458">
            <v>57.134969769999998</v>
          </cell>
          <cell r="AK1458">
            <v>59.8179686</v>
          </cell>
          <cell r="AL1458">
            <v>62.687617629999998</v>
          </cell>
          <cell r="AM1458">
            <v>65.769571409999998</v>
          </cell>
          <cell r="AN1458">
            <v>69.101591299999995</v>
          </cell>
          <cell r="AO1458">
            <v>72.742490549999999</v>
          </cell>
        </row>
        <row r="1460">
          <cell r="F1460">
            <v>6.6796781279999999</v>
          </cell>
          <cell r="G1460">
            <v>6.6547599990000004</v>
          </cell>
          <cell r="H1460">
            <v>6.6151605550000001</v>
          </cell>
          <cell r="I1460">
            <v>6.5738810599999997</v>
          </cell>
          <cell r="J1460">
            <v>6.5453010950000001</v>
          </cell>
          <cell r="K1460">
            <v>6.5347262439999998</v>
          </cell>
          <cell r="L1460">
            <v>6.5397531430000004</v>
          </cell>
          <cell r="M1460">
            <v>7.3441920950000004</v>
          </cell>
          <cell r="N1460">
            <v>8.5871516850000003</v>
          </cell>
          <cell r="O1460">
            <v>10.095385</v>
          </cell>
          <cell r="P1460">
            <v>11.75071471</v>
          </cell>
          <cell r="Q1460">
            <v>13.47143009</v>
          </cell>
          <cell r="R1460">
            <v>15.204954519999999</v>
          </cell>
          <cell r="S1460">
            <v>16.923055399999999</v>
          </cell>
          <cell r="T1460">
            <v>18.616148899999999</v>
          </cell>
          <cell r="U1460">
            <v>20.28565343</v>
          </cell>
          <cell r="V1460">
            <v>21.933358040000002</v>
          </cell>
          <cell r="W1460">
            <v>23.5686532</v>
          </cell>
          <cell r="X1460">
            <v>25.204576190000001</v>
          </cell>
          <cell r="Y1460">
            <v>26.85458174</v>
          </cell>
          <cell r="Z1460">
            <v>28.529940839999998</v>
          </cell>
          <cell r="AA1460">
            <v>30.243354180000001</v>
          </cell>
          <cell r="AB1460">
            <v>32.007105809999999</v>
          </cell>
          <cell r="AC1460">
            <v>33.832531510000003</v>
          </cell>
          <cell r="AD1460">
            <v>35.72970179</v>
          </cell>
          <cell r="AE1460">
            <v>37.703253310000001</v>
          </cell>
          <cell r="AF1460">
            <v>39.76511592</v>
          </cell>
          <cell r="AG1460">
            <v>41.930730169999997</v>
          </cell>
          <cell r="AH1460">
            <v>44.216230979999999</v>
          </cell>
          <cell r="AI1460">
            <v>46.636004069999998</v>
          </cell>
          <cell r="AJ1460">
            <v>49.202778049999999</v>
          </cell>
          <cell r="AK1460">
            <v>51.930813880000002</v>
          </cell>
          <cell r="AL1460">
            <v>54.839173000000002</v>
          </cell>
          <cell r="AM1460">
            <v>57.953547950000001</v>
          </cell>
          <cell r="AN1460">
            <v>61.310538960000002</v>
          </cell>
          <cell r="AO1460">
            <v>64.966170129999995</v>
          </cell>
        </row>
        <row r="1462">
          <cell r="F1462">
            <v>0.71851927429999995</v>
          </cell>
          <cell r="G1462">
            <v>0.71634665809999998</v>
          </cell>
          <cell r="H1462">
            <v>0.71386190240000003</v>
          </cell>
          <cell r="I1462">
            <v>0.71104384789999997</v>
          </cell>
          <cell r="J1462">
            <v>0.70995306530000002</v>
          </cell>
          <cell r="K1462">
            <v>0.71101029729999998</v>
          </cell>
          <cell r="L1462">
            <v>0.71197500629999999</v>
          </cell>
          <cell r="M1462">
            <v>0.76700290339999999</v>
          </cell>
          <cell r="N1462">
            <v>0.84710704010000004</v>
          </cell>
          <cell r="O1462">
            <v>0.94011839500000005</v>
          </cell>
          <cell r="P1462">
            <v>1.0375312059999999</v>
          </cell>
          <cell r="Q1462">
            <v>1.133404565</v>
          </cell>
          <cell r="R1462">
            <v>1.2239378510000001</v>
          </cell>
          <cell r="S1462">
            <v>1.307567506</v>
          </cell>
          <cell r="T1462">
            <v>1.38450753</v>
          </cell>
          <cell r="U1462">
            <v>1.4558060159999999</v>
          </cell>
          <cell r="V1462">
            <v>1.5236036900000001</v>
          </cell>
          <cell r="W1462">
            <v>1.589534717</v>
          </cell>
          <cell r="X1462">
            <v>1.65487933</v>
          </cell>
          <cell r="Y1462">
            <v>1.7206399240000001</v>
          </cell>
          <cell r="Z1462">
            <v>1.7874572360000001</v>
          </cell>
          <cell r="AA1462">
            <v>1.856358554</v>
          </cell>
          <cell r="AB1462">
            <v>1.9282252449999999</v>
          </cell>
          <cell r="AC1462">
            <v>2.0038037929999999</v>
          </cell>
          <cell r="AD1462">
            <v>2.0836993719999999</v>
          </cell>
          <cell r="AE1462">
            <v>2.16776415</v>
          </cell>
          <cell r="AF1462">
            <v>2.2570521559999999</v>
          </cell>
          <cell r="AG1462">
            <v>2.3528319369999999</v>
          </cell>
          <cell r="AH1462">
            <v>2.4562352380000001</v>
          </cell>
          <cell r="AI1462">
            <v>2.5680065430000001</v>
          </cell>
          <cell r="AJ1462">
            <v>2.6886041340000002</v>
          </cell>
          <cell r="AK1462">
            <v>2.8186172009999999</v>
          </cell>
          <cell r="AL1462">
            <v>2.959105203</v>
          </cell>
          <cell r="AM1462">
            <v>3.1117284449999998</v>
          </cell>
          <cell r="AN1462">
            <v>3.2790491839999998</v>
          </cell>
          <cell r="AO1462">
            <v>3.46502343</v>
          </cell>
        </row>
        <row r="1463">
          <cell r="F1463">
            <v>87.061451820000002</v>
          </cell>
          <cell r="G1463">
            <v>87.380289059999996</v>
          </cell>
          <cell r="H1463">
            <v>87.706389299999998</v>
          </cell>
          <cell r="I1463">
            <v>88.084313320000007</v>
          </cell>
          <cell r="J1463">
            <v>88.407287289999999</v>
          </cell>
          <cell r="K1463">
            <v>88.702129720000002</v>
          </cell>
          <cell r="L1463">
            <v>89.005328210000002</v>
          </cell>
          <cell r="M1463">
            <v>90.911363219999998</v>
          </cell>
          <cell r="N1463">
            <v>93.887669990000006</v>
          </cell>
          <cell r="O1463">
            <v>97.684554500000004</v>
          </cell>
          <cell r="P1463">
            <v>101.8854216</v>
          </cell>
          <cell r="Q1463">
            <v>105.8778191</v>
          </cell>
          <cell r="R1463">
            <v>109.4552408</v>
          </cell>
          <cell r="S1463">
            <v>112.65483260000001</v>
          </cell>
          <cell r="T1463">
            <v>115.636995</v>
          </cell>
          <cell r="U1463">
            <v>118.5832407</v>
          </cell>
          <cell r="V1463">
            <v>121.65083</v>
          </cell>
          <cell r="W1463">
            <v>124.9901959</v>
          </cell>
          <cell r="X1463">
            <v>128.71328320000001</v>
          </cell>
          <cell r="Y1463">
            <v>132.91938709999999</v>
          </cell>
          <cell r="Z1463">
            <v>137.6921524</v>
          </cell>
          <cell r="AA1463">
            <v>143.16742149999999</v>
          </cell>
          <cell r="AB1463">
            <v>149.48975229999999</v>
          </cell>
          <cell r="AC1463">
            <v>156.81264089999999</v>
          </cell>
          <cell r="AD1463">
            <v>165.3015637</v>
          </cell>
          <cell r="AE1463">
            <v>175.08204119999999</v>
          </cell>
          <cell r="AF1463">
            <v>186.4450846</v>
          </cell>
          <cell r="AG1463">
            <v>199.726023</v>
          </cell>
          <cell r="AH1463">
            <v>215.3223582</v>
          </cell>
          <cell r="AI1463">
            <v>233.6975285</v>
          </cell>
          <cell r="AJ1463">
            <v>255.41785759999999</v>
          </cell>
          <cell r="AK1463">
            <v>281.23549370000001</v>
          </cell>
          <cell r="AL1463">
            <v>312.19971859999998</v>
          </cell>
          <cell r="AM1463">
            <v>349.79766189999998</v>
          </cell>
          <cell r="AN1463">
            <v>396.19392829999998</v>
          </cell>
          <cell r="AO1463">
            <v>454.6438799</v>
          </cell>
        </row>
        <row r="1473">
          <cell r="F1473">
            <v>27379.147679999998</v>
          </cell>
          <cell r="G1473">
            <v>27521.360140000001</v>
          </cell>
          <cell r="H1473">
            <v>27744.390429999999</v>
          </cell>
          <cell r="I1473">
            <v>28034.212780000002</v>
          </cell>
          <cell r="J1473">
            <v>28370.477999999999</v>
          </cell>
          <cell r="K1473">
            <v>28739.915260000002</v>
          </cell>
          <cell r="L1473">
            <v>29121.913359999999</v>
          </cell>
          <cell r="M1473">
            <v>29506.967659999998</v>
          </cell>
          <cell r="N1473">
            <v>29889.421770000001</v>
          </cell>
          <cell r="O1473">
            <v>30266.770990000001</v>
          </cell>
          <cell r="P1473">
            <v>30638.412820000001</v>
          </cell>
          <cell r="Q1473">
            <v>30951.66433</v>
          </cell>
          <cell r="R1473">
            <v>31193.242719999998</v>
          </cell>
          <cell r="S1473">
            <v>31364.97248</v>
          </cell>
          <cell r="T1473">
            <v>31478.35845</v>
          </cell>
          <cell r="U1473">
            <v>31549.39171</v>
          </cell>
          <cell r="V1473">
            <v>31598.019079999998</v>
          </cell>
          <cell r="W1473">
            <v>31643.42426</v>
          </cell>
          <cell r="X1473">
            <v>31701.198619999999</v>
          </cell>
          <cell r="Y1473">
            <v>31782.181830000001</v>
          </cell>
          <cell r="Z1473">
            <v>31886.284790000002</v>
          </cell>
          <cell r="AA1473">
            <v>32027.108929999999</v>
          </cell>
          <cell r="AB1473">
            <v>32209.000929999998</v>
          </cell>
          <cell r="AC1473">
            <v>32434.279210000001</v>
          </cell>
          <cell r="AD1473">
            <v>32702.63509</v>
          </cell>
          <cell r="AE1473">
            <v>32991.957869999998</v>
          </cell>
          <cell r="AF1473">
            <v>33314.19354</v>
          </cell>
          <cell r="AG1473">
            <v>33670.640209999998</v>
          </cell>
          <cell r="AH1473">
            <v>34061.138189999998</v>
          </cell>
          <cell r="AI1473">
            <v>34481.350469999998</v>
          </cell>
          <cell r="AJ1473">
            <v>34923.046049999997</v>
          </cell>
          <cell r="AK1473">
            <v>35376.470390000002</v>
          </cell>
          <cell r="AL1473">
            <v>35832.098290000002</v>
          </cell>
          <cell r="AM1473">
            <v>36281.085529999997</v>
          </cell>
          <cell r="AN1473">
            <v>36715.329180000001</v>
          </cell>
          <cell r="AO1473">
            <v>37127.462699999996</v>
          </cell>
        </row>
        <row r="1474">
          <cell r="F1474">
            <v>760.78110530000004</v>
          </cell>
          <cell r="G1474">
            <v>763.93099910000001</v>
          </cell>
          <cell r="H1474">
            <v>769.18953750000003</v>
          </cell>
          <cell r="I1474">
            <v>776.66910689999997</v>
          </cell>
          <cell r="J1474">
            <v>785.97597770000004</v>
          </cell>
          <cell r="K1474">
            <v>796.7643448</v>
          </cell>
          <cell r="L1474">
            <v>808.43451570000002</v>
          </cell>
          <cell r="M1474">
            <v>820.50923360000002</v>
          </cell>
          <cell r="N1474">
            <v>832.64410009999995</v>
          </cell>
          <cell r="O1474">
            <v>844.63158250000004</v>
          </cell>
          <cell r="P1474">
            <v>856.08796229999996</v>
          </cell>
          <cell r="Q1474">
            <v>865.25269160000005</v>
          </cell>
          <cell r="R1474">
            <v>871.61475640000003</v>
          </cell>
          <cell r="S1474">
            <v>875.2670607</v>
          </cell>
          <cell r="T1474">
            <v>876.67562029999999</v>
          </cell>
          <cell r="U1474">
            <v>876.47043940000003</v>
          </cell>
          <cell r="V1474">
            <v>875.41937170000006</v>
          </cell>
          <cell r="W1474">
            <v>874.26371730000005</v>
          </cell>
          <cell r="X1474">
            <v>873.60728170000004</v>
          </cell>
          <cell r="Y1474">
            <v>873.86015129999998</v>
          </cell>
          <cell r="Z1474">
            <v>875.17503380000005</v>
          </cell>
          <cell r="AA1474">
            <v>877.81239189999997</v>
          </cell>
          <cell r="AB1474">
            <v>881.95002580000005</v>
          </cell>
          <cell r="AC1474">
            <v>887.6768045</v>
          </cell>
          <cell r="AD1474">
            <v>894.97374590000004</v>
          </cell>
          <cell r="AE1474">
            <v>903.45389660000001</v>
          </cell>
          <cell r="AF1474">
            <v>913.13710209999999</v>
          </cell>
          <cell r="AG1474">
            <v>924.0705074</v>
          </cell>
          <cell r="AH1474">
            <v>936.25227240000004</v>
          </cell>
          <cell r="AI1474">
            <v>949.51772000000005</v>
          </cell>
          <cell r="AJ1474">
            <v>963.55437640000002</v>
          </cell>
          <cell r="AK1474">
            <v>977.99714489999997</v>
          </cell>
          <cell r="AL1474">
            <v>992.49337890000004</v>
          </cell>
          <cell r="AM1474">
            <v>1006.716915</v>
          </cell>
          <cell r="AN1474">
            <v>1020.369386</v>
          </cell>
          <cell r="AO1474">
            <v>1033.180206</v>
          </cell>
        </row>
        <row r="1477">
          <cell r="F1477">
            <v>4368.3707029999996</v>
          </cell>
          <cell r="G1477">
            <v>4397.8096640000003</v>
          </cell>
          <cell r="H1477">
            <v>4444.1747960000002</v>
          </cell>
          <cell r="I1477">
            <v>4503.7755900000002</v>
          </cell>
          <cell r="J1477">
            <v>4572.302936</v>
          </cell>
          <cell r="K1477">
            <v>4647.2753419999999</v>
          </cell>
          <cell r="L1477">
            <v>4726.0133020000003</v>
          </cell>
          <cell r="M1477">
            <v>4806.6854670000002</v>
          </cell>
          <cell r="N1477">
            <v>4888.1484499999997</v>
          </cell>
          <cell r="O1477">
            <v>4969.8754239999998</v>
          </cell>
          <cell r="P1477">
            <v>5049.9726289999999</v>
          </cell>
          <cell r="Q1477">
            <v>5118.5753940000004</v>
          </cell>
          <cell r="R1477">
            <v>5173.0926120000004</v>
          </cell>
          <cell r="S1477">
            <v>5214.3448479999997</v>
          </cell>
          <cell r="T1477">
            <v>5245.2026169999999</v>
          </cell>
          <cell r="U1477">
            <v>5269.2922090000002</v>
          </cell>
          <cell r="V1477">
            <v>5290.5570429999998</v>
          </cell>
          <cell r="W1477">
            <v>5312.8419309999999</v>
          </cell>
          <cell r="X1477">
            <v>5339.3155980000001</v>
          </cell>
          <cell r="Y1477">
            <v>5372.1403520000003</v>
          </cell>
          <cell r="Z1477">
            <v>5412.1335509999999</v>
          </cell>
          <cell r="AA1477">
            <v>5460.598062</v>
          </cell>
          <cell r="AB1477">
            <v>5518.4111359999997</v>
          </cell>
          <cell r="AC1477">
            <v>5585.9906879999999</v>
          </cell>
          <cell r="AD1477">
            <v>5663.1622170000001</v>
          </cell>
          <cell r="AE1477">
            <v>5747.7734879999998</v>
          </cell>
          <cell r="AF1477">
            <v>5839.6960150000004</v>
          </cell>
          <cell r="AG1477">
            <v>5938.9296420000001</v>
          </cell>
          <cell r="AH1477">
            <v>6045.2341690000003</v>
          </cell>
          <cell r="AI1477">
            <v>6157.4317540000002</v>
          </cell>
          <cell r="AJ1477">
            <v>6273.5367290000004</v>
          </cell>
          <cell r="AK1477">
            <v>6391.3455739999999</v>
          </cell>
          <cell r="AL1477">
            <v>6508.8252590000002</v>
          </cell>
          <cell r="AM1477">
            <v>6624.1729180000002</v>
          </cell>
          <cell r="AN1477">
            <v>6735.787061</v>
          </cell>
          <cell r="AO1477">
            <v>6842.2317789999997</v>
          </cell>
        </row>
        <row r="1489">
          <cell r="F1489">
            <v>868.27520900000002</v>
          </cell>
          <cell r="G1489">
            <v>872.68667330000005</v>
          </cell>
          <cell r="H1489">
            <v>879.36153960000001</v>
          </cell>
          <cell r="I1489">
            <v>887.64261710000005</v>
          </cell>
          <cell r="J1489">
            <v>897.10188949999997</v>
          </cell>
          <cell r="K1489">
            <v>907.47537060000002</v>
          </cell>
          <cell r="L1489">
            <v>918.18323720000001</v>
          </cell>
          <cell r="M1489">
            <v>928.82347990000005</v>
          </cell>
          <cell r="N1489">
            <v>939.15780770000003</v>
          </cell>
          <cell r="O1489">
            <v>949.08653289999995</v>
          </cell>
          <cell r="P1489">
            <v>958.32734900000003</v>
          </cell>
          <cell r="Q1489">
            <v>965.01462560000004</v>
          </cell>
          <cell r="R1489">
            <v>968.79348110000001</v>
          </cell>
          <cell r="S1489">
            <v>969.93444999999997</v>
          </cell>
          <cell r="T1489">
            <v>969.04988649999996</v>
          </cell>
          <cell r="U1489">
            <v>966.85788560000003</v>
          </cell>
          <cell r="V1489">
            <v>964.21094970000001</v>
          </cell>
          <cell r="W1489">
            <v>961.86559220000004</v>
          </cell>
          <cell r="X1489">
            <v>960.3776699</v>
          </cell>
          <cell r="Y1489">
            <v>960.07801180000001</v>
          </cell>
          <cell r="Z1489">
            <v>961.01207339999996</v>
          </cell>
          <cell r="AA1489">
            <v>963.42028259999995</v>
          </cell>
          <cell r="AB1489">
            <v>967.40355369999997</v>
          </cell>
          <cell r="AC1489">
            <v>972.98938180000005</v>
          </cell>
          <cell r="AD1489">
            <v>980.11094019999996</v>
          </cell>
          <cell r="AE1489">
            <v>988.27629460000003</v>
          </cell>
          <cell r="AF1489">
            <v>997.59363450000001</v>
          </cell>
          <cell r="AG1489">
            <v>1008.081498</v>
          </cell>
          <cell r="AH1489">
            <v>1019.700449</v>
          </cell>
          <cell r="AI1489">
            <v>1032.238347</v>
          </cell>
          <cell r="AJ1489">
            <v>1045.339739</v>
          </cell>
          <cell r="AK1489">
            <v>1058.616845</v>
          </cell>
          <cell r="AL1489">
            <v>1071.719644</v>
          </cell>
          <cell r="AM1489">
            <v>1084.3454670000001</v>
          </cell>
          <cell r="AN1489">
            <v>1096.2338299999999</v>
          </cell>
          <cell r="AO1489">
            <v>1107.1606059999999</v>
          </cell>
        </row>
        <row r="1494">
          <cell r="F1494">
            <v>21276.68795</v>
          </cell>
          <cell r="G1494">
            <v>21381.621920000001</v>
          </cell>
          <cell r="H1494">
            <v>21546.088489999998</v>
          </cell>
          <cell r="I1494">
            <v>21760.233540000001</v>
          </cell>
          <cell r="J1494">
            <v>22008.909790000002</v>
          </cell>
          <cell r="K1494">
            <v>22281.898990000002</v>
          </cell>
          <cell r="L1494">
            <v>22562.42715</v>
          </cell>
          <cell r="M1494">
            <v>22843.697029999999</v>
          </cell>
          <cell r="N1494">
            <v>23121.79869</v>
          </cell>
          <cell r="O1494">
            <v>23395.083630000001</v>
          </cell>
          <cell r="P1494">
            <v>23665.54336</v>
          </cell>
          <cell r="Q1494">
            <v>23894.168720000001</v>
          </cell>
          <cell r="R1494">
            <v>24071.19052</v>
          </cell>
          <cell r="S1494">
            <v>24197.23186</v>
          </cell>
          <cell r="T1494">
            <v>24279.79019</v>
          </cell>
          <cell r="U1494">
            <v>24329.80933</v>
          </cell>
          <cell r="V1494">
            <v>24361.605909999998</v>
          </cell>
          <cell r="W1494">
            <v>24388.950110000002</v>
          </cell>
          <cell r="X1494">
            <v>24423.038039999999</v>
          </cell>
          <cell r="Y1494">
            <v>24471.762060000001</v>
          </cell>
          <cell r="Z1494">
            <v>24534.006410000002</v>
          </cell>
          <cell r="AA1494">
            <v>24621.540389999998</v>
          </cell>
          <cell r="AB1494">
            <v>24737.542399999998</v>
          </cell>
          <cell r="AC1494">
            <v>24883.79393</v>
          </cell>
          <cell r="AD1494">
            <v>25060.252250000001</v>
          </cell>
          <cell r="AE1494">
            <v>25247.886299999998</v>
          </cell>
          <cell r="AF1494">
            <v>25458.631109999998</v>
          </cell>
          <cell r="AG1494">
            <v>25693.71615</v>
          </cell>
          <cell r="AH1494">
            <v>25953.26874</v>
          </cell>
          <cell r="AI1494">
            <v>26234.530159999998</v>
          </cell>
          <cell r="AJ1494">
            <v>26531.96125</v>
          </cell>
          <cell r="AK1494">
            <v>26838.805990000001</v>
          </cell>
          <cell r="AL1494">
            <v>27148.313569999998</v>
          </cell>
          <cell r="AM1494">
            <v>27454.105019999999</v>
          </cell>
          <cell r="AN1494">
            <v>27750.266360000001</v>
          </cell>
          <cell r="AO1494">
            <v>28031.385859999999</v>
          </cell>
        </row>
        <row r="1497">
          <cell r="F1497">
            <v>17.971260999999998</v>
          </cell>
          <cell r="G1497">
            <v>17.930591769999999</v>
          </cell>
          <cell r="H1497">
            <v>17.86967958</v>
          </cell>
          <cell r="I1497">
            <v>17.807607659999999</v>
          </cell>
          <cell r="J1497">
            <v>17.780122080000002</v>
          </cell>
          <cell r="K1497">
            <v>17.79908884</v>
          </cell>
          <cell r="L1497">
            <v>17.84982334</v>
          </cell>
          <cell r="M1497">
            <v>17.916155499999999</v>
          </cell>
          <cell r="N1497">
            <v>17.98717315</v>
          </cell>
          <cell r="O1497">
            <v>18.056684260000001</v>
          </cell>
          <cell r="P1497">
            <v>18.117653610000001</v>
          </cell>
          <cell r="Q1497">
            <v>18.145677240000001</v>
          </cell>
          <cell r="R1497">
            <v>18.134175939999999</v>
          </cell>
          <cell r="S1497">
            <v>18.085911589999998</v>
          </cell>
          <cell r="T1497">
            <v>18.008475480000001</v>
          </cell>
          <cell r="U1497">
            <v>17.91090312</v>
          </cell>
          <cell r="V1497">
            <v>17.809232349999998</v>
          </cell>
          <cell r="W1497">
            <v>17.715494830000001</v>
          </cell>
          <cell r="X1497">
            <v>17.6373356</v>
          </cell>
          <cell r="Y1497">
            <v>17.578157950000001</v>
          </cell>
          <cell r="Z1497">
            <v>17.537695419999999</v>
          </cell>
          <cell r="AA1497">
            <v>17.516729720000001</v>
          </cell>
          <cell r="AB1497">
            <v>17.51550503</v>
          </cell>
          <cell r="AC1497">
            <v>17.533882940000002</v>
          </cell>
          <cell r="AD1497">
            <v>17.5710154</v>
          </cell>
          <cell r="AE1497">
            <v>17.622718379999998</v>
          </cell>
          <cell r="AF1497">
            <v>17.689482810000001</v>
          </cell>
          <cell r="AG1497">
            <v>17.772081830000001</v>
          </cell>
          <cell r="AH1497">
            <v>17.870640600000002</v>
          </cell>
          <cell r="AI1497">
            <v>17.983017610000001</v>
          </cell>
          <cell r="AJ1497">
            <v>18.105056520000002</v>
          </cell>
          <cell r="AK1497">
            <v>18.231957789999999</v>
          </cell>
          <cell r="AL1497">
            <v>18.359164830000001</v>
          </cell>
          <cell r="AM1497">
            <v>18.482514819999999</v>
          </cell>
          <cell r="AN1497">
            <v>18.598183240000001</v>
          </cell>
          <cell r="AO1497">
            <v>18.702631159999999</v>
          </cell>
        </row>
        <row r="1499">
          <cell r="F1499">
            <v>6.6796781269999999</v>
          </cell>
          <cell r="G1499">
            <v>6.6547599980000003</v>
          </cell>
          <cell r="H1499">
            <v>6.6151605529999999</v>
          </cell>
          <cell r="I1499">
            <v>6.5738810580000004</v>
          </cell>
          <cell r="J1499">
            <v>6.545301093</v>
          </cell>
          <cell r="K1499">
            <v>6.5347262419999996</v>
          </cell>
          <cell r="L1499">
            <v>6.5397531410000003</v>
          </cell>
          <cell r="M1499">
            <v>6.554684129</v>
          </cell>
          <cell r="N1499">
            <v>6.574555524</v>
          </cell>
          <cell r="O1499">
            <v>6.5959459049999998</v>
          </cell>
          <cell r="P1499">
            <v>6.6160499939999999</v>
          </cell>
          <cell r="Q1499">
            <v>6.6284744209999999</v>
          </cell>
          <cell r="R1499">
            <v>6.6306049869999999</v>
          </cell>
          <cell r="S1499">
            <v>6.622154095</v>
          </cell>
          <cell r="T1499">
            <v>6.60425357</v>
          </cell>
          <cell r="U1499">
            <v>6.5787161469999997</v>
          </cell>
          <cell r="V1499">
            <v>6.5487610119999999</v>
          </cell>
          <cell r="W1499">
            <v>6.517925838</v>
          </cell>
          <cell r="X1499">
            <v>6.4888502360000002</v>
          </cell>
          <cell r="Y1499">
            <v>6.4630254989999996</v>
          </cell>
          <cell r="Z1499">
            <v>6.440794211</v>
          </cell>
          <cell r="AA1499">
            <v>6.4226678850000001</v>
          </cell>
          <cell r="AB1499">
            <v>6.4089612029999996</v>
          </cell>
          <cell r="AC1499">
            <v>6.3998633370000002</v>
          </cell>
          <cell r="AD1499">
            <v>6.3953781589999998</v>
          </cell>
          <cell r="AE1499">
            <v>6.3945082280000003</v>
          </cell>
          <cell r="AF1499">
            <v>6.3974444769999996</v>
          </cell>
          <cell r="AG1499">
            <v>6.4044683359999999</v>
          </cell>
          <cell r="AH1499">
            <v>6.4157276010000004</v>
          </cell>
          <cell r="AI1499">
            <v>6.4308468520000002</v>
          </cell>
          <cell r="AJ1499">
            <v>6.4489289779999996</v>
          </cell>
          <cell r="AK1499">
            <v>6.4688220699999999</v>
          </cell>
          <cell r="AL1499">
            <v>6.489326953</v>
          </cell>
          <cell r="AM1499">
            <v>6.5092510030000001</v>
          </cell>
          <cell r="AN1499">
            <v>6.5274199619999997</v>
          </cell>
          <cell r="AO1499">
            <v>6.5426954290000001</v>
          </cell>
        </row>
        <row r="1501">
          <cell r="F1501">
            <v>0.71851937040000002</v>
          </cell>
          <cell r="G1501">
            <v>0.71634680289999997</v>
          </cell>
          <cell r="H1501">
            <v>0.7138620698</v>
          </cell>
          <cell r="I1501">
            <v>0.71104402440000003</v>
          </cell>
          <cell r="J1501">
            <v>0.70995324410000005</v>
          </cell>
          <cell r="K1501">
            <v>0.71101047589999999</v>
          </cell>
          <cell r="L1501">
            <v>0.71197518319999997</v>
          </cell>
          <cell r="M1501">
            <v>0.71205789429999999</v>
          </cell>
          <cell r="N1501">
            <v>0.71123152680000001</v>
          </cell>
          <cell r="O1501">
            <v>0.70970342009999998</v>
          </cell>
          <cell r="P1501">
            <v>0.70754092020000003</v>
          </cell>
          <cell r="Q1501">
            <v>0.70370157119999999</v>
          </cell>
          <cell r="R1501">
            <v>0.69801087110000004</v>
          </cell>
          <cell r="S1501">
            <v>0.6907529402</v>
          </cell>
          <cell r="T1501">
            <v>0.68241909499999998</v>
          </cell>
          <cell r="U1501">
            <v>0.67353239180000002</v>
          </cell>
          <cell r="V1501">
            <v>0.6656442199</v>
          </cell>
          <cell r="W1501">
            <v>0.65924454769999996</v>
          </cell>
          <cell r="X1501">
            <v>0.65444067520000004</v>
          </cell>
          <cell r="Y1501">
            <v>0.65115033200000005</v>
          </cell>
          <cell r="Z1501">
            <v>0.64915923070000003</v>
          </cell>
          <cell r="AA1501">
            <v>0.64842384040000001</v>
          </cell>
          <cell r="AB1501">
            <v>0.64889016079999995</v>
          </cell>
          <cell r="AC1501">
            <v>0.65050381400000001</v>
          </cell>
          <cell r="AD1501">
            <v>0.65319031969999997</v>
          </cell>
          <cell r="AE1501">
            <v>0.65666379919999995</v>
          </cell>
          <cell r="AF1501">
            <v>0.66098061450000001</v>
          </cell>
          <cell r="AG1501">
            <v>0.6661740008</v>
          </cell>
          <cell r="AH1501">
            <v>0.67222971600000003</v>
          </cell>
          <cell r="AI1501">
            <v>0.67901637579999996</v>
          </cell>
          <cell r="AJ1501">
            <v>0.68630159410000002</v>
          </cell>
          <cell r="AK1501">
            <v>0.69382302029999998</v>
          </cell>
          <cell r="AL1501">
            <v>0.70133354420000005</v>
          </cell>
          <cell r="AM1501">
            <v>0.70861530210000001</v>
          </cell>
          <cell r="AN1501">
            <v>0.71547827559999999</v>
          </cell>
          <cell r="AO1501">
            <v>0.72175631480000002</v>
          </cell>
        </row>
        <row r="1502">
          <cell r="F1502">
            <v>87.061451820000002</v>
          </cell>
          <cell r="G1502">
            <v>87.380289050000002</v>
          </cell>
          <cell r="H1502">
            <v>87.706389299999998</v>
          </cell>
          <cell r="I1502">
            <v>88.084313309999999</v>
          </cell>
          <cell r="J1502">
            <v>88.407287289999999</v>
          </cell>
          <cell r="K1502">
            <v>88.702129729999996</v>
          </cell>
          <cell r="L1502">
            <v>89.005328219999996</v>
          </cell>
          <cell r="M1502">
            <v>89.336289739999998</v>
          </cell>
          <cell r="N1502">
            <v>89.685546090000003</v>
          </cell>
          <cell r="O1502">
            <v>90.037138459999994</v>
          </cell>
          <cell r="P1502">
            <v>90.363870329999997</v>
          </cell>
          <cell r="Q1502">
            <v>90.507220040000007</v>
          </cell>
          <cell r="R1502">
            <v>90.417176789999999</v>
          </cell>
          <cell r="S1502">
            <v>90.108343610000006</v>
          </cell>
          <cell r="T1502">
            <v>89.631668300000001</v>
          </cell>
          <cell r="U1502">
            <v>89.050945049999996</v>
          </cell>
          <cell r="V1502">
            <v>88.416569460000005</v>
          </cell>
          <cell r="W1502">
            <v>87.787409780000004</v>
          </cell>
          <cell r="X1502">
            <v>87.222690749999998</v>
          </cell>
          <cell r="Y1502">
            <v>86.763097020000004</v>
          </cell>
          <cell r="Z1502">
            <v>86.420024069999997</v>
          </cell>
          <cell r="AA1502">
            <v>86.221069510000007</v>
          </cell>
          <cell r="AB1502">
            <v>86.178307989999993</v>
          </cell>
          <cell r="AC1502">
            <v>86.294527070000001</v>
          </cell>
          <cell r="AD1502">
            <v>86.564925770000002</v>
          </cell>
          <cell r="AE1502">
            <v>86.945174109999996</v>
          </cell>
          <cell r="AF1502">
            <v>87.446198890000005</v>
          </cell>
          <cell r="AG1502">
            <v>88.070332129999997</v>
          </cell>
          <cell r="AH1502">
            <v>88.811913129999994</v>
          </cell>
          <cell r="AI1502">
            <v>89.649465789999994</v>
          </cell>
          <cell r="AJ1502">
            <v>90.548901749999999</v>
          </cell>
          <cell r="AK1502">
            <v>91.472881560000005</v>
          </cell>
          <cell r="AL1502">
            <v>92.387275819999999</v>
          </cell>
          <cell r="AM1502">
            <v>93.262701149999998</v>
          </cell>
          <cell r="AN1502">
            <v>94.074359020000003</v>
          </cell>
          <cell r="AO1502">
            <v>94.801618439999999</v>
          </cell>
        </row>
        <row r="1512">
          <cell r="F1512">
            <v>1966951.8470000001</v>
          </cell>
          <cell r="G1512">
            <v>2004517.4639999999</v>
          </cell>
          <cell r="H1512">
            <v>2046270.9890000001</v>
          </cell>
          <cell r="I1512">
            <v>2091819.257</v>
          </cell>
          <cell r="J1512">
            <v>2140286.5759999999</v>
          </cell>
          <cell r="K1512">
            <v>2191398.8160000001</v>
          </cell>
          <cell r="L1512">
            <v>2243404.61</v>
          </cell>
          <cell r="M1512">
            <v>2291098.196</v>
          </cell>
          <cell r="N1512">
            <v>2339685.932</v>
          </cell>
          <cell r="O1512">
            <v>2398317.9840000002</v>
          </cell>
          <cell r="P1512">
            <v>2458301.0490000001</v>
          </cell>
          <cell r="Q1512">
            <v>2510860.3139999998</v>
          </cell>
          <cell r="R1512">
            <v>2558388.0430000001</v>
          </cell>
          <cell r="S1512">
            <v>2602184.1179999998</v>
          </cell>
          <cell r="T1512">
            <v>2644003.3730000001</v>
          </cell>
          <cell r="U1512">
            <v>2684963.301</v>
          </cell>
          <cell r="V1512">
            <v>2725938.426</v>
          </cell>
          <cell r="W1512">
            <v>2768289.5890000002</v>
          </cell>
          <cell r="X1512">
            <v>2812928.2829999998</v>
          </cell>
          <cell r="Y1512">
            <v>2860481.662</v>
          </cell>
          <cell r="Z1512">
            <v>2910383.1039999998</v>
          </cell>
          <cell r="AA1512">
            <v>2965036.3280000002</v>
          </cell>
          <cell r="AB1512">
            <v>3024344.4419999998</v>
          </cell>
          <cell r="AC1512">
            <v>3088697.102</v>
          </cell>
          <cell r="AD1512">
            <v>3158208.1209999998</v>
          </cell>
          <cell r="AE1512">
            <v>3229641.0040000002</v>
          </cell>
          <cell r="AF1512">
            <v>3307278.523</v>
          </cell>
          <cell r="AG1512">
            <v>3390497.6519999998</v>
          </cell>
          <cell r="AH1512">
            <v>3479573.2250000001</v>
          </cell>
          <cell r="AI1512">
            <v>3574200.0490000001</v>
          </cell>
          <cell r="AJ1512">
            <v>3673786.341</v>
          </cell>
          <cell r="AK1512">
            <v>3777816.9369999999</v>
          </cell>
          <cell r="AL1512">
            <v>3885913.969</v>
          </cell>
          <cell r="AM1512">
            <v>3997768.8420000002</v>
          </cell>
          <cell r="AN1512">
            <v>4113164.6779999998</v>
          </cell>
          <cell r="AO1512">
            <v>4232013.0750000002</v>
          </cell>
        </row>
        <row r="1513">
          <cell r="F1513">
            <v>36098.159420000004</v>
          </cell>
          <cell r="G1513">
            <v>36617.899369999999</v>
          </cell>
          <cell r="H1513">
            <v>37230.459040000002</v>
          </cell>
          <cell r="I1513">
            <v>37935.083769999997</v>
          </cell>
          <cell r="J1513">
            <v>38728.781049999998</v>
          </cell>
          <cell r="K1513">
            <v>39596.263400000003</v>
          </cell>
          <cell r="L1513">
            <v>40501.912089999998</v>
          </cell>
          <cell r="M1513">
            <v>41233.395230000002</v>
          </cell>
          <cell r="N1513">
            <v>41972.850169999998</v>
          </cell>
          <cell r="O1513">
            <v>42909.79782</v>
          </cell>
          <cell r="P1513">
            <v>43811.507570000002</v>
          </cell>
          <cell r="Q1513">
            <v>44542.349450000002</v>
          </cell>
          <cell r="R1513">
            <v>45159.735050000003</v>
          </cell>
          <cell r="S1513">
            <v>45702.152820000003</v>
          </cell>
          <cell r="T1513">
            <v>46210.910889999999</v>
          </cell>
          <cell r="U1513">
            <v>46708.702380000002</v>
          </cell>
          <cell r="V1513">
            <v>47211.984600000003</v>
          </cell>
          <cell r="W1513">
            <v>47742.561609999997</v>
          </cell>
          <cell r="X1513">
            <v>48319.927889999999</v>
          </cell>
          <cell r="Y1513">
            <v>48957.221469999997</v>
          </cell>
          <cell r="Z1513">
            <v>49653.914349999999</v>
          </cell>
          <cell r="AA1513">
            <v>50438.447619999999</v>
          </cell>
          <cell r="AB1513">
            <v>51321.090349999999</v>
          </cell>
          <cell r="AC1513">
            <v>52309.320549999997</v>
          </cell>
          <cell r="AD1513">
            <v>53404.705220000003</v>
          </cell>
          <cell r="AE1513">
            <v>54571.84059</v>
          </cell>
          <cell r="AF1513">
            <v>55842.096019999997</v>
          </cell>
          <cell r="AG1513">
            <v>57232.250209999998</v>
          </cell>
          <cell r="AH1513">
            <v>58747.215750000003</v>
          </cell>
          <cell r="AI1513">
            <v>60379.494120000003</v>
          </cell>
          <cell r="AJ1513">
            <v>62115.709300000002</v>
          </cell>
          <cell r="AK1513">
            <v>63944.804100000001</v>
          </cell>
          <cell r="AL1513">
            <v>65859.243870000006</v>
          </cell>
          <cell r="AM1513">
            <v>67853.492079999996</v>
          </cell>
          <cell r="AN1513">
            <v>69924.833360000004</v>
          </cell>
          <cell r="AO1513">
            <v>72075.10974</v>
          </cell>
        </row>
        <row r="1516">
          <cell r="F1516">
            <v>331692.73849999998</v>
          </cell>
          <cell r="G1516">
            <v>339805.06449999998</v>
          </cell>
          <cell r="H1516">
            <v>348264.30859999999</v>
          </cell>
          <cell r="I1516">
            <v>357302.64039999997</v>
          </cell>
          <cell r="J1516">
            <v>366862.2855</v>
          </cell>
          <cell r="K1516">
            <v>376897.22409999999</v>
          </cell>
          <cell r="L1516">
            <v>387180.72529999999</v>
          </cell>
          <cell r="M1516">
            <v>395807.7254</v>
          </cell>
          <cell r="N1516">
            <v>405049.94650000002</v>
          </cell>
          <cell r="O1516">
            <v>417190.85629999998</v>
          </cell>
          <cell r="P1516">
            <v>428966.99790000002</v>
          </cell>
          <cell r="Q1516">
            <v>438918.81079999998</v>
          </cell>
          <cell r="R1516">
            <v>447799.76779999997</v>
          </cell>
          <cell r="S1516">
            <v>456080.02299999999</v>
          </cell>
          <cell r="T1516">
            <v>464278.85479999997</v>
          </cell>
          <cell r="U1516">
            <v>472651.23989999999</v>
          </cell>
          <cell r="V1516">
            <v>481283.9952</v>
          </cell>
          <cell r="W1516">
            <v>490538.93300000002</v>
          </cell>
          <cell r="X1516">
            <v>500599.86589999998</v>
          </cell>
          <cell r="Y1516">
            <v>511572.2855</v>
          </cell>
          <cell r="Z1516">
            <v>523460.15539999999</v>
          </cell>
          <cell r="AA1516">
            <v>536505.2611</v>
          </cell>
          <cell r="AB1516">
            <v>550811.59770000004</v>
          </cell>
          <cell r="AC1516">
            <v>566448.77049999998</v>
          </cell>
          <cell r="AD1516">
            <v>583426.51249999995</v>
          </cell>
          <cell r="AE1516">
            <v>601460.08349999995</v>
          </cell>
          <cell r="AF1516">
            <v>620923.82420000003</v>
          </cell>
          <cell r="AG1516">
            <v>641917.99360000005</v>
          </cell>
          <cell r="AH1516">
            <v>664504.00950000004</v>
          </cell>
          <cell r="AI1516">
            <v>688610.10690000001</v>
          </cell>
          <cell r="AJ1516">
            <v>714149.71050000004</v>
          </cell>
          <cell r="AK1516">
            <v>741128.09019999998</v>
          </cell>
          <cell r="AL1516">
            <v>769637.70319999999</v>
          </cell>
          <cell r="AM1516">
            <v>799832.57460000005</v>
          </cell>
          <cell r="AN1516">
            <v>831975.28220000002</v>
          </cell>
          <cell r="AO1516">
            <v>866496.63329999999</v>
          </cell>
        </row>
        <row r="1528">
          <cell r="F1528">
            <v>48475.55906</v>
          </cell>
          <cell r="G1528">
            <v>49503.345600000001</v>
          </cell>
          <cell r="H1528">
            <v>50549.355009999999</v>
          </cell>
          <cell r="I1528">
            <v>51649.355730000003</v>
          </cell>
          <cell r="J1528">
            <v>52823.453869999998</v>
          </cell>
          <cell r="K1528">
            <v>54070.299830000004</v>
          </cell>
          <cell r="L1528">
            <v>55346.159039999999</v>
          </cell>
          <cell r="M1528">
            <v>56340.652889999998</v>
          </cell>
          <cell r="N1528">
            <v>57357.860529999998</v>
          </cell>
          <cell r="O1528">
            <v>58727.178919999998</v>
          </cell>
          <cell r="P1528">
            <v>60049.367389999999</v>
          </cell>
          <cell r="Q1528">
            <v>61129.289409999998</v>
          </cell>
          <cell r="R1528">
            <v>62052.086860000003</v>
          </cell>
          <cell r="S1528">
            <v>62867.624300000003</v>
          </cell>
          <cell r="T1528">
            <v>63634.910380000001</v>
          </cell>
          <cell r="U1528">
            <v>64382.618649999997</v>
          </cell>
          <cell r="V1528">
            <v>65126.998850000004</v>
          </cell>
          <cell r="W1528">
            <v>65908.997900000002</v>
          </cell>
          <cell r="X1528">
            <v>66761.231289999996</v>
          </cell>
          <cell r="Y1528">
            <v>67703.656589999999</v>
          </cell>
          <cell r="Z1528">
            <v>68737.613840000005</v>
          </cell>
          <cell r="AA1528">
            <v>69909.637879999995</v>
          </cell>
          <cell r="AB1528">
            <v>71232.274560000005</v>
          </cell>
          <cell r="AC1528">
            <v>72713.300529999993</v>
          </cell>
          <cell r="AD1528">
            <v>74351.574040000007</v>
          </cell>
          <cell r="AE1528">
            <v>76096.077539999998</v>
          </cell>
          <cell r="AF1528">
            <v>78024.103140000007</v>
          </cell>
          <cell r="AG1528">
            <v>80149.54466</v>
          </cell>
          <cell r="AH1528">
            <v>82474.704970000006</v>
          </cell>
          <cell r="AI1528">
            <v>84980.587639999998</v>
          </cell>
          <cell r="AJ1528">
            <v>87642.783639999994</v>
          </cell>
          <cell r="AK1528">
            <v>90450.157040000006</v>
          </cell>
          <cell r="AL1528">
            <v>93399.982149999996</v>
          </cell>
          <cell r="AM1528">
            <v>96484.689119999995</v>
          </cell>
          <cell r="AN1528">
            <v>99699.076730000001</v>
          </cell>
          <cell r="AO1528">
            <v>103042.14049999999</v>
          </cell>
        </row>
        <row r="1533">
          <cell r="F1533">
            <v>1512067.868</v>
          </cell>
          <cell r="G1533">
            <v>1539380.2290000001</v>
          </cell>
          <cell r="H1533">
            <v>1570450.7560000001</v>
          </cell>
          <cell r="I1533">
            <v>1604537.7620000001</v>
          </cell>
          <cell r="J1533">
            <v>1640912.3319999999</v>
          </cell>
          <cell r="K1533">
            <v>1679300.558</v>
          </cell>
          <cell r="L1533">
            <v>1718244.1310000001</v>
          </cell>
          <cell r="M1533">
            <v>1754963.5209999999</v>
          </cell>
          <cell r="N1533">
            <v>1792179.834</v>
          </cell>
          <cell r="O1533">
            <v>1835975.5390000001</v>
          </cell>
          <cell r="P1533">
            <v>1881734.737</v>
          </cell>
          <cell r="Q1533">
            <v>1922708.747</v>
          </cell>
          <cell r="R1533">
            <v>1960236.419</v>
          </cell>
          <cell r="S1533">
            <v>1994964</v>
          </cell>
          <cell r="T1533">
            <v>2027960.4650000001</v>
          </cell>
          <cell r="U1533">
            <v>2060007.9779999999</v>
          </cell>
          <cell r="V1533">
            <v>2091850.7239999999</v>
          </cell>
          <cell r="W1533">
            <v>2124402.236</v>
          </cell>
          <cell r="X1533">
            <v>2158352.3820000002</v>
          </cell>
          <cell r="Y1533">
            <v>2194196.872</v>
          </cell>
          <cell r="Z1533">
            <v>2231383.1129999999</v>
          </cell>
          <cell r="AA1533">
            <v>2271985.0430000001</v>
          </cell>
          <cell r="AB1533">
            <v>2315799.341</v>
          </cell>
          <cell r="AC1533">
            <v>2363159.7119999998</v>
          </cell>
          <cell r="AD1533">
            <v>2414209.594</v>
          </cell>
          <cell r="AE1533">
            <v>2466165.699</v>
          </cell>
          <cell r="AF1533">
            <v>2522827.4980000001</v>
          </cell>
          <cell r="AG1533">
            <v>2583531.56</v>
          </cell>
          <cell r="AH1533">
            <v>2648590.1179999998</v>
          </cell>
          <cell r="AI1533">
            <v>2717942.3739999998</v>
          </cell>
          <cell r="AJ1533">
            <v>2791305.9619999998</v>
          </cell>
          <cell r="AK1533">
            <v>2868415.3080000002</v>
          </cell>
          <cell r="AL1533">
            <v>2949122.4109999998</v>
          </cell>
          <cell r="AM1533">
            <v>3033419.1460000002</v>
          </cell>
          <cell r="AN1533">
            <v>3121471.5619999999</v>
          </cell>
          <cell r="AO1533">
            <v>3213717.0729999999</v>
          </cell>
        </row>
        <row r="1537">
          <cell r="F1537">
            <v>-2125.1515279999999</v>
          </cell>
          <cell r="G1537">
            <v>-2143.7297859999999</v>
          </cell>
          <cell r="H1537">
            <v>-2161.2386510000001</v>
          </cell>
          <cell r="I1537">
            <v>-2179.3642150000001</v>
          </cell>
          <cell r="J1537">
            <v>-2197.6433040000002</v>
          </cell>
          <cell r="K1537">
            <v>-2225.0584950000002</v>
          </cell>
          <cell r="L1537">
            <v>-2261.7912409999999</v>
          </cell>
          <cell r="M1537">
            <v>-2325.6569490000002</v>
          </cell>
          <cell r="N1537">
            <v>-2298.5034860000001</v>
          </cell>
          <cell r="O1537">
            <v>-2261.1014279999999</v>
          </cell>
          <cell r="P1537">
            <v>-2240.5297919999998</v>
          </cell>
          <cell r="Q1537">
            <v>-2223.4062669999998</v>
          </cell>
          <cell r="R1537">
            <v>-2200.7657549999999</v>
          </cell>
          <cell r="S1537">
            <v>-2172.706154</v>
          </cell>
          <cell r="T1537">
            <v>-2141.220601</v>
          </cell>
          <cell r="U1537">
            <v>-2109.0861620000001</v>
          </cell>
          <cell r="V1537">
            <v>-2077.8646760000001</v>
          </cell>
          <cell r="W1537">
            <v>-2042.448271</v>
          </cell>
          <cell r="X1537">
            <v>-2007.15472</v>
          </cell>
          <cell r="Y1537">
            <v>-1973.1919519999999</v>
          </cell>
          <cell r="Z1537">
            <v>-1940.904632</v>
          </cell>
          <cell r="AA1537">
            <v>-1909.883902</v>
          </cell>
          <cell r="AB1537">
            <v>-1880.599874</v>
          </cell>
          <cell r="AC1537">
            <v>-1853.24137</v>
          </cell>
          <cell r="AD1537">
            <v>-1827.738842</v>
          </cell>
          <cell r="AE1537">
            <v>-1803.9028960000001</v>
          </cell>
          <cell r="AF1537">
            <v>-1779.8624</v>
          </cell>
          <cell r="AG1537">
            <v>-1757.864726</v>
          </cell>
          <cell r="AH1537">
            <v>-1737.176741</v>
          </cell>
          <cell r="AI1537">
            <v>-1717.6635699999999</v>
          </cell>
          <cell r="AJ1537">
            <v>-1698.482043</v>
          </cell>
          <cell r="AK1537">
            <v>-1678.4233959999999</v>
          </cell>
          <cell r="AL1537">
            <v>-1656.5738610000001</v>
          </cell>
          <cell r="AM1537">
            <v>-1632.4170349999999</v>
          </cell>
          <cell r="AN1537">
            <v>-1605.5179169999999</v>
          </cell>
          <cell r="AO1537">
            <v>-1575.5092340000001</v>
          </cell>
        </row>
        <row r="1538">
          <cell r="F1538">
            <v>-612.37312850000001</v>
          </cell>
          <cell r="G1538">
            <v>-616.76232809999999</v>
          </cell>
          <cell r="H1538">
            <v>-618.83463670000003</v>
          </cell>
          <cell r="I1538">
            <v>-621.04207329999997</v>
          </cell>
          <cell r="J1538">
            <v>-624.7517355</v>
          </cell>
          <cell r="K1538">
            <v>-630.81651260000001</v>
          </cell>
          <cell r="L1538">
            <v>-638.80847960000006</v>
          </cell>
          <cell r="M1538">
            <v>-695.61955450000005</v>
          </cell>
          <cell r="N1538">
            <v>-864.43001430000004</v>
          </cell>
          <cell r="O1538">
            <v>-1047.7362250000001</v>
          </cell>
          <cell r="P1538">
            <v>-1233.5823270000001</v>
          </cell>
          <cell r="Q1538">
            <v>-1420.6545900000001</v>
          </cell>
          <cell r="R1538">
            <v>-1609.548331</v>
          </cell>
          <cell r="S1538">
            <v>-1800.9980399999999</v>
          </cell>
          <cell r="T1538">
            <v>-1995.910173</v>
          </cell>
          <cell r="U1538">
            <v>-2195.2965490000001</v>
          </cell>
          <cell r="V1538">
            <v>-2399.6601009999999</v>
          </cell>
          <cell r="W1538">
            <v>-2609.3309880000002</v>
          </cell>
          <cell r="X1538">
            <v>-2825.763766</v>
          </cell>
          <cell r="Y1538">
            <v>-3050.5090209999998</v>
          </cell>
          <cell r="Z1538">
            <v>-3284.9079940000001</v>
          </cell>
          <cell r="AA1538">
            <v>-3530.3314180000002</v>
          </cell>
          <cell r="AB1538">
            <v>-3788.5718310000002</v>
          </cell>
          <cell r="AC1538">
            <v>-4061.3708900000001</v>
          </cell>
          <cell r="AD1538">
            <v>-4350.4223650000004</v>
          </cell>
          <cell r="AE1538">
            <v>-4657.0150819999999</v>
          </cell>
          <cell r="AF1538">
            <v>-4982.6384790000002</v>
          </cell>
          <cell r="AG1538">
            <v>-5330.3924489999999</v>
          </cell>
          <cell r="AH1538">
            <v>-5703.5020940000004</v>
          </cell>
          <cell r="AI1538">
            <v>-6104.9872820000001</v>
          </cell>
          <cell r="AJ1538">
            <v>-6537.6199059999999</v>
          </cell>
          <cell r="AK1538">
            <v>-7004.4195669999999</v>
          </cell>
          <cell r="AL1538">
            <v>-7509.3544320000001</v>
          </cell>
          <cell r="AM1538">
            <v>-8057.7220269999998</v>
          </cell>
          <cell r="AN1538">
            <v>-8656.6045219999996</v>
          </cell>
          <cell r="AO1538">
            <v>-9316.1874619999999</v>
          </cell>
        </row>
        <row r="1540">
          <cell r="F1540">
            <v>493.02654460000002</v>
          </cell>
          <cell r="G1540">
            <v>496.21034179999998</v>
          </cell>
          <cell r="H1540">
            <v>499.99625300000002</v>
          </cell>
          <cell r="I1540">
            <v>503.47280139999998</v>
          </cell>
          <cell r="J1540">
            <v>509.26129509999998</v>
          </cell>
          <cell r="K1540">
            <v>516.63858770000002</v>
          </cell>
          <cell r="L1540">
            <v>522.69016020000004</v>
          </cell>
          <cell r="M1540">
            <v>597.91304600000001</v>
          </cell>
          <cell r="N1540">
            <v>669.71016770000006</v>
          </cell>
          <cell r="O1540">
            <v>743.12897029999999</v>
          </cell>
          <cell r="P1540">
            <v>816.60611559999995</v>
          </cell>
          <cell r="Q1540">
            <v>889.17079139999998</v>
          </cell>
          <cell r="R1540">
            <v>960.05755390000002</v>
          </cell>
          <cell r="S1540">
            <v>1029.445164</v>
          </cell>
          <cell r="T1540">
            <v>1098.0463400000001</v>
          </cell>
          <cell r="U1540">
            <v>1166.446704</v>
          </cell>
          <cell r="V1540">
            <v>1236.2392480000001</v>
          </cell>
          <cell r="W1540">
            <v>1307.8430519999999</v>
          </cell>
          <cell r="X1540">
            <v>1381.760898</v>
          </cell>
          <cell r="Y1540">
            <v>1458.482569</v>
          </cell>
          <cell r="Z1540">
            <v>1538.2696960000001</v>
          </cell>
          <cell r="AA1540">
            <v>1622.2697700000001</v>
          </cell>
          <cell r="AB1540">
            <v>1711.1811459999999</v>
          </cell>
          <cell r="AC1540">
            <v>1805.6902150000001</v>
          </cell>
          <cell r="AD1540">
            <v>1906.423955</v>
          </cell>
          <cell r="AE1540">
            <v>2012.98368</v>
          </cell>
          <cell r="AF1540">
            <v>2127.4526989999999</v>
          </cell>
          <cell r="AG1540">
            <v>2251.3138300000001</v>
          </cell>
          <cell r="AH1540">
            <v>2385.8052720000001</v>
          </cell>
          <cell r="AI1540">
            <v>2531.776057</v>
          </cell>
          <cell r="AJ1540">
            <v>2690.016873</v>
          </cell>
          <cell r="AK1540">
            <v>2861.8281569999999</v>
          </cell>
          <cell r="AL1540">
            <v>3049.2491989999999</v>
          </cell>
          <cell r="AM1540">
            <v>3255.065877</v>
          </cell>
          <cell r="AN1540">
            <v>3483.2852050000001</v>
          </cell>
          <cell r="AO1540">
            <v>3739.8249479999999</v>
          </cell>
        </row>
        <row r="1541">
          <cell r="F1541">
            <v>40653.00333</v>
          </cell>
          <cell r="G1541">
            <v>41264.844779999999</v>
          </cell>
          <cell r="H1541">
            <v>41844.189980000003</v>
          </cell>
          <cell r="I1541">
            <v>42477.875599999999</v>
          </cell>
          <cell r="J1541">
            <v>43056.86434</v>
          </cell>
          <cell r="K1541">
            <v>43654.55042</v>
          </cell>
          <cell r="L1541">
            <v>44287.923179999998</v>
          </cell>
          <cell r="M1541">
            <v>44965.767690000001</v>
          </cell>
          <cell r="N1541">
            <v>45418.052329999999</v>
          </cell>
          <cell r="O1541">
            <v>45888.245560000003</v>
          </cell>
          <cell r="P1541">
            <v>46212.048699999999</v>
          </cell>
          <cell r="Q1541">
            <v>46140.205479999997</v>
          </cell>
          <cell r="R1541">
            <v>45822.615819999999</v>
          </cell>
          <cell r="S1541">
            <v>45354.97193</v>
          </cell>
          <cell r="T1541">
            <v>44805.60454</v>
          </cell>
          <cell r="U1541">
            <v>44206.650670000003</v>
          </cell>
          <cell r="V1541">
            <v>43569.253819999998</v>
          </cell>
          <cell r="W1541">
            <v>42911.014360000001</v>
          </cell>
          <cell r="X1541">
            <v>42222.93707</v>
          </cell>
          <cell r="Y1541">
            <v>41500.1826</v>
          </cell>
          <cell r="Z1541">
            <v>40725.426370000001</v>
          </cell>
          <cell r="AA1541">
            <v>39911.487549999998</v>
          </cell>
          <cell r="AB1541">
            <v>39039.590279999997</v>
          </cell>
          <cell r="AC1541">
            <v>38082.110919999999</v>
          </cell>
          <cell r="AD1541">
            <v>37000.309710000001</v>
          </cell>
          <cell r="AE1541">
            <v>35713.732219999998</v>
          </cell>
          <cell r="AF1541">
            <v>34220.188670000003</v>
          </cell>
          <cell r="AG1541">
            <v>32433.049009999999</v>
          </cell>
          <cell r="AH1541">
            <v>30247.587189999998</v>
          </cell>
          <cell r="AI1541">
            <v>27519.773570000001</v>
          </cell>
          <cell r="AJ1541">
            <v>24065.75764</v>
          </cell>
          <cell r="AK1541">
            <v>19653.44485</v>
          </cell>
          <cell r="AL1541">
            <v>13971.842500000001</v>
          </cell>
          <cell r="AM1541">
            <v>6581.6241980000004</v>
          </cell>
          <cell r="AN1541">
            <v>-3152.0818060000001</v>
          </cell>
          <cell r="AO1541">
            <v>-16182.73659</v>
          </cell>
        </row>
        <row r="1551">
          <cell r="F1551">
            <v>1966951.8470000001</v>
          </cell>
          <cell r="G1551">
            <v>2004517.4639999999</v>
          </cell>
          <cell r="H1551">
            <v>2046270.9890000001</v>
          </cell>
          <cell r="I1551">
            <v>2091819.257</v>
          </cell>
          <cell r="J1551">
            <v>2140286.5759999999</v>
          </cell>
          <cell r="K1551">
            <v>2191398.8160000001</v>
          </cell>
          <cell r="L1551">
            <v>2243404.61</v>
          </cell>
          <cell r="M1551">
            <v>2296556.909</v>
          </cell>
          <cell r="N1551">
            <v>2350786.0210000002</v>
          </cell>
          <cell r="O1551">
            <v>2406150.142</v>
          </cell>
          <cell r="P1551">
            <v>2462478.7579999999</v>
          </cell>
          <cell r="Q1551">
            <v>2512152.4270000001</v>
          </cell>
          <cell r="R1551">
            <v>2557805.0260000001</v>
          </cell>
          <cell r="S1551">
            <v>2600311.1060000001</v>
          </cell>
          <cell r="T1551">
            <v>2640800.2409999999</v>
          </cell>
          <cell r="U1551">
            <v>2680379.517</v>
          </cell>
          <cell r="V1551">
            <v>2720755.591</v>
          </cell>
          <cell r="W1551">
            <v>2763126.139</v>
          </cell>
          <cell r="X1551">
            <v>2808313.39</v>
          </cell>
          <cell r="Y1551">
            <v>2856790.2710000002</v>
          </cell>
          <cell r="Z1551">
            <v>2907857.4649999999</v>
          </cell>
          <cell r="AA1551">
            <v>2963807.3930000002</v>
          </cell>
          <cell r="AB1551">
            <v>3024443.3489999999</v>
          </cell>
          <cell r="AC1551">
            <v>3090049.2510000002</v>
          </cell>
          <cell r="AD1551">
            <v>3160620.446</v>
          </cell>
          <cell r="AE1551">
            <v>3232836.8</v>
          </cell>
          <cell r="AF1551">
            <v>3310781.9819999998</v>
          </cell>
          <cell r="AG1551">
            <v>3393795.3169999998</v>
          </cell>
          <cell r="AH1551">
            <v>3482001.196</v>
          </cell>
          <cell r="AI1551">
            <v>3574898.0129999998</v>
          </cell>
          <cell r="AJ1551">
            <v>3671698.6209999998</v>
          </cell>
          <cell r="AK1551">
            <v>3771699.0929999999</v>
          </cell>
          <cell r="AL1551">
            <v>3874306.122</v>
          </cell>
          <cell r="AM1551">
            <v>3978933.2489999998</v>
          </cell>
          <cell r="AN1551">
            <v>4084981.9219999998</v>
          </cell>
          <cell r="AO1551">
            <v>4191833.1009999998</v>
          </cell>
        </row>
        <row r="1552">
          <cell r="F1552">
            <v>36098.159420000004</v>
          </cell>
          <cell r="G1552">
            <v>36617.899369999999</v>
          </cell>
          <cell r="H1552">
            <v>37230.459040000002</v>
          </cell>
          <cell r="I1552">
            <v>37935.083769999997</v>
          </cell>
          <cell r="J1552">
            <v>38728.781049999998</v>
          </cell>
          <cell r="K1552">
            <v>39596.263400000003</v>
          </cell>
          <cell r="L1552">
            <v>40501.912089999998</v>
          </cell>
          <cell r="M1552">
            <v>41436.229290000003</v>
          </cell>
          <cell r="N1552">
            <v>42393.18219</v>
          </cell>
          <cell r="O1552">
            <v>43370.119570000003</v>
          </cell>
          <cell r="P1552">
            <v>44341.506730000001</v>
          </cell>
          <cell r="Q1552">
            <v>45162.253279999997</v>
          </cell>
          <cell r="R1552">
            <v>45883.682379999998</v>
          </cell>
          <cell r="S1552">
            <v>46526.707889999998</v>
          </cell>
          <cell r="T1552">
            <v>47116.967940000002</v>
          </cell>
          <cell r="U1552">
            <v>47679.102570000003</v>
          </cell>
          <cell r="V1552">
            <v>48249.94958</v>
          </cell>
          <cell r="W1552">
            <v>48855.861770000003</v>
          </cell>
          <cell r="X1552">
            <v>49516.938099999999</v>
          </cell>
          <cell r="Y1552">
            <v>50243.750059999998</v>
          </cell>
          <cell r="Z1552">
            <v>51032.61045</v>
          </cell>
          <cell r="AA1552">
            <v>51909.467660000002</v>
          </cell>
          <cell r="AB1552">
            <v>52881.982499999998</v>
          </cell>
          <cell r="AC1552">
            <v>53954.979120000004</v>
          </cell>
          <cell r="AD1552">
            <v>55127.198499999999</v>
          </cell>
          <cell r="AE1552">
            <v>56360.823920000003</v>
          </cell>
          <cell r="AF1552">
            <v>57692.813349999997</v>
          </cell>
          <cell r="AG1552">
            <v>59129.198850000001</v>
          </cell>
          <cell r="AH1552">
            <v>60671.450689999998</v>
          </cell>
          <cell r="AI1552">
            <v>62306.820570000003</v>
          </cell>
          <cell r="AJ1552">
            <v>64016.641259999997</v>
          </cell>
          <cell r="AK1552">
            <v>65784.772790000003</v>
          </cell>
          <cell r="AL1552">
            <v>67597.574099999998</v>
          </cell>
          <cell r="AM1552">
            <v>69441.401339999997</v>
          </cell>
          <cell r="AN1552">
            <v>71302.307079999999</v>
          </cell>
          <cell r="AO1552">
            <v>73165.998210000005</v>
          </cell>
        </row>
        <row r="1555">
          <cell r="F1555">
            <v>331692.73849999998</v>
          </cell>
          <cell r="G1555">
            <v>339805.06449999998</v>
          </cell>
          <cell r="H1555">
            <v>348264.30849999998</v>
          </cell>
          <cell r="I1555">
            <v>357302.64030000003</v>
          </cell>
          <cell r="J1555">
            <v>366862.2855</v>
          </cell>
          <cell r="K1555">
            <v>376897.22409999999</v>
          </cell>
          <cell r="L1555">
            <v>387180.72529999999</v>
          </cell>
          <cell r="M1555">
            <v>397708.72700000001</v>
          </cell>
          <cell r="N1555">
            <v>408498.84759999998</v>
          </cell>
          <cell r="O1555">
            <v>419585.17719999998</v>
          </cell>
          <cell r="P1555">
            <v>430632.64860000001</v>
          </cell>
          <cell r="Q1555">
            <v>440089.24839999998</v>
          </cell>
          <cell r="R1555">
            <v>448783.65549999999</v>
          </cell>
          <cell r="S1555">
            <v>456988.60759999999</v>
          </cell>
          <cell r="T1555">
            <v>465007.02169999998</v>
          </cell>
          <cell r="U1555">
            <v>473090.98080000002</v>
          </cell>
          <cell r="V1555">
            <v>481596.11330000003</v>
          </cell>
          <cell r="W1555">
            <v>490762.25799999997</v>
          </cell>
          <cell r="X1555">
            <v>500739.22570000001</v>
          </cell>
          <cell r="Y1555">
            <v>511589.26770000003</v>
          </cell>
          <cell r="Z1555">
            <v>523273.9094</v>
          </cell>
          <cell r="AA1555">
            <v>535988.69889999996</v>
          </cell>
          <cell r="AB1555">
            <v>549795.46790000005</v>
          </cell>
          <cell r="AC1555">
            <v>564722.71939999994</v>
          </cell>
          <cell r="AD1555">
            <v>580729.47180000006</v>
          </cell>
          <cell r="AE1555">
            <v>597484.01119999995</v>
          </cell>
          <cell r="AF1555">
            <v>615274.12540000002</v>
          </cell>
          <cell r="AG1555">
            <v>634140.41410000005</v>
          </cell>
          <cell r="AH1555">
            <v>654076.64690000005</v>
          </cell>
          <cell r="AI1555">
            <v>674913.02549999999</v>
          </cell>
          <cell r="AJ1555">
            <v>696443.38529999997</v>
          </cell>
          <cell r="AK1555">
            <v>718521.74930000002</v>
          </cell>
          <cell r="AL1555">
            <v>741047.39080000005</v>
          </cell>
          <cell r="AM1555">
            <v>763923.59909999999</v>
          </cell>
          <cell r="AN1555">
            <v>787051.2426</v>
          </cell>
          <cell r="AO1555">
            <v>810325.52720000001</v>
          </cell>
        </row>
        <row r="1567">
          <cell r="F1567">
            <v>48475.55906</v>
          </cell>
          <cell r="G1567">
            <v>49503.345600000001</v>
          </cell>
          <cell r="H1567">
            <v>50549.355009999999</v>
          </cell>
          <cell r="I1567">
            <v>51649.355730000003</v>
          </cell>
          <cell r="J1567">
            <v>52823.453869999998</v>
          </cell>
          <cell r="K1567">
            <v>54070.299830000004</v>
          </cell>
          <cell r="L1567">
            <v>55346.159039999999</v>
          </cell>
          <cell r="M1567">
            <v>56643.930099999998</v>
          </cell>
          <cell r="N1567">
            <v>57959.73964</v>
          </cell>
          <cell r="O1567">
            <v>59293.770450000004</v>
          </cell>
          <cell r="P1567">
            <v>60604.899490000003</v>
          </cell>
          <cell r="Q1567">
            <v>61670.739459999997</v>
          </cell>
          <cell r="R1567">
            <v>62600.557659999999</v>
          </cell>
          <cell r="S1567">
            <v>63428.957320000001</v>
          </cell>
          <cell r="T1567">
            <v>64196.897850000001</v>
          </cell>
          <cell r="U1567">
            <v>64941.055820000001</v>
          </cell>
          <cell r="V1567">
            <v>65716.268070000006</v>
          </cell>
          <cell r="W1567">
            <v>66559.075750000004</v>
          </cell>
          <cell r="X1567">
            <v>67492.606010000003</v>
          </cell>
          <cell r="Y1567">
            <v>68528.146179999996</v>
          </cell>
          <cell r="Z1567">
            <v>69659.139150000003</v>
          </cell>
          <cell r="AA1567">
            <v>70923.924159999995</v>
          </cell>
          <cell r="AB1567">
            <v>72328.140849999996</v>
          </cell>
          <cell r="AC1567">
            <v>73877.519010000004</v>
          </cell>
          <cell r="AD1567">
            <v>75568.652600000001</v>
          </cell>
          <cell r="AE1567">
            <v>77347.053799999994</v>
          </cell>
          <cell r="AF1567">
            <v>79273.692689999996</v>
          </cell>
          <cell r="AG1567">
            <v>81347.165439999997</v>
          </cell>
          <cell r="AH1567">
            <v>83566.286900000006</v>
          </cell>
          <cell r="AI1567">
            <v>85906.91287</v>
          </cell>
          <cell r="AJ1567">
            <v>88338.435419999994</v>
          </cell>
          <cell r="AK1567">
            <v>90836.841549999997</v>
          </cell>
          <cell r="AL1567">
            <v>93383.459780000005</v>
          </cell>
          <cell r="AM1567">
            <v>95960.17611</v>
          </cell>
          <cell r="AN1567">
            <v>98548.944529999993</v>
          </cell>
          <cell r="AO1567">
            <v>101131.6324</v>
          </cell>
        </row>
        <row r="1572">
          <cell r="F1572">
            <v>1512067.868</v>
          </cell>
          <cell r="G1572">
            <v>1539380.2290000001</v>
          </cell>
          <cell r="H1572">
            <v>1570450.7560000001</v>
          </cell>
          <cell r="I1572">
            <v>1604537.7620000001</v>
          </cell>
          <cell r="J1572">
            <v>1640912.3319999999</v>
          </cell>
          <cell r="K1572">
            <v>1679300.558</v>
          </cell>
          <cell r="L1572">
            <v>1718244.13</v>
          </cell>
          <cell r="M1572">
            <v>1758011.2819999999</v>
          </cell>
          <cell r="N1572">
            <v>1798536.49</v>
          </cell>
          <cell r="O1572">
            <v>1839852.906</v>
          </cell>
          <cell r="P1572">
            <v>1882208.7379999999</v>
          </cell>
          <cell r="Q1572">
            <v>1920039.2350000001</v>
          </cell>
          <cell r="R1572">
            <v>1954947.2439999999</v>
          </cell>
          <cell r="S1572">
            <v>1987452.804</v>
          </cell>
          <cell r="T1572">
            <v>2018286.5619999999</v>
          </cell>
          <cell r="U1572">
            <v>2048214.798</v>
          </cell>
          <cell r="V1572">
            <v>2078479.1580000001</v>
          </cell>
          <cell r="W1572">
            <v>2109946.8629999999</v>
          </cell>
          <cell r="X1572">
            <v>2143219.014</v>
          </cell>
          <cell r="Y1572">
            <v>2178671.1349999998</v>
          </cell>
          <cell r="Z1572">
            <v>2215656.2940000002</v>
          </cell>
          <cell r="AA1572">
            <v>2256176.1170000001</v>
          </cell>
          <cell r="AB1572">
            <v>2299955.5070000002</v>
          </cell>
          <cell r="AC1572">
            <v>2347236.0299999998</v>
          </cell>
          <cell r="AD1572">
            <v>2398058.6919999998</v>
          </cell>
          <cell r="AE1572">
            <v>2449567.8629999999</v>
          </cell>
          <cell r="AF1572">
            <v>2505415.0639999998</v>
          </cell>
          <cell r="AG1572">
            <v>2564897.1710000001</v>
          </cell>
          <cell r="AH1572">
            <v>2628148.537</v>
          </cell>
          <cell r="AI1572">
            <v>2694891.7089999998</v>
          </cell>
          <cell r="AJ1572">
            <v>2764617.2220000001</v>
          </cell>
          <cell r="AK1572">
            <v>2836826.6850000001</v>
          </cell>
          <cell r="AL1572">
            <v>2911075.8459999999</v>
          </cell>
          <cell r="AM1572">
            <v>2986921.3629999999</v>
          </cell>
          <cell r="AN1572">
            <v>3063909.548</v>
          </cell>
          <cell r="AO1572">
            <v>3141571.5090000001</v>
          </cell>
        </row>
        <row r="1575">
          <cell r="F1575">
            <v>-2035.48117</v>
          </cell>
          <cell r="G1575">
            <v>-2053.91876</v>
          </cell>
          <cell r="H1575">
            <v>-2068.0794040000001</v>
          </cell>
          <cell r="I1575">
            <v>-2083.460853</v>
          </cell>
          <cell r="J1575">
            <v>-2097.1405150000001</v>
          </cell>
          <cell r="K1575">
            <v>-2120.0797940000002</v>
          </cell>
          <cell r="L1575">
            <v>-2156.2402069999998</v>
          </cell>
          <cell r="M1575">
            <v>-2199.8038310000002</v>
          </cell>
          <cell r="N1575">
            <v>-2245.9287199999999</v>
          </cell>
          <cell r="O1575">
            <v>-2292.7195860000002</v>
          </cell>
          <cell r="P1575">
            <v>-2340.3579049999998</v>
          </cell>
          <cell r="Q1575">
            <v>-2390.702268</v>
          </cell>
          <cell r="R1575">
            <v>-2432.3182919999999</v>
          </cell>
          <cell r="S1575">
            <v>-2466.5426459999999</v>
          </cell>
          <cell r="T1575">
            <v>-2495.4712679999998</v>
          </cell>
          <cell r="U1575">
            <v>-2521.2292969999999</v>
          </cell>
          <cell r="V1575">
            <v>-2541.200879</v>
          </cell>
          <cell r="W1575">
            <v>-2560.7046310000001</v>
          </cell>
          <cell r="X1575">
            <v>-2582.7667529999999</v>
          </cell>
          <cell r="Y1575">
            <v>-2608.847491</v>
          </cell>
          <cell r="Z1575">
            <v>-2639.3490409999999</v>
          </cell>
          <cell r="AA1575">
            <v>-2673.1582830000002</v>
          </cell>
          <cell r="AB1575">
            <v>-2710.754594</v>
          </cell>
          <cell r="AC1575">
            <v>-2752.2981260000001</v>
          </cell>
          <cell r="AD1575">
            <v>-2797.9520619999998</v>
          </cell>
          <cell r="AE1575">
            <v>-2848.2726480000001</v>
          </cell>
          <cell r="AF1575">
            <v>-2900.7474010000001</v>
          </cell>
          <cell r="AG1575">
            <v>-2956.6270490000002</v>
          </cell>
          <cell r="AH1575">
            <v>-3016.6005190000001</v>
          </cell>
          <cell r="AI1575">
            <v>-3081.2143019999999</v>
          </cell>
          <cell r="AJ1575">
            <v>-3149.9776820000002</v>
          </cell>
          <cell r="AK1575">
            <v>-3221.7168769999998</v>
          </cell>
          <cell r="AL1575">
            <v>-3295.3756480000002</v>
          </cell>
          <cell r="AM1575">
            <v>-3370.2113680000002</v>
          </cell>
          <cell r="AN1575">
            <v>-3445.6062870000001</v>
          </cell>
          <cell r="AO1575">
            <v>-3520.9691750000002</v>
          </cell>
        </row>
        <row r="1577">
          <cell r="F1577">
            <v>-612.37312850000001</v>
          </cell>
          <cell r="G1577">
            <v>-616.76232800000002</v>
          </cell>
          <cell r="H1577">
            <v>-618.83463659999995</v>
          </cell>
          <cell r="I1577">
            <v>-621.04207310000004</v>
          </cell>
          <cell r="J1577">
            <v>-624.75173540000003</v>
          </cell>
          <cell r="K1577">
            <v>-630.81651239999997</v>
          </cell>
          <cell r="L1577">
            <v>-638.80847930000004</v>
          </cell>
          <cell r="M1577">
            <v>-647.91946700000005</v>
          </cell>
          <cell r="N1577">
            <v>-657.50245600000005</v>
          </cell>
          <cell r="O1577">
            <v>-667.25151040000003</v>
          </cell>
          <cell r="P1577">
            <v>-676.99055480000004</v>
          </cell>
          <cell r="Q1577">
            <v>-686.24084589999995</v>
          </cell>
          <cell r="R1577">
            <v>-694.41022510000005</v>
          </cell>
          <cell r="S1577">
            <v>-701.57701789999999</v>
          </cell>
          <cell r="T1577">
            <v>-707.92896199999996</v>
          </cell>
          <cell r="U1577">
            <v>-713.68317909999996</v>
          </cell>
          <cell r="V1577">
            <v>-719.14129830000002</v>
          </cell>
          <cell r="W1577">
            <v>-724.73245740000004</v>
          </cell>
          <cell r="X1577">
            <v>-730.78529900000001</v>
          </cell>
          <cell r="Y1577">
            <v>-737.45021889999998</v>
          </cell>
          <cell r="Z1577">
            <v>-744.74365890000001</v>
          </cell>
          <cell r="AA1577">
            <v>-752.66461030000005</v>
          </cell>
          <cell r="AB1577">
            <v>-761.29161109999995</v>
          </cell>
          <cell r="AC1577">
            <v>-770.67223839999997</v>
          </cell>
          <cell r="AD1577">
            <v>-780.83858750000002</v>
          </cell>
          <cell r="AE1577">
            <v>-791.72879290000003</v>
          </cell>
          <cell r="AF1577">
            <v>-803.28397510000002</v>
          </cell>
          <cell r="AG1577">
            <v>-815.64450959999999</v>
          </cell>
          <cell r="AH1577">
            <v>-828.88123610000002</v>
          </cell>
          <cell r="AI1577">
            <v>-842.99319820000005</v>
          </cell>
          <cell r="AJ1577">
            <v>-857.88291240000001</v>
          </cell>
          <cell r="AK1577">
            <v>-873.40331089999995</v>
          </cell>
          <cell r="AL1577">
            <v>-889.40463790000001</v>
          </cell>
          <cell r="AM1577">
            <v>-905.74288969999998</v>
          </cell>
          <cell r="AN1577">
            <v>-922.27101130000005</v>
          </cell>
          <cell r="AO1577">
            <v>-938.83524720000003</v>
          </cell>
        </row>
        <row r="1579">
          <cell r="F1579">
            <v>493.02665569999999</v>
          </cell>
        </row>
        <row r="1580">
          <cell r="F1580">
            <v>40653.00333</v>
          </cell>
          <cell r="G1580">
            <v>41264.844779999999</v>
          </cell>
          <cell r="H1580">
            <v>41844.189980000003</v>
          </cell>
          <cell r="I1580">
            <v>42477.875599999999</v>
          </cell>
          <cell r="J1580">
            <v>43056.86434</v>
          </cell>
          <cell r="K1580">
            <v>43654.550430000003</v>
          </cell>
          <cell r="L1580">
            <v>44287.923190000001</v>
          </cell>
          <cell r="M1580">
            <v>44956.544829999999</v>
          </cell>
          <cell r="N1580">
            <v>45643.689910000001</v>
          </cell>
          <cell r="O1580">
            <v>46340.888700000003</v>
          </cell>
          <cell r="P1580">
            <v>47031.323279999997</v>
          </cell>
          <cell r="Q1580">
            <v>47581.652710000002</v>
          </cell>
          <cell r="R1580">
            <v>48022.20433</v>
          </cell>
          <cell r="S1580">
            <v>48380.572169999999</v>
          </cell>
          <cell r="T1580">
            <v>48688.263319999998</v>
          </cell>
          <cell r="U1580">
            <v>48974.808810000002</v>
          </cell>
          <cell r="V1580">
            <v>49255.303290000003</v>
          </cell>
          <cell r="W1580">
            <v>49562.784540000001</v>
          </cell>
          <cell r="X1580">
            <v>49928.372329999998</v>
          </cell>
          <cell r="Y1580">
            <v>50366.820200000002</v>
          </cell>
          <cell r="Z1580">
            <v>50874.860809999998</v>
          </cell>
          <cell r="AA1580">
            <v>51482.343919999999</v>
          </cell>
          <cell r="AB1580">
            <v>52193.004979999998</v>
          </cell>
          <cell r="AC1580">
            <v>53010.301939999998</v>
          </cell>
          <cell r="AD1580">
            <v>53934.383569999998</v>
          </cell>
          <cell r="AE1580">
            <v>54925.320800000001</v>
          </cell>
          <cell r="AF1580">
            <v>56027.033369999997</v>
          </cell>
          <cell r="AG1580">
            <v>57237.994250000003</v>
          </cell>
          <cell r="AH1580">
            <v>58554.875390000001</v>
          </cell>
          <cell r="AI1580">
            <v>59960.759819999999</v>
          </cell>
          <cell r="AJ1580">
            <v>61432.91532</v>
          </cell>
          <cell r="AK1580">
            <v>62950.761460000002</v>
          </cell>
          <cell r="AL1580">
            <v>64497.22696</v>
          </cell>
          <cell r="AM1580">
            <v>66056.920499999993</v>
          </cell>
          <cell r="AN1580">
            <v>67615.485960000005</v>
          </cell>
          <cell r="AO1580">
            <v>69159.403139999995</v>
          </cell>
        </row>
        <row r="1600">
          <cell r="F1600">
            <v>472737.799</v>
          </cell>
          <cell r="G1600">
            <v>480957.99129999999</v>
          </cell>
          <cell r="H1600">
            <v>491179.06349999999</v>
          </cell>
          <cell r="I1600">
            <v>502874.1249</v>
          </cell>
          <cell r="J1600">
            <v>515841.68780000001</v>
          </cell>
          <cell r="K1600">
            <v>529903.87410000002</v>
          </cell>
          <cell r="L1600">
            <v>544708.99809999997</v>
          </cell>
          <cell r="M1600">
            <v>558782.54639999999</v>
          </cell>
          <cell r="N1600">
            <v>573037.98620000004</v>
          </cell>
          <cell r="O1600">
            <v>589378.36919999996</v>
          </cell>
          <cell r="P1600">
            <v>607189.42079999996</v>
          </cell>
          <cell r="Q1600">
            <v>625032.58279999997</v>
          </cell>
          <cell r="R1600">
            <v>642509.25490000006</v>
          </cell>
          <cell r="S1600">
            <v>659673.74450000003</v>
          </cell>
          <cell r="T1600">
            <v>676834.29130000004</v>
          </cell>
          <cell r="U1600">
            <v>694288.01879999996</v>
          </cell>
          <cell r="V1600">
            <v>712194.42110000004</v>
          </cell>
          <cell r="W1600">
            <v>730890.01130000001</v>
          </cell>
          <cell r="X1600">
            <v>750670.40249999997</v>
          </cell>
          <cell r="Y1600">
            <v>771752.62950000004</v>
          </cell>
          <cell r="Z1600">
            <v>794163.18980000005</v>
          </cell>
          <cell r="AA1600">
            <v>818209.56709999999</v>
          </cell>
          <cell r="AB1600">
            <v>844071.39650000003</v>
          </cell>
          <cell r="AC1600">
            <v>871915.12910000002</v>
          </cell>
          <cell r="AD1600">
            <v>901856.44299999997</v>
          </cell>
          <cell r="AE1600">
            <v>933538.84510000004</v>
          </cell>
          <cell r="AF1600">
            <v>967355.56209999998</v>
          </cell>
          <cell r="AG1600">
            <v>1003490.539</v>
          </cell>
          <cell r="AH1600">
            <v>1042186.691</v>
          </cell>
          <cell r="AI1600">
            <v>1083655.308</v>
          </cell>
          <cell r="AJ1600">
            <v>1128076.3600000001</v>
          </cell>
          <cell r="AK1600">
            <v>1175670.2050000001</v>
          </cell>
          <cell r="AL1600">
            <v>1226779.703</v>
          </cell>
          <cell r="AM1600">
            <v>1281951.821</v>
          </cell>
          <cell r="AN1600">
            <v>1342020.297</v>
          </cell>
          <cell r="AO1600">
            <v>1408263.652</v>
          </cell>
        </row>
        <row r="1601">
          <cell r="F1601">
            <v>4444.1839890000001</v>
          </cell>
          <cell r="G1601">
            <v>4518.9342649999999</v>
          </cell>
          <cell r="H1601">
            <v>4611.2662110000001</v>
          </cell>
          <cell r="I1601">
            <v>4721.4440020000002</v>
          </cell>
          <cell r="J1601">
            <v>4843.4994379999998</v>
          </cell>
          <cell r="K1601">
            <v>4976.0586970000004</v>
          </cell>
          <cell r="L1601">
            <v>5116.940079</v>
          </cell>
          <cell r="M1601">
            <v>5267.1599150000002</v>
          </cell>
          <cell r="N1601">
            <v>5425.1179540000003</v>
          </cell>
          <cell r="O1601">
            <v>5609.4416840000004</v>
          </cell>
          <cell r="P1601">
            <v>5810.0715890000001</v>
          </cell>
          <cell r="Q1601">
            <v>6003.3863199999996</v>
          </cell>
          <cell r="R1601">
            <v>6185.6318300000003</v>
          </cell>
          <cell r="S1601">
            <v>6358.0299400000004</v>
          </cell>
          <cell r="T1601">
            <v>6524.1273430000001</v>
          </cell>
          <cell r="U1601">
            <v>6687.0435340000004</v>
          </cell>
          <cell r="V1601">
            <v>6852.7022809999999</v>
          </cell>
          <cell r="W1601">
            <v>7023.0214509999996</v>
          </cell>
          <cell r="X1601">
            <v>7200.0597870000001</v>
          </cell>
          <cell r="Y1601">
            <v>7385.2920690000001</v>
          </cell>
          <cell r="Z1601">
            <v>7578.5824810000004</v>
          </cell>
          <cell r="AA1601">
            <v>7781.6905399999996</v>
          </cell>
          <cell r="AB1601">
            <v>7995.8212530000001</v>
          </cell>
          <cell r="AC1601">
            <v>8221.7017429999996</v>
          </cell>
          <cell r="AD1601">
            <v>8459.0920829999995</v>
          </cell>
          <cell r="AE1601">
            <v>8703.5942520000008</v>
          </cell>
          <cell r="AF1601">
            <v>8954.5238960000006</v>
          </cell>
          <cell r="AG1601">
            <v>9212.7721039999997</v>
          </cell>
          <cell r="AH1601">
            <v>9479.1062029999994</v>
          </cell>
          <cell r="AI1601">
            <v>9752.9323199999999</v>
          </cell>
          <cell r="AJ1601">
            <v>10032.221100000001</v>
          </cell>
          <cell r="AK1601">
            <v>10314.18792</v>
          </cell>
          <cell r="AL1601">
            <v>10595.961289999999</v>
          </cell>
          <cell r="AM1601">
            <v>10874.91756</v>
          </cell>
          <cell r="AN1601">
            <v>11148.452310000001</v>
          </cell>
          <cell r="AO1601">
            <v>11413.932280000001</v>
          </cell>
        </row>
        <row r="1604">
          <cell r="F1604">
            <v>234875.91560000001</v>
          </cell>
          <cell r="G1604">
            <v>239167.89189999999</v>
          </cell>
          <cell r="H1604">
            <v>244574.492</v>
          </cell>
          <cell r="I1604">
            <v>250783.64790000001</v>
          </cell>
          <cell r="J1604">
            <v>257674.84770000001</v>
          </cell>
          <cell r="K1604">
            <v>265166.30489999999</v>
          </cell>
          <cell r="L1604">
            <v>273116.17420000001</v>
          </cell>
          <cell r="M1604">
            <v>280675.16519999999</v>
          </cell>
          <cell r="N1604">
            <v>288328.18030000001</v>
          </cell>
          <cell r="O1604">
            <v>297156.277</v>
          </cell>
          <cell r="P1604">
            <v>306775.65490000002</v>
          </cell>
          <cell r="Q1604">
            <v>316475.61820000003</v>
          </cell>
          <cell r="R1604">
            <v>326065.17239999998</v>
          </cell>
          <cell r="S1604">
            <v>335604.79489999998</v>
          </cell>
          <cell r="T1604">
            <v>345294.571</v>
          </cell>
          <cell r="U1604">
            <v>355318.2255</v>
          </cell>
          <cell r="V1604">
            <v>365742.8566</v>
          </cell>
          <cell r="W1604">
            <v>376757.52350000001</v>
          </cell>
          <cell r="X1604">
            <v>388529.3444</v>
          </cell>
          <cell r="Y1604">
            <v>401182.31760000001</v>
          </cell>
          <cell r="Z1604">
            <v>414765.9007</v>
          </cell>
          <cell r="AA1604">
            <v>429409.37729999999</v>
          </cell>
          <cell r="AB1604">
            <v>445225.42989999999</v>
          </cell>
          <cell r="AC1604">
            <v>462315.48139999999</v>
          </cell>
          <cell r="AD1604">
            <v>480753.45850000001</v>
          </cell>
          <cell r="AE1604">
            <v>500439.81819999998</v>
          </cell>
          <cell r="AF1604">
            <v>521514.6054</v>
          </cell>
          <cell r="AG1604">
            <v>544080.32750000001</v>
          </cell>
          <cell r="AH1604">
            <v>568268.51390000002</v>
          </cell>
          <cell r="AI1604">
            <v>594196.40879999998</v>
          </cell>
          <cell r="AJ1604">
            <v>621973.54830000002</v>
          </cell>
          <cell r="AK1604">
            <v>651741.70270000002</v>
          </cell>
          <cell r="AL1604">
            <v>683715.7095</v>
          </cell>
          <cell r="AM1604">
            <v>718226.21620000002</v>
          </cell>
          <cell r="AN1604">
            <v>755767.32180000003</v>
          </cell>
          <cell r="AO1604">
            <v>797082.09750000003</v>
          </cell>
        </row>
        <row r="1616">
          <cell r="F1616">
            <v>8012.3261389999998</v>
          </cell>
          <cell r="G1616">
            <v>8182.4023079999997</v>
          </cell>
          <cell r="H1616">
            <v>8389.1130169999997</v>
          </cell>
          <cell r="I1616">
            <v>8615.8936790000007</v>
          </cell>
          <cell r="J1616">
            <v>8857.8726409999999</v>
          </cell>
          <cell r="K1616">
            <v>9114.2126690000005</v>
          </cell>
          <cell r="L1616">
            <v>9380.9429440000004</v>
          </cell>
          <cell r="M1616">
            <v>9629.0012740000002</v>
          </cell>
          <cell r="N1616">
            <v>9886.4428250000001</v>
          </cell>
          <cell r="O1616">
            <v>10213.5818</v>
          </cell>
          <cell r="P1616">
            <v>10577.265460000001</v>
          </cell>
          <cell r="Q1616">
            <v>10925.242469999999</v>
          </cell>
          <cell r="R1616">
            <v>11242.081120000001</v>
          </cell>
          <cell r="S1616">
            <v>11529.0363</v>
          </cell>
          <cell r="T1616">
            <v>11796.51793</v>
          </cell>
          <cell r="U1616">
            <v>12053.58281</v>
          </cell>
          <cell r="V1616">
            <v>12311.347250000001</v>
          </cell>
          <cell r="W1616">
            <v>12579.156639999999</v>
          </cell>
          <cell r="X1616">
            <v>12865.202880000001</v>
          </cell>
          <cell r="Y1616">
            <v>13174.48978</v>
          </cell>
          <cell r="Z1616">
            <v>13509.00405</v>
          </cell>
          <cell r="AA1616">
            <v>13873.75309</v>
          </cell>
          <cell r="AB1616">
            <v>14272.90459</v>
          </cell>
          <cell r="AC1616">
            <v>14708.12552</v>
          </cell>
          <cell r="AD1616">
            <v>15178.079229999999</v>
          </cell>
          <cell r="AE1616">
            <v>15676.00287</v>
          </cell>
          <cell r="AF1616">
            <v>16206.91647</v>
          </cell>
          <cell r="AG1616">
            <v>16778.226030000002</v>
          </cell>
          <cell r="AH1616">
            <v>17393.10485</v>
          </cell>
          <cell r="AI1616">
            <v>18048.315559999999</v>
          </cell>
          <cell r="AJ1616">
            <v>18736.765530000001</v>
          </cell>
          <cell r="AK1616">
            <v>19453.190159999998</v>
          </cell>
          <cell r="AL1616">
            <v>20195.546979999999</v>
          </cell>
          <cell r="AM1616">
            <v>20961.413570000001</v>
          </cell>
          <cell r="AN1616">
            <v>21747.58901</v>
          </cell>
          <cell r="AO1616">
            <v>22550.44241</v>
          </cell>
        </row>
        <row r="1621">
          <cell r="F1621">
            <v>219508.55739999999</v>
          </cell>
          <cell r="G1621">
            <v>223119.48329999999</v>
          </cell>
          <cell r="H1621">
            <v>227561.75779999999</v>
          </cell>
          <cell r="I1621">
            <v>232632.97409999999</v>
          </cell>
          <cell r="J1621">
            <v>238263.9186</v>
          </cell>
          <cell r="K1621">
            <v>244357.61180000001</v>
          </cell>
          <cell r="L1621">
            <v>250710.20699999999</v>
          </cell>
          <cell r="M1621">
            <v>256655.823</v>
          </cell>
          <cell r="N1621">
            <v>262626.12109999999</v>
          </cell>
          <cell r="O1621">
            <v>269363.74619999999</v>
          </cell>
          <cell r="P1621">
            <v>276698.2916</v>
          </cell>
          <cell r="Q1621">
            <v>284004.54070000001</v>
          </cell>
          <cell r="R1621">
            <v>291096.24709999998</v>
          </cell>
          <cell r="S1621">
            <v>297957.65870000003</v>
          </cell>
          <cell r="T1621">
            <v>304672.79619999998</v>
          </cell>
          <cell r="U1621">
            <v>311333.86930000002</v>
          </cell>
          <cell r="V1621">
            <v>318010.95449999999</v>
          </cell>
          <cell r="W1621">
            <v>324831.06209999998</v>
          </cell>
          <cell r="X1621">
            <v>331904.61420000001</v>
          </cell>
          <cell r="Y1621">
            <v>339309.86550000001</v>
          </cell>
          <cell r="Z1621">
            <v>347013.65269999998</v>
          </cell>
          <cell r="AA1621">
            <v>355173.52799999999</v>
          </cell>
          <cell r="AB1621">
            <v>363835.45439999999</v>
          </cell>
          <cell r="AC1621">
            <v>373044.30790000001</v>
          </cell>
          <cell r="AD1621">
            <v>382822.94500000001</v>
          </cell>
          <cell r="AE1621">
            <v>392906.8371</v>
          </cell>
          <cell r="AF1621">
            <v>403507.70270000002</v>
          </cell>
          <cell r="AG1621">
            <v>414655.94130000001</v>
          </cell>
          <cell r="AH1621">
            <v>426406.59840000002</v>
          </cell>
          <cell r="AI1621">
            <v>438793.96539999999</v>
          </cell>
          <cell r="AJ1621">
            <v>451817.36339999997</v>
          </cell>
          <cell r="AK1621">
            <v>465455.68280000001</v>
          </cell>
          <cell r="AL1621">
            <v>479691.7279</v>
          </cell>
          <cell r="AM1621">
            <v>494534.12219999998</v>
          </cell>
          <cell r="AN1621">
            <v>510017.58230000001</v>
          </cell>
          <cell r="AO1621">
            <v>526212.69059999997</v>
          </cell>
        </row>
        <row r="1624">
          <cell r="F1624">
            <v>2246.653448</v>
          </cell>
          <cell r="G1624">
            <v>2266.6793290000001</v>
          </cell>
          <cell r="H1624">
            <v>2286.2974979999999</v>
          </cell>
          <cell r="I1624">
            <v>2306.7123620000002</v>
          </cell>
          <cell r="J1624">
            <v>2332.3561030000001</v>
          </cell>
          <cell r="K1624">
            <v>2364.2698650000002</v>
          </cell>
          <cell r="L1624">
            <v>2400.5878469999998</v>
          </cell>
          <cell r="M1624">
            <v>2425.0164</v>
          </cell>
          <cell r="N1624">
            <v>2445.523721</v>
          </cell>
          <cell r="O1624">
            <v>2472.19632</v>
          </cell>
          <cell r="P1624">
            <v>2502.1986569999999</v>
          </cell>
          <cell r="Q1624">
            <v>2532.0894029999999</v>
          </cell>
          <cell r="R1624">
            <v>2561.332218</v>
          </cell>
          <cell r="S1624">
            <v>2590.8885700000001</v>
          </cell>
          <cell r="T1624">
            <v>2622.4242650000001</v>
          </cell>
          <cell r="U1624">
            <v>2657.187774</v>
          </cell>
          <cell r="V1624">
            <v>2693.9370119999999</v>
          </cell>
          <cell r="W1624">
            <v>2734.3166900000001</v>
          </cell>
          <cell r="X1624">
            <v>2779.516529</v>
          </cell>
          <cell r="Y1624">
            <v>2830.324415</v>
          </cell>
          <cell r="Z1624">
            <v>2887.151766</v>
          </cell>
          <cell r="AA1624">
            <v>2950.7685280000001</v>
          </cell>
          <cell r="AB1624">
            <v>3021.8741799999998</v>
          </cell>
          <cell r="AC1624">
            <v>3101.0321300000001</v>
          </cell>
          <cell r="AD1624">
            <v>3188.6346290000001</v>
          </cell>
          <cell r="AE1624">
            <v>3284.4455950000001</v>
          </cell>
          <cell r="AF1624">
            <v>3389.8566609999998</v>
          </cell>
          <cell r="AG1624">
            <v>3505.73918</v>
          </cell>
          <cell r="AH1624">
            <v>3633.025545</v>
          </cell>
          <cell r="AI1624">
            <v>3772.3198980000002</v>
          </cell>
          <cell r="AJ1624">
            <v>3924.03631</v>
          </cell>
          <cell r="AK1624">
            <v>4088.8460690000002</v>
          </cell>
          <cell r="AL1624">
            <v>4267.9541399999998</v>
          </cell>
          <cell r="AM1624">
            <v>4463.1593030000004</v>
          </cell>
          <cell r="AN1624">
            <v>4677.1497369999997</v>
          </cell>
          <cell r="AO1624">
            <v>4914.1216809999996</v>
          </cell>
        </row>
        <row r="1629">
          <cell r="F1629">
            <v>3650.1624750000001</v>
          </cell>
          <cell r="G1629">
            <v>3702.6002530000001</v>
          </cell>
          <cell r="H1629">
            <v>3756.1370109999998</v>
          </cell>
          <cell r="I1629">
            <v>3813.4528909999999</v>
          </cell>
          <cell r="J1629">
            <v>3869.1933829999998</v>
          </cell>
          <cell r="K1629">
            <v>3925.4162059999999</v>
          </cell>
          <cell r="L1629">
            <v>3984.146076</v>
          </cell>
          <cell r="M1629">
            <v>4130.3806679999998</v>
          </cell>
          <cell r="N1629">
            <v>4326.6003309999996</v>
          </cell>
          <cell r="O1629">
            <v>4563.1261430000004</v>
          </cell>
          <cell r="P1629">
            <v>4825.9385620000003</v>
          </cell>
          <cell r="Q1629">
            <v>5091.7057160000004</v>
          </cell>
          <cell r="R1629">
            <v>5358.790223</v>
          </cell>
          <cell r="S1629">
            <v>5633.3360489999995</v>
          </cell>
          <cell r="T1629">
            <v>5923.8544830000001</v>
          </cell>
          <cell r="U1629">
            <v>6238.1099889999996</v>
          </cell>
          <cell r="V1629">
            <v>6582.6234940000004</v>
          </cell>
          <cell r="W1629">
            <v>6964.9310139999998</v>
          </cell>
          <cell r="X1629">
            <v>7391.6645870000002</v>
          </cell>
          <cell r="Y1629">
            <v>7870.3401899999999</v>
          </cell>
          <cell r="Z1629">
            <v>8408.8981540000004</v>
          </cell>
          <cell r="AA1629">
            <v>9020.4496190000009</v>
          </cell>
          <cell r="AB1629">
            <v>9719.9122370000005</v>
          </cell>
          <cell r="AC1629">
            <v>10524.48043</v>
          </cell>
          <cell r="AD1629">
            <v>11454.233539999999</v>
          </cell>
          <cell r="AE1629">
            <v>12528.14704</v>
          </cell>
          <cell r="AF1629">
            <v>13781.95708</v>
          </cell>
          <cell r="AG1629">
            <v>15257.53314</v>
          </cell>
          <cell r="AH1629">
            <v>17006.341789999999</v>
          </cell>
          <cell r="AI1629">
            <v>19091.366440000002</v>
          </cell>
          <cell r="AJ1629">
            <v>21592.425019999999</v>
          </cell>
          <cell r="AK1629">
            <v>24616.594990000001</v>
          </cell>
          <cell r="AL1629">
            <v>28312.803169999999</v>
          </cell>
          <cell r="AM1629">
            <v>32891.992169999998</v>
          </cell>
          <cell r="AN1629">
            <v>38662.20177</v>
          </cell>
          <cell r="AO1629">
            <v>46090.367400000003</v>
          </cell>
        </row>
        <row r="1639">
          <cell r="F1639">
            <v>472737.799</v>
          </cell>
          <cell r="G1639">
            <v>480957.99129999999</v>
          </cell>
          <cell r="H1639">
            <v>491179.06349999999</v>
          </cell>
          <cell r="I1639">
            <v>502874.1249</v>
          </cell>
          <cell r="J1639">
            <v>515841.68780000001</v>
          </cell>
          <cell r="K1639">
            <v>529903.87399999995</v>
          </cell>
          <cell r="L1639">
            <v>544708.99800000002</v>
          </cell>
          <cell r="M1639">
            <v>560140.10959999997</v>
          </cell>
          <cell r="N1639">
            <v>576194.41390000004</v>
          </cell>
          <cell r="O1639">
            <v>592920.3639</v>
          </cell>
          <cell r="P1639">
            <v>610276.81940000004</v>
          </cell>
          <cell r="Q1639">
            <v>627154.4817</v>
          </cell>
          <cell r="R1639">
            <v>643428.03540000005</v>
          </cell>
          <cell r="S1639">
            <v>659218.8848</v>
          </cell>
          <cell r="T1639">
            <v>674750.67150000005</v>
          </cell>
          <cell r="U1639">
            <v>690267.81709999999</v>
          </cell>
          <cell r="V1639">
            <v>706180.90099999995</v>
          </cell>
          <cell r="W1639">
            <v>722831.68220000004</v>
          </cell>
          <cell r="X1639">
            <v>740450.83680000005</v>
          </cell>
          <cell r="Y1639">
            <v>759163.21</v>
          </cell>
          <cell r="Z1639">
            <v>778900.95200000005</v>
          </cell>
          <cell r="AA1639">
            <v>799885.80630000005</v>
          </cell>
          <cell r="AB1639">
            <v>822213.08849999995</v>
          </cell>
          <cell r="AC1639">
            <v>845950.02390000003</v>
          </cell>
          <cell r="AD1639">
            <v>871101.61490000004</v>
          </cell>
          <cell r="AE1639">
            <v>897210.07709999999</v>
          </cell>
          <cell r="AF1639">
            <v>924537.62210000004</v>
          </cell>
          <cell r="AG1639">
            <v>953189.41799999995</v>
          </cell>
          <cell r="AH1639">
            <v>983249.93720000004</v>
          </cell>
          <cell r="AI1639">
            <v>1014710.241</v>
          </cell>
          <cell r="AJ1639">
            <v>1047471.023</v>
          </cell>
          <cell r="AK1639">
            <v>1081411.5009999999</v>
          </cell>
          <cell r="AL1639">
            <v>1116422.3389999999</v>
          </cell>
          <cell r="AM1639">
            <v>1152396.436</v>
          </cell>
          <cell r="AN1639">
            <v>1189217.899</v>
          </cell>
          <cell r="AO1639">
            <v>1226753.9509999999</v>
          </cell>
        </row>
        <row r="1640">
          <cell r="F1640">
            <v>4444.1839890000001</v>
          </cell>
          <cell r="G1640">
            <v>4518.9342640000004</v>
          </cell>
          <cell r="H1640">
            <v>4611.2662099999998</v>
          </cell>
          <cell r="I1640">
            <v>4721.4440009999998</v>
          </cell>
          <cell r="J1640">
            <v>4843.4994370000004</v>
          </cell>
          <cell r="K1640">
            <v>4976.0586960000001</v>
          </cell>
          <cell r="L1640">
            <v>5116.9400779999996</v>
          </cell>
          <cell r="M1640">
            <v>5265.0594359999996</v>
          </cell>
          <cell r="N1640">
            <v>5419.6435799999999</v>
          </cell>
          <cell r="O1640">
            <v>5580.4313810000003</v>
          </cell>
          <cell r="P1640">
            <v>5745.3628799999997</v>
          </cell>
          <cell r="Q1640">
            <v>5901.9363530000001</v>
          </cell>
          <cell r="R1640">
            <v>6048.3544769999999</v>
          </cell>
          <cell r="S1640">
            <v>6185.7759290000004</v>
          </cell>
          <cell r="T1640">
            <v>6316.612881</v>
          </cell>
          <cell r="U1640">
            <v>6443.6685360000001</v>
          </cell>
          <cell r="V1640">
            <v>6570.242072</v>
          </cell>
          <cell r="W1640">
            <v>6699.9992579999998</v>
          </cell>
          <cell r="X1640">
            <v>6835.7848789999998</v>
          </cell>
          <cell r="Y1640">
            <v>6979.3989190000002</v>
          </cell>
          <cell r="Z1640">
            <v>7131.0352750000002</v>
          </cell>
          <cell r="AA1640">
            <v>7292.8026689999997</v>
          </cell>
          <cell r="AB1640">
            <v>7466.3175799999999</v>
          </cell>
          <cell r="AC1640">
            <v>7652.6201179999998</v>
          </cell>
          <cell r="AD1640">
            <v>7851.8876010000004</v>
          </cell>
          <cell r="AE1640">
            <v>8060.6895940000004</v>
          </cell>
          <cell r="AF1640">
            <v>8280.5220499999996</v>
          </cell>
          <cell r="AG1640">
            <v>8512.9538549999997</v>
          </cell>
          <cell r="AH1640">
            <v>8759.0564730000006</v>
          </cell>
          <cell r="AI1640">
            <v>9018.5949359999995</v>
          </cell>
          <cell r="AJ1640">
            <v>9290.1376070000006</v>
          </cell>
          <cell r="AK1640">
            <v>9571.9329909999997</v>
          </cell>
          <cell r="AL1640">
            <v>9862.3112629999996</v>
          </cell>
          <cell r="AM1640">
            <v>10159.59792</v>
          </cell>
          <cell r="AN1640">
            <v>10462.030870000001</v>
          </cell>
          <cell r="AO1640">
            <v>10767.718370000001</v>
          </cell>
        </row>
        <row r="1643">
          <cell r="F1643">
            <v>234875.91560000001</v>
          </cell>
          <cell r="G1643">
            <v>239167.89189999999</v>
          </cell>
          <cell r="H1643">
            <v>244574.492</v>
          </cell>
          <cell r="I1643">
            <v>250783.64790000001</v>
          </cell>
          <cell r="J1643">
            <v>257674.84770000001</v>
          </cell>
          <cell r="K1643">
            <v>265166.30489999999</v>
          </cell>
          <cell r="L1643">
            <v>273116.1741</v>
          </cell>
          <cell r="M1643">
            <v>281463.06880000001</v>
          </cell>
          <cell r="N1643">
            <v>290211.06040000002</v>
          </cell>
          <cell r="O1643">
            <v>299395.54300000001</v>
          </cell>
          <cell r="P1643">
            <v>308964.28460000001</v>
          </cell>
          <cell r="Q1643">
            <v>318370.21879999997</v>
          </cell>
          <cell r="R1643">
            <v>327551.2844</v>
          </cell>
          <cell r="S1643">
            <v>336583.5563</v>
          </cell>
          <cell r="T1643">
            <v>345600.00280000002</v>
          </cell>
          <cell r="U1643">
            <v>354740.05599999998</v>
          </cell>
          <cell r="V1643">
            <v>364214.09539999999</v>
          </cell>
          <cell r="W1643">
            <v>374207.58100000001</v>
          </cell>
          <cell r="X1643">
            <v>384848.36910000001</v>
          </cell>
          <cell r="Y1643">
            <v>396205.04670000001</v>
          </cell>
          <cell r="Z1643">
            <v>408266.70419999998</v>
          </cell>
          <cell r="AA1643">
            <v>421104.05979999999</v>
          </cell>
          <cell r="AB1643">
            <v>434771.29759999999</v>
          </cell>
          <cell r="AC1643">
            <v>449302.85210000002</v>
          </cell>
          <cell r="AD1643">
            <v>464696.77399999998</v>
          </cell>
          <cell r="AE1643">
            <v>480778.3394</v>
          </cell>
          <cell r="AF1643">
            <v>497588.99129999999</v>
          </cell>
          <cell r="AG1643">
            <v>515179.49900000001</v>
          </cell>
          <cell r="AH1643">
            <v>533588.67139999999</v>
          </cell>
          <cell r="AI1643">
            <v>552802.1997</v>
          </cell>
          <cell r="AJ1643">
            <v>572759.39489999996</v>
          </cell>
          <cell r="AK1643">
            <v>593393.03520000004</v>
          </cell>
          <cell r="AL1643">
            <v>614647.17260000005</v>
          </cell>
          <cell r="AM1643">
            <v>636470.46550000005</v>
          </cell>
          <cell r="AN1643">
            <v>658808.37650000001</v>
          </cell>
          <cell r="AO1643">
            <v>681597.19259999995</v>
          </cell>
        </row>
        <row r="1655">
          <cell r="F1655">
            <v>8012.3261389999998</v>
          </cell>
          <cell r="G1655">
            <v>8182.4023090000001</v>
          </cell>
          <cell r="H1655">
            <v>8389.1130169999997</v>
          </cell>
          <cell r="I1655">
            <v>8615.8936799999992</v>
          </cell>
          <cell r="J1655">
            <v>8857.8726420000003</v>
          </cell>
          <cell r="K1655">
            <v>9114.2126709999993</v>
          </cell>
          <cell r="L1655">
            <v>9380.9429450000007</v>
          </cell>
          <cell r="M1655">
            <v>9656.1993399999992</v>
          </cell>
          <cell r="N1655">
            <v>9939.1201079999992</v>
          </cell>
          <cell r="O1655">
            <v>10229.718000000001</v>
          </cell>
          <cell r="P1655">
            <v>10520.690479999999</v>
          </cell>
          <cell r="Q1655">
            <v>10779.47525</v>
          </cell>
          <cell r="R1655">
            <v>11007.296259999999</v>
          </cell>
          <cell r="S1655">
            <v>11211.734189999999</v>
          </cell>
          <cell r="T1655">
            <v>11402.283579999999</v>
          </cell>
          <cell r="U1655">
            <v>11587.822270000001</v>
          </cell>
          <cell r="V1655">
            <v>11778.550440000001</v>
          </cell>
          <cell r="W1655">
            <v>11982.87882</v>
          </cell>
          <cell r="X1655">
            <v>12206.748</v>
          </cell>
          <cell r="Y1655">
            <v>12453.300450000001</v>
          </cell>
          <cell r="Z1655">
            <v>12723.14005</v>
          </cell>
          <cell r="AA1655">
            <v>13019.48306</v>
          </cell>
          <cell r="AB1655">
            <v>13344.703</v>
          </cell>
          <cell r="AC1655">
            <v>13700.191989999999</v>
          </cell>
          <cell r="AD1655">
            <v>14085.53441</v>
          </cell>
          <cell r="AE1655">
            <v>14495.537560000001</v>
          </cell>
          <cell r="AF1655">
            <v>14932.95861</v>
          </cell>
          <cell r="AG1655">
            <v>15400.086219999999</v>
          </cell>
          <cell r="AH1655">
            <v>15897.910309999999</v>
          </cell>
          <cell r="AI1655">
            <v>16423.513610000002</v>
          </cell>
          <cell r="AJ1655">
            <v>16971.31453</v>
          </cell>
          <cell r="AK1655">
            <v>17535.89399</v>
          </cell>
          <cell r="AL1655">
            <v>18112.98921</v>
          </cell>
          <cell r="AM1655">
            <v>18698.980579999999</v>
          </cell>
          <cell r="AN1655">
            <v>19290.459159999999</v>
          </cell>
          <cell r="AO1655">
            <v>19883.975419999999</v>
          </cell>
        </row>
        <row r="1660">
          <cell r="F1660">
            <v>219508.55739999999</v>
          </cell>
          <cell r="G1660">
            <v>223119.48329999999</v>
          </cell>
          <cell r="H1660">
            <v>227561.75779999999</v>
          </cell>
          <cell r="I1660">
            <v>232632.97409999999</v>
          </cell>
          <cell r="J1660">
            <v>238263.9185</v>
          </cell>
          <cell r="K1660">
            <v>244357.61170000001</v>
          </cell>
          <cell r="L1660">
            <v>250710.20689999999</v>
          </cell>
          <cell r="M1660">
            <v>257270.16589999999</v>
          </cell>
          <cell r="N1660">
            <v>264033.96159999998</v>
          </cell>
          <cell r="O1660">
            <v>271016.15850000002</v>
          </cell>
          <cell r="P1660">
            <v>278239.57120000001</v>
          </cell>
          <cell r="Q1660">
            <v>285200.0552</v>
          </cell>
          <cell r="R1660">
            <v>291837.5393</v>
          </cell>
          <cell r="S1660">
            <v>298187.23310000001</v>
          </cell>
          <cell r="T1660">
            <v>304324.76169999997</v>
          </cell>
          <cell r="U1660">
            <v>310339.8002</v>
          </cell>
          <cell r="V1660">
            <v>316415.05540000001</v>
          </cell>
          <cell r="W1660">
            <v>322690.29790000001</v>
          </cell>
          <cell r="X1660">
            <v>329255.37190000003</v>
          </cell>
          <cell r="Y1660">
            <v>336158.804</v>
          </cell>
          <cell r="Z1660">
            <v>343341.94270000001</v>
          </cell>
          <cell r="AA1660">
            <v>350947.79489999998</v>
          </cell>
          <cell r="AB1660">
            <v>359011.8064</v>
          </cell>
          <cell r="AC1660">
            <v>367563.12599999999</v>
          </cell>
          <cell r="AD1660">
            <v>376608.23690000002</v>
          </cell>
          <cell r="AE1660">
            <v>385875.17690000002</v>
          </cell>
          <cell r="AF1660">
            <v>395578.00709999999</v>
          </cell>
          <cell r="AG1660">
            <v>405765.84340000001</v>
          </cell>
          <cell r="AH1660">
            <v>416481.65220000001</v>
          </cell>
          <cell r="AI1660">
            <v>427734.89490000001</v>
          </cell>
          <cell r="AJ1660">
            <v>439496.13309999998</v>
          </cell>
          <cell r="AK1660">
            <v>451721.48599999998</v>
          </cell>
          <cell r="AL1660">
            <v>464365.91259999998</v>
          </cell>
          <cell r="AM1660">
            <v>477381.28269999998</v>
          </cell>
          <cell r="AN1660">
            <v>490713.74280000001</v>
          </cell>
          <cell r="AO1660">
            <v>504301.94829999999</v>
          </cell>
        </row>
        <row r="1663">
          <cell r="F1663">
            <v>2246.6534470000001</v>
          </cell>
          <cell r="G1663">
            <v>2266.6793269999998</v>
          </cell>
          <cell r="H1663">
            <v>2286.2974960000001</v>
          </cell>
          <cell r="I1663">
            <v>2306.7123609999999</v>
          </cell>
          <cell r="J1663">
            <v>2332.3561020000002</v>
          </cell>
          <cell r="K1663">
            <v>2364.2698639999999</v>
          </cell>
          <cell r="L1663">
            <v>2400.5878469999998</v>
          </cell>
          <cell r="M1663">
            <v>2439.4370669999998</v>
          </cell>
          <cell r="N1663">
            <v>2479.8019479999998</v>
          </cell>
          <cell r="O1663">
            <v>2521.2233489999999</v>
          </cell>
          <cell r="P1663">
            <v>2562.6672870000002</v>
          </cell>
          <cell r="Q1663">
            <v>2599.6867080000002</v>
          </cell>
          <cell r="R1663">
            <v>2631.610979</v>
          </cell>
          <cell r="S1663">
            <v>2659.009247</v>
          </cell>
          <cell r="T1663">
            <v>2682.9304529999999</v>
          </cell>
          <cell r="U1663">
            <v>2704.501452</v>
          </cell>
          <cell r="V1663">
            <v>2725.9251629999999</v>
          </cell>
          <cell r="W1663">
            <v>2748.9698709999998</v>
          </cell>
          <cell r="X1663">
            <v>2774.8238550000001</v>
          </cell>
          <cell r="Y1663">
            <v>2804.1005519999999</v>
          </cell>
          <cell r="Z1663">
            <v>2836.9362190000002</v>
          </cell>
          <cell r="AA1663">
            <v>2873.8082829999998</v>
          </cell>
          <cell r="AB1663">
            <v>2915.1175090000002</v>
          </cell>
          <cell r="AC1663">
            <v>2961.1907070000002</v>
          </cell>
          <cell r="AD1663">
            <v>3012.1960300000001</v>
          </cell>
          <cell r="AE1663">
            <v>3067.646358</v>
          </cell>
          <cell r="AF1663">
            <v>3128.0702769999998</v>
          </cell>
          <cell r="AG1663">
            <v>3193.975629</v>
          </cell>
          <cell r="AH1663">
            <v>3265.6830049999999</v>
          </cell>
          <cell r="AI1663">
            <v>3342.9832459999998</v>
          </cell>
          <cell r="AJ1663">
            <v>3425.2449630000001</v>
          </cell>
          <cell r="AK1663">
            <v>3511.7309180000002</v>
          </cell>
          <cell r="AL1663">
            <v>3601.7378180000001</v>
          </cell>
          <cell r="AM1663">
            <v>3694.5686839999998</v>
          </cell>
          <cell r="AN1663">
            <v>3789.4946629999999</v>
          </cell>
          <cell r="AO1663">
            <v>3885.7302540000001</v>
          </cell>
        </row>
        <row r="1668">
          <cell r="F1668">
            <v>3650.1624750000001</v>
          </cell>
          <cell r="G1668">
            <v>3702.6002530000001</v>
          </cell>
          <cell r="H1668">
            <v>3756.1370109999998</v>
          </cell>
          <cell r="I1668">
            <v>3813.45289</v>
          </cell>
          <cell r="J1668">
            <v>3869.1933829999998</v>
          </cell>
          <cell r="K1668">
            <v>3925.4162059999999</v>
          </cell>
          <cell r="L1668">
            <v>3984.146076</v>
          </cell>
          <cell r="M1668">
            <v>4046.178997</v>
          </cell>
          <cell r="N1668">
            <v>4110.8262690000001</v>
          </cell>
          <cell r="O1668">
            <v>4177.2896819999996</v>
          </cell>
          <cell r="P1668">
            <v>4244.2429350000002</v>
          </cell>
          <cell r="Q1668">
            <v>4303.1093730000002</v>
          </cell>
          <cell r="R1668">
            <v>4351.9499450000003</v>
          </cell>
          <cell r="S1668">
            <v>4391.575973</v>
          </cell>
          <cell r="T1668">
            <v>4424.0800769999996</v>
          </cell>
          <cell r="U1668">
            <v>4451.9686609999999</v>
          </cell>
          <cell r="V1668">
            <v>4477.032467</v>
          </cell>
          <cell r="W1668">
            <v>4501.9554090000001</v>
          </cell>
          <cell r="X1668">
            <v>4529.7390509999996</v>
          </cell>
          <cell r="Y1668">
            <v>4562.5593520000002</v>
          </cell>
          <cell r="Z1668">
            <v>4601.1936070000002</v>
          </cell>
          <cell r="AA1668">
            <v>4647.8574930000004</v>
          </cell>
          <cell r="AB1668">
            <v>4703.8464450000001</v>
          </cell>
          <cell r="AC1668">
            <v>4770.0429459999996</v>
          </cell>
          <cell r="AD1668">
            <v>4846.9860140000001</v>
          </cell>
          <cell r="AE1668">
            <v>4932.6872970000004</v>
          </cell>
          <cell r="AF1668">
            <v>5029.0727580000002</v>
          </cell>
          <cell r="AG1668">
            <v>5137.0598570000002</v>
          </cell>
          <cell r="AH1668">
            <v>5256.9639029999998</v>
          </cell>
          <cell r="AI1668">
            <v>5388.0543870000001</v>
          </cell>
          <cell r="AJ1668">
            <v>5528.7981309999996</v>
          </cell>
          <cell r="AK1668">
            <v>5677.4216779999997</v>
          </cell>
          <cell r="AL1668">
            <v>5832.2152379999998</v>
          </cell>
          <cell r="AM1668">
            <v>5991.5409110000001</v>
          </cell>
          <cell r="AN1668">
            <v>6153.7952260000002</v>
          </cell>
          <cell r="AO1668">
            <v>6317.3864890000004</v>
          </cell>
        </row>
        <row r="1702">
          <cell r="F1702">
            <v>1202789.014</v>
          </cell>
          <cell r="G1702">
            <v>1221919.3970000001</v>
          </cell>
          <cell r="H1702">
            <v>1245837.0560000001</v>
          </cell>
          <cell r="I1702">
            <v>1273721.156</v>
          </cell>
          <cell r="J1702">
            <v>1304412.1100000001</v>
          </cell>
          <cell r="K1702">
            <v>1337386.041</v>
          </cell>
          <cell r="L1702">
            <v>1370840.4539999999</v>
          </cell>
          <cell r="M1702">
            <v>1404135.36</v>
          </cell>
          <cell r="N1702">
            <v>1437446.1880000001</v>
          </cell>
          <cell r="O1702">
            <v>1473577.55</v>
          </cell>
          <cell r="P1702">
            <v>1513568.4609999999</v>
          </cell>
          <cell r="Q1702">
            <v>1554347.3970000001</v>
          </cell>
          <cell r="R1702">
            <v>1594627.629</v>
          </cell>
          <cell r="S1702">
            <v>1632956.4369999999</v>
          </cell>
          <cell r="T1702">
            <v>1668568.297</v>
          </cell>
          <cell r="U1702">
            <v>1701363.287</v>
          </cell>
          <cell r="V1702">
            <v>1732406.41</v>
          </cell>
          <cell r="W1702">
            <v>1762022.4879999999</v>
          </cell>
          <cell r="X1702">
            <v>1790803.557</v>
          </cell>
          <cell r="Y1702">
            <v>1819303.838</v>
          </cell>
          <cell r="Z1702">
            <v>1847342.149</v>
          </cell>
          <cell r="AA1702">
            <v>1876254.7150000001</v>
          </cell>
          <cell r="AB1702">
            <v>1906428.4709999999</v>
          </cell>
          <cell r="AC1702">
            <v>1938349.69</v>
          </cell>
          <cell r="AD1702">
            <v>1972380.0930000001</v>
          </cell>
          <cell r="AE1702">
            <v>2006844.8689999999</v>
          </cell>
          <cell r="AF1702">
            <v>2043518.2109999999</v>
          </cell>
          <cell r="AG1702">
            <v>2082660.1259999999</v>
          </cell>
          <cell r="AH1702">
            <v>2124884.6860000002</v>
          </cell>
          <cell r="AI1702">
            <v>2170740.8330000001</v>
          </cell>
          <cell r="AJ1702">
            <v>2220465.8339999998</v>
          </cell>
          <cell r="AK1702">
            <v>2273958.0150000001</v>
          </cell>
          <cell r="AL1702">
            <v>2330978.4160000002</v>
          </cell>
          <cell r="AM1702">
            <v>2391388.1150000002</v>
          </cell>
          <cell r="AN1702">
            <v>2455108.594</v>
          </cell>
          <cell r="AO1702">
            <v>2522151.932</v>
          </cell>
        </row>
        <row r="1731">
          <cell r="F1731">
            <v>1202789.014</v>
          </cell>
          <cell r="G1731">
            <v>1221919.3970000001</v>
          </cell>
          <cell r="H1731">
            <v>1245837.0560000001</v>
          </cell>
          <cell r="I1731">
            <v>1273721.156</v>
          </cell>
          <cell r="J1731">
            <v>1304412.1100000001</v>
          </cell>
          <cell r="K1731">
            <v>1337386.04</v>
          </cell>
          <cell r="L1731">
            <v>1370840.4539999999</v>
          </cell>
          <cell r="M1731">
            <v>1404727.564</v>
          </cell>
          <cell r="N1731">
            <v>1439202.868</v>
          </cell>
          <cell r="O1731">
            <v>1474432.9979999999</v>
          </cell>
          <cell r="P1731">
            <v>1511032.682</v>
          </cell>
          <cell r="Q1731">
            <v>1546588.1089999999</v>
          </cell>
          <cell r="R1731">
            <v>1580219.8160000001</v>
          </cell>
          <cell r="S1731">
            <v>1611359.9609999999</v>
          </cell>
          <cell r="T1731">
            <v>1639812.125</v>
          </cell>
          <cell r="U1731">
            <v>1665751.527</v>
          </cell>
          <cell r="V1731">
            <v>1690548.067</v>
          </cell>
          <cell r="W1731">
            <v>1714822.118</v>
          </cell>
          <cell r="X1731">
            <v>1738985.219</v>
          </cell>
          <cell r="Y1731">
            <v>1763411.3060000001</v>
          </cell>
          <cell r="Z1731">
            <v>1787835.09</v>
          </cell>
          <cell r="AA1731">
            <v>1813596.074</v>
          </cell>
          <cell r="AB1731">
            <v>1841079.753</v>
          </cell>
          <cell r="AC1731">
            <v>1870693.122</v>
          </cell>
          <cell r="AD1731">
            <v>1902721.666</v>
          </cell>
          <cell r="AE1731">
            <v>1935489.5249999999</v>
          </cell>
          <cell r="AF1731">
            <v>1970867.155</v>
          </cell>
          <cell r="AG1731">
            <v>2009187.9790000001</v>
          </cell>
          <cell r="AH1731">
            <v>2050844.861</v>
          </cell>
          <cell r="AI1731">
            <v>2096147.709</v>
          </cell>
          <cell r="AJ1731">
            <v>2145139.0099999998</v>
          </cell>
          <cell r="AK1731">
            <v>2197618.12</v>
          </cell>
          <cell r="AL1731">
            <v>2253217.4789999998</v>
          </cell>
          <cell r="AM1731">
            <v>2311458.0060000001</v>
          </cell>
          <cell r="AN1731">
            <v>2371787.2680000002</v>
          </cell>
          <cell r="AO1731">
            <v>2433600.9419999998</v>
          </cell>
        </row>
        <row r="1760">
          <cell r="F1760">
            <v>1.0019287059999999</v>
          </cell>
          <cell r="G1760">
            <v>1.0214944800000001</v>
          </cell>
          <cell r="H1760">
            <v>1.0418859840000001</v>
          </cell>
          <cell r="I1760">
            <v>1.064224176</v>
          </cell>
          <cell r="J1760">
            <v>1.085978227</v>
          </cell>
          <cell r="K1760">
            <v>1.108704337</v>
          </cell>
          <cell r="L1760">
            <v>1.1335058950000001</v>
          </cell>
          <cell r="M1760">
            <v>1.1705470309999999</v>
          </cell>
          <cell r="N1760">
            <v>1.2082442339999999</v>
          </cell>
          <cell r="O1760">
            <v>1.249263215</v>
          </cell>
          <cell r="P1760">
            <v>1.2935231229999999</v>
          </cell>
          <cell r="Q1760">
            <v>1.3366454210000001</v>
          </cell>
          <cell r="R1760">
            <v>1.37913555</v>
          </cell>
          <cell r="S1760">
            <v>1.420296263</v>
          </cell>
          <cell r="T1760">
            <v>1.459591694</v>
          </cell>
          <cell r="U1760">
            <v>1.4966089250000001</v>
          </cell>
          <cell r="V1760">
            <v>1.531870093</v>
          </cell>
          <cell r="W1760">
            <v>1.5645324119999999</v>
          </cell>
          <cell r="X1760">
            <v>1.594490682</v>
          </cell>
          <cell r="Y1760">
            <v>1.621892232</v>
          </cell>
          <cell r="Z1760">
            <v>1.6470634280000001</v>
          </cell>
          <cell r="AA1760">
            <v>1.6704012610000001</v>
          </cell>
          <cell r="AB1760">
            <v>1.692377639</v>
          </cell>
          <cell r="AC1760">
            <v>1.7134289330000001</v>
          </cell>
          <cell r="AD1760">
            <v>1.734116708</v>
          </cell>
          <cell r="AE1760">
            <v>1.755122769</v>
          </cell>
          <cell r="AF1760">
            <v>1.777290238</v>
          </cell>
          <cell r="AG1760">
            <v>1.801427423</v>
          </cell>
          <cell r="AH1760">
            <v>1.8279318170000001</v>
          </cell>
          <cell r="AI1760">
            <v>1.8570775530000001</v>
          </cell>
          <cell r="AJ1760">
            <v>1.8891170289999999</v>
          </cell>
          <cell r="AK1760">
            <v>1.924393631</v>
          </cell>
          <cell r="AL1760">
            <v>1.9632310369999999</v>
          </cell>
          <cell r="AM1760">
            <v>2.0057559610000002</v>
          </cell>
          <cell r="AN1760">
            <v>2.0521195909999999</v>
          </cell>
          <cell r="AO1760">
            <v>2.1025500269999999</v>
          </cell>
        </row>
        <row r="1789">
          <cell r="F1789">
            <v>1.0019287059999999</v>
          </cell>
          <cell r="G1789">
            <v>1.021494479</v>
          </cell>
          <cell r="H1789">
            <v>1.0418859840000001</v>
          </cell>
          <cell r="I1789">
            <v>1.0642241750000001</v>
          </cell>
          <cell r="J1789">
            <v>1.085978227</v>
          </cell>
          <cell r="K1789">
            <v>1.108704336</v>
          </cell>
          <cell r="L1789">
            <v>1.133505894</v>
          </cell>
          <cell r="M1789">
            <v>1.1601926039999999</v>
          </cell>
          <cell r="N1789">
            <v>1.1884143579999999</v>
          </cell>
          <cell r="O1789">
            <v>1.2179940300000001</v>
          </cell>
          <cell r="P1789">
            <v>1.2486133420000001</v>
          </cell>
          <cell r="Q1789">
            <v>1.2794536219999999</v>
          </cell>
          <cell r="R1789">
            <v>1.3097054400000001</v>
          </cell>
          <cell r="S1789">
            <v>1.3387365449999999</v>
          </cell>
          <cell r="T1789">
            <v>1.366189622</v>
          </cell>
          <cell r="U1789">
            <v>1.3918880849999999</v>
          </cell>
          <cell r="V1789">
            <v>1.41469332</v>
          </cell>
          <cell r="W1789">
            <v>1.4348847410000001</v>
          </cell>
          <cell r="X1789">
            <v>1.452841423</v>
          </cell>
          <cell r="Y1789">
            <v>1.469028614</v>
          </cell>
          <cell r="Z1789">
            <v>1.483981309</v>
          </cell>
          <cell r="AA1789">
            <v>1.498162864</v>
          </cell>
          <cell r="AB1789">
            <v>1.512097673</v>
          </cell>
          <cell r="AC1789">
            <v>1.5263453849999999</v>
          </cell>
          <cell r="AD1789">
            <v>1.541524404</v>
          </cell>
          <cell r="AE1789">
            <v>1.558305695</v>
          </cell>
          <cell r="AF1789">
            <v>1.5771651710000001</v>
          </cell>
          <cell r="AG1789">
            <v>1.59854466</v>
          </cell>
          <cell r="AH1789">
            <v>1.6228350300000001</v>
          </cell>
          <cell r="AI1789">
            <v>1.650218376</v>
          </cell>
          <cell r="AJ1789">
            <v>1.6807989780000001</v>
          </cell>
          <cell r="AK1789">
            <v>1.7145915140000001</v>
          </cell>
          <cell r="AL1789">
            <v>1.751537406</v>
          </cell>
          <cell r="AM1789">
            <v>1.791512795</v>
          </cell>
          <cell r="AN1789">
            <v>1.834326771</v>
          </cell>
          <cell r="AO1789">
            <v>1.8797223489999999</v>
          </cell>
        </row>
      </sheetData>
      <sheetData sheetId="7"/>
      <sheetData sheetId="8">
        <row r="820">
          <cell r="B820">
            <v>348.0186405</v>
          </cell>
          <cell r="C820">
            <v>348.2828753</v>
          </cell>
          <cell r="D820">
            <v>348.69084459999999</v>
          </cell>
          <cell r="E820">
            <v>348.92196819999998</v>
          </cell>
          <cell r="F820">
            <v>351.19290660000001</v>
          </cell>
          <cell r="G820">
            <v>355.04232150000001</v>
          </cell>
          <cell r="H820">
            <v>359.23289829999999</v>
          </cell>
          <cell r="I820">
            <v>363.5112421</v>
          </cell>
          <cell r="J820">
            <v>367.86726929999998</v>
          </cell>
          <cell r="K820">
            <v>372.2950591</v>
          </cell>
          <cell r="L820">
            <v>376.70954289999997</v>
          </cell>
          <cell r="M820">
            <v>380.22014300000001</v>
          </cell>
          <cell r="N820">
            <v>382.95278819999999</v>
          </cell>
          <cell r="O820">
            <v>385.07680979999998</v>
          </cell>
          <cell r="P820">
            <v>386.78594989999999</v>
          </cell>
          <cell r="Q820">
            <v>388.26377489999999</v>
          </cell>
          <cell r="R820">
            <v>390.21900649999998</v>
          </cell>
          <cell r="S820">
            <v>392.72864700000002</v>
          </cell>
          <cell r="T820">
            <v>395.86954400000002</v>
          </cell>
          <cell r="U820">
            <v>399.6513061</v>
          </cell>
          <cell r="V820">
            <v>403.98743389999998</v>
          </cell>
          <cell r="W820">
            <v>409.01772089999997</v>
          </cell>
          <cell r="X820">
            <v>414.757881</v>
          </cell>
          <cell r="Y820">
            <v>421.23086610000001</v>
          </cell>
          <cell r="Z820">
            <v>428.44048780000003</v>
          </cell>
          <cell r="AA820">
            <v>436.13761979999998</v>
          </cell>
          <cell r="AB820">
            <v>444.5890958</v>
          </cell>
          <cell r="AC820">
            <v>453.83114119999999</v>
          </cell>
          <cell r="AD820">
            <v>463.87755909999998</v>
          </cell>
          <cell r="AE820">
            <v>474.65461390000002</v>
          </cell>
          <cell r="AF820">
            <v>486.03652499999998</v>
          </cell>
          <cell r="AG820">
            <v>497.89747519999997</v>
          </cell>
          <cell r="AH820">
            <v>510.12106940000001</v>
          </cell>
          <cell r="AI820">
            <v>522.59448499999996</v>
          </cell>
          <cell r="AJ820">
            <v>535.20370760000003</v>
          </cell>
          <cell r="AK820">
            <v>547.8313015</v>
          </cell>
        </row>
        <row r="821">
          <cell r="B821">
            <v>213.27374029999999</v>
          </cell>
          <cell r="C821">
            <v>214.38117</v>
          </cell>
          <cell r="D821">
            <v>215.68811819999999</v>
          </cell>
          <cell r="E821">
            <v>216.7261207</v>
          </cell>
          <cell r="F821">
            <v>219.11274359999999</v>
          </cell>
          <cell r="G821">
            <v>222.62583219999999</v>
          </cell>
          <cell r="H821">
            <v>226.4658556</v>
          </cell>
          <cell r="I821">
            <v>230.36968469999999</v>
          </cell>
          <cell r="J821">
            <v>234.29661200000001</v>
          </cell>
          <cell r="K821">
            <v>238.2365345</v>
          </cell>
          <cell r="L821">
            <v>242.0703671</v>
          </cell>
          <cell r="M821">
            <v>245.0358832</v>
          </cell>
          <cell r="N821">
            <v>247.26299839999999</v>
          </cell>
          <cell r="O821">
            <v>248.9141138</v>
          </cell>
          <cell r="P821">
            <v>250.18096130000001</v>
          </cell>
          <cell r="Q821">
            <v>251.2474915</v>
          </cell>
          <cell r="R821">
            <v>252.65112590000001</v>
          </cell>
          <cell r="S821">
            <v>254.5373256</v>
          </cell>
          <cell r="T821">
            <v>256.98713780000003</v>
          </cell>
          <cell r="U821">
            <v>260.02801030000001</v>
          </cell>
          <cell r="V821">
            <v>263.62279719999998</v>
          </cell>
          <cell r="W821">
            <v>267.86692909999999</v>
          </cell>
          <cell r="X821">
            <v>272.78523180000002</v>
          </cell>
          <cell r="Y821">
            <v>278.39882790000001</v>
          </cell>
          <cell r="Z821">
            <v>284.70784939999999</v>
          </cell>
          <cell r="AA821">
            <v>291.5528592</v>
          </cell>
          <cell r="AB821">
            <v>299.09727359999999</v>
          </cell>
          <cell r="AC821">
            <v>307.37284899999997</v>
          </cell>
          <cell r="AD821">
            <v>316.3859415</v>
          </cell>
          <cell r="AE821">
            <v>326.05890909999999</v>
          </cell>
          <cell r="AF821">
            <v>336.26744389999999</v>
          </cell>
          <cell r="AG821">
            <v>346.8909931</v>
          </cell>
          <cell r="AH821">
            <v>357.82458430000003</v>
          </cell>
          <cell r="AI821">
            <v>368.96793630000002</v>
          </cell>
          <cell r="AJ821">
            <v>380.22025830000001</v>
          </cell>
          <cell r="AK821">
            <v>391.4783094</v>
          </cell>
        </row>
        <row r="822">
          <cell r="B822">
            <v>2.7534944400000001E-2</v>
          </cell>
          <cell r="C822">
            <v>2.8000791099999998E-2</v>
          </cell>
          <cell r="D822">
            <v>2.8553087000000001E-2</v>
          </cell>
          <cell r="E822">
            <v>2.9187306999999999E-2</v>
          </cell>
          <cell r="F822">
            <v>2.9887357E-2</v>
          </cell>
          <cell r="G822">
            <v>3.06469779E-2</v>
          </cell>
          <cell r="H822">
            <v>3.1438939300000003E-2</v>
          </cell>
          <cell r="I822">
            <v>3.2252248800000001E-2</v>
          </cell>
          <cell r="J822">
            <v>3.30806009E-2</v>
          </cell>
          <cell r="K822">
            <v>3.39217645E-2</v>
          </cell>
          <cell r="L822">
            <v>3.47559598E-2</v>
          </cell>
          <cell r="M822">
            <v>3.5474949999999998E-2</v>
          </cell>
          <cell r="N822">
            <v>3.6100953200000001E-2</v>
          </cell>
          <cell r="O822">
            <v>3.6651025099999998E-2</v>
          </cell>
          <cell r="P822">
            <v>3.7147225999999998E-2</v>
          </cell>
          <cell r="Q822">
            <v>3.7611905000000001E-2</v>
          </cell>
          <cell r="R822">
            <v>3.8078674200000003E-2</v>
          </cell>
          <cell r="S822">
            <v>3.8573499800000001E-2</v>
          </cell>
          <cell r="T822">
            <v>3.9114334399999999E-2</v>
          </cell>
          <cell r="U822">
            <v>3.97116593E-2</v>
          </cell>
          <cell r="V822">
            <v>4.0365200499999997E-2</v>
          </cell>
          <cell r="W822">
            <v>4.1093029099999998E-2</v>
          </cell>
          <cell r="X822">
            <v>4.19036136E-2</v>
          </cell>
          <cell r="Y822">
            <v>4.2802044499999997E-2</v>
          </cell>
          <cell r="Z822">
            <v>4.37883279E-2</v>
          </cell>
          <cell r="AA822">
            <v>4.4836622999999999E-2</v>
          </cell>
          <cell r="AB822">
            <v>4.59681911E-2</v>
          </cell>
          <cell r="AC822">
            <v>4.7190238299999999E-2</v>
          </cell>
          <cell r="AD822">
            <v>4.8505077399999999E-2</v>
          </cell>
          <cell r="AE822">
            <v>4.9903440700000003E-2</v>
          </cell>
          <cell r="AF822">
            <v>5.1369798699999997E-2</v>
          </cell>
          <cell r="AG822">
            <v>5.2889332099999999E-2</v>
          </cell>
          <cell r="AH822">
            <v>5.4449128899999998E-2</v>
          </cell>
          <cell r="AI822">
            <v>5.6036553599999997E-2</v>
          </cell>
          <cell r="AJ822">
            <v>5.7638850999999998E-2</v>
          </cell>
          <cell r="AK822">
            <v>5.9243053400000002E-2</v>
          </cell>
        </row>
        <row r="823">
          <cell r="B823">
            <v>15.22687925</v>
          </cell>
          <cell r="C823">
            <v>15.4837627</v>
          </cell>
          <cell r="D823">
            <v>15.780314300000001</v>
          </cell>
          <cell r="E823">
            <v>16.100668599999999</v>
          </cell>
          <cell r="F823">
            <v>16.44580508</v>
          </cell>
          <cell r="G823">
            <v>16.81611462</v>
          </cell>
          <cell r="H823">
            <v>17.200398549999999</v>
          </cell>
          <cell r="I823">
            <v>17.596782709999999</v>
          </cell>
          <cell r="J823">
            <v>18.003609229999999</v>
          </cell>
          <cell r="K823">
            <v>18.42075264</v>
          </cell>
          <cell r="L823">
            <v>18.847910200000001</v>
          </cell>
          <cell r="M823">
            <v>19.237156689999999</v>
          </cell>
          <cell r="N823">
            <v>19.59732996</v>
          </cell>
          <cell r="O823">
            <v>19.937192880000001</v>
          </cell>
          <cell r="P823">
            <v>20.266860179999998</v>
          </cell>
          <cell r="Q823">
            <v>20.595893740000001</v>
          </cell>
          <cell r="R823">
            <v>20.937379499999999</v>
          </cell>
          <cell r="S823">
            <v>21.301883499999999</v>
          </cell>
          <cell r="T823">
            <v>21.696501720000001</v>
          </cell>
          <cell r="U823">
            <v>22.12490953</v>
          </cell>
          <cell r="V823">
            <v>22.582144329999998</v>
          </cell>
          <cell r="W823">
            <v>23.081116720000001</v>
          </cell>
          <cell r="X823">
            <v>23.621086080000001</v>
          </cell>
          <cell r="Y823">
            <v>24.202889429999999</v>
          </cell>
          <cell r="Z823">
            <v>24.825905070000001</v>
          </cell>
          <cell r="AA823">
            <v>25.467573099999999</v>
          </cell>
          <cell r="AB823">
            <v>26.15015146</v>
          </cell>
          <cell r="AC823">
            <v>26.871379990000001</v>
          </cell>
          <cell r="AD823">
            <v>27.631216240000001</v>
          </cell>
          <cell r="AE823">
            <v>28.426044019999999</v>
          </cell>
          <cell r="AF823">
            <v>29.250025839999999</v>
          </cell>
          <cell r="AG823">
            <v>30.09771383</v>
          </cell>
          <cell r="AH823">
            <v>30.964743309999999</v>
          </cell>
          <cell r="AI823">
            <v>31.847248879999999</v>
          </cell>
          <cell r="AJ823">
            <v>32.74151312</v>
          </cell>
          <cell r="AK823">
            <v>33.643764580000003</v>
          </cell>
        </row>
        <row r="824">
          <cell r="B824">
            <v>119.490486</v>
          </cell>
          <cell r="C824">
            <v>118.3899419</v>
          </cell>
          <cell r="D824">
            <v>117.193859</v>
          </cell>
          <cell r="E824">
            <v>116.0659916</v>
          </cell>
          <cell r="F824">
            <v>115.6044706</v>
          </cell>
          <cell r="G824">
            <v>115.5697278</v>
          </cell>
          <cell r="H824">
            <v>115.53520519999999</v>
          </cell>
          <cell r="I824">
            <v>115.5125225</v>
          </cell>
          <cell r="J824">
            <v>115.53396739999999</v>
          </cell>
          <cell r="K824">
            <v>115.6038501</v>
          </cell>
          <cell r="L824">
            <v>115.7565097</v>
          </cell>
          <cell r="M824">
            <v>115.9116282</v>
          </cell>
          <cell r="N824">
            <v>116.05635890000001</v>
          </cell>
          <cell r="O824">
            <v>116.18885210000001</v>
          </cell>
          <cell r="P824">
            <v>116.3009813</v>
          </cell>
          <cell r="Q824">
            <v>116.3827778</v>
          </cell>
          <cell r="R824">
            <v>116.5924224</v>
          </cell>
          <cell r="S824">
            <v>116.85086440000001</v>
          </cell>
          <cell r="T824">
            <v>117.1467901</v>
          </cell>
          <cell r="U824">
            <v>117.45867459999999</v>
          </cell>
          <cell r="V824">
            <v>117.7421272</v>
          </cell>
          <cell r="W824">
            <v>118.02858209999999</v>
          </cell>
          <cell r="X824">
            <v>118.3096595</v>
          </cell>
          <cell r="Y824">
            <v>118.58634670000001</v>
          </cell>
          <cell r="Z824">
            <v>118.862945</v>
          </cell>
          <cell r="AA824">
            <v>119.0723508</v>
          </cell>
          <cell r="AB824">
            <v>119.2957025</v>
          </cell>
          <cell r="AC824">
            <v>119.539722</v>
          </cell>
          <cell r="AD824">
            <v>119.8118963</v>
          </cell>
          <cell r="AE824">
            <v>120.1197573</v>
          </cell>
          <cell r="AF824">
            <v>120.46768539999999</v>
          </cell>
          <cell r="AG824">
            <v>120.85587889999999</v>
          </cell>
          <cell r="AH824">
            <v>121.2772927</v>
          </cell>
          <cell r="AI824">
            <v>121.7232633</v>
          </cell>
          <cell r="AJ824">
            <v>122.1842973</v>
          </cell>
          <cell r="AK824">
            <v>122.6499845</v>
          </cell>
        </row>
        <row r="825">
          <cell r="B825">
            <v>348.01866310000003</v>
          </cell>
          <cell r="C825">
            <v>348.28289740000002</v>
          </cell>
          <cell r="D825">
            <v>348.69086609999999</v>
          </cell>
          <cell r="E825">
            <v>348.92198919999998</v>
          </cell>
          <cell r="F825">
            <v>351.19292739999997</v>
          </cell>
          <cell r="G825">
            <v>355.04234229999997</v>
          </cell>
          <cell r="H825">
            <v>359.2329191</v>
          </cell>
          <cell r="I825">
            <v>348.75001709999998</v>
          </cell>
          <cell r="J825">
            <v>337.7842387</v>
          </cell>
          <cell r="K825">
            <v>328.01498650000002</v>
          </cell>
          <cell r="L825">
            <v>318.71565320000002</v>
          </cell>
          <cell r="M825">
            <v>309.92886090000002</v>
          </cell>
          <cell r="N825">
            <v>301.35252159999999</v>
          </cell>
          <cell r="O825">
            <v>292.94981319999999</v>
          </cell>
          <cell r="P825">
            <v>284.78862179999999</v>
          </cell>
          <cell r="Q825">
            <v>276.88766670000001</v>
          </cell>
          <cell r="R825">
            <v>269.0322506</v>
          </cell>
          <cell r="S825">
            <v>261.34335679999998</v>
          </cell>
          <cell r="T825">
            <v>253.8985744</v>
          </cell>
          <cell r="U825">
            <v>246.73718160000001</v>
          </cell>
          <cell r="V825">
            <v>239.82831630000001</v>
          </cell>
          <cell r="W825">
            <v>233.26568689999999</v>
          </cell>
          <cell r="X825">
            <v>227.0394728</v>
          </cell>
          <cell r="Y825">
            <v>221.11901330000001</v>
          </cell>
          <cell r="Z825">
            <v>215.45223659999999</v>
          </cell>
          <cell r="AA825">
            <v>209.8547121</v>
          </cell>
          <cell r="AB825">
            <v>204.4260496</v>
          </cell>
          <cell r="AC825">
            <v>199.14048589999999</v>
          </cell>
          <cell r="AD825">
            <v>193.93043890000001</v>
          </cell>
          <cell r="AE825">
            <v>188.68053599999999</v>
          </cell>
          <cell r="AF825">
            <v>183.25600990000001</v>
          </cell>
          <cell r="AG825">
            <v>177.5340909</v>
          </cell>
          <cell r="AH825">
            <v>171.4003836</v>
          </cell>
          <cell r="AI825">
            <v>164.7260714</v>
          </cell>
          <cell r="AJ825">
            <v>157.3614579</v>
          </cell>
          <cell r="AK825">
            <v>149.1146517</v>
          </cell>
        </row>
        <row r="826">
          <cell r="B826">
            <v>213.2737558</v>
          </cell>
          <cell r="C826">
            <v>214.3811852</v>
          </cell>
          <cell r="D826">
            <v>215.68813320000001</v>
          </cell>
          <cell r="E826">
            <v>216.72613530000001</v>
          </cell>
          <cell r="F826">
            <v>219.11275810000001</v>
          </cell>
          <cell r="G826">
            <v>222.62584670000001</v>
          </cell>
          <cell r="H826">
            <v>226.46587020000001</v>
          </cell>
          <cell r="I826">
            <v>220.2500537</v>
          </cell>
          <cell r="J826">
            <v>213.48922630000001</v>
          </cell>
          <cell r="K826">
            <v>207.85364939999999</v>
          </cell>
          <cell r="L826">
            <v>202.6548908</v>
          </cell>
          <cell r="M826">
            <v>197.74976240000001</v>
          </cell>
          <cell r="N826">
            <v>192.91626160000001</v>
          </cell>
          <cell r="O826">
            <v>188.12967169999999</v>
          </cell>
          <cell r="P826">
            <v>183.46295319999999</v>
          </cell>
          <cell r="Q826">
            <v>178.94618299999999</v>
          </cell>
          <cell r="R826">
            <v>174.417586</v>
          </cell>
          <cell r="S826">
            <v>170.0017129</v>
          </cell>
          <cell r="T826">
            <v>165.7726792</v>
          </cell>
          <cell r="U826">
            <v>161.759488</v>
          </cell>
          <cell r="V826">
            <v>157.94190230000001</v>
          </cell>
          <cell r="W826">
            <v>154.36364399999999</v>
          </cell>
          <cell r="X826">
            <v>151.01577359999999</v>
          </cell>
          <cell r="Y826">
            <v>147.8658423</v>
          </cell>
          <cell r="Z826">
            <v>144.86098709999999</v>
          </cell>
          <cell r="AA826">
            <v>141.87571449999999</v>
          </cell>
          <cell r="AB826">
            <v>138.94879159999999</v>
          </cell>
          <cell r="AC826">
            <v>136.05608849999999</v>
          </cell>
          <cell r="AD826">
            <v>133.13243170000001</v>
          </cell>
          <cell r="AE826">
            <v>130.06793350000001</v>
          </cell>
          <cell r="AF826">
            <v>126.7350825</v>
          </cell>
          <cell r="AG826">
            <v>123.01685190000001</v>
          </cell>
          <cell r="AH826">
            <v>118.80140230000001</v>
          </cell>
          <cell r="AI826">
            <v>113.9589142</v>
          </cell>
          <cell r="AJ826">
            <v>108.3329894</v>
          </cell>
          <cell r="AK826">
            <v>101.7164351</v>
          </cell>
        </row>
        <row r="827">
          <cell r="B827">
            <v>2.7534944400000001E-2</v>
          </cell>
          <cell r="C827">
            <v>2.8000791099999998E-2</v>
          </cell>
          <cell r="D827">
            <v>2.8553087000000001E-2</v>
          </cell>
          <cell r="E827">
            <v>2.9187306999999999E-2</v>
          </cell>
          <cell r="F827">
            <v>2.9887357E-2</v>
          </cell>
          <cell r="G827">
            <v>3.06469779E-2</v>
          </cell>
          <cell r="H827">
            <v>3.1438939300000003E-2</v>
          </cell>
          <cell r="I827">
            <v>3.2128166600000001E-2</v>
          </cell>
          <cell r="J827">
            <v>3.2801510899999997E-2</v>
          </cell>
          <cell r="K827">
            <v>3.3621082900000002E-2</v>
          </cell>
          <cell r="L827">
            <v>3.4445857199999999E-2</v>
          </cell>
          <cell r="M827">
            <v>3.5149242300000001E-2</v>
          </cell>
          <cell r="N827">
            <v>3.5752108800000001E-2</v>
          </cell>
          <cell r="O827">
            <v>3.6279306599999998E-2</v>
          </cell>
          <cell r="P827">
            <v>3.6762136799999998E-2</v>
          </cell>
          <cell r="Q827">
            <v>3.72213869E-2</v>
          </cell>
          <cell r="R827">
            <v>3.7684225500000001E-2</v>
          </cell>
          <cell r="S827">
            <v>3.8163102800000001E-2</v>
          </cell>
          <cell r="T827">
            <v>3.8674602600000003E-2</v>
          </cell>
          <cell r="U827">
            <v>3.9230911299999997E-2</v>
          </cell>
          <cell r="V827">
            <v>3.9834087999999997E-2</v>
          </cell>
          <cell r="W827">
            <v>4.0504353299999997E-2</v>
          </cell>
          <cell r="X827">
            <v>4.12523152E-2</v>
          </cell>
          <cell r="Y827">
            <v>4.2085297799999997E-2</v>
          </cell>
          <cell r="Z827">
            <v>4.3005759800000001E-2</v>
          </cell>
          <cell r="AA827">
            <v>4.3989969199999999E-2</v>
          </cell>
          <cell r="AB827">
            <v>4.5053164999999999E-2</v>
          </cell>
          <cell r="AC827">
            <v>4.6212618499999997E-2</v>
          </cell>
          <cell r="AD827">
            <v>4.7474582899999999E-2</v>
          </cell>
          <cell r="AE827">
            <v>4.8834454200000002E-2</v>
          </cell>
          <cell r="AF827">
            <v>5.02813935E-2</v>
          </cell>
          <cell r="AG827">
            <v>5.1804954299999997E-2</v>
          </cell>
          <cell r="AH827">
            <v>5.3396829600000001E-2</v>
          </cell>
          <cell r="AI827">
            <v>5.5049773199999999E-2</v>
          </cell>
          <cell r="AJ827">
            <v>5.6757762000000003E-2</v>
          </cell>
          <cell r="AK827">
            <v>5.8516633800000002E-2</v>
          </cell>
        </row>
        <row r="828">
          <cell r="B828">
            <v>15.22687925</v>
          </cell>
          <cell r="C828">
            <v>15.4837627</v>
          </cell>
          <cell r="D828">
            <v>15.780314300000001</v>
          </cell>
          <cell r="E828">
            <v>16.100668599999999</v>
          </cell>
          <cell r="F828">
            <v>16.44580508</v>
          </cell>
          <cell r="G828">
            <v>16.81611462</v>
          </cell>
          <cell r="H828">
            <v>17.200398549999999</v>
          </cell>
          <cell r="I828">
            <v>17.521296299999999</v>
          </cell>
          <cell r="J828">
            <v>17.818308210000001</v>
          </cell>
          <cell r="K828">
            <v>18.154557029999999</v>
          </cell>
          <cell r="L828">
            <v>18.503203970000001</v>
          </cell>
          <cell r="M828">
            <v>18.820595470000001</v>
          </cell>
          <cell r="N828">
            <v>19.114486849999999</v>
          </cell>
          <cell r="O828">
            <v>19.395188839999999</v>
          </cell>
          <cell r="P828">
            <v>19.675058809999999</v>
          </cell>
          <cell r="Q828">
            <v>19.9626102</v>
          </cell>
          <cell r="R828">
            <v>20.263707419999999</v>
          </cell>
          <cell r="S828">
            <v>20.58068973</v>
          </cell>
          <cell r="T828">
            <v>20.919928250000002</v>
          </cell>
          <cell r="U828">
            <v>21.286912359999999</v>
          </cell>
          <cell r="V828">
            <v>21.67931218</v>
          </cell>
          <cell r="W828">
            <v>22.11268733</v>
          </cell>
          <cell r="X828">
            <v>22.588706640000002</v>
          </cell>
          <cell r="Y828">
            <v>23.110239969999999</v>
          </cell>
          <cell r="Z828">
            <v>23.67887631</v>
          </cell>
          <cell r="AA828">
            <v>24.27469155</v>
          </cell>
          <cell r="AB828">
            <v>24.919683989999999</v>
          </cell>
          <cell r="AC828">
            <v>25.61798155</v>
          </cell>
          <cell r="AD828">
            <v>26.373041390000001</v>
          </cell>
          <cell r="AE828">
            <v>27.18576749</v>
          </cell>
          <cell r="AF828">
            <v>28.05623383</v>
          </cell>
          <cell r="AG828">
            <v>28.986686240000001</v>
          </cell>
          <cell r="AH828">
            <v>29.982655950000002</v>
          </cell>
          <cell r="AI828">
            <v>31.052907940000001</v>
          </cell>
          <cell r="AJ828">
            <v>32.211451400000001</v>
          </cell>
          <cell r="AK828">
            <v>33.480711049999996</v>
          </cell>
        </row>
        <row r="829">
          <cell r="B829">
            <v>119.49049309999999</v>
          </cell>
          <cell r="C829">
            <v>118.3899486</v>
          </cell>
          <cell r="D829">
            <v>117.1938656</v>
          </cell>
          <cell r="E829">
            <v>116.0659979</v>
          </cell>
          <cell r="F829">
            <v>115.6044768</v>
          </cell>
          <cell r="G829">
            <v>115.569734</v>
          </cell>
          <cell r="H829">
            <v>115.53521139999999</v>
          </cell>
          <cell r="I829">
            <v>110.94653889999999</v>
          </cell>
          <cell r="J829">
            <v>106.4439027</v>
          </cell>
          <cell r="K829">
            <v>101.973159</v>
          </cell>
          <cell r="L829">
            <v>97.523112600000005</v>
          </cell>
          <cell r="M829">
            <v>93.323353819999994</v>
          </cell>
          <cell r="N829">
            <v>89.286021079999998</v>
          </cell>
          <cell r="O829">
            <v>85.388673359999999</v>
          </cell>
          <cell r="P829">
            <v>81.613847680000006</v>
          </cell>
          <cell r="Q829">
            <v>77.941652090000005</v>
          </cell>
          <cell r="R829">
            <v>74.313272920000003</v>
          </cell>
          <cell r="S829">
            <v>70.722791079999993</v>
          </cell>
          <cell r="T829">
            <v>67.167292410000002</v>
          </cell>
          <cell r="U829">
            <v>63.651550309999998</v>
          </cell>
          <cell r="V829">
            <v>60.16726766</v>
          </cell>
          <cell r="W829">
            <v>56.748851180000003</v>
          </cell>
          <cell r="X829">
            <v>53.39374024</v>
          </cell>
          <cell r="Y829">
            <v>50.100845739999997</v>
          </cell>
          <cell r="Z829">
            <v>46.869367500000003</v>
          </cell>
          <cell r="AA829">
            <v>43.660316049999999</v>
          </cell>
          <cell r="AB829">
            <v>40.512520879999997</v>
          </cell>
          <cell r="AC829">
            <v>37.420203229999998</v>
          </cell>
          <cell r="AD829">
            <v>34.377491259999999</v>
          </cell>
          <cell r="AE829">
            <v>31.3780006</v>
          </cell>
          <cell r="AF829">
            <v>28.414412219999999</v>
          </cell>
          <cell r="AG829">
            <v>25.478747859999999</v>
          </cell>
          <cell r="AH829">
            <v>22.562928490000001</v>
          </cell>
          <cell r="AI829">
            <v>19.65919955</v>
          </cell>
          <cell r="AJ829">
            <v>16.760259319999999</v>
          </cell>
          <cell r="AK829">
            <v>13.85898884</v>
          </cell>
        </row>
        <row r="830">
          <cell r="A830" t="str">
            <v>ems_ci_co2_sagr_2</v>
          </cell>
          <cell r="B830">
            <v>14.16949179</v>
          </cell>
          <cell r="C830">
            <v>14.30325704</v>
          </cell>
          <cell r="D830">
            <v>14.46890951</v>
          </cell>
          <cell r="E830">
            <v>14.646546109999999</v>
          </cell>
          <cell r="F830">
            <v>14.90083128</v>
          </cell>
          <cell r="G830">
            <v>15.22194466</v>
          </cell>
          <cell r="H830">
            <v>15.573480269999999</v>
          </cell>
          <cell r="I830">
            <v>15.114423739999999</v>
          </cell>
          <cell r="J830">
            <v>14.578236710000001</v>
          </cell>
          <cell r="K830">
            <v>14.07717439</v>
          </cell>
          <cell r="L830">
            <v>13.579587099999999</v>
          </cell>
          <cell r="M830">
            <v>13.09114447</v>
          </cell>
          <cell r="N830">
            <v>12.603245940000001</v>
          </cell>
          <cell r="O830">
            <v>12.114842429999999</v>
          </cell>
          <cell r="P830">
            <v>11.62980892</v>
          </cell>
          <cell r="Q830">
            <v>11.15029592</v>
          </cell>
          <cell r="R830">
            <v>10.666656359999999</v>
          </cell>
          <cell r="S830">
            <v>10.18723119</v>
          </cell>
          <cell r="T830">
            <v>9.718216709</v>
          </cell>
          <cell r="U830">
            <v>9.2624871590000009</v>
          </cell>
          <cell r="V830">
            <v>8.8193042419999994</v>
          </cell>
          <cell r="W830">
            <v>8.3904110599999999</v>
          </cell>
          <cell r="X830">
            <v>7.9748332739999999</v>
          </cell>
          <cell r="Y830">
            <v>7.5700043959999999</v>
          </cell>
          <cell r="Z830">
            <v>7.1720320820000003</v>
          </cell>
          <cell r="AA830">
            <v>6.7730716839999996</v>
          </cell>
          <cell r="AB830">
            <v>6.3707432180000003</v>
          </cell>
          <cell r="AC830">
            <v>5.962338463</v>
          </cell>
          <cell r="AD830">
            <v>5.5424160149999997</v>
          </cell>
          <cell r="AE830">
            <v>5.1033908959999996</v>
          </cell>
          <cell r="AF830">
            <v>4.6366839620000002</v>
          </cell>
          <cell r="AG830">
            <v>4.1335976390000004</v>
          </cell>
          <cell r="AH830">
            <v>3.5852016959999999</v>
          </cell>
          <cell r="AI830">
            <v>2.981776983</v>
          </cell>
          <cell r="AJ830">
            <v>2.3123165409999999</v>
          </cell>
          <cell r="AK830">
            <v>1.5636619329999999</v>
          </cell>
        </row>
        <row r="832">
          <cell r="A832" t="str">
            <v>ems_ci_co2_sfor_2</v>
          </cell>
          <cell r="B832">
            <v>0.53965023629999997</v>
          </cell>
          <cell r="C832">
            <v>0.53154748220000003</v>
          </cell>
          <cell r="D832">
            <v>0.52233007750000005</v>
          </cell>
          <cell r="E832">
            <v>0.51202028759999996</v>
          </cell>
          <cell r="F832">
            <v>0.5061719375</v>
          </cell>
          <cell r="G832">
            <v>0.50376176380000004</v>
          </cell>
          <cell r="H832">
            <v>0.50327254190000004</v>
          </cell>
          <cell r="I832">
            <v>0.47235250029999998</v>
          </cell>
          <cell r="J832">
            <v>0.4393244577</v>
          </cell>
          <cell r="K832">
            <v>0.40738037119999998</v>
          </cell>
          <cell r="L832">
            <v>0.37616960789999998</v>
          </cell>
          <cell r="M832">
            <v>0.34805335710000002</v>
          </cell>
          <cell r="N832">
            <v>0.32270649730000001</v>
          </cell>
          <cell r="O832">
            <v>0.29999082230000002</v>
          </cell>
          <cell r="P832">
            <v>0.2797828007</v>
          </cell>
          <cell r="Q832">
            <v>0.2618108281</v>
          </cell>
          <cell r="R832">
            <v>0.2444839587</v>
          </cell>
          <cell r="S832">
            <v>0.22831922330000001</v>
          </cell>
          <cell r="T832">
            <v>0.21340904490000001</v>
          </cell>
          <cell r="U832">
            <v>0.19973501199999999</v>
          </cell>
          <cell r="V832">
            <v>0.1871883801</v>
          </cell>
          <cell r="W832">
            <v>0.17578108840000001</v>
          </cell>
          <cell r="X832">
            <v>0.1654134961</v>
          </cell>
          <cell r="Y832">
            <v>0.1559630045</v>
          </cell>
          <cell r="Z832">
            <v>0.14729773709999999</v>
          </cell>
          <cell r="AA832">
            <v>0.13917856840000001</v>
          </cell>
          <cell r="AB832">
            <v>0.13171056110000001</v>
          </cell>
          <cell r="AC832">
            <v>0.1247114804</v>
          </cell>
          <cell r="AD832">
            <v>0.1180373621</v>
          </cell>
          <cell r="AE832">
            <v>0.111524973</v>
          </cell>
          <cell r="AF832">
            <v>0.1050064309</v>
          </cell>
          <cell r="AG832">
            <v>9.8323942799999994E-2</v>
          </cell>
          <cell r="AH832">
            <v>9.1319740299999994E-2</v>
          </cell>
          <cell r="AI832">
            <v>8.3814499900000006E-2</v>
          </cell>
          <cell r="AJ832">
            <v>7.5589801200000001E-2</v>
          </cell>
          <cell r="AK832">
            <v>6.6355049900000004E-2</v>
          </cell>
        </row>
        <row r="834">
          <cell r="A834" t="str">
            <v>ems_ci_co2_sfoo_2</v>
          </cell>
          <cell r="B834">
            <v>8.6183733500000006</v>
          </cell>
          <cell r="C834">
            <v>8.6008742229999999</v>
          </cell>
          <cell r="D834">
            <v>8.5955247900000007</v>
          </cell>
          <cell r="E834">
            <v>8.5823613460000008</v>
          </cell>
          <cell r="F834">
            <v>8.6464284429999996</v>
          </cell>
          <cell r="G834">
            <v>8.7724056929999996</v>
          </cell>
          <cell r="H834">
            <v>8.886424216</v>
          </cell>
          <cell r="I834">
            <v>8.4812928650000003</v>
          </cell>
          <cell r="J834">
            <v>8.0362908409999996</v>
          </cell>
          <cell r="K834">
            <v>7.6258634089999999</v>
          </cell>
          <cell r="L834">
            <v>7.2464516620000001</v>
          </cell>
          <cell r="M834">
            <v>6.9174335060000001</v>
          </cell>
          <cell r="N834">
            <v>6.619920553</v>
          </cell>
          <cell r="O834">
            <v>6.3427121719999997</v>
          </cell>
          <cell r="P834">
            <v>6.0808724649999997</v>
          </cell>
          <cell r="Q834">
            <v>5.8316597960000003</v>
          </cell>
          <cell r="R834">
            <v>5.5932338350000004</v>
          </cell>
          <cell r="S834">
            <v>5.3662818339999996</v>
          </cell>
          <cell r="T834">
            <v>5.1516878659999996</v>
          </cell>
          <cell r="U834">
            <v>4.9499295500000002</v>
          </cell>
          <cell r="V834">
            <v>4.7601120510000001</v>
          </cell>
          <cell r="W834">
            <v>4.5836160140000004</v>
          </cell>
          <cell r="X834">
            <v>4.4201257490000003</v>
          </cell>
          <cell r="Y834">
            <v>4.2686691510000001</v>
          </cell>
          <cell r="Z834">
            <v>4.127754221</v>
          </cell>
          <cell r="AA834">
            <v>3.9932308860000001</v>
          </cell>
          <cell r="AB834">
            <v>3.8650916249999998</v>
          </cell>
          <cell r="AC834">
            <v>3.7427644889999998</v>
          </cell>
          <cell r="AD834">
            <v>3.6239336990000002</v>
          </cell>
          <cell r="AE834">
            <v>3.5050718889999999</v>
          </cell>
          <cell r="AF834">
            <v>3.381955928</v>
          </cell>
          <cell r="AG834">
            <v>3.2501910120000002</v>
          </cell>
          <cell r="AH834">
            <v>3.105148598</v>
          </cell>
          <cell r="AI834">
            <v>2.9415768710000001</v>
          </cell>
          <cell r="AJ834">
            <v>2.7534794520000001</v>
          </cell>
          <cell r="AK834">
            <v>2.5337553050000001</v>
          </cell>
        </row>
        <row r="836">
          <cell r="A836" t="str">
            <v>ems_ci_co2_sveh_2</v>
          </cell>
          <cell r="B836">
            <v>1.1119214820000001</v>
          </cell>
          <cell r="C836">
            <v>1.111591985</v>
          </cell>
          <cell r="D836">
            <v>1.1069343359999999</v>
          </cell>
          <cell r="E836">
            <v>1.094192665</v>
          </cell>
          <cell r="F836">
            <v>1.09121723</v>
          </cell>
          <cell r="G836">
            <v>1.0985791709999999</v>
          </cell>
          <cell r="H836">
            <v>1.099873613</v>
          </cell>
          <cell r="I836">
            <v>1.006570953</v>
          </cell>
          <cell r="J836">
            <v>0.89793941519999998</v>
          </cell>
          <cell r="K836">
            <v>0.79612468950000004</v>
          </cell>
          <cell r="L836">
            <v>0.69802831089999995</v>
          </cell>
          <cell r="M836">
            <v>0.60813490520000002</v>
          </cell>
          <cell r="N836">
            <v>0.52676265519999999</v>
          </cell>
          <cell r="O836">
            <v>0.45446046089999997</v>
          </cell>
          <cell r="P836">
            <v>0.39154909389999998</v>
          </cell>
          <cell r="Q836">
            <v>0.3375243919</v>
          </cell>
          <cell r="R836">
            <v>0.29168791729999999</v>
          </cell>
          <cell r="S836">
            <v>0.25314259620000001</v>
          </cell>
          <cell r="T836">
            <v>0.22085928169999999</v>
          </cell>
          <cell r="U836">
            <v>0.19395790539999999</v>
          </cell>
          <cell r="V836">
            <v>0.17169741860000001</v>
          </cell>
          <cell r="W836">
            <v>0.15342875410000001</v>
          </cell>
          <cell r="X836">
            <v>0.1385503958</v>
          </cell>
          <cell r="Y836">
            <v>0.12647746139999999</v>
          </cell>
          <cell r="Z836">
            <v>0.11670097560000001</v>
          </cell>
          <cell r="AA836">
            <v>0.1088022734</v>
          </cell>
          <cell r="AB836">
            <v>0.10257246859999999</v>
          </cell>
          <cell r="AC836">
            <v>9.7677784300000001E-2</v>
          </cell>
          <cell r="AD836">
            <v>9.37299251E-2</v>
          </cell>
          <cell r="AE836">
            <v>9.02699468E-2</v>
          </cell>
          <cell r="AF836">
            <v>8.6830630899999997E-2</v>
          </cell>
          <cell r="AG836">
            <v>8.2974934799999997E-2</v>
          </cell>
          <cell r="AH836">
            <v>7.8245819199999997E-2</v>
          </cell>
          <cell r="AI836">
            <v>7.2083404099999998E-2</v>
          </cell>
          <cell r="AJ836">
            <v>6.3809734800000004E-2</v>
          </cell>
          <cell r="AK836">
            <v>5.2580022099999998E-2</v>
          </cell>
        </row>
        <row r="838">
          <cell r="A838" t="str">
            <v>ems_ci_co2_sgla_2</v>
          </cell>
          <cell r="B838">
            <v>7.7695963629999998</v>
          </cell>
          <cell r="C838">
            <v>7.8393649209999996</v>
          </cell>
          <cell r="D838">
            <v>7.9210754449999996</v>
          </cell>
          <cell r="E838">
            <v>7.9965591089999997</v>
          </cell>
          <cell r="F838">
            <v>8.1129649209999997</v>
          </cell>
          <cell r="G838">
            <v>8.2662444060000002</v>
          </cell>
          <cell r="H838">
            <v>8.4270313609999992</v>
          </cell>
          <cell r="I838">
            <v>8.2656281239999991</v>
          </cell>
          <cell r="J838">
            <v>8.0610773580000004</v>
          </cell>
          <cell r="K838">
            <v>7.875986105</v>
          </cell>
          <cell r="L838">
            <v>7.7009175460000003</v>
          </cell>
          <cell r="M838">
            <v>7.5464942490000002</v>
          </cell>
          <cell r="N838">
            <v>7.4060825479999997</v>
          </cell>
          <cell r="O838">
            <v>7.2770254630000002</v>
          </cell>
          <cell r="P838">
            <v>7.1598008990000004</v>
          </cell>
          <cell r="Q838">
            <v>7.0543364530000003</v>
          </cell>
          <cell r="R838">
            <v>6.9545587360000001</v>
          </cell>
          <cell r="S838">
            <v>6.861374895</v>
          </cell>
          <cell r="T838">
            <v>6.7775397609999999</v>
          </cell>
          <cell r="U838">
            <v>6.7050279860000002</v>
          </cell>
          <cell r="V838">
            <v>6.644163732</v>
          </cell>
          <cell r="W838">
            <v>6.5972026970000002</v>
          </cell>
          <cell r="X838">
            <v>6.5650706980000004</v>
          </cell>
          <cell r="Y838">
            <v>6.5477850650000002</v>
          </cell>
          <cell r="Z838">
            <v>6.5447111019999999</v>
          </cell>
          <cell r="AA838">
            <v>6.5522570900000003</v>
          </cell>
          <cell r="AB838">
            <v>6.5710552980000001</v>
          </cell>
          <cell r="AC838">
            <v>6.602955959</v>
          </cell>
          <cell r="AD838">
            <v>6.6474738909999997</v>
          </cell>
          <cell r="AE838">
            <v>6.7027786689999997</v>
          </cell>
          <cell r="AF838">
            <v>6.7666722750000003</v>
          </cell>
          <cell r="AG838">
            <v>6.8376745249999997</v>
          </cell>
          <cell r="AH838">
            <v>6.9151233559999996</v>
          </cell>
          <cell r="AI838">
            <v>6.9987445890000002</v>
          </cell>
          <cell r="AJ838">
            <v>7.089149484</v>
          </cell>
          <cell r="AK838">
            <v>7.1884086749999998</v>
          </cell>
        </row>
        <row r="840">
          <cell r="A840" t="str">
            <v>ems_ci_co2_spap_2</v>
          </cell>
          <cell r="B840">
            <v>2.533610962</v>
          </cell>
          <cell r="C840">
            <v>2.5595261599999999</v>
          </cell>
          <cell r="D840">
            <v>2.5887660829999999</v>
          </cell>
          <cell r="E840">
            <v>2.6134792189999998</v>
          </cell>
          <cell r="F840">
            <v>2.653367158</v>
          </cell>
          <cell r="G840">
            <v>2.7049752389999999</v>
          </cell>
          <cell r="H840">
            <v>2.752462317</v>
          </cell>
          <cell r="I840">
            <v>2.6708212499999999</v>
          </cell>
          <cell r="J840">
            <v>2.5803737579999999</v>
          </cell>
          <cell r="K840">
            <v>2.5072871129999998</v>
          </cell>
          <cell r="L840">
            <v>2.4383345670000001</v>
          </cell>
          <cell r="M840">
            <v>2.3727031369999998</v>
          </cell>
          <cell r="N840">
            <v>2.308108464</v>
          </cell>
          <cell r="O840">
            <v>2.2451265419999999</v>
          </cell>
          <cell r="P840">
            <v>2.185424743</v>
          </cell>
          <cell r="Q840">
            <v>2.1296752720000001</v>
          </cell>
          <cell r="R840">
            <v>2.0761604359999999</v>
          </cell>
          <cell r="S840">
            <v>2.026386268</v>
          </cell>
          <cell r="T840">
            <v>1.9810557449999999</v>
          </cell>
          <cell r="U840">
            <v>1.940327202</v>
          </cell>
          <cell r="V840">
            <v>1.9039105220000001</v>
          </cell>
          <cell r="W840">
            <v>1.8721294470000001</v>
          </cell>
          <cell r="X840">
            <v>1.8449298279999999</v>
          </cell>
          <cell r="Y840">
            <v>1.8219827580000001</v>
          </cell>
          <cell r="Z840">
            <v>1.8026991189999999</v>
          </cell>
          <cell r="AA840">
            <v>1.785748114</v>
          </cell>
          <cell r="AB840">
            <v>1.7714699920000001</v>
          </cell>
          <cell r="AC840">
            <v>1.759717473</v>
          </cell>
          <cell r="AD840">
            <v>1.7498985439999999</v>
          </cell>
          <cell r="AE840">
            <v>1.740834759</v>
          </cell>
          <cell r="AF840">
            <v>1.7311564989999999</v>
          </cell>
          <cell r="AG840">
            <v>1.71971378</v>
          </cell>
          <cell r="AH840">
            <v>1.7055645559999999</v>
          </cell>
          <cell r="AI840">
            <v>1.6877679160000001</v>
          </cell>
          <cell r="AJ840">
            <v>1.665383936</v>
          </cell>
          <cell r="AK840">
            <v>1.637464091</v>
          </cell>
        </row>
        <row r="842">
          <cell r="A842" t="str">
            <v>ems_ci_co2_sche_2</v>
          </cell>
          <cell r="B842">
            <v>13.59787135</v>
          </cell>
          <cell r="C842">
            <v>13.92087794</v>
          </cell>
          <cell r="D842">
            <v>14.277824170000001</v>
          </cell>
          <cell r="E842">
            <v>14.643037359999999</v>
          </cell>
          <cell r="F842">
            <v>15.031362590000001</v>
          </cell>
          <cell r="G842">
            <v>15.442164699999999</v>
          </cell>
          <cell r="H842">
            <v>15.846615180000001</v>
          </cell>
          <cell r="I842">
            <v>15.876093770000001</v>
          </cell>
          <cell r="J842">
            <v>15.862658619999999</v>
          </cell>
          <cell r="K842">
            <v>15.94685505</v>
          </cell>
          <cell r="L842">
            <v>16.002370840000001</v>
          </cell>
          <cell r="M842">
            <v>15.95489532</v>
          </cell>
          <cell r="N842">
            <v>15.825877630000001</v>
          </cell>
          <cell r="O842">
            <v>15.649132939999999</v>
          </cell>
          <cell r="P842">
            <v>15.45854935</v>
          </cell>
          <cell r="Q842">
            <v>15.27239385</v>
          </cell>
          <cell r="R842">
            <v>15.10862217</v>
          </cell>
          <cell r="S842">
            <v>14.973284319999999</v>
          </cell>
          <cell r="T842">
            <v>14.87187786</v>
          </cell>
          <cell r="U842">
            <v>14.80503571</v>
          </cell>
          <cell r="V842">
            <v>14.770799200000001</v>
          </cell>
          <cell r="W842">
            <v>14.771091180000001</v>
          </cell>
          <cell r="X842">
            <v>14.80637961</v>
          </cell>
          <cell r="Y842">
            <v>14.874890389999999</v>
          </cell>
          <cell r="Z842">
            <v>14.972414260000001</v>
          </cell>
          <cell r="AA842">
            <v>15.090849560000001</v>
          </cell>
          <cell r="AB842">
            <v>15.23204606</v>
          </cell>
          <cell r="AC842">
            <v>15.40026432</v>
          </cell>
          <cell r="AD842">
            <v>15.592988890000001</v>
          </cell>
          <cell r="AE842">
            <v>15.80075972</v>
          </cell>
          <cell r="AF842">
            <v>16.012223899999999</v>
          </cell>
          <cell r="AG842">
            <v>16.219284219999999</v>
          </cell>
          <cell r="AH842">
            <v>16.41685172</v>
          </cell>
          <cell r="AI842">
            <v>16.599908249999999</v>
          </cell>
          <cell r="AJ842">
            <v>16.763657590000001</v>
          </cell>
          <cell r="AK842">
            <v>16.903748029999999</v>
          </cell>
        </row>
        <row r="844">
          <cell r="A844" t="str">
            <v>ems_ci_co2_spla_2</v>
          </cell>
          <cell r="B844">
            <v>1.4824302970000001</v>
          </cell>
          <cell r="C844">
            <v>1.4894128390000001</v>
          </cell>
          <cell r="D844">
            <v>1.497058526</v>
          </cell>
          <cell r="E844">
            <v>1.499263311</v>
          </cell>
          <cell r="F844">
            <v>1.5133010440000001</v>
          </cell>
          <cell r="G844">
            <v>1.53705599</v>
          </cell>
          <cell r="H844">
            <v>1.563127275</v>
          </cell>
          <cell r="I844">
            <v>1.4803087100000001</v>
          </cell>
          <cell r="J844">
            <v>1.3920098729999999</v>
          </cell>
          <cell r="K844">
            <v>1.3162326639999999</v>
          </cell>
          <cell r="L844">
            <v>1.244384785</v>
          </cell>
          <cell r="M844">
            <v>1.176923546</v>
          </cell>
          <cell r="N844">
            <v>1.112793785</v>
          </cell>
          <cell r="O844">
            <v>1.0521941029999999</v>
          </cell>
          <cell r="P844">
            <v>0.99574532159999996</v>
          </cell>
          <cell r="Q844">
            <v>0.94339021349999996</v>
          </cell>
          <cell r="R844">
            <v>0.89311849300000001</v>
          </cell>
          <cell r="S844">
            <v>0.84565774049999998</v>
          </cell>
          <cell r="T844">
            <v>0.80128955970000004</v>
          </cell>
          <cell r="U844">
            <v>0.75994444210000001</v>
          </cell>
          <cell r="V844">
            <v>0.72136331109999996</v>
          </cell>
          <cell r="W844">
            <v>0.68535352360000001</v>
          </cell>
          <cell r="X844">
            <v>0.65161792190000001</v>
          </cell>
          <cell r="Y844">
            <v>0.61970219670000004</v>
          </cell>
          <cell r="Z844">
            <v>0.58904351659999998</v>
          </cell>
          <cell r="AA844">
            <v>0.55894785179999995</v>
          </cell>
          <cell r="AB844">
            <v>0.52907209290000001</v>
          </cell>
          <cell r="AC844">
            <v>0.49897008180000002</v>
          </cell>
          <cell r="AD844">
            <v>0.46796528230000001</v>
          </cell>
          <cell r="AE844">
            <v>0.43516739580000002</v>
          </cell>
          <cell r="AF844">
            <v>0.39965204040000002</v>
          </cell>
          <cell r="AG844">
            <v>0.36057493309999999</v>
          </cell>
          <cell r="AH844">
            <v>0.31710992830000001</v>
          </cell>
          <cell r="AI844">
            <v>0.2683310941</v>
          </cell>
          <cell r="AJ844">
            <v>0.21314578410000001</v>
          </cell>
          <cell r="AK844">
            <v>0.1501655663</v>
          </cell>
        </row>
        <row r="846">
          <cell r="A846" t="str">
            <v>ems_ci_co2_smet_2</v>
          </cell>
          <cell r="B846">
            <v>19.467183080000002</v>
          </cell>
          <cell r="C846">
            <v>19.626557949999999</v>
          </cell>
          <cell r="D846">
            <v>19.80657794</v>
          </cell>
          <cell r="E846">
            <v>19.915262739999999</v>
          </cell>
          <cell r="F846">
            <v>20.164043769999999</v>
          </cell>
          <cell r="G846">
            <v>20.523449970000001</v>
          </cell>
          <cell r="H846">
            <v>20.905779410000001</v>
          </cell>
          <cell r="I846">
            <v>20.310686560000001</v>
          </cell>
          <cell r="J846">
            <v>19.59793208</v>
          </cell>
          <cell r="K846">
            <v>19.018739719999999</v>
          </cell>
          <cell r="L846">
            <v>18.469233150000001</v>
          </cell>
          <cell r="M846">
            <v>17.982499539999999</v>
          </cell>
          <cell r="N846">
            <v>17.532402999999999</v>
          </cell>
          <cell r="O846">
            <v>17.119776460000001</v>
          </cell>
          <cell r="P846">
            <v>16.756294199999999</v>
          </cell>
          <cell r="Q846">
            <v>16.444944100000001</v>
          </cell>
          <cell r="R846">
            <v>16.143460470000001</v>
          </cell>
          <cell r="S846">
            <v>15.871380309999999</v>
          </cell>
          <cell r="T846">
            <v>15.64024251</v>
          </cell>
          <cell r="U846">
            <v>15.453892290000001</v>
          </cell>
          <cell r="V846">
            <v>15.31234252</v>
          </cell>
          <cell r="W846">
            <v>15.21742762</v>
          </cell>
          <cell r="X846">
            <v>15.17007705</v>
          </cell>
          <cell r="Y846">
            <v>15.168600100000001</v>
          </cell>
          <cell r="Z846">
            <v>15.20909325</v>
          </cell>
          <cell r="AA846">
            <v>15.28451862</v>
          </cell>
          <cell r="AB846">
            <v>15.39550466</v>
          </cell>
          <cell r="AC846">
            <v>15.54532043</v>
          </cell>
          <cell r="AD846">
            <v>15.73137223</v>
          </cell>
          <cell r="AE846">
            <v>15.94554273</v>
          </cell>
          <cell r="AF846">
            <v>16.178476740000001</v>
          </cell>
          <cell r="AG846">
            <v>16.42405011</v>
          </cell>
          <cell r="AH846">
            <v>16.6792406</v>
          </cell>
          <cell r="AI846">
            <v>16.94177792</v>
          </cell>
          <cell r="AJ846">
            <v>17.210787060000001</v>
          </cell>
          <cell r="AK846">
            <v>17.487579119999999</v>
          </cell>
        </row>
        <row r="848">
          <cell r="A848" t="str">
            <v>ems_ci_co2_sigo_2</v>
          </cell>
          <cell r="B848">
            <v>1.216511809</v>
          </cell>
          <cell r="C848">
            <v>1.2384862000000001</v>
          </cell>
          <cell r="D848">
            <v>1.260093796</v>
          </cell>
          <cell r="E848">
            <v>1.2772756190000001</v>
          </cell>
          <cell r="F848">
            <v>1.3009149959999999</v>
          </cell>
          <cell r="G848">
            <v>1.330423817</v>
          </cell>
          <cell r="H848">
            <v>1.3557297109999999</v>
          </cell>
          <cell r="I848">
            <v>1.2930937570000001</v>
          </cell>
          <cell r="J848">
            <v>1.22440916</v>
          </cell>
          <cell r="K848">
            <v>1.167100161</v>
          </cell>
          <cell r="L848">
            <v>1.1101635249999999</v>
          </cell>
          <cell r="M848">
            <v>1.052695597</v>
          </cell>
          <cell r="N848">
            <v>0.99455484419999995</v>
          </cell>
          <cell r="O848">
            <v>0.93726733620000002</v>
          </cell>
          <cell r="P848">
            <v>0.88261191220000002</v>
          </cell>
          <cell r="Q848">
            <v>0.8312394864</v>
          </cell>
          <cell r="R848">
            <v>0.78339873339999999</v>
          </cell>
          <cell r="S848">
            <v>0.73962242099999997</v>
          </cell>
          <cell r="T848">
            <v>0.69979892769999996</v>
          </cell>
          <cell r="U848">
            <v>0.6635528235</v>
          </cell>
          <cell r="V848">
            <v>0.63051899280000001</v>
          </cell>
          <cell r="W848">
            <v>0.60040435280000004</v>
          </cell>
          <cell r="X848">
            <v>0.57293007250000005</v>
          </cell>
          <cell r="Y848">
            <v>0.54761382110000001</v>
          </cell>
          <cell r="Z848">
            <v>0.52386896890000001</v>
          </cell>
          <cell r="AA848">
            <v>0.50112942189999998</v>
          </cell>
          <cell r="AB848">
            <v>0.47898916819999998</v>
          </cell>
          <cell r="AC848">
            <v>0.45730688409999998</v>
          </cell>
          <cell r="AD848">
            <v>0.4353818961</v>
          </cell>
          <cell r="AE848">
            <v>0.41219818120000001</v>
          </cell>
          <cell r="AF848">
            <v>0.38670095510000002</v>
          </cell>
          <cell r="AG848">
            <v>0.35798057649999998</v>
          </cell>
          <cell r="AH848">
            <v>0.32516035170000002</v>
          </cell>
          <cell r="AI848">
            <v>0.28719803179999998</v>
          </cell>
          <cell r="AJ848">
            <v>0.24287804339999999</v>
          </cell>
          <cell r="AK848">
            <v>0.19074536540000001</v>
          </cell>
        </row>
        <row r="850">
          <cell r="A850" t="str">
            <v>ems_ci_co2_scgo_2</v>
          </cell>
          <cell r="B850">
            <v>2.2734885010000001</v>
          </cell>
          <cell r="C850">
            <v>2.2896341960000002</v>
          </cell>
          <cell r="D850">
            <v>2.3088973749999999</v>
          </cell>
          <cell r="E850">
            <v>2.3252767049999998</v>
          </cell>
          <cell r="F850">
            <v>2.3562130219999999</v>
          </cell>
          <cell r="G850">
            <v>2.39976426</v>
          </cell>
          <cell r="H850">
            <v>2.4442503420000001</v>
          </cell>
          <cell r="I850">
            <v>2.36240819</v>
          </cell>
          <cell r="J850">
            <v>2.2653024799999999</v>
          </cell>
          <cell r="K850">
            <v>2.1768600770000002</v>
          </cell>
          <cell r="L850">
            <v>2.0903357809999998</v>
          </cell>
          <cell r="M850">
            <v>2.008995895</v>
          </cell>
          <cell r="N850">
            <v>1.9306371200000001</v>
          </cell>
          <cell r="O850">
            <v>1.855102977</v>
          </cell>
          <cell r="P850">
            <v>1.7833701470000001</v>
          </cell>
          <cell r="Q850">
            <v>1.7158968210000001</v>
          </cell>
          <cell r="R850">
            <v>1.649741366</v>
          </cell>
          <cell r="S850">
            <v>1.5868136020000001</v>
          </cell>
          <cell r="T850">
            <v>1.5281721509999999</v>
          </cell>
          <cell r="U850">
            <v>1.4743236479999999</v>
          </cell>
          <cell r="V850">
            <v>1.4252934129999999</v>
          </cell>
          <cell r="W850">
            <v>1.3814531489999999</v>
          </cell>
          <cell r="X850">
            <v>1.3427595670000001</v>
          </cell>
          <cell r="Y850">
            <v>1.308914138</v>
          </cell>
          <cell r="Z850">
            <v>1.2794414549999999</v>
          </cell>
          <cell r="AA850">
            <v>1.2533192520000001</v>
          </cell>
          <cell r="AB850">
            <v>1.2309383780000001</v>
          </cell>
          <cell r="AC850">
            <v>1.211806425</v>
          </cell>
          <cell r="AD850">
            <v>1.1952077590000001</v>
          </cell>
          <cell r="AE850">
            <v>1.1800247269999999</v>
          </cell>
          <cell r="AF850">
            <v>1.1649968500000001</v>
          </cell>
          <cell r="AG850">
            <v>1.1489926029999999</v>
          </cell>
          <cell r="AH850">
            <v>1.130982138</v>
          </cell>
          <cell r="AI850">
            <v>1.109867486</v>
          </cell>
          <cell r="AJ850">
            <v>1.0844999870000001</v>
          </cell>
          <cell r="AK850">
            <v>1.0536570510000001</v>
          </cell>
        </row>
        <row r="852">
          <cell r="A852" t="str">
            <v>ems_ci_co2_scon_2</v>
          </cell>
          <cell r="B852">
            <v>7.427060129</v>
          </cell>
          <cell r="C852">
            <v>7.102251388</v>
          </cell>
          <cell r="D852">
            <v>6.7602250939999999</v>
          </cell>
          <cell r="E852">
            <v>6.3689055760000004</v>
          </cell>
          <cell r="F852">
            <v>6.1585003499999997</v>
          </cell>
          <cell r="G852">
            <v>6.0993684239999997</v>
          </cell>
          <cell r="H852">
            <v>6.1263493909999998</v>
          </cell>
          <cell r="I852">
            <v>5.3642754139999997</v>
          </cell>
          <cell r="J852">
            <v>4.5543589820000001</v>
          </cell>
          <cell r="K852">
            <v>3.8392554149999998</v>
          </cell>
          <cell r="L852">
            <v>3.24822422</v>
          </cell>
          <cell r="M852">
            <v>2.8267213739999999</v>
          </cell>
          <cell r="N852">
            <v>2.51429832</v>
          </cell>
          <cell r="O852">
            <v>2.2704077919999999</v>
          </cell>
          <cell r="P852">
            <v>2.0718831209999999</v>
          </cell>
          <cell r="Q852">
            <v>1.9052218460000001</v>
          </cell>
          <cell r="R852">
            <v>1.746443135</v>
          </cell>
          <cell r="S852">
            <v>1.5992324630000001</v>
          </cell>
          <cell r="T852">
            <v>1.4666768080000001</v>
          </cell>
          <cell r="U852">
            <v>1.350073512</v>
          </cell>
          <cell r="V852">
            <v>1.2493424099999999</v>
          </cell>
          <cell r="W852">
            <v>1.1640957780000001</v>
          </cell>
          <cell r="X852">
            <v>1.0933034800000001</v>
          </cell>
          <cell r="Y852">
            <v>1.0356211479999999</v>
          </cell>
          <cell r="Z852">
            <v>0.98977961569999995</v>
          </cell>
          <cell r="AA852">
            <v>0.95425921219999998</v>
          </cell>
          <cell r="AB852">
            <v>0.92849176580000004</v>
          </cell>
          <cell r="AC852">
            <v>0.91156142679999996</v>
          </cell>
          <cell r="AD852">
            <v>0.90179130679999997</v>
          </cell>
          <cell r="AE852">
            <v>0.89683951370000004</v>
          </cell>
          <cell r="AF852">
            <v>0.89366867940000005</v>
          </cell>
          <cell r="AG852">
            <v>0.8882430442</v>
          </cell>
          <cell r="AH852">
            <v>0.87451001699999997</v>
          </cell>
          <cell r="AI852">
            <v>0.84245883340000005</v>
          </cell>
          <cell r="AJ852">
            <v>0.77497129480000004</v>
          </cell>
          <cell r="AK852">
            <v>0.64097276729999997</v>
          </cell>
        </row>
        <row r="854">
          <cell r="A854" t="str">
            <v>ems_ci_co2_srai_2</v>
          </cell>
          <cell r="B854">
            <v>1.7345464589999999</v>
          </cell>
          <cell r="C854">
            <v>1.761581359</v>
          </cell>
          <cell r="D854">
            <v>1.792174637</v>
          </cell>
          <cell r="E854">
            <v>1.8248408140000001</v>
          </cell>
          <cell r="F854">
            <v>1.8609368879999999</v>
          </cell>
          <cell r="G854">
            <v>1.9000925550000001</v>
          </cell>
          <cell r="H854">
            <v>1.940042244</v>
          </cell>
          <cell r="I854">
            <v>1.9030220870000001</v>
          </cell>
          <cell r="J854">
            <v>1.8606338360000001</v>
          </cell>
          <cell r="K854">
            <v>1.821971896</v>
          </cell>
          <cell r="L854">
            <v>1.7816099649999999</v>
          </cell>
          <cell r="M854">
            <v>1.735358908</v>
          </cell>
          <cell r="N854">
            <v>1.6838661239999999</v>
          </cell>
          <cell r="O854">
            <v>1.6285587349999999</v>
          </cell>
          <cell r="P854">
            <v>1.571079385</v>
          </cell>
          <cell r="Q854">
            <v>1.5124731360000001</v>
          </cell>
          <cell r="R854">
            <v>1.453066486</v>
          </cell>
          <cell r="S854">
            <v>1.393695261</v>
          </cell>
          <cell r="T854">
            <v>1.33486664</v>
          </cell>
          <cell r="U854">
            <v>1.276726399</v>
          </cell>
          <cell r="V854">
            <v>1.2189716740000001</v>
          </cell>
          <cell r="W854">
            <v>1.1618971279999999</v>
          </cell>
          <cell r="X854">
            <v>1.1052665859999999</v>
          </cell>
          <cell r="Y854">
            <v>1.048762889</v>
          </cell>
          <cell r="Z854">
            <v>0.99194671670000001</v>
          </cell>
          <cell r="AA854">
            <v>0.93377254249999997</v>
          </cell>
          <cell r="AB854">
            <v>0.87444184439999995</v>
          </cell>
          <cell r="AC854">
            <v>0.81351753230000001</v>
          </cell>
          <cell r="AD854">
            <v>0.75046709690000002</v>
          </cell>
          <cell r="AE854">
            <v>0.68458746179999996</v>
          </cell>
          <cell r="AF854">
            <v>0.6151318938</v>
          </cell>
          <cell r="AG854">
            <v>0.54142223239999998</v>
          </cell>
          <cell r="AH854">
            <v>0.46284963709999999</v>
          </cell>
          <cell r="AI854">
            <v>0.37883024430000001</v>
          </cell>
          <cell r="AJ854">
            <v>0.2887748986</v>
          </cell>
          <cell r="AK854">
            <v>0.19204952280000001</v>
          </cell>
        </row>
        <row r="856">
          <cell r="A856" t="str">
            <v>ems_ci_co2_sroa_2</v>
          </cell>
          <cell r="B856">
            <v>17.318265199999999</v>
          </cell>
          <cell r="C856">
            <v>17.591118760000001</v>
          </cell>
          <cell r="D856">
            <v>17.900236710000001</v>
          </cell>
          <cell r="E856">
            <v>18.230542889999999</v>
          </cell>
          <cell r="F856">
            <v>18.594189629999999</v>
          </cell>
          <cell r="G856">
            <v>18.987153559999999</v>
          </cell>
          <cell r="H856">
            <v>19.38744999</v>
          </cell>
          <cell r="I856">
            <v>19.023360499999999</v>
          </cell>
          <cell r="J856">
            <v>18.608920510000001</v>
          </cell>
          <cell r="K856">
            <v>18.23376863</v>
          </cell>
          <cell r="L856">
            <v>17.842554230000001</v>
          </cell>
          <cell r="M856">
            <v>17.391541960000001</v>
          </cell>
          <cell r="N856">
            <v>16.886969180000001</v>
          </cell>
          <cell r="O856">
            <v>16.343105909999998</v>
          </cell>
          <cell r="P856">
            <v>15.77640251</v>
          </cell>
          <cell r="Q856">
            <v>15.19731913</v>
          </cell>
          <cell r="R856">
            <v>14.60937408</v>
          </cell>
          <cell r="S856">
            <v>14.02077139</v>
          </cell>
          <cell r="T856">
            <v>13.43648775</v>
          </cell>
          <cell r="U856">
            <v>12.857910889999999</v>
          </cell>
          <cell r="V856">
            <v>12.281931670000001</v>
          </cell>
          <cell r="W856">
            <v>11.71149861</v>
          </cell>
          <cell r="X856">
            <v>11.14424474</v>
          </cell>
          <cell r="Y856">
            <v>10.57702463</v>
          </cell>
          <cell r="Z856">
            <v>10.005473869999999</v>
          </cell>
          <cell r="AA856">
            <v>9.4191189269999995</v>
          </cell>
          <cell r="AB856">
            <v>8.8200874599999999</v>
          </cell>
          <cell r="AC856">
            <v>8.2041135329999992</v>
          </cell>
          <cell r="AD856">
            <v>7.5660548600000004</v>
          </cell>
          <cell r="AE856">
            <v>6.8990994969999999</v>
          </cell>
          <cell r="AF856">
            <v>6.1960141440000003</v>
          </cell>
          <cell r="AG856">
            <v>5.4502625120000001</v>
          </cell>
          <cell r="AH856">
            <v>4.6560269600000002</v>
          </cell>
          <cell r="AI856">
            <v>3.8077805169999999</v>
          </cell>
          <cell r="AJ856">
            <v>2.8999807579999999</v>
          </cell>
          <cell r="AK856">
            <v>1.9266870300000001</v>
          </cell>
        </row>
        <row r="858">
          <cell r="A858" t="str">
            <v>ems_ci_co2_swat_2</v>
          </cell>
          <cell r="B858">
            <v>3.8248369960000002</v>
          </cell>
          <cell r="C858">
            <v>3.9509260629999998</v>
          </cell>
          <cell r="D858">
            <v>4.0834679820000002</v>
          </cell>
          <cell r="E858">
            <v>4.2127866249999997</v>
          </cell>
          <cell r="F858">
            <v>4.3444096930000002</v>
          </cell>
          <cell r="G858">
            <v>4.480414627</v>
          </cell>
          <cell r="H858">
            <v>4.6179203480000002</v>
          </cell>
          <cell r="I858">
            <v>4.5798591960000001</v>
          </cell>
          <cell r="J858">
            <v>4.54864333</v>
          </cell>
          <cell r="K858">
            <v>4.5733775420000002</v>
          </cell>
          <cell r="L858">
            <v>4.5933500890000003</v>
          </cell>
          <cell r="M858">
            <v>4.5688208289999999</v>
          </cell>
          <cell r="N858">
            <v>4.4995187059999999</v>
          </cell>
          <cell r="O858">
            <v>4.397361429</v>
          </cell>
          <cell r="P858">
            <v>4.2770588729999997</v>
          </cell>
          <cell r="Q858">
            <v>4.1471535160000004</v>
          </cell>
          <cell r="R858">
            <v>4.0164433370000001</v>
          </cell>
          <cell r="S858">
            <v>3.8905186509999998</v>
          </cell>
          <cell r="T858">
            <v>3.7716038119999999</v>
          </cell>
          <cell r="U858">
            <v>3.658939545</v>
          </cell>
          <cell r="V858">
            <v>3.5512848039999998</v>
          </cell>
          <cell r="W858">
            <v>3.4477622700000001</v>
          </cell>
          <cell r="X858">
            <v>3.3477541660000001</v>
          </cell>
          <cell r="Y858">
            <v>3.2487556440000001</v>
          </cell>
          <cell r="Z858">
            <v>3.147427617</v>
          </cell>
          <cell r="AA858">
            <v>3.0410675130000002</v>
          </cell>
          <cell r="AB858">
            <v>2.929888423</v>
          </cell>
          <cell r="AC858">
            <v>2.8150914419999999</v>
          </cell>
          <cell r="AD858">
            <v>2.6937836169999998</v>
          </cell>
          <cell r="AE858">
            <v>2.5610294379999998</v>
          </cell>
          <cell r="AF858">
            <v>2.4121343679999998</v>
          </cell>
          <cell r="AG858">
            <v>2.2444135099999998</v>
          </cell>
          <cell r="AH858">
            <v>2.0561793110000002</v>
          </cell>
          <cell r="AI858">
            <v>1.8449419650000001</v>
          </cell>
          <cell r="AJ858">
            <v>1.607930082</v>
          </cell>
          <cell r="AK858">
            <v>1.3422842820000001</v>
          </cell>
        </row>
        <row r="860">
          <cell r="A860" t="str">
            <v>ems_ci_co2_sair_2</v>
          </cell>
          <cell r="B860">
            <v>19.2035819</v>
          </cell>
          <cell r="C860">
            <v>19.617984190000001</v>
          </cell>
          <cell r="D860">
            <v>20.08474352</v>
          </cell>
          <cell r="E860">
            <v>20.55197239</v>
          </cell>
          <cell r="F860">
            <v>21.07688271</v>
          </cell>
          <cell r="G860">
            <v>21.67111899</v>
          </cell>
          <cell r="H860">
            <v>22.319580290000001</v>
          </cell>
          <cell r="I860">
            <v>22.01678184</v>
          </cell>
          <cell r="J860">
            <v>21.617341039999999</v>
          </cell>
          <cell r="K860">
            <v>21.33752454</v>
          </cell>
          <cell r="L860">
            <v>21.056665290000002</v>
          </cell>
          <cell r="M860">
            <v>20.715657849999999</v>
          </cell>
          <cell r="N860">
            <v>20.319098990000001</v>
          </cell>
          <cell r="O860">
            <v>19.875839939999999</v>
          </cell>
          <cell r="P860">
            <v>19.40100228</v>
          </cell>
          <cell r="Q860">
            <v>18.90152994</v>
          </cell>
          <cell r="R860">
            <v>18.360202009999998</v>
          </cell>
          <cell r="S860">
            <v>17.795527459999999</v>
          </cell>
          <cell r="T860">
            <v>17.224679049999999</v>
          </cell>
          <cell r="U860">
            <v>16.658332779999999</v>
          </cell>
          <cell r="V860">
            <v>16.099666509999999</v>
          </cell>
          <cell r="W860">
            <v>15.556821129999999</v>
          </cell>
          <cell r="X860">
            <v>15.031508349999999</v>
          </cell>
          <cell r="Y860">
            <v>14.51946242</v>
          </cell>
          <cell r="Z860">
            <v>14.01228233</v>
          </cell>
          <cell r="AA860">
            <v>13.49377365</v>
          </cell>
          <cell r="AB860">
            <v>12.96745877</v>
          </cell>
          <cell r="AC860">
            <v>12.431015459999999</v>
          </cell>
          <cell r="AD860">
            <v>11.875017570000001</v>
          </cell>
          <cell r="AE860">
            <v>11.283954809999999</v>
          </cell>
          <cell r="AF860">
            <v>10.640519790000001</v>
          </cell>
          <cell r="AG860">
            <v>9.9297263410000003</v>
          </cell>
          <cell r="AH860">
            <v>9.1377287200000001</v>
          </cell>
          <cell r="AI860">
            <v>8.2483488099999995</v>
          </cell>
          <cell r="AJ860">
            <v>7.2428694199999999</v>
          </cell>
          <cell r="AK860">
            <v>6.0989526830000003</v>
          </cell>
        </row>
        <row r="862">
          <cell r="A862" t="str">
            <v>ems_ci_co2_spri_2</v>
          </cell>
          <cell r="B862">
            <v>30.586880539999999</v>
          </cell>
          <cell r="C862">
            <v>30.29567321</v>
          </cell>
          <cell r="D862">
            <v>30.007517320000002</v>
          </cell>
          <cell r="E862">
            <v>29.594404229999999</v>
          </cell>
          <cell r="F862">
            <v>29.563877160000001</v>
          </cell>
          <cell r="G862">
            <v>29.82346944</v>
          </cell>
          <cell r="H862">
            <v>30.134136819999998</v>
          </cell>
          <cell r="I862">
            <v>27.997088869999999</v>
          </cell>
          <cell r="J862">
            <v>25.790384719999999</v>
          </cell>
          <cell r="K862">
            <v>23.811067210000001</v>
          </cell>
          <cell r="L862">
            <v>22.0489496</v>
          </cell>
          <cell r="M862">
            <v>20.606924920000001</v>
          </cell>
          <cell r="N862">
            <v>19.36760572</v>
          </cell>
          <cell r="O862">
            <v>18.264275139999999</v>
          </cell>
          <cell r="P862">
            <v>17.262535530000001</v>
          </cell>
          <cell r="Q862">
            <v>16.340826499999999</v>
          </cell>
          <cell r="R862">
            <v>15.446984369999999</v>
          </cell>
          <cell r="S862">
            <v>14.596422090000001</v>
          </cell>
          <cell r="T862">
            <v>13.79711393</v>
          </cell>
          <cell r="U862">
            <v>13.051544160000001</v>
          </cell>
          <cell r="V862">
            <v>12.356018580000001</v>
          </cell>
          <cell r="W862">
            <v>11.71242052</v>
          </cell>
          <cell r="X862">
            <v>11.11628436</v>
          </cell>
          <cell r="Y862">
            <v>10.561511940000001</v>
          </cell>
          <cell r="Z862">
            <v>10.04072989</v>
          </cell>
          <cell r="AA862">
            <v>9.5397155359999992</v>
          </cell>
          <cell r="AB862">
            <v>9.0578689650000008</v>
          </cell>
          <cell r="AC862">
            <v>8.5872736320000005</v>
          </cell>
          <cell r="AD862">
            <v>8.1172594629999999</v>
          </cell>
          <cell r="AE862">
            <v>7.6340872319999997</v>
          </cell>
          <cell r="AF862">
            <v>7.1219539019999996</v>
          </cell>
          <cell r="AG862">
            <v>6.563798695</v>
          </cell>
          <cell r="AH862">
            <v>5.9403359719999997</v>
          </cell>
          <cell r="AI862">
            <v>5.2279624299999998</v>
          </cell>
          <cell r="AJ862">
            <v>4.3965163330000001</v>
          </cell>
          <cell r="AK862">
            <v>3.404873861</v>
          </cell>
        </row>
        <row r="864">
          <cell r="A864" t="str">
            <v>ems_ci_co2_spub_2</v>
          </cell>
          <cell r="B864">
            <v>13.794241100000001</v>
          </cell>
          <cell r="C864">
            <v>13.41245554</v>
          </cell>
          <cell r="D864">
            <v>13.03887299</v>
          </cell>
          <cell r="E864">
            <v>12.60444247</v>
          </cell>
          <cell r="F864">
            <v>12.39253027</v>
          </cell>
          <cell r="G864">
            <v>12.334067409999999</v>
          </cell>
          <cell r="H864">
            <v>12.315460119999999</v>
          </cell>
          <cell r="I864">
            <v>11.23286644</v>
          </cell>
          <cell r="J864">
            <v>10.201255270000001</v>
          </cell>
          <cell r="K864">
            <v>9.2962786350000002</v>
          </cell>
          <cell r="L864">
            <v>8.528446271</v>
          </cell>
          <cell r="M864">
            <v>7.9264704899999998</v>
          </cell>
          <cell r="N864">
            <v>7.4363834469999999</v>
          </cell>
          <cell r="O864">
            <v>7.0200930369999996</v>
          </cell>
          <cell r="P864">
            <v>6.6542256469999996</v>
          </cell>
          <cell r="Q864">
            <v>6.324095443</v>
          </cell>
          <cell r="R864">
            <v>6.0070871869999998</v>
          </cell>
          <cell r="S864">
            <v>5.7049491359999998</v>
          </cell>
          <cell r="T864">
            <v>5.4182970099999999</v>
          </cell>
          <cell r="U864">
            <v>5.1468418319999998</v>
          </cell>
          <cell r="V864">
            <v>4.8860802339999996</v>
          </cell>
          <cell r="W864">
            <v>4.6418131269999998</v>
          </cell>
          <cell r="X864">
            <v>4.4096108149999997</v>
          </cell>
          <cell r="Y864">
            <v>4.1872656690000003</v>
          </cell>
          <cell r="Z864">
            <v>3.9726959860000002</v>
          </cell>
          <cell r="AA864">
            <v>3.7561891250000001</v>
          </cell>
          <cell r="AB864">
            <v>3.546854213</v>
          </cell>
          <cell r="AC864">
            <v>3.3395640090000001</v>
          </cell>
          <cell r="AD864">
            <v>3.1309659559999998</v>
          </cell>
          <cell r="AE864">
            <v>2.9174326289999999</v>
          </cell>
          <cell r="AF864">
            <v>2.6949164799999998</v>
          </cell>
          <cell r="AG864">
            <v>2.4589425290000002</v>
          </cell>
          <cell r="AH864">
            <v>2.2042679070000002</v>
          </cell>
          <cell r="AI864">
            <v>1.9242823170000001</v>
          </cell>
          <cell r="AJ864">
            <v>1.610241354</v>
          </cell>
          <cell r="AK864">
            <v>1.249489461</v>
          </cell>
        </row>
        <row r="866">
          <cell r="A866" t="str">
            <v>ems_ci_co2_smin_2</v>
          </cell>
          <cell r="B866">
            <v>1.049167145</v>
          </cell>
          <cell r="C866">
            <v>1.0656241719999999</v>
          </cell>
          <cell r="D866">
            <v>1.0846749120000001</v>
          </cell>
          <cell r="E866">
            <v>1.1049201230000001</v>
          </cell>
          <cell r="F866">
            <v>1.127434206</v>
          </cell>
          <cell r="G866">
            <v>1.152127176</v>
          </cell>
          <cell r="H866">
            <v>1.177771269</v>
          </cell>
          <cell r="I866">
            <v>1.1514828429999999</v>
          </cell>
          <cell r="J866">
            <v>1.121128213</v>
          </cell>
          <cell r="K866">
            <v>1.093413771</v>
          </cell>
          <cell r="L866">
            <v>1.065195694</v>
          </cell>
          <cell r="M866">
            <v>1.033639244</v>
          </cell>
          <cell r="N866">
            <v>0.99877561699999995</v>
          </cell>
          <cell r="O866">
            <v>0.96160431639999999</v>
          </cell>
          <cell r="P866">
            <v>0.92335002519999998</v>
          </cell>
          <cell r="Q866">
            <v>0.88481798079999996</v>
          </cell>
          <cell r="R866">
            <v>0.84778779029999995</v>
          </cell>
          <cell r="S866">
            <v>0.81142489819999997</v>
          </cell>
          <cell r="T866">
            <v>0.77590637360000003</v>
          </cell>
          <cell r="U866">
            <v>0.74127688800000002</v>
          </cell>
          <cell r="V866">
            <v>0.70735831250000003</v>
          </cell>
          <cell r="W866">
            <v>0.67418263290000002</v>
          </cell>
          <cell r="X866">
            <v>0.64160146790000006</v>
          </cell>
          <cell r="Y866">
            <v>0.6093271348</v>
          </cell>
          <cell r="Z866">
            <v>0.57698058610000003</v>
          </cell>
          <cell r="AA866">
            <v>0.54393861669999999</v>
          </cell>
          <cell r="AB866">
            <v>0.5098717545</v>
          </cell>
          <cell r="AC866">
            <v>0.47485184559999999</v>
          </cell>
          <cell r="AD866">
            <v>0.43852328750000003</v>
          </cell>
          <cell r="AE866">
            <v>0.40037993350000001</v>
          </cell>
          <cell r="AF866">
            <v>0.35992366529999997</v>
          </cell>
          <cell r="AG866">
            <v>0.31676749100000001</v>
          </cell>
          <cell r="AH866">
            <v>0.27060702930000002</v>
          </cell>
          <cell r="AI866">
            <v>0.22115542860000001</v>
          </cell>
          <cell r="AJ866">
            <v>0.1681430126</v>
          </cell>
          <cell r="AK866">
            <v>0.11130190650000001</v>
          </cell>
        </row>
        <row r="868">
          <cell r="A868" t="str">
            <v>ems_ci_co2_soil_2</v>
          </cell>
          <cell r="B868">
            <v>16.59683708</v>
          </cell>
          <cell r="C868">
            <v>16.745887830000001</v>
          </cell>
          <cell r="D868">
            <v>16.898454040000001</v>
          </cell>
          <cell r="E868">
            <v>17.062250460000001</v>
          </cell>
          <cell r="F868">
            <v>17.275774290000001</v>
          </cell>
          <cell r="G868">
            <v>17.53771133</v>
          </cell>
          <cell r="H868">
            <v>17.82934006</v>
          </cell>
          <cell r="I868">
            <v>17.654974979999999</v>
          </cell>
          <cell r="J868">
            <v>17.4267942</v>
          </cell>
          <cell r="K868">
            <v>17.248896800000001</v>
          </cell>
          <cell r="L868">
            <v>17.066044479999999</v>
          </cell>
          <cell r="M868">
            <v>16.84503569</v>
          </cell>
          <cell r="N868">
            <v>16.588749239999999</v>
          </cell>
          <cell r="O868">
            <v>16.308763299999999</v>
          </cell>
          <cell r="P868">
            <v>16.019049389999999</v>
          </cell>
          <cell r="Q868">
            <v>15.72702086</v>
          </cell>
          <cell r="R868">
            <v>15.415078189999999</v>
          </cell>
          <cell r="S868">
            <v>15.10219936</v>
          </cell>
          <cell r="T868">
            <v>14.794944210000001</v>
          </cell>
          <cell r="U868">
            <v>14.49579005</v>
          </cell>
          <cell r="V868">
            <v>14.204642420000001</v>
          </cell>
          <cell r="W868">
            <v>13.924193280000001</v>
          </cell>
          <cell r="X868">
            <v>13.65554393</v>
          </cell>
          <cell r="Y868">
            <v>13.398238900000001</v>
          </cell>
          <cell r="Z868">
            <v>13.15029515</v>
          </cell>
          <cell r="AA868">
            <v>12.906172189999999</v>
          </cell>
          <cell r="AB868">
            <v>12.673334949999999</v>
          </cell>
          <cell r="AC868">
            <v>12.44850153</v>
          </cell>
          <cell r="AD868">
            <v>12.22966227</v>
          </cell>
          <cell r="AE868">
            <v>12.01167216</v>
          </cell>
          <cell r="AF868">
            <v>11.78806795</v>
          </cell>
          <cell r="AG868">
            <v>11.55362521</v>
          </cell>
          <cell r="AH868">
            <v>11.304597429999999</v>
          </cell>
          <cell r="AI868">
            <v>11.037634710000001</v>
          </cell>
          <cell r="AJ868">
            <v>10.749801140000001</v>
          </cell>
          <cell r="AK868">
            <v>10.43884478</v>
          </cell>
        </row>
        <row r="870">
          <cell r="A870" t="str">
            <v>ems_ci_co2_sbfu_2</v>
          </cell>
          <cell r="B870">
            <v>3.8672089619999999</v>
          </cell>
          <cell r="C870">
            <v>3.8854669130000001</v>
          </cell>
          <cell r="D870">
            <v>3.900790942</v>
          </cell>
          <cell r="E870">
            <v>3.9202870949999999</v>
          </cell>
          <cell r="F870">
            <v>3.9522978659999999</v>
          </cell>
          <cell r="G870">
            <v>3.9964303889999999</v>
          </cell>
          <cell r="H870">
            <v>4.0488090110000003</v>
          </cell>
          <cell r="I870">
            <v>4.7282750560000002</v>
          </cell>
          <cell r="J870">
            <v>5.4707853970000002</v>
          </cell>
          <cell r="K870">
            <v>6.1970027859999997</v>
          </cell>
          <cell r="L870">
            <v>6.8902060900000004</v>
          </cell>
          <cell r="M870">
            <v>7.5454314699999996</v>
          </cell>
          <cell r="N870">
            <v>8.1585521120000006</v>
          </cell>
          <cell r="O870">
            <v>8.7264002900000008</v>
          </cell>
          <cell r="P870">
            <v>9.2470755009999994</v>
          </cell>
          <cell r="Q870">
            <v>9.7184608430000008</v>
          </cell>
          <cell r="R870">
            <v>10.13456455</v>
          </cell>
          <cell r="S870">
            <v>10.49518101</v>
          </cell>
          <cell r="T870">
            <v>10.80052751</v>
          </cell>
          <cell r="U870">
            <v>11.049877479999999</v>
          </cell>
          <cell r="V870">
            <v>11.240882770000001</v>
          </cell>
          <cell r="W870">
            <v>11.37237973</v>
          </cell>
          <cell r="X870">
            <v>11.44200938</v>
          </cell>
          <cell r="Y870">
            <v>11.44617584</v>
          </cell>
          <cell r="Z870">
            <v>11.37996465</v>
          </cell>
          <cell r="AA870">
            <v>11.23524095</v>
          </cell>
          <cell r="AB870">
            <v>11.007436480000001</v>
          </cell>
          <cell r="AC870">
            <v>10.69038121</v>
          </cell>
          <cell r="AD870">
            <v>10.27544428</v>
          </cell>
          <cell r="AE870">
            <v>9.7512054280000005</v>
          </cell>
          <cell r="AF870">
            <v>9.1040284160000002</v>
          </cell>
          <cell r="AG870">
            <v>8.3188409369999992</v>
          </cell>
          <cell r="AH870">
            <v>7.3789032250000002</v>
          </cell>
          <cell r="AI870">
            <v>6.2648360419999998</v>
          </cell>
          <cell r="AJ870">
            <v>4.9538203430000003</v>
          </cell>
          <cell r="AK870">
            <v>3.4180528899999998</v>
          </cell>
        </row>
        <row r="872">
          <cell r="A872" t="str">
            <v>ems_ci_co2_seoi_2</v>
          </cell>
          <cell r="B872">
            <v>3.0530849629999999</v>
          </cell>
          <cell r="C872">
            <v>3.099256102</v>
          </cell>
          <cell r="D872">
            <v>3.1442676629999999</v>
          </cell>
          <cell r="E872">
            <v>3.1928261259999999</v>
          </cell>
          <cell r="F872">
            <v>3.2380531370000001</v>
          </cell>
          <cell r="G872">
            <v>3.2836793260000001</v>
          </cell>
          <cell r="H872">
            <v>3.3321506840000001</v>
          </cell>
          <cell r="I872">
            <v>3.2779106169999999</v>
          </cell>
          <cell r="J872">
            <v>3.2264704829999999</v>
          </cell>
          <cell r="K872">
            <v>3.1763883210000001</v>
          </cell>
          <cell r="L872">
            <v>3.1145528140000001</v>
          </cell>
          <cell r="M872">
            <v>3.0251953039999999</v>
          </cell>
          <cell r="N872">
            <v>2.9163972419999999</v>
          </cell>
          <cell r="O872">
            <v>2.7968025440000002</v>
          </cell>
          <cell r="P872">
            <v>2.6728052039999999</v>
          </cell>
          <cell r="Q872">
            <v>2.5478764549999999</v>
          </cell>
          <cell r="R872">
            <v>2.4234766049999998</v>
          </cell>
          <cell r="S872">
            <v>2.3010178720000001</v>
          </cell>
          <cell r="T872">
            <v>2.180552257</v>
          </cell>
          <cell r="U872">
            <v>2.0620631810000001</v>
          </cell>
          <cell r="V872">
            <v>1.9451701589999999</v>
          </cell>
          <cell r="W872">
            <v>1.830408904</v>
          </cell>
          <cell r="X872">
            <v>1.7175918590000001</v>
          </cell>
          <cell r="Y872">
            <v>1.6061756650000001</v>
          </cell>
          <cell r="Z872">
            <v>1.495396561</v>
          </cell>
          <cell r="AA872">
            <v>1.3837272329999999</v>
          </cell>
          <cell r="AB872">
            <v>1.2715898910000001</v>
          </cell>
          <cell r="AC872">
            <v>1.158389168</v>
          </cell>
          <cell r="AD872">
            <v>1.043379222</v>
          </cell>
          <cell r="AE872">
            <v>0.9257255754</v>
          </cell>
          <cell r="AF872">
            <v>0.80483357200000005</v>
          </cell>
          <cell r="AG872">
            <v>0.68067125979999998</v>
          </cell>
          <cell r="AH872">
            <v>0.55391117430000003</v>
          </cell>
          <cell r="AI872">
            <v>0.42609194560000002</v>
          </cell>
          <cell r="AJ872">
            <v>0.30009323230000001</v>
          </cell>
          <cell r="AK872">
            <v>0.18100787979999999</v>
          </cell>
        </row>
        <row r="874">
          <cell r="A874" t="str">
            <v>ems_ci_co2_sega_2</v>
          </cell>
          <cell r="B874">
            <v>3.6124779720000002</v>
          </cell>
          <cell r="C874">
            <v>3.667261737</v>
          </cell>
          <cell r="D874">
            <v>3.7206829020000001</v>
          </cell>
          <cell r="E874">
            <v>3.7783330959999999</v>
          </cell>
          <cell r="F874">
            <v>3.83198003</v>
          </cell>
          <cell r="G874">
            <v>3.8860562409999999</v>
          </cell>
          <cell r="H874">
            <v>3.9434520059999998</v>
          </cell>
          <cell r="I874">
            <v>3.8676494840000002</v>
          </cell>
          <cell r="J874">
            <v>3.794094319</v>
          </cell>
          <cell r="K874">
            <v>3.721575504</v>
          </cell>
          <cell r="L874">
            <v>3.634796959</v>
          </cell>
          <cell r="M874">
            <v>3.5155668000000002</v>
          </cell>
          <cell r="N874">
            <v>3.3736470719999998</v>
          </cell>
          <cell r="O874">
            <v>3.2193145689999998</v>
          </cell>
          <cell r="P874">
            <v>3.0601010290000001</v>
          </cell>
          <cell r="Q874">
            <v>2.9000702779999998</v>
          </cell>
          <cell r="R874">
            <v>2.7409288159999998</v>
          </cell>
          <cell r="S874">
            <v>2.5842856369999998</v>
          </cell>
          <cell r="T874">
            <v>2.4301895359999999</v>
          </cell>
          <cell r="U874">
            <v>2.2786099900000001</v>
          </cell>
          <cell r="V874">
            <v>2.1291159780000002</v>
          </cell>
          <cell r="W874">
            <v>1.982282224</v>
          </cell>
          <cell r="X874">
            <v>1.837879203</v>
          </cell>
          <cell r="Y874">
            <v>1.6953040690000001</v>
          </cell>
          <cell r="Z874">
            <v>1.553751163</v>
          </cell>
          <cell r="AA874">
            <v>1.4116877670000001</v>
          </cell>
          <cell r="AB874">
            <v>1.2696655859999999</v>
          </cell>
          <cell r="AC874">
            <v>1.127243945</v>
          </cell>
          <cell r="AD874">
            <v>0.98395983330000003</v>
          </cell>
          <cell r="AE874">
            <v>0.83947215880000003</v>
          </cell>
          <cell r="AF874">
            <v>0.69398130349999998</v>
          </cell>
          <cell r="AG874">
            <v>0.54864276960000002</v>
          </cell>
          <cell r="AH874">
            <v>0.40585179069999999</v>
          </cell>
          <cell r="AI874">
            <v>0.26966387689999999</v>
          </cell>
          <cell r="AJ874">
            <v>0.14668012650000001</v>
          </cell>
          <cell r="AK874">
            <v>4.7559242799999998E-2</v>
          </cell>
        </row>
        <row r="876">
          <cell r="A876" t="str">
            <v>ems_ci_co2_seco_2</v>
          </cell>
          <cell r="B876">
            <v>7.4463073450000001</v>
          </cell>
          <cell r="C876">
            <v>7.559231703</v>
          </cell>
          <cell r="D876">
            <v>7.6693473660000002</v>
          </cell>
          <cell r="E876">
            <v>7.7881802200000001</v>
          </cell>
          <cell r="F876">
            <v>7.8987612560000002</v>
          </cell>
          <cell r="G876">
            <v>8.0102271510000005</v>
          </cell>
          <cell r="H876">
            <v>8.1285355540000008</v>
          </cell>
          <cell r="I876">
            <v>8.2399470739999998</v>
          </cell>
          <cell r="J876">
            <v>8.3641236659999993</v>
          </cell>
          <cell r="K876">
            <v>8.499612484</v>
          </cell>
          <cell r="L876">
            <v>8.6114362080000006</v>
          </cell>
          <cell r="M876">
            <v>8.6520699879999992</v>
          </cell>
          <cell r="N876">
            <v>8.6378904569999992</v>
          </cell>
          <cell r="O876">
            <v>8.5894023819999994</v>
          </cell>
          <cell r="P876">
            <v>8.5230656220000007</v>
          </cell>
          <cell r="Q876">
            <v>8.4482607590000001</v>
          </cell>
          <cell r="R876">
            <v>8.3689765989999998</v>
          </cell>
          <cell r="S876">
            <v>8.2896959910000003</v>
          </cell>
          <cell r="T876">
            <v>8.2105856779999993</v>
          </cell>
          <cell r="U876">
            <v>8.1315671179999995</v>
          </cell>
          <cell r="V876">
            <v>8.0510289769999996</v>
          </cell>
          <cell r="W876">
            <v>7.9709960930000001</v>
          </cell>
          <cell r="X876">
            <v>7.8905894700000001</v>
          </cell>
          <cell r="Y876">
            <v>7.8069569120000004</v>
          </cell>
          <cell r="Z876">
            <v>7.7153477480000001</v>
          </cell>
          <cell r="AA876">
            <v>7.6054826860000002</v>
          </cell>
          <cell r="AB876">
            <v>7.475541411</v>
          </cell>
          <cell r="AC876">
            <v>7.3165237230000004</v>
          </cell>
          <cell r="AD876">
            <v>7.1151725939999997</v>
          </cell>
          <cell r="AE876">
            <v>6.8524160250000001</v>
          </cell>
          <cell r="AF876">
            <v>6.503008297</v>
          </cell>
          <cell r="AG876">
            <v>6.0347378870000004</v>
          </cell>
          <cell r="AH876">
            <v>5.4049338520000001</v>
          </cell>
          <cell r="AI876">
            <v>4.5537246930000004</v>
          </cell>
          <cell r="AJ876">
            <v>3.39344015</v>
          </cell>
          <cell r="AK876">
            <v>1.785573952</v>
          </cell>
        </row>
        <row r="878">
          <cell r="A878" t="str">
            <v>ems_ci_co2_sech_2</v>
          </cell>
          <cell r="B878">
            <v>9.6588429310000006</v>
          </cell>
          <cell r="C878">
            <v>9.7801727599999992</v>
          </cell>
          <cell r="D878">
            <v>9.8998296719999992</v>
          </cell>
          <cell r="E878">
            <v>10.02382766</v>
          </cell>
          <cell r="F878">
            <v>10.143474100000001</v>
          </cell>
          <cell r="G878">
            <v>10.269926890000001</v>
          </cell>
          <cell r="H878">
            <v>10.39553274</v>
          </cell>
          <cell r="I878">
            <v>10.452641440000001</v>
          </cell>
          <cell r="J878">
            <v>10.525611420000001</v>
          </cell>
          <cell r="K878">
            <v>10.62546875</v>
          </cell>
          <cell r="L878">
            <v>10.73773465</v>
          </cell>
          <cell r="M878">
            <v>10.812772409999999</v>
          </cell>
          <cell r="N878">
            <v>10.858844619999999</v>
          </cell>
          <cell r="O878">
            <v>10.886198930000001</v>
          </cell>
          <cell r="P878">
            <v>10.904518680000001</v>
          </cell>
          <cell r="Q878">
            <v>10.920676370000001</v>
          </cell>
          <cell r="R878">
            <v>10.94203385</v>
          </cell>
          <cell r="S878">
            <v>10.97240173</v>
          </cell>
          <cell r="T878">
            <v>11.01367971</v>
          </cell>
          <cell r="U878">
            <v>11.0686439</v>
          </cell>
          <cell r="V878">
            <v>11.136597890000001</v>
          </cell>
          <cell r="W878">
            <v>11.229002059999999</v>
          </cell>
          <cell r="X878">
            <v>11.350698830000001</v>
          </cell>
          <cell r="Y878">
            <v>11.50617592</v>
          </cell>
          <cell r="Z878">
            <v>11.699979020000001</v>
          </cell>
          <cell r="AA878">
            <v>11.92552373</v>
          </cell>
          <cell r="AB878">
            <v>12.20335916</v>
          </cell>
          <cell r="AC878">
            <v>12.543127999999999</v>
          </cell>
          <cell r="AD878">
            <v>12.95435876</v>
          </cell>
          <cell r="AE878">
            <v>13.446646510000001</v>
          </cell>
          <cell r="AF878">
            <v>14.031579989999999</v>
          </cell>
          <cell r="AG878">
            <v>14.72619576</v>
          </cell>
          <cell r="AH878">
            <v>15.555656409999999</v>
          </cell>
          <cell r="AI878">
            <v>16.556011170000001</v>
          </cell>
          <cell r="AJ878">
            <v>17.780565469999999</v>
          </cell>
          <cell r="AK878">
            <v>19.310748329999999</v>
          </cell>
        </row>
        <row r="880">
          <cell r="A880" t="str">
            <v>ems_ci_co2_seot_2</v>
          </cell>
          <cell r="B880">
            <v>1.3202878659999999</v>
          </cell>
          <cell r="C880">
            <v>1.3351625970000001</v>
          </cell>
          <cell r="D880">
            <v>1.348855393</v>
          </cell>
          <cell r="E880">
            <v>1.362341091</v>
          </cell>
          <cell r="F880">
            <v>1.3768401429999999</v>
          </cell>
          <cell r="G880">
            <v>1.3932335039999999</v>
          </cell>
          <cell r="H880">
            <v>1.4112934319999999</v>
          </cell>
          <cell r="I880">
            <v>1.426237478</v>
          </cell>
          <cell r="J880">
            <v>1.4431261769999999</v>
          </cell>
          <cell r="K880">
            <v>1.4624433299999999</v>
          </cell>
          <cell r="L880">
            <v>1.479147387</v>
          </cell>
          <cell r="M880">
            <v>1.4885816359999999</v>
          </cell>
          <cell r="N880">
            <v>1.4925716899999999</v>
          </cell>
          <cell r="O880">
            <v>1.493911714</v>
          </cell>
          <cell r="P880">
            <v>1.49499056</v>
          </cell>
          <cell r="Q880">
            <v>1.4972127909999999</v>
          </cell>
          <cell r="R880">
            <v>1.5000165560000001</v>
          </cell>
          <cell r="S880">
            <v>1.504895511</v>
          </cell>
          <cell r="T880">
            <v>1.5124194959999999</v>
          </cell>
          <cell r="U880">
            <v>1.5230765639999999</v>
          </cell>
          <cell r="V880">
            <v>1.5371161739999999</v>
          </cell>
          <cell r="W880">
            <v>1.5555916729999999</v>
          </cell>
          <cell r="X880">
            <v>1.5791993120000001</v>
          </cell>
          <cell r="Y880">
            <v>1.6084810439999999</v>
          </cell>
          <cell r="Z880">
            <v>1.643879477</v>
          </cell>
          <cell r="AA880">
            <v>1.6849915099999999</v>
          </cell>
          <cell r="AB880">
            <v>1.7337073949999999</v>
          </cell>
          <cell r="AC880">
            <v>1.7910982310000001</v>
          </cell>
          <cell r="AD880">
            <v>1.8581860910000001</v>
          </cell>
          <cell r="AE880">
            <v>1.935821199</v>
          </cell>
          <cell r="AF880">
            <v>2.0249638019999998</v>
          </cell>
          <cell r="AG880">
            <v>2.127203443</v>
          </cell>
          <cell r="AH880">
            <v>2.2450944009999998</v>
          </cell>
          <cell r="AI880">
            <v>2.3823441609999998</v>
          </cell>
          <cell r="AJ880">
            <v>2.5444643500000002</v>
          </cell>
          <cell r="AK880">
            <v>2.739916338</v>
          </cell>
        </row>
        <row r="882">
          <cell r="A882" t="str">
            <v>ems_y_co2_sagr_2</v>
          </cell>
          <cell r="B882">
            <v>2.7534944400000001E-2</v>
          </cell>
          <cell r="C882">
            <v>2.8000791099999998E-2</v>
          </cell>
          <cell r="D882">
            <v>2.8553087000000001E-2</v>
          </cell>
          <cell r="E882">
            <v>2.9187306999999999E-2</v>
          </cell>
          <cell r="F882">
            <v>2.9887357E-2</v>
          </cell>
          <cell r="G882">
            <v>3.06469779E-2</v>
          </cell>
          <cell r="H882">
            <v>3.1438939300000003E-2</v>
          </cell>
          <cell r="I882">
            <v>3.2128166600000001E-2</v>
          </cell>
          <cell r="J882">
            <v>3.2801510899999997E-2</v>
          </cell>
          <cell r="K882">
            <v>3.3621082900000002E-2</v>
          </cell>
          <cell r="L882">
            <v>3.4445857199999999E-2</v>
          </cell>
          <cell r="M882">
            <v>3.5149242300000001E-2</v>
          </cell>
          <cell r="N882">
            <v>3.5752108800000001E-2</v>
          </cell>
          <cell r="O882">
            <v>3.6279306599999998E-2</v>
          </cell>
          <cell r="P882">
            <v>3.6762136799999998E-2</v>
          </cell>
          <cell r="Q882">
            <v>3.72213869E-2</v>
          </cell>
          <cell r="R882">
            <v>3.7684225500000001E-2</v>
          </cell>
          <cell r="S882">
            <v>3.8163102800000001E-2</v>
          </cell>
          <cell r="T882">
            <v>3.8674602600000003E-2</v>
          </cell>
          <cell r="U882">
            <v>3.9230911299999997E-2</v>
          </cell>
          <cell r="V882">
            <v>3.9834087999999997E-2</v>
          </cell>
          <cell r="W882">
            <v>4.0504353299999997E-2</v>
          </cell>
          <cell r="X882">
            <v>4.12523152E-2</v>
          </cell>
          <cell r="Y882">
            <v>4.2085297799999997E-2</v>
          </cell>
          <cell r="Z882">
            <v>4.3005759800000001E-2</v>
          </cell>
          <cell r="AA882">
            <v>4.3989969199999999E-2</v>
          </cell>
          <cell r="AB882">
            <v>4.5053164999999999E-2</v>
          </cell>
          <cell r="AC882">
            <v>4.6212618499999997E-2</v>
          </cell>
          <cell r="AD882">
            <v>4.7474582899999999E-2</v>
          </cell>
          <cell r="AE882">
            <v>4.8834454200000002E-2</v>
          </cell>
          <cell r="AF882">
            <v>5.02813935E-2</v>
          </cell>
          <cell r="AG882">
            <v>5.1804954299999997E-2</v>
          </cell>
          <cell r="AH882">
            <v>5.3396829600000001E-2</v>
          </cell>
          <cell r="AI882">
            <v>5.5049773199999999E-2</v>
          </cell>
          <cell r="AJ882">
            <v>5.6757762000000003E-2</v>
          </cell>
          <cell r="AK882">
            <v>5.8516633800000002E-2</v>
          </cell>
        </row>
        <row r="883">
          <cell r="A883" t="str">
            <v>ems_mat_co2_spub_2</v>
          </cell>
          <cell r="B883">
            <v>4.2805170859999997</v>
          </cell>
          <cell r="C883">
            <v>4.3431138960000002</v>
          </cell>
          <cell r="D883">
            <v>4.4131624839999999</v>
          </cell>
          <cell r="E883">
            <v>4.4872506120000004</v>
          </cell>
          <cell r="F883">
            <v>4.5645146700000003</v>
          </cell>
          <cell r="G883">
            <v>4.6446188450000001</v>
          </cell>
          <cell r="H883">
            <v>4.7237514950000001</v>
          </cell>
          <cell r="I883">
            <v>4.8032700029999997</v>
          </cell>
          <cell r="J883">
            <v>4.8840128739999997</v>
          </cell>
          <cell r="K883">
            <v>4.9697677630000001</v>
          </cell>
          <cell r="L883">
            <v>5.0641307099999997</v>
          </cell>
          <cell r="M883">
            <v>5.152661954</v>
          </cell>
          <cell r="N883">
            <v>5.2392077270000001</v>
          </cell>
          <cell r="O883">
            <v>5.3245190579999999</v>
          </cell>
          <cell r="P883">
            <v>5.4093404500000002</v>
          </cell>
          <cell r="Q883">
            <v>5.4943732130000003</v>
          </cell>
          <cell r="R883">
            <v>5.5804963010000002</v>
          </cell>
          <cell r="S883">
            <v>5.6684469210000001</v>
          </cell>
          <cell r="T883">
            <v>5.7588928260000003</v>
          </cell>
          <cell r="U883">
            <v>5.8523700410000004</v>
          </cell>
          <cell r="V883">
            <v>5.9448212060000003</v>
          </cell>
          <cell r="W883">
            <v>6.0449023339999997</v>
          </cell>
          <cell r="X883">
            <v>6.1498187399999997</v>
          </cell>
          <cell r="Y883">
            <v>6.2595391019999997</v>
          </cell>
          <cell r="Z883">
            <v>6.374256591</v>
          </cell>
          <cell r="AA883">
            <v>6.4809238560000004</v>
          </cell>
          <cell r="AB883">
            <v>6.5975470789999999</v>
          </cell>
          <cell r="AC883">
            <v>6.7200985390000003</v>
          </cell>
          <cell r="AD883">
            <v>6.8483991319999999</v>
          </cell>
          <cell r="AE883">
            <v>6.9825321770000004</v>
          </cell>
          <cell r="AF883">
            <v>7.1224547960000004</v>
          </cell>
          <cell r="AG883">
            <v>7.2680953920000002</v>
          </cell>
          <cell r="AH883">
            <v>7.4194590260000002</v>
          </cell>
          <cell r="AI883">
            <v>7.5766950460000002</v>
          </cell>
          <cell r="AJ883">
            <v>7.7401529880000002</v>
          </cell>
          <cell r="AK883">
            <v>7.9104805120000004</v>
          </cell>
        </row>
        <row r="884">
          <cell r="A884" t="str">
            <v>ems_mat_co2_sgla_2</v>
          </cell>
          <cell r="B884">
            <v>10.94636216</v>
          </cell>
          <cell r="C884">
            <v>11.14064881</v>
          </cell>
          <cell r="D884">
            <v>11.367151809999999</v>
          </cell>
          <cell r="E884">
            <v>11.61341799</v>
          </cell>
          <cell r="F884">
            <v>11.881290399999999</v>
          </cell>
          <cell r="G884">
            <v>12.17149577</v>
          </cell>
          <cell r="H884">
            <v>12.47664705</v>
          </cell>
          <cell r="I884">
            <v>12.718026289999999</v>
          </cell>
          <cell r="J884">
            <v>12.934295329999999</v>
          </cell>
          <cell r="K884">
            <v>13.18478927</v>
          </cell>
          <cell r="L884">
            <v>13.439073260000001</v>
          </cell>
          <cell r="M884">
            <v>13.66793352</v>
          </cell>
          <cell r="N884">
            <v>13.87527912</v>
          </cell>
          <cell r="O884">
            <v>14.070669779999999</v>
          </cell>
          <cell r="P884">
            <v>14.265718359999999</v>
          </cell>
          <cell r="Q884">
            <v>14.468236989999999</v>
          </cell>
          <cell r="R884">
            <v>14.68321111</v>
          </cell>
          <cell r="S884">
            <v>14.9122428</v>
          </cell>
          <cell r="T884">
            <v>15.161035419999999</v>
          </cell>
          <cell r="U884">
            <v>15.434542309999999</v>
          </cell>
          <cell r="V884">
            <v>15.73449098</v>
          </cell>
          <cell r="W884">
            <v>16.067785000000001</v>
          </cell>
          <cell r="X884">
            <v>16.438887900000001</v>
          </cell>
          <cell r="Y884">
            <v>16.850700870000001</v>
          </cell>
          <cell r="Z884">
            <v>17.304619720000002</v>
          </cell>
          <cell r="AA884">
            <v>17.7937677</v>
          </cell>
          <cell r="AB884">
            <v>18.322136910000001</v>
          </cell>
          <cell r="AC884">
            <v>18.897883010000001</v>
          </cell>
          <cell r="AD884">
            <v>19.52464226</v>
          </cell>
          <cell r="AE884">
            <v>20.20323531</v>
          </cell>
          <cell r="AF884">
            <v>20.93377903</v>
          </cell>
          <cell r="AG884">
            <v>21.718590849999998</v>
          </cell>
          <cell r="AH884">
            <v>22.56319693</v>
          </cell>
          <cell r="AI884">
            <v>23.4762129</v>
          </cell>
          <cell r="AJ884">
            <v>24.471298409999999</v>
          </cell>
          <cell r="AK884">
            <v>25.57023053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7139.7186659999998</v>
          </cell>
          <cell r="D18">
            <v>7244.7275209999998</v>
          </cell>
          <cell r="E18">
            <v>7390.7997109999997</v>
          </cell>
          <cell r="F18">
            <v>7572.0470619999996</v>
          </cell>
          <cell r="G18">
            <v>7778.2302110000001</v>
          </cell>
          <cell r="H18">
            <v>7996.7463280000002</v>
          </cell>
          <cell r="I18">
            <v>8193.3990979999999</v>
          </cell>
          <cell r="J18">
            <v>8388.8683880000008</v>
          </cell>
          <cell r="K18">
            <v>8591.8834530000004</v>
          </cell>
          <cell r="L18">
            <v>8804.3022509999992</v>
          </cell>
          <cell r="M18">
            <v>9029.6743019999994</v>
          </cell>
          <cell r="N18">
            <v>9258.9807419999997</v>
          </cell>
          <cell r="O18">
            <v>9483.1876609999999</v>
          </cell>
          <cell r="P18">
            <v>9695.9594789999992</v>
          </cell>
          <cell r="Q18">
            <v>9893.4996850000007</v>
          </cell>
          <cell r="R18">
            <v>10071.35656</v>
          </cell>
          <cell r="S18">
            <v>10231.548720000001</v>
          </cell>
          <cell r="T18">
            <v>10375.675880000001</v>
          </cell>
          <cell r="U18">
            <v>10504.932769999999</v>
          </cell>
          <cell r="V18">
            <v>10619.303470000001</v>
          </cell>
          <cell r="W18">
            <v>10721.605100000001</v>
          </cell>
          <cell r="X18">
            <v>10813.37954</v>
          </cell>
          <cell r="Y18">
            <v>10896.45025</v>
          </cell>
          <cell r="Z18">
            <v>10972.51074</v>
          </cell>
          <cell r="AA18">
            <v>11039.97206</v>
          </cell>
          <cell r="AB18">
            <v>11102.5491</v>
          </cell>
          <cell r="AC18">
            <v>11161.800639999999</v>
          </cell>
          <cell r="AD18">
            <v>11219.68548</v>
          </cell>
          <cell r="AE18">
            <v>11277.98567</v>
          </cell>
          <cell r="AF18">
            <v>11337.775900000001</v>
          </cell>
          <cell r="AG18">
            <v>11399.347519999999</v>
          </cell>
          <cell r="AH18">
            <v>11462.495580000001</v>
          </cell>
          <cell r="AI18">
            <v>11526.891900000001</v>
          </cell>
          <cell r="AJ18">
            <v>11592.142610000001</v>
          </cell>
          <cell r="AK18">
            <v>11657.84966</v>
          </cell>
        </row>
        <row r="19">
          <cell r="A19" t="str">
            <v>auto_ca_cfut_0</v>
          </cell>
          <cell r="B19">
            <v>7095.7005250000002</v>
          </cell>
          <cell r="C19">
            <v>7139.7186659999998</v>
          </cell>
          <cell r="D19">
            <v>7244.7275200000004</v>
          </cell>
          <cell r="E19">
            <v>7390.7997100000002</v>
          </cell>
          <cell r="F19">
            <v>7572.0470610000002</v>
          </cell>
          <cell r="G19">
            <v>7778.2302090000003</v>
          </cell>
          <cell r="H19">
            <v>7996.7463260000004</v>
          </cell>
          <cell r="I19">
            <v>8221.7918910000008</v>
          </cell>
          <cell r="J19">
            <v>8451.5513019999999</v>
          </cell>
          <cell r="K19">
            <v>8685.2946890000003</v>
          </cell>
          <cell r="L19">
            <v>8923.4374680000001</v>
          </cell>
          <cell r="M19">
            <v>9160.6218819999995</v>
          </cell>
          <cell r="N19">
            <v>9393.3120459999991</v>
          </cell>
          <cell r="O19">
            <v>9618.1666789999999</v>
          </cell>
          <cell r="P19">
            <v>9832.4465189999992</v>
          </cell>
          <cell r="Q19">
            <v>10034.362999999999</v>
          </cell>
          <cell r="R19">
            <v>10228.26483</v>
          </cell>
          <cell r="S19">
            <v>10415.131230000001</v>
          </cell>
          <cell r="T19">
            <v>10594.514579999999</v>
          </cell>
          <cell r="U19">
            <v>10766.060589999999</v>
          </cell>
          <cell r="V19">
            <v>10928.81021</v>
          </cell>
          <cell r="W19">
            <v>11085.244930000001</v>
          </cell>
          <cell r="X19">
            <v>11236.86946</v>
          </cell>
          <cell r="Y19">
            <v>11385.53825</v>
          </cell>
          <cell r="Z19">
            <v>11533.064679999999</v>
          </cell>
          <cell r="AA19">
            <v>11677.85547</v>
          </cell>
          <cell r="AB19">
            <v>11824.27475</v>
          </cell>
          <cell r="AC19">
            <v>11974.430679999999</v>
          </cell>
          <cell r="AD19">
            <v>12130.433209999999</v>
          </cell>
          <cell r="AE19">
            <v>12294.10765</v>
          </cell>
          <cell r="AF19">
            <v>12466.527760000001</v>
          </cell>
          <cell r="AG19">
            <v>12647.933510000001</v>
          </cell>
          <cell r="AH19">
            <v>12837.84023</v>
          </cell>
          <cell r="AI19">
            <v>13035.162780000001</v>
          </cell>
          <cell r="AJ19">
            <v>13238.332689999999</v>
          </cell>
          <cell r="AK19">
            <v>13445.3915</v>
          </cell>
        </row>
        <row r="20">
          <cell r="A20" t="str">
            <v>auto_cb_cfut_2</v>
          </cell>
          <cell r="B20">
            <v>8251.256421</v>
          </cell>
          <cell r="C20">
            <v>8180.8327239999999</v>
          </cell>
          <cell r="D20">
            <v>8176.5979010000001</v>
          </cell>
          <cell r="E20">
            <v>8218.4349419999999</v>
          </cell>
          <cell r="F20">
            <v>8299.8753959999995</v>
          </cell>
          <cell r="G20">
            <v>8410.6111899999996</v>
          </cell>
          <cell r="H20">
            <v>8538.0313900000001</v>
          </cell>
          <cell r="I20">
            <v>8648.3740159999998</v>
          </cell>
          <cell r="J20">
            <v>8759.3544519999996</v>
          </cell>
          <cell r="K20">
            <v>8878.5152070000004</v>
          </cell>
          <cell r="L20">
            <v>9007.0506160000004</v>
          </cell>
          <cell r="M20">
            <v>9148.2359500000002</v>
          </cell>
          <cell r="N20">
            <v>9294.3477220000004</v>
          </cell>
          <cell r="O20">
            <v>9437.4985159999997</v>
          </cell>
          <cell r="P20">
            <v>9572.1776219999992</v>
          </cell>
          <cell r="Q20">
            <v>9695.1127209999995</v>
          </cell>
          <cell r="R20">
            <v>9802.2760259999995</v>
          </cell>
          <cell r="S20">
            <v>9895.4170269999995</v>
          </cell>
          <cell r="T20">
            <v>9976.0103440000003</v>
          </cell>
          <cell r="U20">
            <v>10045.15863</v>
          </cell>
          <cell r="V20">
            <v>10102.827359999999</v>
          </cell>
          <cell r="W20">
            <v>10151.481169999999</v>
          </cell>
          <cell r="X20">
            <v>10192.38262</v>
          </cell>
          <cell r="Y20">
            <v>10227.007019999999</v>
          </cell>
          <cell r="Z20">
            <v>10256.676149999999</v>
          </cell>
          <cell r="AA20">
            <v>10279.75243</v>
          </cell>
          <cell r="AB20">
            <v>10299.294610000001</v>
          </cell>
          <cell r="AC20">
            <v>10316.39522</v>
          </cell>
          <cell r="AD20">
            <v>10332.48245</v>
          </cell>
          <cell r="AE20">
            <v>10348.837810000001</v>
          </cell>
          <cell r="AF20">
            <v>10366.1373</v>
          </cell>
          <cell r="AG20">
            <v>10384.38586</v>
          </cell>
          <cell r="AH20">
            <v>10403.16858</v>
          </cell>
          <cell r="AI20">
            <v>10421.98379</v>
          </cell>
          <cell r="AJ20">
            <v>10440.29789</v>
          </cell>
          <cell r="AK20">
            <v>10457.594510000001</v>
          </cell>
        </row>
        <row r="21">
          <cell r="A21" t="str">
            <v>auto_cb_cfut_0</v>
          </cell>
          <cell r="B21">
            <v>8251.256421</v>
          </cell>
          <cell r="C21">
            <v>8180.8327239999999</v>
          </cell>
          <cell r="D21">
            <v>8176.5979010000001</v>
          </cell>
          <cell r="E21">
            <v>8218.4349409999995</v>
          </cell>
          <cell r="F21">
            <v>8299.8753949999991</v>
          </cell>
          <cell r="G21">
            <v>8410.6111880000008</v>
          </cell>
          <cell r="H21">
            <v>8538.0313870000009</v>
          </cell>
          <cell r="I21">
            <v>8675.9257739999994</v>
          </cell>
          <cell r="J21">
            <v>8821.9203780000007</v>
          </cell>
          <cell r="K21">
            <v>8974.7724010000002</v>
          </cell>
          <cell r="L21">
            <v>9134.4116649999996</v>
          </cell>
          <cell r="M21">
            <v>9295.4801599999992</v>
          </cell>
          <cell r="N21">
            <v>9454.4889469999998</v>
          </cell>
          <cell r="O21">
            <v>9608.2520239999994</v>
          </cell>
          <cell r="P21">
            <v>9754.2097209999993</v>
          </cell>
          <cell r="Q21">
            <v>9890.7033960000008</v>
          </cell>
          <cell r="R21">
            <v>10021.83021</v>
          </cell>
          <cell r="S21">
            <v>10148.65101</v>
          </cell>
          <cell r="T21">
            <v>10270.830679999999</v>
          </cell>
          <cell r="U21">
            <v>10388.0041</v>
          </cell>
          <cell r="V21">
            <v>10499.147489999999</v>
          </cell>
          <cell r="W21">
            <v>10606.3259</v>
          </cell>
          <cell r="X21">
            <v>10710.654339999999</v>
          </cell>
          <cell r="Y21">
            <v>10813.530710000001</v>
          </cell>
          <cell r="Z21">
            <v>10916.277700000001</v>
          </cell>
          <cell r="AA21">
            <v>11017.077950000001</v>
          </cell>
          <cell r="AB21">
            <v>11119.52736</v>
          </cell>
          <cell r="AC21">
            <v>11225.14185</v>
          </cell>
          <cell r="AD21">
            <v>11335.42375</v>
          </cell>
          <cell r="AE21">
            <v>11451.620489999999</v>
          </cell>
          <cell r="AF21">
            <v>11574.31465</v>
          </cell>
          <cell r="AG21">
            <v>11703.36124</v>
          </cell>
          <cell r="AH21">
            <v>11837.996709999999</v>
          </cell>
          <cell r="AI21">
            <v>11976.96034</v>
          </cell>
          <cell r="AJ21">
            <v>12118.608910000001</v>
          </cell>
          <cell r="AK21">
            <v>12261.009539999999</v>
          </cell>
        </row>
        <row r="22">
          <cell r="A22" t="str">
            <v>auto_cc_cfut_2</v>
          </cell>
          <cell r="B22">
            <v>6777.6024520000001</v>
          </cell>
          <cell r="C22">
            <v>6645.4064490000001</v>
          </cell>
          <cell r="D22">
            <v>6564.7421899999999</v>
          </cell>
          <cell r="E22">
            <v>6520.9766870000003</v>
          </cell>
          <cell r="F22">
            <v>6509.0458699999999</v>
          </cell>
          <cell r="G22">
            <v>6521.4608749999998</v>
          </cell>
          <cell r="H22">
            <v>6549.119256</v>
          </cell>
          <cell r="I22">
            <v>6568.0044989999997</v>
          </cell>
          <cell r="J22">
            <v>6588.9423139999999</v>
          </cell>
          <cell r="K22">
            <v>6616.5972519999996</v>
          </cell>
          <cell r="L22">
            <v>6651.4154070000004</v>
          </cell>
          <cell r="M22">
            <v>6695.5794420000002</v>
          </cell>
          <cell r="N22">
            <v>6744.3405540000003</v>
          </cell>
          <cell r="O22">
            <v>6792.7326819999998</v>
          </cell>
          <cell r="P22">
            <v>6837.2906579999999</v>
          </cell>
          <cell r="Q22">
            <v>6875.9664069999999</v>
          </cell>
          <cell r="R22">
            <v>6906.108448</v>
          </cell>
          <cell r="S22">
            <v>6928.785707</v>
          </cell>
          <cell r="T22">
            <v>6944.9562759999999</v>
          </cell>
          <cell r="U22">
            <v>6955.3319680000004</v>
          </cell>
          <cell r="V22">
            <v>6959.8552680000003</v>
          </cell>
          <cell r="W22">
            <v>6960.0602740000004</v>
          </cell>
          <cell r="X22">
            <v>6956.6663619999999</v>
          </cell>
          <cell r="Y22">
            <v>6950.5067349999999</v>
          </cell>
          <cell r="Z22">
            <v>6942.2934660000001</v>
          </cell>
          <cell r="AA22">
            <v>6930.8141180000002</v>
          </cell>
          <cell r="AB22">
            <v>6917.8624330000002</v>
          </cell>
          <cell r="AC22">
            <v>6903.9414770000003</v>
          </cell>
          <cell r="AD22">
            <v>6889.7611619999998</v>
          </cell>
          <cell r="AE22">
            <v>6875.9480130000002</v>
          </cell>
          <cell r="AF22">
            <v>6862.7585200000003</v>
          </cell>
          <cell r="AG22">
            <v>6850.0379380000004</v>
          </cell>
          <cell r="AH22">
            <v>6837.3790680000002</v>
          </cell>
          <cell r="AI22">
            <v>6824.3369780000003</v>
          </cell>
          <cell r="AJ22">
            <v>6810.4662509999998</v>
          </cell>
          <cell r="AK22">
            <v>6795.349021</v>
          </cell>
        </row>
        <row r="23">
          <cell r="A23" t="str">
            <v>auto_cc_cfut_0</v>
          </cell>
          <cell r="B23">
            <v>6777.6024520000001</v>
          </cell>
          <cell r="C23">
            <v>6645.4064490000001</v>
          </cell>
          <cell r="D23">
            <v>6564.7421899999999</v>
          </cell>
          <cell r="E23">
            <v>6520.976686</v>
          </cell>
          <cell r="F23">
            <v>6509.0458689999996</v>
          </cell>
          <cell r="G23">
            <v>6521.460873</v>
          </cell>
          <cell r="H23">
            <v>6549.1192540000002</v>
          </cell>
          <cell r="I23">
            <v>6587.2670189999999</v>
          </cell>
          <cell r="J23">
            <v>6633.814695</v>
          </cell>
          <cell r="K23">
            <v>6687.5191130000003</v>
          </cell>
          <cell r="L23">
            <v>6748.0008269999998</v>
          </cell>
          <cell r="M23">
            <v>6811.3920269999999</v>
          </cell>
          <cell r="N23">
            <v>6875.1979890000002</v>
          </cell>
          <cell r="O23">
            <v>6937.2095529999997</v>
          </cell>
          <cell r="P23">
            <v>6995.6820950000001</v>
          </cell>
          <cell r="Q23">
            <v>7049.4865659999996</v>
          </cell>
          <cell r="R23">
            <v>7101.386544</v>
          </cell>
          <cell r="S23">
            <v>7152.1726589999998</v>
          </cell>
          <cell r="T23">
            <v>7201.6535089999998</v>
          </cell>
          <cell r="U23">
            <v>7249.5413930000004</v>
          </cell>
          <cell r="V23">
            <v>7295.04475</v>
          </cell>
          <cell r="W23">
            <v>7339.3731360000002</v>
          </cell>
          <cell r="X23">
            <v>7383.073617</v>
          </cell>
          <cell r="Y23">
            <v>7426.8577969999997</v>
          </cell>
          <cell r="Z23">
            <v>7471.3655060000001</v>
          </cell>
          <cell r="AA23">
            <v>7515.1514960000004</v>
          </cell>
          <cell r="AB23">
            <v>7560.3234389999998</v>
          </cell>
          <cell r="AC23">
            <v>7607.6096649999999</v>
          </cell>
          <cell r="AD23">
            <v>7657.724526</v>
          </cell>
          <cell r="AE23">
            <v>7711.2227549999998</v>
          </cell>
          <cell r="AF23">
            <v>7768.2402009999996</v>
          </cell>
          <cell r="AG23">
            <v>7828.4603049999996</v>
          </cell>
          <cell r="AH23">
            <v>7891.1917030000004</v>
          </cell>
          <cell r="AI23">
            <v>7955.4528090000003</v>
          </cell>
          <cell r="AJ23">
            <v>8020.0514789999997</v>
          </cell>
          <cell r="AK23">
            <v>8083.6501280000002</v>
          </cell>
        </row>
        <row r="24">
          <cell r="A24" t="str">
            <v>auto_cd_cfut_2</v>
          </cell>
          <cell r="B24">
            <v>4159.6639080000004</v>
          </cell>
          <cell r="C24">
            <v>4054.0478400000002</v>
          </cell>
          <cell r="D24">
            <v>3977.8598659999998</v>
          </cell>
          <cell r="E24">
            <v>3922.4017629999998</v>
          </cell>
          <cell r="F24">
            <v>3884.4081849999998</v>
          </cell>
          <cell r="G24">
            <v>3859.5346209999998</v>
          </cell>
          <cell r="H24">
            <v>3842.6165799999999</v>
          </cell>
          <cell r="I24">
            <v>3820.4169619999998</v>
          </cell>
          <cell r="J24">
            <v>3798.097589</v>
          </cell>
          <cell r="K24">
            <v>3778.193413</v>
          </cell>
          <cell r="L24">
            <v>3761.145865</v>
          </cell>
          <cell r="M24">
            <v>3748.39554</v>
          </cell>
          <cell r="N24">
            <v>3738.0402650000001</v>
          </cell>
          <cell r="O24">
            <v>3728.087141</v>
          </cell>
          <cell r="P24">
            <v>3717.2593240000001</v>
          </cell>
          <cell r="Q24">
            <v>3704.9151109999998</v>
          </cell>
          <cell r="R24">
            <v>3690.0490580000001</v>
          </cell>
          <cell r="S24">
            <v>3673.3788300000001</v>
          </cell>
          <cell r="T24">
            <v>3655.5502219999998</v>
          </cell>
          <cell r="U24">
            <v>3637.035805</v>
          </cell>
          <cell r="V24">
            <v>3617.869185</v>
          </cell>
          <cell r="W24">
            <v>3598.7892980000001</v>
          </cell>
          <cell r="X24">
            <v>3580.087188</v>
          </cell>
          <cell r="Y24">
            <v>3562.0684270000002</v>
          </cell>
          <cell r="Z24">
            <v>3544.9418449999998</v>
          </cell>
          <cell r="AA24">
            <v>3527.941096</v>
          </cell>
          <cell r="AB24">
            <v>3511.727832</v>
          </cell>
          <cell r="AC24">
            <v>3496.298076</v>
          </cell>
          <cell r="AD24">
            <v>3481.7465659999998</v>
          </cell>
          <cell r="AE24">
            <v>3468.1674910000002</v>
          </cell>
          <cell r="AF24">
            <v>3455.5223999999998</v>
          </cell>
          <cell r="AG24">
            <v>3443.610666</v>
          </cell>
          <cell r="AH24">
            <v>3432.1367380000002</v>
          </cell>
          <cell r="AI24">
            <v>3420.8200980000001</v>
          </cell>
          <cell r="AJ24">
            <v>3409.4178910000001</v>
          </cell>
          <cell r="AK24">
            <v>3397.7332740000002</v>
          </cell>
        </row>
        <row r="25">
          <cell r="A25" t="str">
            <v>auto_cd_cfut_0</v>
          </cell>
          <cell r="B25">
            <v>4159.6639080000004</v>
          </cell>
          <cell r="C25">
            <v>4054.0478400000002</v>
          </cell>
          <cell r="D25">
            <v>3977.8598649999999</v>
          </cell>
          <cell r="E25">
            <v>3922.4017629999998</v>
          </cell>
          <cell r="F25">
            <v>3884.4081849999998</v>
          </cell>
          <cell r="G25">
            <v>3859.5346209999998</v>
          </cell>
          <cell r="H25">
            <v>3842.616579</v>
          </cell>
          <cell r="I25">
            <v>3830.8433190000001</v>
          </cell>
          <cell r="J25">
            <v>3822.8911889999999</v>
          </cell>
          <cell r="K25">
            <v>3817.9643759999999</v>
          </cell>
          <cell r="L25">
            <v>3815.7813700000002</v>
          </cell>
          <cell r="M25">
            <v>3814.4186070000001</v>
          </cell>
          <cell r="N25">
            <v>3812.8121409999999</v>
          </cell>
          <cell r="O25">
            <v>3810.151969</v>
          </cell>
          <cell r="P25">
            <v>3805.8961749999999</v>
          </cell>
          <cell r="Q25">
            <v>3799.7868020000001</v>
          </cell>
          <cell r="R25">
            <v>3793.4459780000002</v>
          </cell>
          <cell r="S25">
            <v>3787.5285909999998</v>
          </cell>
          <cell r="T25">
            <v>3782.1272389999999</v>
          </cell>
          <cell r="U25">
            <v>3777.1833710000001</v>
          </cell>
          <cell r="V25">
            <v>3772.304713</v>
          </cell>
          <cell r="W25">
            <v>3767.976498</v>
          </cell>
          <cell r="X25">
            <v>3764.3135990000001</v>
          </cell>
          <cell r="Y25">
            <v>3761.461996</v>
          </cell>
          <cell r="Z25">
            <v>3759.48459</v>
          </cell>
          <cell r="AA25">
            <v>3757.4319959999998</v>
          </cell>
          <cell r="AB25">
            <v>3755.982387</v>
          </cell>
          <cell r="AC25">
            <v>3755.1563849999998</v>
          </cell>
          <cell r="AD25">
            <v>3754.9650929999998</v>
          </cell>
          <cell r="AE25">
            <v>3755.3714340000001</v>
          </cell>
          <cell r="AF25">
            <v>3756.187195</v>
          </cell>
          <cell r="AG25">
            <v>3757.0686249999999</v>
          </cell>
          <cell r="AH25">
            <v>3757.559565</v>
          </cell>
          <cell r="AI25">
            <v>3757.1349489999998</v>
          </cell>
          <cell r="AJ25">
            <v>3755.2404569999999</v>
          </cell>
          <cell r="AK25">
            <v>3751.32411</v>
          </cell>
        </row>
        <row r="26">
          <cell r="A26" t="str">
            <v>auto_ce_cfut_2</v>
          </cell>
          <cell r="B26">
            <v>2503.7292430000002</v>
          </cell>
          <cell r="C26">
            <v>2442.48623</v>
          </cell>
          <cell r="D26">
            <v>2398.1237219999998</v>
          </cell>
          <cell r="E26">
            <v>2365.101971</v>
          </cell>
          <cell r="F26">
            <v>2341.2948379999998</v>
          </cell>
          <cell r="G26">
            <v>2324.0660750000002</v>
          </cell>
          <cell r="H26">
            <v>2310.3046680000002</v>
          </cell>
          <cell r="I26">
            <v>2291.9912100000001</v>
          </cell>
          <cell r="J26">
            <v>2271.8143049999999</v>
          </cell>
          <cell r="K26">
            <v>2251.2600389999998</v>
          </cell>
          <cell r="L26">
            <v>2230.6254079999999</v>
          </cell>
          <cell r="M26">
            <v>2210.8866250000001</v>
          </cell>
          <cell r="N26">
            <v>2191.3450659999999</v>
          </cell>
          <cell r="O26">
            <v>2171.2499929999999</v>
          </cell>
          <cell r="P26">
            <v>2150.2137339999999</v>
          </cell>
          <cell r="Q26">
            <v>2128.146354</v>
          </cell>
          <cell r="R26">
            <v>2104.7118</v>
          </cell>
          <cell r="S26">
            <v>2080.417148</v>
          </cell>
          <cell r="T26">
            <v>2055.7176169999998</v>
          </cell>
          <cell r="U26">
            <v>2030.946387</v>
          </cell>
          <cell r="V26">
            <v>2006.1757540000001</v>
          </cell>
          <cell r="W26">
            <v>1981.7984329999999</v>
          </cell>
          <cell r="X26">
            <v>1957.9474680000001</v>
          </cell>
          <cell r="Y26">
            <v>1934.737392</v>
          </cell>
          <cell r="Z26">
            <v>1912.2105509999999</v>
          </cell>
          <cell r="AA26">
            <v>1889.9116369999999</v>
          </cell>
          <cell r="AB26">
            <v>1868.065108</v>
          </cell>
          <cell r="AC26">
            <v>1846.5495020000001</v>
          </cell>
          <cell r="AD26">
            <v>1825.286535</v>
          </cell>
          <cell r="AE26">
            <v>1804.2108860000001</v>
          </cell>
          <cell r="AF26">
            <v>1783.212546</v>
          </cell>
          <cell r="AG26">
            <v>1762.122693</v>
          </cell>
          <cell r="AH26">
            <v>1740.744019</v>
          </cell>
          <cell r="AI26">
            <v>1718.9040170000001</v>
          </cell>
          <cell r="AJ26">
            <v>1696.4662760000001</v>
          </cell>
          <cell r="AK26">
            <v>1673.330997</v>
          </cell>
        </row>
        <row r="27">
          <cell r="A27" t="str">
            <v>auto_ce_cfut_0</v>
          </cell>
          <cell r="B27">
            <v>2503.7292430000002</v>
          </cell>
          <cell r="C27">
            <v>2442.48623</v>
          </cell>
          <cell r="D27">
            <v>2398.1237209999999</v>
          </cell>
          <cell r="E27">
            <v>2365.101971</v>
          </cell>
          <cell r="F27">
            <v>2341.2948379999998</v>
          </cell>
          <cell r="G27">
            <v>2324.0660750000002</v>
          </cell>
          <cell r="H27">
            <v>2310.3046680000002</v>
          </cell>
          <cell r="I27">
            <v>2298.302729</v>
          </cell>
          <cell r="J27">
            <v>2287.262013</v>
          </cell>
          <cell r="K27">
            <v>2276.7322880000002</v>
          </cell>
          <cell r="L27">
            <v>2266.5904099999998</v>
          </cell>
          <cell r="M27">
            <v>2255.844247</v>
          </cell>
          <cell r="N27">
            <v>2244.0632059999998</v>
          </cell>
          <cell r="O27">
            <v>2231.0041999999999</v>
          </cell>
          <cell r="P27">
            <v>2216.580168</v>
          </cell>
          <cell r="Q27">
            <v>2200.8396550000002</v>
          </cell>
          <cell r="R27">
            <v>2184.837035</v>
          </cell>
          <cell r="S27">
            <v>2169.0949500000002</v>
          </cell>
          <cell r="T27">
            <v>2153.7840970000002</v>
          </cell>
          <cell r="U27">
            <v>2138.936592</v>
          </cell>
          <cell r="V27">
            <v>2124.3570890000001</v>
          </cell>
          <cell r="W27">
            <v>2110.2723219999998</v>
          </cell>
          <cell r="X27">
            <v>2096.6833019999999</v>
          </cell>
          <cell r="Y27">
            <v>2083.582359</v>
          </cell>
          <cell r="Z27">
            <v>2070.8939329999998</v>
          </cell>
          <cell r="AA27">
            <v>2058.0054150000001</v>
          </cell>
          <cell r="AB27">
            <v>2045.127367</v>
          </cell>
          <cell r="AC27">
            <v>2032.129385</v>
          </cell>
          <cell r="AD27">
            <v>2018.8793639999999</v>
          </cell>
          <cell r="AE27">
            <v>2005.237807</v>
          </cell>
          <cell r="AF27">
            <v>1991.014203</v>
          </cell>
          <cell r="AG27">
            <v>1975.970276</v>
          </cell>
          <cell r="AH27">
            <v>1959.844785</v>
          </cell>
          <cell r="AI27">
            <v>1942.37652</v>
          </cell>
          <cell r="AJ27">
            <v>1923.3239960000001</v>
          </cell>
          <cell r="AK27">
            <v>1902.4799640000001</v>
          </cell>
        </row>
        <row r="28">
          <cell r="A28" t="str">
            <v>auto_cf_cfut_2</v>
          </cell>
          <cell r="B28">
            <v>1243.6668460000001</v>
          </cell>
          <cell r="C28">
            <v>1210.5870379999999</v>
          </cell>
          <cell r="D28">
            <v>1184.4493259999999</v>
          </cell>
          <cell r="E28">
            <v>1162.270395</v>
          </cell>
          <cell r="F28">
            <v>1142.8421370000001</v>
          </cell>
          <cell r="G28">
            <v>1124.9264740000001</v>
          </cell>
          <cell r="H28">
            <v>1107.1524999999999</v>
          </cell>
          <cell r="I28">
            <v>1086.062717</v>
          </cell>
          <cell r="J28">
            <v>1062.632854</v>
          </cell>
          <cell r="K28">
            <v>1037.6174920000001</v>
          </cell>
          <cell r="L28">
            <v>1011.314048</v>
          </cell>
          <cell r="M28">
            <v>984.33095790000004</v>
          </cell>
          <cell r="N28">
            <v>956.80833740000003</v>
          </cell>
          <cell r="O28">
            <v>928.87417589999995</v>
          </cell>
          <cell r="P28">
            <v>900.73665430000005</v>
          </cell>
          <cell r="Q28">
            <v>872.6361316</v>
          </cell>
          <cell r="R28">
            <v>844.68098729999997</v>
          </cell>
          <cell r="S28">
            <v>817.15602869999998</v>
          </cell>
          <cell r="T28">
            <v>790.29040689999999</v>
          </cell>
          <cell r="U28">
            <v>764.23753369999997</v>
          </cell>
          <cell r="V28">
            <v>739.04308390000006</v>
          </cell>
          <cell r="W28">
            <v>714.80185840000001</v>
          </cell>
          <cell r="X28">
            <v>691.51380010000003</v>
          </cell>
          <cell r="Y28">
            <v>669.15440179999996</v>
          </cell>
          <cell r="Z28">
            <v>647.6645479</v>
          </cell>
          <cell r="AA28">
            <v>626.85586269999999</v>
          </cell>
          <cell r="AB28">
            <v>606.68999040000006</v>
          </cell>
          <cell r="AC28">
            <v>587.0399979</v>
          </cell>
          <cell r="AD28">
            <v>567.79522929999996</v>
          </cell>
          <cell r="AE28">
            <v>548.8681259</v>
          </cell>
          <cell r="AF28">
            <v>530.18429170000002</v>
          </cell>
          <cell r="AG28">
            <v>511.67749120000002</v>
          </cell>
          <cell r="AH28">
            <v>493.2932667</v>
          </cell>
          <cell r="AI28">
            <v>474.99911839999999</v>
          </cell>
          <cell r="AJ28">
            <v>456.78493700000001</v>
          </cell>
          <cell r="AK28">
            <v>438.65899519999999</v>
          </cell>
        </row>
        <row r="29">
          <cell r="A29" t="str">
            <v>auto_cf_cfut_0</v>
          </cell>
          <cell r="B29">
            <v>1243.6668460000001</v>
          </cell>
          <cell r="C29">
            <v>1210.5870379999999</v>
          </cell>
          <cell r="D29">
            <v>1184.4493259999999</v>
          </cell>
          <cell r="E29">
            <v>1162.270395</v>
          </cell>
          <cell r="F29">
            <v>1142.8421370000001</v>
          </cell>
          <cell r="G29">
            <v>1124.9264740000001</v>
          </cell>
          <cell r="H29">
            <v>1107.1524999999999</v>
          </cell>
          <cell r="I29">
            <v>1088.8055549999999</v>
          </cell>
          <cell r="J29">
            <v>1069.6133500000001</v>
          </cell>
          <cell r="K29">
            <v>1049.4968710000001</v>
          </cell>
          <cell r="L29">
            <v>1028.5379</v>
          </cell>
          <cell r="M29">
            <v>1006.568235</v>
          </cell>
          <cell r="N29">
            <v>983.69526040000005</v>
          </cell>
          <cell r="O29">
            <v>960.12087269999995</v>
          </cell>
          <cell r="P29">
            <v>936.08367759999999</v>
          </cell>
          <cell r="Q29">
            <v>911.82306570000003</v>
          </cell>
          <cell r="R29">
            <v>887.85262650000004</v>
          </cell>
          <cell r="S29">
            <v>864.48606930000005</v>
          </cell>
          <cell r="T29">
            <v>841.87361650000003</v>
          </cell>
          <cell r="U29">
            <v>820.06762360000005</v>
          </cell>
          <cell r="V29">
            <v>799.00758010000004</v>
          </cell>
          <cell r="W29">
            <v>778.71713729999999</v>
          </cell>
          <cell r="X29">
            <v>759.13015299999995</v>
          </cell>
          <cell r="Y29">
            <v>740.15882499999998</v>
          </cell>
          <cell r="Z29">
            <v>721.67968949999999</v>
          </cell>
          <cell r="AA29">
            <v>703.42107769999996</v>
          </cell>
          <cell r="AB29">
            <v>685.32499970000003</v>
          </cell>
          <cell r="AC29">
            <v>667.25404779999997</v>
          </cell>
          <cell r="AD29">
            <v>649.0869702</v>
          </cell>
          <cell r="AE29">
            <v>630.72861339999997</v>
          </cell>
          <cell r="AF29">
            <v>612.10371229999998</v>
          </cell>
          <cell r="AG29">
            <v>593.15850120000005</v>
          </cell>
          <cell r="AH29">
            <v>573.86472600000002</v>
          </cell>
          <cell r="AI29">
            <v>554.22116819999997</v>
          </cell>
          <cell r="AJ29">
            <v>534.25317150000001</v>
          </cell>
          <cell r="AK29">
            <v>514.01024810000001</v>
          </cell>
        </row>
        <row r="30">
          <cell r="A30" t="str">
            <v>auto_cg_cfut_2</v>
          </cell>
          <cell r="B30">
            <v>2239.620606</v>
          </cell>
          <cell r="C30">
            <v>2183.4436900000001</v>
          </cell>
          <cell r="D30">
            <v>2137.4839270000002</v>
          </cell>
          <cell r="E30">
            <v>2095.8484589999998</v>
          </cell>
          <cell r="F30">
            <v>2056.2116099999998</v>
          </cell>
          <cell r="G30">
            <v>2016.529802</v>
          </cell>
          <cell r="H30">
            <v>1974.6559070000001</v>
          </cell>
          <cell r="I30">
            <v>1924.9727929999999</v>
          </cell>
          <cell r="J30">
            <v>1869.16706</v>
          </cell>
          <cell r="K30">
            <v>1808.9289759999999</v>
          </cell>
          <cell r="L30">
            <v>1745.227531</v>
          </cell>
          <cell r="M30">
            <v>1679.5236640000001</v>
          </cell>
          <cell r="N30">
            <v>1612.684968</v>
          </cell>
          <cell r="O30">
            <v>1545.4787899999999</v>
          </cell>
          <cell r="P30">
            <v>1478.6550440000001</v>
          </cell>
          <cell r="Q30">
            <v>1412.8725260000001</v>
          </cell>
          <cell r="R30">
            <v>1348.516533</v>
          </cell>
          <cell r="S30">
            <v>1286.0725130000001</v>
          </cell>
          <cell r="T30">
            <v>1225.894157</v>
          </cell>
          <cell r="U30">
            <v>1168.1909470000001</v>
          </cell>
          <cell r="V30">
            <v>1113.0075959999999</v>
          </cell>
          <cell r="W30">
            <v>1060.4017469999999</v>
          </cell>
          <cell r="X30">
            <v>1010.303852</v>
          </cell>
          <cell r="Y30">
            <v>962.60221130000002</v>
          </cell>
          <cell r="Z30">
            <v>917.1390298</v>
          </cell>
          <cell r="AA30">
            <v>873.62881630000004</v>
          </cell>
          <cell r="AB30">
            <v>831.92815540000004</v>
          </cell>
          <cell r="AC30">
            <v>791.81420260000004</v>
          </cell>
          <cell r="AD30">
            <v>753.09571449999999</v>
          </cell>
          <cell r="AE30">
            <v>715.62818719999996</v>
          </cell>
          <cell r="AF30">
            <v>679.30423080000003</v>
          </cell>
          <cell r="AG30">
            <v>644.0447408</v>
          </cell>
          <cell r="AH30">
            <v>609.79699989999995</v>
          </cell>
          <cell r="AI30">
            <v>576.53898149999998</v>
          </cell>
          <cell r="AJ30">
            <v>544.27492199999995</v>
          </cell>
          <cell r="AK30">
            <v>513.02679509999996</v>
          </cell>
        </row>
        <row r="31">
          <cell r="A31" t="str">
            <v>auto_cg_cfut_0</v>
          </cell>
          <cell r="B31">
            <v>2239.620606</v>
          </cell>
          <cell r="C31">
            <v>2183.4436900000001</v>
          </cell>
          <cell r="D31">
            <v>2137.4839270000002</v>
          </cell>
          <cell r="E31">
            <v>2095.8484589999998</v>
          </cell>
          <cell r="F31">
            <v>2056.2116099999998</v>
          </cell>
          <cell r="G31">
            <v>2016.529802</v>
          </cell>
          <cell r="H31">
            <v>1974.6559070000001</v>
          </cell>
          <cell r="I31">
            <v>1929.637475</v>
          </cell>
          <cell r="J31">
            <v>1881.3377929999999</v>
          </cell>
          <cell r="K31">
            <v>1829.9897189999999</v>
          </cell>
          <cell r="L31">
            <v>1776.098555</v>
          </cell>
          <cell r="M31">
            <v>1719.856172</v>
          </cell>
          <cell r="N31">
            <v>1661.8948439999999</v>
          </cell>
          <cell r="O31">
            <v>1602.9583580000001</v>
          </cell>
          <cell r="P31">
            <v>1543.768607</v>
          </cell>
          <cell r="Q31">
            <v>1484.9536210000001</v>
          </cell>
          <cell r="R31">
            <v>1427.40724</v>
          </cell>
          <cell r="S31">
            <v>1371.7026390000001</v>
          </cell>
          <cell r="T31">
            <v>1318.1288159999999</v>
          </cell>
          <cell r="U31">
            <v>1266.7827580000001</v>
          </cell>
          <cell r="V31">
            <v>1217.5713169999999</v>
          </cell>
          <cell r="W31">
            <v>1170.4598900000001</v>
          </cell>
          <cell r="X31">
            <v>1125.2848690000001</v>
          </cell>
          <cell r="Y31">
            <v>1081.843337</v>
          </cell>
          <cell r="Z31">
            <v>1039.8834139999999</v>
          </cell>
          <cell r="AA31">
            <v>998.99661979999996</v>
          </cell>
          <cell r="AB31">
            <v>959.01679220000005</v>
          </cell>
          <cell r="AC31">
            <v>919.71576059999995</v>
          </cell>
          <cell r="AD31">
            <v>880.91215020000004</v>
          </cell>
          <cell r="AE31">
            <v>842.488294</v>
          </cell>
          <cell r="AF31">
            <v>804.38243439999997</v>
          </cell>
          <cell r="AG31">
            <v>766.58458370000005</v>
          </cell>
          <cell r="AH31">
            <v>729.13218370000004</v>
          </cell>
          <cell r="AI31">
            <v>692.10220170000002</v>
          </cell>
          <cell r="AJ31">
            <v>655.60143300000004</v>
          </cell>
          <cell r="AK31">
            <v>619.75592259999996</v>
          </cell>
        </row>
        <row r="32">
          <cell r="A32" t="str">
            <v>auto_ca_cele_2</v>
          </cell>
          <cell r="B32">
            <v>9.8427898650000003</v>
          </cell>
          <cell r="C32">
            <v>15.13070768</v>
          </cell>
          <cell r="D32">
            <v>21.018415910000002</v>
          </cell>
          <cell r="E32">
            <v>27.458853229999999</v>
          </cell>
          <cell r="F32">
            <v>34.508377000000003</v>
          </cell>
          <cell r="G32">
            <v>42.066790990000001</v>
          </cell>
          <cell r="H32">
            <v>50.026157329999997</v>
          </cell>
          <cell r="I32">
            <v>58.430582829999999</v>
          </cell>
          <cell r="J32">
            <v>69.067328709999998</v>
          </cell>
          <cell r="K32">
            <v>83.760349399999996</v>
          </cell>
          <cell r="L32">
            <v>104.71994170000001</v>
          </cell>
          <cell r="M32">
            <v>133.7471788</v>
          </cell>
          <cell r="N32">
            <v>170.86496930000001</v>
          </cell>
          <cell r="O32">
            <v>215.8546963</v>
          </cell>
          <cell r="P32">
            <v>268.43705829999999</v>
          </cell>
          <cell r="Q32">
            <v>328.34948650000001</v>
          </cell>
          <cell r="R32">
            <v>395.35530130000001</v>
          </cell>
          <cell r="S32">
            <v>469.85029129999998</v>
          </cell>
          <cell r="T32">
            <v>552.07647069999996</v>
          </cell>
          <cell r="U32">
            <v>642.18985269999996</v>
          </cell>
          <cell r="V32">
            <v>740.18487040000002</v>
          </cell>
          <cell r="W32">
            <v>846.44232650000004</v>
          </cell>
          <cell r="X32">
            <v>961.25945530000001</v>
          </cell>
          <cell r="Y32">
            <v>1085.0585530000001</v>
          </cell>
          <cell r="Z32">
            <v>1218.340895</v>
          </cell>
          <cell r="AA32">
            <v>1361.0393140000001</v>
          </cell>
          <cell r="AB32">
            <v>1514.213131</v>
          </cell>
          <cell r="AC32">
            <v>1678.667404</v>
          </cell>
          <cell r="AD32">
            <v>1855.4727989999999</v>
          </cell>
          <cell r="AE32">
            <v>2045.859467</v>
          </cell>
          <cell r="AF32">
            <v>2251.0663810000001</v>
          </cell>
          <cell r="AG32">
            <v>2472.2729169999998</v>
          </cell>
          <cell r="AH32">
            <v>2710.6374970000002</v>
          </cell>
          <cell r="AI32">
            <v>2967.395653</v>
          </cell>
          <cell r="AJ32">
            <v>3243.876835</v>
          </cell>
          <cell r="AK32">
            <v>3541.529747</v>
          </cell>
        </row>
        <row r="33">
          <cell r="A33" t="str">
            <v>auto_ca_cele_0</v>
          </cell>
          <cell r="B33">
            <v>9.8427898650000003</v>
          </cell>
          <cell r="C33">
            <v>15.13070768</v>
          </cell>
          <cell r="D33">
            <v>21.018415910000002</v>
          </cell>
          <cell r="E33">
            <v>27.45885324</v>
          </cell>
          <cell r="F33">
            <v>34.508377009999997</v>
          </cell>
          <cell r="G33">
            <v>42.066791019999997</v>
          </cell>
          <cell r="H33">
            <v>50.026157380000001</v>
          </cell>
          <cell r="I33">
            <v>58.40861494</v>
          </cell>
          <cell r="J33">
            <v>67.323583999999997</v>
          </cell>
          <cell r="K33">
            <v>76.916556</v>
          </cell>
          <cell r="L33">
            <v>87.366088300000001</v>
          </cell>
          <cell r="M33">
            <v>98.772500129999997</v>
          </cell>
          <cell r="N33">
            <v>111.2513141</v>
          </cell>
          <cell r="O33">
            <v>124.9074818</v>
          </cell>
          <cell r="P33">
            <v>139.84217200000001</v>
          </cell>
          <cell r="Q33">
            <v>156.1639917</v>
          </cell>
          <cell r="R33">
            <v>174.0709981</v>
          </cell>
          <cell r="S33">
            <v>193.61117580000001</v>
          </cell>
          <cell r="T33">
            <v>214.7721598</v>
          </cell>
          <cell r="U33">
            <v>237.54830089999999</v>
          </cell>
          <cell r="V33">
            <v>261.93044889999999</v>
          </cell>
          <cell r="W33">
            <v>288.04834069999998</v>
          </cell>
          <cell r="X33">
            <v>316.03754730000003</v>
          </cell>
          <cell r="Y33">
            <v>346.08348239999998</v>
          </cell>
          <cell r="Z33">
            <v>378.40948559999998</v>
          </cell>
          <cell r="AA33">
            <v>413.11741019999999</v>
          </cell>
          <cell r="AB33">
            <v>450.61680469999999</v>
          </cell>
          <cell r="AC33">
            <v>491.27109380000002</v>
          </cell>
          <cell r="AD33">
            <v>535.49978469999996</v>
          </cell>
          <cell r="AE33">
            <v>583.76624960000004</v>
          </cell>
          <cell r="AF33">
            <v>636.54733350000004</v>
          </cell>
          <cell r="AG33">
            <v>694.3186078</v>
          </cell>
          <cell r="AH33">
            <v>757.55001300000004</v>
          </cell>
          <cell r="AI33">
            <v>826.70305729999995</v>
          </cell>
          <cell r="AJ33">
            <v>902.22828879999997</v>
          </cell>
          <cell r="AK33">
            <v>984.56147810000004</v>
          </cell>
        </row>
        <row r="34">
          <cell r="A34" t="str">
            <v>auto_cb_cele_2</v>
          </cell>
          <cell r="B34">
            <v>11.44571741</v>
          </cell>
          <cell r="C34">
            <v>16.449075539999999</v>
          </cell>
          <cell r="D34">
            <v>22.036214130000001</v>
          </cell>
          <cell r="E34">
            <v>28.165070979999999</v>
          </cell>
          <cell r="F34">
            <v>34.891826100000003</v>
          </cell>
          <cell r="G34">
            <v>42.117607550000002</v>
          </cell>
          <cell r="H34">
            <v>49.736299199999998</v>
          </cell>
          <cell r="I34">
            <v>57.799045020000001</v>
          </cell>
          <cell r="J34">
            <v>68.053526669999997</v>
          </cell>
          <cell r="K34">
            <v>82.256646000000003</v>
          </cell>
          <cell r="L34">
            <v>102.5010707</v>
          </cell>
          <cell r="M34">
            <v>130.4586323</v>
          </cell>
          <cell r="N34">
            <v>166.10953649999999</v>
          </cell>
          <cell r="O34">
            <v>209.2139526</v>
          </cell>
          <cell r="P34">
            <v>259.48310720000001</v>
          </cell>
          <cell r="Q34">
            <v>316.6504607</v>
          </cell>
          <cell r="R34">
            <v>380.46913460000002</v>
          </cell>
          <cell r="S34">
            <v>451.28795270000001</v>
          </cell>
          <cell r="T34">
            <v>529.32072749999998</v>
          </cell>
          <cell r="U34">
            <v>614.70296810000002</v>
          </cell>
          <cell r="V34">
            <v>707.414627</v>
          </cell>
          <cell r="W34">
            <v>807.7959998</v>
          </cell>
          <cell r="X34">
            <v>916.09853710000004</v>
          </cell>
          <cell r="Y34">
            <v>1032.6807630000001</v>
          </cell>
          <cell r="Z34">
            <v>1157.961436</v>
          </cell>
          <cell r="AA34">
            <v>1291.806975</v>
          </cell>
          <cell r="AB34">
            <v>1435.122286</v>
          </cell>
          <cell r="AC34">
            <v>1588.543619</v>
          </cell>
          <cell r="AD34">
            <v>1752.9273559999999</v>
          </cell>
          <cell r="AE34">
            <v>1929.2538460000001</v>
          </cell>
          <cell r="AF34">
            <v>2118.4865920000002</v>
          </cell>
          <cell r="AG34">
            <v>2321.5061019999998</v>
          </cell>
          <cell r="AH34">
            <v>2539.1422899999998</v>
          </cell>
          <cell r="AI34">
            <v>2772.2641119999998</v>
          </cell>
          <cell r="AJ34">
            <v>3021.7937780000002</v>
          </cell>
          <cell r="AK34">
            <v>3288.7250789999998</v>
          </cell>
        </row>
        <row r="35">
          <cell r="A35" t="str">
            <v>auto_cb_cele_0</v>
          </cell>
          <cell r="B35">
            <v>11.44571741</v>
          </cell>
          <cell r="C35">
            <v>16.449075539999999</v>
          </cell>
          <cell r="D35">
            <v>22.036214130000001</v>
          </cell>
          <cell r="E35">
            <v>28.16507099</v>
          </cell>
          <cell r="F35">
            <v>34.891826119999998</v>
          </cell>
          <cell r="G35">
            <v>42.117607589999999</v>
          </cell>
          <cell r="H35">
            <v>49.736299260000003</v>
          </cell>
          <cell r="I35">
            <v>57.768725009999997</v>
          </cell>
          <cell r="J35">
            <v>66.321027529999995</v>
          </cell>
          <cell r="K35">
            <v>75.534385229999998</v>
          </cell>
          <cell r="L35">
            <v>85.58157138</v>
          </cell>
          <cell r="M35">
            <v>96.559708900000004</v>
          </cell>
          <cell r="N35">
            <v>108.5809836</v>
          </cell>
          <cell r="O35">
            <v>121.7479506</v>
          </cell>
          <cell r="P35">
            <v>136.1598601</v>
          </cell>
          <cell r="Q35">
            <v>151.9231407</v>
          </cell>
          <cell r="R35">
            <v>169.23195459999999</v>
          </cell>
          <cell r="S35">
            <v>188.137472</v>
          </cell>
          <cell r="T35">
            <v>208.63180199999999</v>
          </cell>
          <cell r="U35">
            <v>230.71137709999999</v>
          </cell>
          <cell r="V35">
            <v>254.3663775</v>
          </cell>
          <cell r="W35">
            <v>279.71887800000002</v>
          </cell>
          <cell r="X35">
            <v>306.89376220000003</v>
          </cell>
          <cell r="Y35">
            <v>336.0610724</v>
          </cell>
          <cell r="Z35">
            <v>367.42354369999998</v>
          </cell>
          <cell r="AA35">
            <v>401.06111290000001</v>
          </cell>
          <cell r="AB35">
            <v>437.34646479999998</v>
          </cell>
          <cell r="AC35">
            <v>476.60093710000001</v>
          </cell>
          <cell r="AD35">
            <v>519.19260829999996</v>
          </cell>
          <cell r="AE35">
            <v>565.52423969999995</v>
          </cell>
          <cell r="AF35">
            <v>616.00345349999998</v>
          </cell>
          <cell r="AG35">
            <v>671.02805439999997</v>
          </cell>
          <cell r="AH35">
            <v>730.98149980000005</v>
          </cell>
          <cell r="AI35">
            <v>796.23002059999999</v>
          </cell>
          <cell r="AJ35">
            <v>867.12026379999998</v>
          </cell>
          <cell r="AK35">
            <v>943.97603709999999</v>
          </cell>
        </row>
        <row r="36">
          <cell r="A36" t="str">
            <v>auto_cc_cele_2</v>
          </cell>
          <cell r="B36">
            <v>9.4015406210000005</v>
          </cell>
          <cell r="C36">
            <v>12.809620369999999</v>
          </cell>
          <cell r="D36">
            <v>16.626752230000001</v>
          </cell>
          <cell r="E36">
            <v>20.825568109999999</v>
          </cell>
          <cell r="F36">
            <v>25.446005370000002</v>
          </cell>
          <cell r="G36">
            <v>30.417793190000001</v>
          </cell>
          <cell r="H36">
            <v>35.665719199999998</v>
          </cell>
          <cell r="I36">
            <v>41.229736750000001</v>
          </cell>
          <cell r="J36">
            <v>48.33537553</v>
          </cell>
          <cell r="K36">
            <v>58.196348299999997</v>
          </cell>
          <cell r="L36">
            <v>72.233978780000001</v>
          </cell>
          <cell r="M36">
            <v>91.561067109999996</v>
          </cell>
          <cell r="N36">
            <v>116.1351257</v>
          </cell>
          <cell r="O36">
            <v>145.77062000000001</v>
          </cell>
          <cell r="P36">
            <v>180.25498160000001</v>
          </cell>
          <cell r="Q36">
            <v>219.39537659999999</v>
          </cell>
          <cell r="R36">
            <v>263.00920309999998</v>
          </cell>
          <cell r="S36">
            <v>311.31671410000001</v>
          </cell>
          <cell r="T36">
            <v>364.45381300000003</v>
          </cell>
          <cell r="U36">
            <v>422.5054816</v>
          </cell>
          <cell r="V36">
            <v>485.44942980000002</v>
          </cell>
          <cell r="W36">
            <v>553.50475359999996</v>
          </cell>
          <cell r="X36">
            <v>626.82389430000001</v>
          </cell>
          <cell r="Y36">
            <v>705.62479250000001</v>
          </cell>
          <cell r="Z36">
            <v>790.15703959999996</v>
          </cell>
          <cell r="AA36">
            <v>880.28594750000002</v>
          </cell>
          <cell r="AB36">
            <v>976.56473689999996</v>
          </cell>
          <cell r="AC36">
            <v>1079.3465940000001</v>
          </cell>
          <cell r="AD36">
            <v>1189.1150809999999</v>
          </cell>
          <cell r="AE36">
            <v>1306.422114</v>
          </cell>
          <cell r="AF36">
            <v>1431.793932</v>
          </cell>
          <cell r="AG36">
            <v>1565.685763</v>
          </cell>
          <cell r="AH36">
            <v>1708.501724</v>
          </cell>
          <cell r="AI36">
            <v>1860.6543959999999</v>
          </cell>
          <cell r="AJ36">
            <v>2022.574143</v>
          </cell>
          <cell r="AK36">
            <v>2194.7188729999998</v>
          </cell>
        </row>
        <row r="37">
          <cell r="A37" t="str">
            <v>auto_cc_cele_0</v>
          </cell>
          <cell r="B37">
            <v>9.4015406210000005</v>
          </cell>
          <cell r="C37">
            <v>12.809620369999999</v>
          </cell>
          <cell r="D37">
            <v>16.626752230000001</v>
          </cell>
          <cell r="E37">
            <v>20.825568109999999</v>
          </cell>
          <cell r="F37">
            <v>25.446005379999999</v>
          </cell>
          <cell r="G37">
            <v>30.417793209999999</v>
          </cell>
          <cell r="H37">
            <v>35.665719250000002</v>
          </cell>
          <cell r="I37">
            <v>41.203565509999997</v>
          </cell>
          <cell r="J37">
            <v>47.104977589999997</v>
          </cell>
          <cell r="K37">
            <v>53.46798106</v>
          </cell>
          <cell r="L37">
            <v>60.412234810000001</v>
          </cell>
          <cell r="M37">
            <v>68.004727740000007</v>
          </cell>
          <cell r="N37">
            <v>76.323181320000003</v>
          </cell>
          <cell r="O37">
            <v>85.439049260000004</v>
          </cell>
          <cell r="P37">
            <v>95.421759969999997</v>
          </cell>
          <cell r="Q37">
            <v>106.3457427</v>
          </cell>
          <cell r="R37">
            <v>118.34730039999999</v>
          </cell>
          <cell r="S37">
            <v>131.46507980000001</v>
          </cell>
          <cell r="T37">
            <v>145.69632469999999</v>
          </cell>
          <cell r="U37">
            <v>161.03979989999999</v>
          </cell>
          <cell r="V37">
            <v>177.48793910000001</v>
          </cell>
          <cell r="W37">
            <v>195.12296190000001</v>
          </cell>
          <cell r="X37">
            <v>214.0270214</v>
          </cell>
          <cell r="Y37">
            <v>234.31144169999999</v>
          </cell>
          <cell r="Z37">
            <v>256.10743480000002</v>
          </cell>
          <cell r="AA37">
            <v>279.45743099999999</v>
          </cell>
          <cell r="AB37">
            <v>304.60352469999998</v>
          </cell>
          <cell r="AC37">
            <v>331.7476686</v>
          </cell>
          <cell r="AD37">
            <v>361.11924390000001</v>
          </cell>
          <cell r="AE37">
            <v>392.96665039999999</v>
          </cell>
          <cell r="AF37">
            <v>427.53648399999997</v>
          </cell>
          <cell r="AG37">
            <v>465.06324239999998</v>
          </cell>
          <cell r="AH37">
            <v>505.76614760000001</v>
          </cell>
          <cell r="AI37">
            <v>549.84722199999999</v>
          </cell>
          <cell r="AJ37">
            <v>597.48990670000001</v>
          </cell>
          <cell r="AK37">
            <v>648.85728600000004</v>
          </cell>
        </row>
        <row r="38">
          <cell r="A38" t="str">
            <v>auto_cd_cele_2</v>
          </cell>
          <cell r="B38">
            <v>5.770071272</v>
          </cell>
          <cell r="C38">
            <v>7.5897251819999996</v>
          </cell>
          <cell r="D38">
            <v>9.5752261979999993</v>
          </cell>
          <cell r="E38">
            <v>11.68215537</v>
          </cell>
          <cell r="F38">
            <v>13.908116809999999</v>
          </cell>
          <cell r="G38">
            <v>16.217348990000001</v>
          </cell>
          <cell r="H38">
            <v>18.567807349999999</v>
          </cell>
          <cell r="I38">
            <v>20.902368809999999</v>
          </cell>
          <cell r="J38">
            <v>23.51989154</v>
          </cell>
          <cell r="K38">
            <v>26.688007979999998</v>
          </cell>
          <cell r="L38">
            <v>30.693122710000001</v>
          </cell>
          <cell r="M38">
            <v>35.759512290000004</v>
          </cell>
          <cell r="N38">
            <v>41.862936599999998</v>
          </cell>
          <cell r="O38">
            <v>48.950878090000003</v>
          </cell>
          <cell r="P38">
            <v>56.971801259999999</v>
          </cell>
          <cell r="Q38">
            <v>65.8843739</v>
          </cell>
          <cell r="R38">
            <v>75.647517739999998</v>
          </cell>
          <cell r="S38">
            <v>86.312550540000004</v>
          </cell>
          <cell r="T38">
            <v>97.91852016</v>
          </cell>
          <cell r="U38">
            <v>110.49629520000001</v>
          </cell>
          <cell r="V38">
            <v>124.0535107</v>
          </cell>
          <cell r="W38">
            <v>138.65169370000001</v>
          </cell>
          <cell r="X38">
            <v>154.33549479999999</v>
          </cell>
          <cell r="Y38">
            <v>171.16219430000001</v>
          </cell>
          <cell r="Z38">
            <v>189.19308340000001</v>
          </cell>
          <cell r="AA38">
            <v>208.40102289999999</v>
          </cell>
          <cell r="AB38">
            <v>228.90423129999999</v>
          </cell>
          <cell r="AC38">
            <v>250.76884269999999</v>
          </cell>
          <cell r="AD38">
            <v>274.08344649999998</v>
          </cell>
          <cell r="AE38">
            <v>298.95015219999999</v>
          </cell>
          <cell r="AF38">
            <v>325.466184</v>
          </cell>
          <cell r="AG38">
            <v>353.7141585</v>
          </cell>
          <cell r="AH38">
            <v>383.76597559999999</v>
          </cell>
          <cell r="AI38">
            <v>415.69748249999998</v>
          </cell>
          <cell r="AJ38">
            <v>449.59279509999999</v>
          </cell>
          <cell r="AK38">
            <v>485.54734050000002</v>
          </cell>
        </row>
        <row r="39">
          <cell r="A39" t="str">
            <v>auto_cd_cele_0</v>
          </cell>
          <cell r="B39">
            <v>5.770071272</v>
          </cell>
          <cell r="C39">
            <v>7.5897251819999996</v>
          </cell>
          <cell r="D39">
            <v>9.5752261979999993</v>
          </cell>
          <cell r="E39">
            <v>11.68215537</v>
          </cell>
          <cell r="F39">
            <v>13.908116809999999</v>
          </cell>
          <cell r="G39">
            <v>16.217348999999999</v>
          </cell>
          <cell r="H39">
            <v>18.56780736</v>
          </cell>
          <cell r="I39">
            <v>20.949940260000002</v>
          </cell>
          <cell r="J39">
            <v>23.37533621</v>
          </cell>
          <cell r="K39">
            <v>25.863270740000001</v>
          </cell>
          <cell r="L39">
            <v>28.43983017</v>
          </cell>
          <cell r="M39">
            <v>31.110077799999999</v>
          </cell>
          <cell r="N39">
            <v>33.885655229999998</v>
          </cell>
          <cell r="O39">
            <v>36.77796343</v>
          </cell>
          <cell r="P39">
            <v>39.799050680000001</v>
          </cell>
          <cell r="Q39">
            <v>42.963066259999998</v>
          </cell>
          <cell r="R39">
            <v>46.307694570000002</v>
          </cell>
          <cell r="S39">
            <v>49.84536173</v>
          </cell>
          <cell r="T39">
            <v>53.576464029999997</v>
          </cell>
          <cell r="U39">
            <v>57.50010485</v>
          </cell>
          <cell r="V39">
            <v>61.611117780000001</v>
          </cell>
          <cell r="W39">
            <v>65.92682379</v>
          </cell>
          <cell r="X39">
            <v>70.461260490000001</v>
          </cell>
          <cell r="Y39">
            <v>75.233232240000007</v>
          </cell>
          <cell r="Z39">
            <v>80.263260279999997</v>
          </cell>
          <cell r="AA39">
            <v>85.545778709999993</v>
          </cell>
          <cell r="AB39">
            <v>91.122633840000006</v>
          </cell>
          <cell r="AC39">
            <v>97.021232999999995</v>
          </cell>
          <cell r="AD39">
            <v>103.2717014</v>
          </cell>
          <cell r="AE39">
            <v>109.90533569999999</v>
          </cell>
          <cell r="AF39">
            <v>116.950098</v>
          </cell>
          <cell r="AG39">
            <v>124.4287892</v>
          </cell>
          <cell r="AH39">
            <v>132.3589657</v>
          </cell>
          <cell r="AI39">
            <v>140.75317240000001</v>
          </cell>
          <cell r="AJ39">
            <v>149.6193663</v>
          </cell>
          <cell r="AK39">
            <v>158.96133320000001</v>
          </cell>
        </row>
        <row r="40">
          <cell r="A40" t="str">
            <v>auto_ce_cele_2</v>
          </cell>
          <cell r="B40">
            <v>3.4730440960000002</v>
          </cell>
          <cell r="C40">
            <v>4.5933133340000003</v>
          </cell>
          <cell r="D40">
            <v>5.810156374</v>
          </cell>
          <cell r="E40">
            <v>7.0947831590000003</v>
          </cell>
          <cell r="F40">
            <v>8.4441743630000001</v>
          </cell>
          <cell r="G40">
            <v>9.8347908089999994</v>
          </cell>
          <cell r="H40">
            <v>11.239671789999999</v>
          </cell>
          <cell r="I40">
            <v>12.62446774</v>
          </cell>
          <cell r="J40">
            <v>14.16409412</v>
          </cell>
          <cell r="K40">
            <v>16.00608965</v>
          </cell>
          <cell r="L40">
            <v>18.298121760000001</v>
          </cell>
          <cell r="M40">
            <v>21.148733270000001</v>
          </cell>
          <cell r="N40">
            <v>24.533540970000001</v>
          </cell>
          <cell r="O40">
            <v>28.41582734</v>
          </cell>
          <cell r="P40">
            <v>32.762338040000003</v>
          </cell>
          <cell r="Q40">
            <v>37.547401239999999</v>
          </cell>
          <cell r="R40">
            <v>42.745558180000003</v>
          </cell>
          <cell r="S40">
            <v>48.38044395</v>
          </cell>
          <cell r="T40">
            <v>54.47050875</v>
          </cell>
          <cell r="U40">
            <v>61.02995481</v>
          </cell>
          <cell r="V40">
            <v>68.059786059999993</v>
          </cell>
          <cell r="W40">
            <v>75.587716900000004</v>
          </cell>
          <cell r="X40">
            <v>83.630091890000003</v>
          </cell>
          <cell r="Y40">
            <v>92.207021999999995</v>
          </cell>
          <cell r="Z40">
            <v>101.3370716</v>
          </cell>
          <cell r="AA40">
            <v>110.98923379999999</v>
          </cell>
          <cell r="AB40">
            <v>121.2017541</v>
          </cell>
          <cell r="AC40">
            <v>131.9796091</v>
          </cell>
          <cell r="AD40">
            <v>143.33325980000001</v>
          </cell>
          <cell r="AE40">
            <v>155.2757297</v>
          </cell>
          <cell r="AF40">
            <v>167.81398820000001</v>
          </cell>
          <cell r="AG40">
            <v>180.94411170000001</v>
          </cell>
          <cell r="AH40">
            <v>194.65300830000001</v>
          </cell>
          <cell r="AI40">
            <v>208.92599079999999</v>
          </cell>
          <cell r="AJ40">
            <v>223.74923870000001</v>
          </cell>
          <cell r="AK40">
            <v>239.1108801</v>
          </cell>
        </row>
        <row r="41">
          <cell r="A41" t="str">
            <v>auto_ce_cele_0</v>
          </cell>
          <cell r="B41">
            <v>3.4730440960000002</v>
          </cell>
          <cell r="C41">
            <v>4.5933133340000003</v>
          </cell>
          <cell r="D41">
            <v>5.810156374</v>
          </cell>
          <cell r="E41">
            <v>7.0947831600000004</v>
          </cell>
          <cell r="F41">
            <v>8.4441743650000003</v>
          </cell>
          <cell r="G41">
            <v>9.8347908129999997</v>
          </cell>
          <cell r="H41">
            <v>11.2396718</v>
          </cell>
          <cell r="I41">
            <v>12.651940529999999</v>
          </cell>
          <cell r="J41">
            <v>14.07769618</v>
          </cell>
          <cell r="K41">
            <v>15.52762409</v>
          </cell>
          <cell r="L41">
            <v>17.016259640000001</v>
          </cell>
          <cell r="M41">
            <v>18.546047699999999</v>
          </cell>
          <cell r="N41">
            <v>20.123806680000001</v>
          </cell>
          <cell r="O41">
            <v>21.756686980000001</v>
          </cell>
          <cell r="P41">
            <v>23.452413910000001</v>
          </cell>
          <cell r="Q41">
            <v>25.21984741</v>
          </cell>
          <cell r="R41">
            <v>27.081354080000001</v>
          </cell>
          <cell r="S41">
            <v>29.045258090000001</v>
          </cell>
          <cell r="T41">
            <v>31.112710490000001</v>
          </cell>
          <cell r="U41">
            <v>33.283412140000003</v>
          </cell>
          <cell r="V41">
            <v>35.553788310000002</v>
          </cell>
          <cell r="W41">
            <v>37.932022549999999</v>
          </cell>
          <cell r="X41">
            <v>40.423534680000003</v>
          </cell>
          <cell r="Y41">
            <v>43.03539361</v>
          </cell>
          <cell r="Z41">
            <v>45.774346749999999</v>
          </cell>
          <cell r="AA41">
            <v>48.631304290000003</v>
          </cell>
          <cell r="AB41">
            <v>51.62196144</v>
          </cell>
          <cell r="AC41">
            <v>54.752532709999997</v>
          </cell>
          <cell r="AD41">
            <v>58.029240590000001</v>
          </cell>
          <cell r="AE41">
            <v>61.457786390000003</v>
          </cell>
          <cell r="AF41">
            <v>65.041125690000001</v>
          </cell>
          <cell r="AG41">
            <v>68.778710529999998</v>
          </cell>
          <cell r="AH41">
            <v>72.666692280000007</v>
          </cell>
          <cell r="AI41">
            <v>76.698304149999998</v>
          </cell>
          <cell r="AJ41">
            <v>80.86436784</v>
          </cell>
          <cell r="AK41">
            <v>85.153815820000005</v>
          </cell>
        </row>
        <row r="42">
          <cell r="A42" t="str">
            <v>auto_cf_cele_2</v>
          </cell>
          <cell r="B42">
            <v>1.7251505170000001</v>
          </cell>
          <cell r="C42">
            <v>2.2526015140000002</v>
          </cell>
          <cell r="D42">
            <v>2.8080577679999998</v>
          </cell>
          <cell r="E42">
            <v>3.371380211</v>
          </cell>
          <cell r="F42">
            <v>3.9362428509999998</v>
          </cell>
          <cell r="G42">
            <v>4.4912238789999996</v>
          </cell>
          <cell r="H42">
            <v>5.0237996880000004</v>
          </cell>
          <cell r="I42">
            <v>5.5113295510000002</v>
          </cell>
          <cell r="J42">
            <v>5.9933486589999996</v>
          </cell>
          <cell r="K42">
            <v>6.4978049469999997</v>
          </cell>
          <cell r="L42">
            <v>7.045707664</v>
          </cell>
          <cell r="M42">
            <v>7.6508952560000001</v>
          </cell>
          <cell r="N42">
            <v>8.3047466449999998</v>
          </cell>
          <cell r="O42">
            <v>8.9985782929999996</v>
          </cell>
          <cell r="P42">
            <v>9.7263780670000006</v>
          </cell>
          <cell r="Q42">
            <v>10.48465485</v>
          </cell>
          <cell r="R42">
            <v>11.26978534</v>
          </cell>
          <cell r="S42">
            <v>12.086312149999999</v>
          </cell>
          <cell r="T42">
            <v>12.938131650000001</v>
          </cell>
          <cell r="U42">
            <v>13.828134820000001</v>
          </cell>
          <cell r="V42">
            <v>14.75644595</v>
          </cell>
          <cell r="W42">
            <v>15.72647197</v>
          </cell>
          <cell r="X42">
            <v>16.738658109999999</v>
          </cell>
          <cell r="Y42">
            <v>17.79283173</v>
          </cell>
          <cell r="Z42">
            <v>18.887188179999999</v>
          </cell>
          <cell r="AA42">
            <v>20.011586489999999</v>
          </cell>
          <cell r="AB42">
            <v>21.16377043</v>
          </cell>
          <cell r="AC42">
            <v>22.334961060000001</v>
          </cell>
          <cell r="AD42">
            <v>23.515861990000001</v>
          </cell>
          <cell r="AE42">
            <v>24.697300680000001</v>
          </cell>
          <cell r="AF42">
            <v>25.86963974</v>
          </cell>
          <cell r="AG42">
            <v>27.022397120000001</v>
          </cell>
          <cell r="AH42">
            <v>28.14459553</v>
          </cell>
          <cell r="AI42">
            <v>29.225972550000002</v>
          </cell>
          <cell r="AJ42">
            <v>30.257507400000001</v>
          </cell>
          <cell r="AK42">
            <v>31.231519980000002</v>
          </cell>
        </row>
        <row r="43">
          <cell r="A43" t="str">
            <v>auto_cf_cele_0</v>
          </cell>
          <cell r="B43">
            <v>1.7251505170000001</v>
          </cell>
          <cell r="C43">
            <v>2.2526015140000002</v>
          </cell>
          <cell r="D43">
            <v>2.8080577679999998</v>
          </cell>
          <cell r="E43">
            <v>3.371380211</v>
          </cell>
          <cell r="F43">
            <v>3.9362428519999999</v>
          </cell>
          <cell r="G43">
            <v>4.4912238809999998</v>
          </cell>
          <cell r="H43">
            <v>5.0237996909999998</v>
          </cell>
          <cell r="I43">
            <v>5.5291772830000001</v>
          </cell>
          <cell r="J43">
            <v>6.007517548</v>
          </cell>
          <cell r="K43">
            <v>6.4607742440000004</v>
          </cell>
          <cell r="L43">
            <v>6.8922743410000002</v>
          </cell>
          <cell r="M43">
            <v>7.3019577050000004</v>
          </cell>
          <cell r="N43">
            <v>7.6921547920000002</v>
          </cell>
          <cell r="O43">
            <v>8.0659306849999997</v>
          </cell>
          <cell r="P43">
            <v>8.4266919940000005</v>
          </cell>
          <cell r="Q43">
            <v>8.7779601320000005</v>
          </cell>
          <cell r="R43">
            <v>9.1267856859999998</v>
          </cell>
          <cell r="S43">
            <v>9.4769788170000009</v>
          </cell>
          <cell r="T43">
            <v>9.8302051109999997</v>
          </cell>
          <cell r="U43">
            <v>10.187086219999999</v>
          </cell>
          <cell r="V43">
            <v>10.546771359999999</v>
          </cell>
          <cell r="W43">
            <v>10.910222709999999</v>
          </cell>
          <cell r="X43">
            <v>11.277108370000001</v>
          </cell>
          <cell r="Y43">
            <v>11.646775959999999</v>
          </cell>
          <cell r="Z43">
            <v>12.017798600000001</v>
          </cell>
          <cell r="AA43">
            <v>12.38521798</v>
          </cell>
          <cell r="AB43">
            <v>12.74817189</v>
          </cell>
          <cell r="AC43">
            <v>13.10368053</v>
          </cell>
          <cell r="AD43">
            <v>13.448575979999999</v>
          </cell>
          <cell r="AE43">
            <v>13.779730669999999</v>
          </cell>
          <cell r="AF43">
            <v>14.09391785</v>
          </cell>
          <cell r="AG43">
            <v>14.38788111</v>
          </cell>
          <cell r="AH43">
            <v>14.6585143</v>
          </cell>
          <cell r="AI43">
            <v>14.90302142</v>
          </cell>
          <cell r="AJ43">
            <v>15.119054370000001</v>
          </cell>
          <cell r="AK43">
            <v>15.30481415</v>
          </cell>
        </row>
        <row r="44">
          <cell r="A44" t="str">
            <v>auto_cg_cele_2</v>
          </cell>
          <cell r="B44">
            <v>3.1066862139999998</v>
          </cell>
          <cell r="C44">
            <v>4.0900468620000003</v>
          </cell>
          <cell r="D44">
            <v>5.1055183729999998</v>
          </cell>
          <cell r="E44">
            <v>6.1108357580000003</v>
          </cell>
          <cell r="F44">
            <v>7.0911333589999996</v>
          </cell>
          <cell r="G44">
            <v>8.0249151019999996</v>
          </cell>
          <cell r="H44">
            <v>8.8903428340000001</v>
          </cell>
          <cell r="I44">
            <v>9.6493462490000006</v>
          </cell>
          <cell r="J44">
            <v>10.36255544</v>
          </cell>
          <cell r="K44">
            <v>11.0688201</v>
          </cell>
          <cell r="L44">
            <v>11.79179351</v>
          </cell>
          <cell r="M44">
            <v>12.54463404</v>
          </cell>
          <cell r="N44">
            <v>13.31403789</v>
          </cell>
          <cell r="O44">
            <v>14.0895834</v>
          </cell>
          <cell r="P44">
            <v>14.8660908</v>
          </cell>
          <cell r="Q44">
            <v>15.642235510000001</v>
          </cell>
          <cell r="R44">
            <v>16.416450480000002</v>
          </cell>
          <cell r="S44">
            <v>17.19599642</v>
          </cell>
          <cell r="T44">
            <v>17.987106480000001</v>
          </cell>
          <cell r="U44">
            <v>18.794288760000001</v>
          </cell>
          <cell r="V44">
            <v>19.6182391</v>
          </cell>
          <cell r="W44">
            <v>20.462210540000001</v>
          </cell>
          <cell r="X44">
            <v>21.32526017</v>
          </cell>
          <cell r="Y44">
            <v>22.204847740000002</v>
          </cell>
          <cell r="Z44">
            <v>23.09575555</v>
          </cell>
          <cell r="AA44">
            <v>23.98372118</v>
          </cell>
          <cell r="AB44">
            <v>24.861258249999999</v>
          </cell>
          <cell r="AC44">
            <v>25.713847860000001</v>
          </cell>
          <cell r="AD44">
            <v>26.526612190000002</v>
          </cell>
          <cell r="AE44">
            <v>27.285902799999999</v>
          </cell>
          <cell r="AF44">
            <v>27.979221320000001</v>
          </cell>
          <cell r="AG44">
            <v>28.595052729999999</v>
          </cell>
          <cell r="AH44">
            <v>29.12323589</v>
          </cell>
          <cell r="AI44">
            <v>29.5560638</v>
          </cell>
          <cell r="AJ44">
            <v>29.888647370000001</v>
          </cell>
          <cell r="AK44">
            <v>30.118732519999998</v>
          </cell>
        </row>
        <row r="45">
          <cell r="A45" t="str">
            <v>auto_cg_cele_0</v>
          </cell>
          <cell r="B45">
            <v>3.1066862139999998</v>
          </cell>
          <cell r="C45">
            <v>4.0900468630000004</v>
          </cell>
          <cell r="D45">
            <v>5.1055183739999999</v>
          </cell>
          <cell r="E45">
            <v>6.1108357590000004</v>
          </cell>
          <cell r="F45">
            <v>7.0911333619999999</v>
          </cell>
          <cell r="G45">
            <v>8.024915107</v>
          </cell>
          <cell r="H45">
            <v>8.8903428410000007</v>
          </cell>
          <cell r="I45">
            <v>9.6798823180000007</v>
          </cell>
          <cell r="J45">
            <v>10.395039479999999</v>
          </cell>
          <cell r="K45">
            <v>11.040624770000001</v>
          </cell>
          <cell r="L45">
            <v>11.62369129</v>
          </cell>
          <cell r="M45">
            <v>12.1467986</v>
          </cell>
          <cell r="N45">
            <v>12.61674777</v>
          </cell>
          <cell r="O45">
            <v>13.04163473</v>
          </cell>
          <cell r="P45">
            <v>13.429763210000001</v>
          </cell>
          <cell r="Q45">
            <v>13.78899434</v>
          </cell>
          <cell r="R45">
            <v>14.13129226</v>
          </cell>
          <cell r="S45">
            <v>14.464054429999999</v>
          </cell>
          <cell r="T45">
            <v>14.791258409999999</v>
          </cell>
          <cell r="U45">
            <v>15.114780189999999</v>
          </cell>
          <cell r="V45">
            <v>15.43392691</v>
          </cell>
          <cell r="W45">
            <v>15.7495402</v>
          </cell>
          <cell r="X45">
            <v>16.06033596</v>
          </cell>
          <cell r="Y45">
            <v>16.364157550000002</v>
          </cell>
          <cell r="Z45">
            <v>16.657456759999999</v>
          </cell>
          <cell r="AA45">
            <v>16.932376080000001</v>
          </cell>
          <cell r="AB45">
            <v>17.185542760000001</v>
          </cell>
          <cell r="AC45">
            <v>17.411334459999999</v>
          </cell>
          <cell r="AD45">
            <v>17.604290800000001</v>
          </cell>
          <cell r="AE45">
            <v>17.759681960000002</v>
          </cell>
          <cell r="AF45">
            <v>17.873528660000002</v>
          </cell>
          <cell r="AG45">
            <v>17.942746660000001</v>
          </cell>
          <cell r="AH45">
            <v>17.965320049999999</v>
          </cell>
          <cell r="AI45">
            <v>17.940381720000001</v>
          </cell>
          <cell r="AJ45">
            <v>17.868219209999999</v>
          </cell>
          <cell r="AK45">
            <v>17.750207899999999</v>
          </cell>
        </row>
        <row r="46">
          <cell r="A46" t="str">
            <v>auto_ca_cgas_2</v>
          </cell>
          <cell r="B46">
            <v>0.42568169729999999</v>
          </cell>
          <cell r="C46">
            <v>0.44916501640000001</v>
          </cell>
          <cell r="D46">
            <v>0.47659230139999997</v>
          </cell>
          <cell r="E46">
            <v>0.50644168170000003</v>
          </cell>
          <cell r="F46">
            <v>0.53833556989999998</v>
          </cell>
          <cell r="G46">
            <v>0.571515934</v>
          </cell>
          <cell r="H46">
            <v>0.60500661860000005</v>
          </cell>
          <cell r="I46">
            <v>0.63599599309999999</v>
          </cell>
          <cell r="J46">
            <v>0.66623478690000004</v>
          </cell>
          <cell r="K46">
            <v>0.69649552729999997</v>
          </cell>
          <cell r="L46">
            <v>0.72698226450000003</v>
          </cell>
          <cell r="M46">
            <v>0.7580405523</v>
          </cell>
          <cell r="N46">
            <v>0.78896167110000004</v>
          </cell>
          <cell r="O46">
            <v>0.81902096849999995</v>
          </cell>
          <cell r="P46">
            <v>0.84770671019999999</v>
          </cell>
          <cell r="Q46">
            <v>0.87471103419999996</v>
          </cell>
          <cell r="R46">
            <v>0.89966545399999998</v>
          </cell>
          <cell r="S46">
            <v>0.92273898860000003</v>
          </cell>
          <cell r="T46">
            <v>0.94406809820000004</v>
          </cell>
          <cell r="U46">
            <v>0.96375715080000002</v>
          </cell>
          <cell r="V46">
            <v>0.98181009159999999</v>
          </cell>
          <cell r="W46">
            <v>0.99846852340000003</v>
          </cell>
          <cell r="X46">
            <v>1.0138702340000001</v>
          </cell>
          <cell r="Y46">
            <v>1.0281781329999999</v>
          </cell>
          <cell r="Z46">
            <v>1.0415459549999999</v>
          </cell>
          <cell r="AA46">
            <v>1.0538531330000001</v>
          </cell>
          <cell r="AB46">
            <v>1.0654218280000001</v>
          </cell>
          <cell r="AC46">
            <v>1.07639722</v>
          </cell>
          <cell r="AD46">
            <v>1.086959207</v>
          </cell>
          <cell r="AE46">
            <v>1.0972744050000001</v>
          </cell>
          <cell r="AF46">
            <v>1.107451239</v>
          </cell>
          <cell r="AG46">
            <v>1.117532575</v>
          </cell>
          <cell r="AH46">
            <v>1.12751881</v>
          </cell>
          <cell r="AI46">
            <v>1.137398624</v>
          </cell>
          <cell r="AJ46">
            <v>1.1471537380000001</v>
          </cell>
          <cell r="AK46">
            <v>1.1567640939999999</v>
          </cell>
        </row>
        <row r="47">
          <cell r="A47" t="str">
            <v>auto_ca_cgas_0</v>
          </cell>
          <cell r="B47">
            <v>0.42568169729999999</v>
          </cell>
          <cell r="C47">
            <v>0.44916501640000001</v>
          </cell>
          <cell r="D47">
            <v>0.47659230130000002</v>
          </cell>
          <cell r="E47">
            <v>0.50644168160000003</v>
          </cell>
          <cell r="F47">
            <v>0.53833556979999997</v>
          </cell>
          <cell r="G47">
            <v>0.57151593379999999</v>
          </cell>
          <cell r="H47">
            <v>0.60500661840000003</v>
          </cell>
          <cell r="I47">
            <v>0.63838129990000003</v>
          </cell>
          <cell r="J47">
            <v>0.67153738620000003</v>
          </cell>
          <cell r="K47">
            <v>0.70445804069999995</v>
          </cell>
          <cell r="L47">
            <v>0.737218924</v>
          </cell>
          <cell r="M47">
            <v>0.76940867359999998</v>
          </cell>
          <cell r="N47">
            <v>0.80075966659999998</v>
          </cell>
          <cell r="O47">
            <v>0.83101423839999999</v>
          </cell>
          <cell r="P47">
            <v>0.85995955980000005</v>
          </cell>
          <cell r="Q47">
            <v>0.88745806329999999</v>
          </cell>
          <cell r="R47">
            <v>0.91388468590000005</v>
          </cell>
          <cell r="S47">
            <v>0.93933628589999996</v>
          </cell>
          <cell r="T47">
            <v>0.96379020240000002</v>
          </cell>
          <cell r="U47">
            <v>0.9872301013</v>
          </cell>
          <cell r="V47">
            <v>1.0095875510000001</v>
          </cell>
          <cell r="W47">
            <v>1.031081167</v>
          </cell>
          <cell r="X47">
            <v>1.051850065</v>
          </cell>
          <cell r="Y47">
            <v>1.0720638849999999</v>
          </cell>
          <cell r="Z47">
            <v>1.0918903419999999</v>
          </cell>
          <cell r="AA47">
            <v>1.1112123220000001</v>
          </cell>
          <cell r="AB47">
            <v>1.130410106</v>
          </cell>
          <cell r="AC47">
            <v>1.149679211</v>
          </cell>
          <cell r="AD47">
            <v>1.169216869</v>
          </cell>
          <cell r="AE47">
            <v>1.189197864</v>
          </cell>
          <cell r="AF47">
            <v>1.209734852</v>
          </cell>
          <cell r="AG47">
            <v>1.2308704239999999</v>
          </cell>
          <cell r="AH47">
            <v>1.2525851960000001</v>
          </cell>
          <cell r="AI47">
            <v>1.2748073820000001</v>
          </cell>
          <cell r="AJ47">
            <v>1.2974219840000001</v>
          </cell>
          <cell r="AK47">
            <v>1.320278171</v>
          </cell>
        </row>
        <row r="48">
          <cell r="A48" t="str">
            <v>auto_cb_cgas_2</v>
          </cell>
          <cell r="B48">
            <v>0.49500522540000003</v>
          </cell>
          <cell r="C48">
            <v>0.51209626860000002</v>
          </cell>
          <cell r="D48">
            <v>0.53321929710000004</v>
          </cell>
          <cell r="E48">
            <v>0.55686499310000004</v>
          </cell>
          <cell r="F48">
            <v>0.5826334782</v>
          </cell>
          <cell r="G48">
            <v>0.60978500680000003</v>
          </cell>
          <cell r="H48">
            <v>0.63736520910000005</v>
          </cell>
          <cell r="I48">
            <v>0.66261999530000004</v>
          </cell>
          <cell r="J48">
            <v>0.68707134059999997</v>
          </cell>
          <cell r="K48">
            <v>0.71140728379999996</v>
          </cell>
          <cell r="L48">
            <v>0.73578885630000002</v>
          </cell>
          <cell r="M48">
            <v>0.76054965460000001</v>
          </cell>
          <cell r="N48">
            <v>0.78509982239999998</v>
          </cell>
          <cell r="O48">
            <v>0.80882210259999998</v>
          </cell>
          <cell r="P48">
            <v>0.83128591949999997</v>
          </cell>
          <cell r="Q48">
            <v>0.85223963010000003</v>
          </cell>
          <cell r="R48">
            <v>0.87136245720000005</v>
          </cell>
          <cell r="S48">
            <v>0.88881269439999999</v>
          </cell>
          <cell r="T48">
            <v>0.90472708749999997</v>
          </cell>
          <cell r="U48">
            <v>0.91921222680000003</v>
          </cell>
          <cell r="V48">
            <v>0.93227971549999999</v>
          </cell>
          <cell r="W48">
            <v>0.9441501618</v>
          </cell>
          <cell r="X48">
            <v>0.95494551130000005</v>
          </cell>
          <cell r="Y48">
            <v>0.9648062168</v>
          </cell>
          <cell r="Z48">
            <v>0.97386069860000002</v>
          </cell>
          <cell r="AA48">
            <v>0.98198937590000002</v>
          </cell>
          <cell r="AB48">
            <v>0.98946397529999996</v>
          </cell>
          <cell r="AC48">
            <v>0.99639405719999996</v>
          </cell>
          <cell r="AD48">
            <v>1.002917675</v>
          </cell>
          <cell r="AE48">
            <v>1.0091612670000001</v>
          </cell>
          <cell r="AF48">
            <v>1.0152008800000001</v>
          </cell>
          <cell r="AG48">
            <v>1.0210558519999999</v>
          </cell>
          <cell r="AH48">
            <v>1.0267090679999999</v>
          </cell>
          <cell r="AI48">
            <v>1.0321344859999999</v>
          </cell>
          <cell r="AJ48">
            <v>1.037301727</v>
          </cell>
          <cell r="AK48">
            <v>1.0421802710000001</v>
          </cell>
        </row>
        <row r="49">
          <cell r="A49" t="str">
            <v>auto_cb_cgas_0</v>
          </cell>
          <cell r="B49">
            <v>0.49500522540000003</v>
          </cell>
          <cell r="C49">
            <v>0.51209626850000001</v>
          </cell>
          <cell r="D49">
            <v>0.53321929710000004</v>
          </cell>
          <cell r="E49">
            <v>0.55686499300000003</v>
          </cell>
          <cell r="F49">
            <v>0.58263347809999999</v>
          </cell>
          <cell r="G49">
            <v>0.60978500660000001</v>
          </cell>
          <cell r="H49">
            <v>0.63736520890000004</v>
          </cell>
          <cell r="I49">
            <v>0.66493464589999995</v>
          </cell>
          <cell r="J49">
            <v>0.69236302910000003</v>
          </cell>
          <cell r="K49">
            <v>0.71960772350000002</v>
          </cell>
          <cell r="L49">
            <v>0.74671914660000005</v>
          </cell>
          <cell r="M49">
            <v>0.77329986969999998</v>
          </cell>
          <cell r="N49">
            <v>0.79909929639999999</v>
          </cell>
          <cell r="O49">
            <v>0.82388513240000005</v>
          </cell>
          <cell r="P49">
            <v>0.84747139149999995</v>
          </cell>
          <cell r="Q49">
            <v>0.86974267270000005</v>
          </cell>
          <cell r="R49">
            <v>0.89106349419999997</v>
          </cell>
          <cell r="S49">
            <v>0.91154729639999998</v>
          </cell>
          <cell r="T49">
            <v>0.9311900863</v>
          </cell>
          <cell r="U49">
            <v>0.94998341019999999</v>
          </cell>
          <cell r="V49">
            <v>0.96786162119999997</v>
          </cell>
          <cell r="W49">
            <v>0.98501597809999997</v>
          </cell>
          <cell r="X49">
            <v>1.0015594720000001</v>
          </cell>
          <cell r="Y49">
            <v>1.0176290889999999</v>
          </cell>
          <cell r="Z49">
            <v>1.0333560719999999</v>
          </cell>
          <cell r="AA49">
            <v>1.048608312</v>
          </cell>
          <cell r="AB49">
            <v>1.0637048490000001</v>
          </cell>
          <cell r="AC49">
            <v>1.0787935500000001</v>
          </cell>
          <cell r="AD49">
            <v>1.0940218100000001</v>
          </cell>
          <cell r="AE49">
            <v>1.109516218</v>
          </cell>
          <cell r="AF49">
            <v>1.125347753</v>
          </cell>
          <cell r="AG49">
            <v>1.1415256439999999</v>
          </cell>
          <cell r="AH49">
            <v>1.158005628</v>
          </cell>
          <cell r="AI49">
            <v>1.174699449</v>
          </cell>
          <cell r="AJ49">
            <v>1.191483989</v>
          </cell>
          <cell r="AK49">
            <v>1.2082087500000001</v>
          </cell>
        </row>
        <row r="50">
          <cell r="A50" t="str">
            <v>auto_cc_cgas_2</v>
          </cell>
          <cell r="B50">
            <v>0.40659851759999999</v>
          </cell>
          <cell r="C50">
            <v>0.41439094170000002</v>
          </cell>
          <cell r="D50">
            <v>0.42516129870000002</v>
          </cell>
          <cell r="E50">
            <v>0.43783104109999998</v>
          </cell>
          <cell r="F50">
            <v>0.45209725719999999</v>
          </cell>
          <cell r="G50">
            <v>0.46743915000000003</v>
          </cell>
          <cell r="H50">
            <v>0.48318395279999998</v>
          </cell>
          <cell r="I50">
            <v>0.49738849089999998</v>
          </cell>
          <cell r="J50">
            <v>0.51100115219999998</v>
          </cell>
          <cell r="K50">
            <v>0.5244642222</v>
          </cell>
          <cell r="L50">
            <v>0.53786844219999996</v>
          </cell>
          <cell r="M50">
            <v>0.55144769010000005</v>
          </cell>
          <cell r="N50">
            <v>0.56485317660000001</v>
          </cell>
          <cell r="O50">
            <v>0.57770861269999996</v>
          </cell>
          <cell r="P50">
            <v>0.58975485230000002</v>
          </cell>
          <cell r="Q50">
            <v>0.60084534219999997</v>
          </cell>
          <cell r="R50">
            <v>0.61077860630000003</v>
          </cell>
          <cell r="S50">
            <v>0.61966098089999999</v>
          </cell>
          <cell r="T50">
            <v>0.62758983339999996</v>
          </cell>
          <cell r="U50">
            <v>0.63464201949999999</v>
          </cell>
          <cell r="V50">
            <v>0.64082961319999998</v>
          </cell>
          <cell r="W50">
            <v>0.64629727059999997</v>
          </cell>
          <cell r="X50">
            <v>0.65112219090000001</v>
          </cell>
          <cell r="Y50">
            <v>0.65539101460000004</v>
          </cell>
          <cell r="Z50">
            <v>0.6591802377</v>
          </cell>
          <cell r="AA50">
            <v>0.66240455090000006</v>
          </cell>
          <cell r="AB50">
            <v>0.66522860220000002</v>
          </cell>
          <cell r="AC50">
            <v>0.66771004499999997</v>
          </cell>
          <cell r="AD50">
            <v>0.66992359589999995</v>
          </cell>
          <cell r="AE50">
            <v>0.67193693750000005</v>
          </cell>
          <cell r="AF50">
            <v>0.6737865314</v>
          </cell>
          <cell r="AG50">
            <v>0.67547368870000002</v>
          </cell>
          <cell r="AH50">
            <v>0.67697741840000003</v>
          </cell>
          <cell r="AI50">
            <v>0.67827220880000005</v>
          </cell>
          <cell r="AJ50">
            <v>0.67933119330000002</v>
          </cell>
          <cell r="AK50">
            <v>0.68012858700000001</v>
          </cell>
        </row>
        <row r="51">
          <cell r="A51" t="str">
            <v>auto_cc_cgas_0</v>
          </cell>
          <cell r="B51">
            <v>0.40659851759999999</v>
          </cell>
          <cell r="C51">
            <v>0.41439094170000002</v>
          </cell>
          <cell r="D51">
            <v>0.42516129870000002</v>
          </cell>
          <cell r="E51">
            <v>0.43783104099999998</v>
          </cell>
          <cell r="F51">
            <v>0.45209725709999998</v>
          </cell>
          <cell r="G51">
            <v>0.46743914990000002</v>
          </cell>
          <cell r="H51">
            <v>0.48318395260000002</v>
          </cell>
          <cell r="I51">
            <v>0.49900675430000002</v>
          </cell>
          <cell r="J51">
            <v>0.51479571909999999</v>
          </cell>
          <cell r="K51">
            <v>0.53050343889999996</v>
          </cell>
          <cell r="L51">
            <v>0.54614990340000003</v>
          </cell>
          <cell r="M51">
            <v>0.56145831150000003</v>
          </cell>
          <cell r="N51">
            <v>0.57625922870000001</v>
          </cell>
          <cell r="O51">
            <v>0.59040149149999999</v>
          </cell>
          <cell r="P51">
            <v>0.60376796649999998</v>
          </cell>
          <cell r="Q51">
            <v>0.6162891506</v>
          </cell>
          <cell r="R51">
            <v>0.6282195263</v>
          </cell>
          <cell r="S51">
            <v>0.63964998949999996</v>
          </cell>
          <cell r="T51">
            <v>0.65058842269999995</v>
          </cell>
          <cell r="U51">
            <v>0.66103287399999999</v>
          </cell>
          <cell r="V51">
            <v>0.67093730309999999</v>
          </cell>
          <cell r="W51">
            <v>0.68042148759999999</v>
          </cell>
          <cell r="X51">
            <v>0.68954997080000002</v>
          </cell>
          <cell r="Y51">
            <v>0.6984006613</v>
          </cell>
          <cell r="Z51">
            <v>0.70704522110000001</v>
          </cell>
          <cell r="AA51">
            <v>0.71537984700000001</v>
          </cell>
          <cell r="AB51">
            <v>0.72359625900000002</v>
          </cell>
          <cell r="AC51">
            <v>0.73177209450000003</v>
          </cell>
          <cell r="AD51">
            <v>0.73998372540000001</v>
          </cell>
          <cell r="AE51">
            <v>0.74829401149999997</v>
          </cell>
          <cell r="AF51">
            <v>0.75673031950000003</v>
          </cell>
          <cell r="AG51">
            <v>0.76528118649999999</v>
          </cell>
          <cell r="AH51">
            <v>0.7739023089</v>
          </cell>
          <cell r="AI51">
            <v>0.78252325020000002</v>
          </cell>
          <cell r="AJ51">
            <v>0.79105386919999998</v>
          </cell>
          <cell r="AK51">
            <v>0.79938964629999998</v>
          </cell>
        </row>
        <row r="52">
          <cell r="A52" t="str">
            <v>auto_cd_cgas_2</v>
          </cell>
          <cell r="B52">
            <v>0.2495444651</v>
          </cell>
          <cell r="C52">
            <v>0.2522701617</v>
          </cell>
          <cell r="D52">
            <v>0.25660728669999999</v>
          </cell>
          <cell r="E52">
            <v>0.26191677520000001</v>
          </cell>
          <cell r="F52">
            <v>0.26799905769999999</v>
          </cell>
          <cell r="G52">
            <v>0.27455502770000001</v>
          </cell>
          <cell r="H52">
            <v>0.2812069821</v>
          </cell>
          <cell r="I52">
            <v>0.28688887169999999</v>
          </cell>
          <cell r="J52">
            <v>0.29206044539999998</v>
          </cell>
          <cell r="K52">
            <v>0.29696577870000002</v>
          </cell>
          <cell r="L52">
            <v>0.3016743871</v>
          </cell>
          <cell r="M52">
            <v>0.30633826739999998</v>
          </cell>
          <cell r="N52">
            <v>0.31082850649999999</v>
          </cell>
          <cell r="O52">
            <v>0.3150041898</v>
          </cell>
          <cell r="P52">
            <v>0.31878033729999999</v>
          </cell>
          <cell r="Q52">
            <v>0.32212229139999998</v>
          </cell>
          <cell r="R52">
            <v>0.3249628067</v>
          </cell>
          <cell r="S52">
            <v>0.3273770278</v>
          </cell>
          <cell r="T52">
            <v>0.32943405640000001</v>
          </cell>
          <cell r="U52">
            <v>0.331188345</v>
          </cell>
          <cell r="V52">
            <v>0.33265715439999999</v>
          </cell>
          <cell r="W52">
            <v>0.33391614180000001</v>
          </cell>
          <cell r="X52">
            <v>0.33500343900000001</v>
          </cell>
          <cell r="Y52">
            <v>0.33595791790000001</v>
          </cell>
          <cell r="Z52">
            <v>0.33680989140000001</v>
          </cell>
          <cell r="AA52">
            <v>0.3375072173</v>
          </cell>
          <cell r="AB52">
            <v>0.33811596989999998</v>
          </cell>
          <cell r="AC52">
            <v>0.33864649930000001</v>
          </cell>
          <cell r="AD52">
            <v>0.33911677600000001</v>
          </cell>
          <cell r="AE52">
            <v>0.33954422049999999</v>
          </cell>
          <cell r="AF52">
            <v>0.33993463699999998</v>
          </cell>
          <cell r="AG52">
            <v>0.34027959130000002</v>
          </cell>
          <cell r="AH52">
            <v>0.3405618896</v>
          </cell>
          <cell r="AI52">
            <v>0.34076474379999999</v>
          </cell>
          <cell r="AJ52">
            <v>0.34087374479999999</v>
          </cell>
          <cell r="AK52">
            <v>0.34087766200000003</v>
          </cell>
        </row>
        <row r="53">
          <cell r="A53" t="str">
            <v>auto_cd_cgas_0</v>
          </cell>
          <cell r="B53">
            <v>0.2495444651</v>
          </cell>
          <cell r="C53">
            <v>0.2522701617</v>
          </cell>
          <cell r="D53">
            <v>0.25660728669999999</v>
          </cell>
          <cell r="E53">
            <v>0.26191677520000001</v>
          </cell>
          <cell r="F53">
            <v>0.26799905769999999</v>
          </cell>
          <cell r="G53">
            <v>0.27455502770000001</v>
          </cell>
          <cell r="H53">
            <v>0.2812069821</v>
          </cell>
          <cell r="I53">
            <v>0.28776480040000002</v>
          </cell>
          <cell r="J53">
            <v>0.29415680049999998</v>
          </cell>
          <cell r="K53">
            <v>0.30035147099999998</v>
          </cell>
          <cell r="L53">
            <v>0.3063572739</v>
          </cell>
          <cell r="M53">
            <v>0.31204235130000002</v>
          </cell>
          <cell r="N53">
            <v>0.31734272829999999</v>
          </cell>
          <cell r="O53">
            <v>0.32221280610000003</v>
          </cell>
          <cell r="P53">
            <v>0.32662706229999999</v>
          </cell>
          <cell r="Q53">
            <v>0.33058188300000002</v>
          </cell>
          <cell r="R53">
            <v>0.33423014099999998</v>
          </cell>
          <cell r="S53">
            <v>0.33764450099999999</v>
          </cell>
          <cell r="T53">
            <v>0.34085012939999998</v>
          </cell>
          <cell r="U53">
            <v>0.34385852659999999</v>
          </cell>
          <cell r="V53">
            <v>0.34665205510000002</v>
          </cell>
          <cell r="W53">
            <v>0.34928533569999998</v>
          </cell>
          <cell r="X53">
            <v>0.35178163299999998</v>
          </cell>
          <cell r="Y53">
            <v>0.35416612209999998</v>
          </cell>
          <cell r="Z53">
            <v>0.35645637949999998</v>
          </cell>
          <cell r="AA53">
            <v>0.35858425119999998</v>
          </cell>
          <cell r="AB53">
            <v>0.36061636889999998</v>
          </cell>
          <cell r="AC53">
            <v>0.3625643918</v>
          </cell>
          <cell r="AD53">
            <v>0.36443858559999998</v>
          </cell>
          <cell r="AE53">
            <v>0.36624459939999998</v>
          </cell>
          <cell r="AF53">
            <v>0.36797478979999998</v>
          </cell>
          <cell r="AG53">
            <v>0.36960769339999999</v>
          </cell>
          <cell r="AH53">
            <v>0.37111149770000001</v>
          </cell>
          <cell r="AI53">
            <v>0.37244760719999997</v>
          </cell>
          <cell r="AJ53">
            <v>0.37357394799999999</v>
          </cell>
          <cell r="AK53">
            <v>0.37444764870000002</v>
          </cell>
        </row>
        <row r="54">
          <cell r="A54" t="str">
            <v>auto_ce_cgas_2</v>
          </cell>
          <cell r="B54">
            <v>0.15020246549999999</v>
          </cell>
          <cell r="C54">
            <v>0.1520386577</v>
          </cell>
          <cell r="D54">
            <v>0.15477784</v>
          </cell>
          <cell r="E54">
            <v>0.1580085376</v>
          </cell>
          <cell r="F54">
            <v>0.1615955556</v>
          </cell>
          <cell r="G54">
            <v>0.16535539360000001</v>
          </cell>
          <cell r="H54">
            <v>0.16905889909999999</v>
          </cell>
          <cell r="I54">
            <v>0.17205854370000001</v>
          </cell>
          <cell r="J54">
            <v>0.17459443029999999</v>
          </cell>
          <cell r="K54">
            <v>0.17680820850000001</v>
          </cell>
          <cell r="L54">
            <v>0.17874249389999999</v>
          </cell>
          <cell r="M54">
            <v>0.18049624210000001</v>
          </cell>
          <cell r="N54">
            <v>0.1820279014</v>
          </cell>
          <cell r="O54">
            <v>0.1832895715</v>
          </cell>
          <cell r="P54">
            <v>0.1842619392</v>
          </cell>
          <cell r="Q54">
            <v>0.18494937719999999</v>
          </cell>
          <cell r="R54">
            <v>0.18533472009999999</v>
          </cell>
          <cell r="S54">
            <v>0.18547051049999999</v>
          </cell>
          <cell r="T54">
            <v>0.1854049656</v>
          </cell>
          <cell r="U54">
            <v>0.1851760126</v>
          </cell>
          <cell r="V54">
            <v>0.18479946950000001</v>
          </cell>
          <cell r="W54">
            <v>0.18431755690000001</v>
          </cell>
          <cell r="X54">
            <v>0.18375060900000001</v>
          </cell>
          <cell r="Y54">
            <v>0.1831170037</v>
          </cell>
          <cell r="Z54">
            <v>0.1824286547</v>
          </cell>
          <cell r="AA54">
            <v>0.1816551995</v>
          </cell>
          <cell r="AB54">
            <v>0.1808223041</v>
          </cell>
          <cell r="AC54">
            <v>0.17992643729999999</v>
          </cell>
          <cell r="AD54">
            <v>0.17896712140000001</v>
          </cell>
          <cell r="AE54">
            <v>0.17794448609999999</v>
          </cell>
          <cell r="AF54">
            <v>0.17685447139999999</v>
          </cell>
          <cell r="AG54">
            <v>0.17568761120000001</v>
          </cell>
          <cell r="AH54">
            <v>0.174431534</v>
          </cell>
          <cell r="AI54">
            <v>0.173075435</v>
          </cell>
          <cell r="AJ54">
            <v>0.1716110894</v>
          </cell>
          <cell r="AK54">
            <v>0.17003297079999999</v>
          </cell>
        </row>
        <row r="55">
          <cell r="A55" t="str">
            <v>auto_ce_cgas_0</v>
          </cell>
          <cell r="B55">
            <v>0.15020246549999999</v>
          </cell>
          <cell r="C55">
            <v>0.1520386577</v>
          </cell>
          <cell r="D55">
            <v>0.15477784</v>
          </cell>
          <cell r="E55">
            <v>0.1580085376</v>
          </cell>
          <cell r="F55">
            <v>0.1615955556</v>
          </cell>
          <cell r="G55">
            <v>0.16535539360000001</v>
          </cell>
          <cell r="H55">
            <v>0.16905889909999999</v>
          </cell>
          <cell r="I55">
            <v>0.1725887807</v>
          </cell>
          <cell r="J55">
            <v>0.17590033129999999</v>
          </cell>
          <cell r="K55">
            <v>0.17897565679999999</v>
          </cell>
          <cell r="L55">
            <v>0.18182251629999999</v>
          </cell>
          <cell r="M55">
            <v>0.18437437479999999</v>
          </cell>
          <cell r="N55">
            <v>0.18660954439999999</v>
          </cell>
          <cell r="O55">
            <v>0.18852063059999999</v>
          </cell>
          <cell r="P55">
            <v>0.19011221919999999</v>
          </cell>
          <cell r="Q55">
            <v>0.19139943300000001</v>
          </cell>
          <cell r="R55">
            <v>0.1924812672</v>
          </cell>
          <cell r="S55">
            <v>0.19341275250000001</v>
          </cell>
          <cell r="T55">
            <v>0.19421932920000001</v>
          </cell>
          <cell r="U55">
            <v>0.1949143216</v>
          </cell>
          <cell r="V55">
            <v>0.19549132180000001</v>
          </cell>
          <cell r="W55">
            <v>0.19597850450000001</v>
          </cell>
          <cell r="X55">
            <v>0.19638480280000001</v>
          </cell>
          <cell r="Y55">
            <v>0.1967178688</v>
          </cell>
          <cell r="Z55">
            <v>0.19697912240000001</v>
          </cell>
          <cell r="AA55">
            <v>0.1971242832</v>
          </cell>
          <cell r="AB55">
            <v>0.19717698810000001</v>
          </cell>
          <cell r="AC55">
            <v>0.19713212890000001</v>
          </cell>
          <cell r="AD55">
            <v>0.19698392079999999</v>
          </cell>
          <cell r="AE55">
            <v>0.19672545620000001</v>
          </cell>
          <cell r="AF55">
            <v>0.1963450612</v>
          </cell>
          <cell r="AG55">
            <v>0.19582653329999999</v>
          </cell>
          <cell r="AH55">
            <v>0.1951511957</v>
          </cell>
          <cell r="AI55">
            <v>0.1942998333</v>
          </cell>
          <cell r="AJ55">
            <v>0.1932543816</v>
          </cell>
          <cell r="AK55">
            <v>0.19199920209999999</v>
          </cell>
        </row>
        <row r="56">
          <cell r="A56" t="str">
            <v>auto_cf_cgas_2</v>
          </cell>
          <cell r="B56">
            <v>7.4609436000000001E-2</v>
          </cell>
          <cell r="C56">
            <v>7.52981494E-2</v>
          </cell>
          <cell r="D56">
            <v>7.6310760800000002E-2</v>
          </cell>
          <cell r="E56">
            <v>7.74217814E-2</v>
          </cell>
          <cell r="F56">
            <v>7.8549448100000002E-2</v>
          </cell>
          <cell r="G56">
            <v>7.9606691899999998E-2</v>
          </cell>
          <cell r="H56">
            <v>8.04926319E-2</v>
          </cell>
          <cell r="I56">
            <v>8.0928433199999997E-2</v>
          </cell>
          <cell r="J56">
            <v>8.1002523300000004E-2</v>
          </cell>
          <cell r="K56">
            <v>8.0785603100000006E-2</v>
          </cell>
          <cell r="L56">
            <v>8.0310481500000003E-2</v>
          </cell>
          <cell r="M56">
            <v>7.9635990000000004E-2</v>
          </cell>
          <cell r="N56">
            <v>7.8781917199999996E-2</v>
          </cell>
          <cell r="O56">
            <v>7.7766711899999993E-2</v>
          </cell>
          <cell r="P56">
            <v>7.6615243999999999E-2</v>
          </cell>
          <cell r="Q56">
            <v>7.5354893100000001E-2</v>
          </cell>
          <cell r="R56">
            <v>7.4001811299999998E-2</v>
          </cell>
          <cell r="S56">
            <v>7.2586671699999994E-2</v>
          </cell>
          <cell r="T56">
            <v>7.1135416600000001E-2</v>
          </cell>
          <cell r="U56">
            <v>6.9667502199999995E-2</v>
          </cell>
          <cell r="V56">
            <v>6.8193120499999996E-2</v>
          </cell>
          <cell r="W56">
            <v>6.6726252099999994E-2</v>
          </cell>
          <cell r="X56">
            <v>6.5272654700000002E-2</v>
          </cell>
          <cell r="Y56">
            <v>6.3835671699999999E-2</v>
          </cell>
          <cell r="Z56">
            <v>6.2415369700000001E-2</v>
          </cell>
          <cell r="AA56">
            <v>6.1000565399999998E-2</v>
          </cell>
          <cell r="AB56">
            <v>5.9592146200000001E-2</v>
          </cell>
          <cell r="AC56">
            <v>5.8183251999999998E-2</v>
          </cell>
          <cell r="AD56">
            <v>5.6767988800000002E-2</v>
          </cell>
          <cell r="AE56">
            <v>5.5342048099999999E-2</v>
          </cell>
          <cell r="AF56">
            <v>5.3901923900000002E-2</v>
          </cell>
          <cell r="AG56">
            <v>5.2444528800000001E-2</v>
          </cell>
          <cell r="AH56">
            <v>5.0967524399999999E-2</v>
          </cell>
          <cell r="AI56">
            <v>4.9470207400000001E-2</v>
          </cell>
          <cell r="AJ56">
            <v>4.7953586999999999E-2</v>
          </cell>
          <cell r="AK56">
            <v>4.6420087399999997E-2</v>
          </cell>
        </row>
        <row r="57">
          <cell r="A57" t="str">
            <v>auto_cf_cgas_0</v>
          </cell>
          <cell r="B57">
            <v>7.4609436000000001E-2</v>
          </cell>
          <cell r="C57">
            <v>7.52981494E-2</v>
          </cell>
          <cell r="D57">
            <v>7.6310760800000002E-2</v>
          </cell>
          <cell r="E57">
            <v>7.74217814E-2</v>
          </cell>
          <cell r="F57">
            <v>7.8549448100000002E-2</v>
          </cell>
          <cell r="G57">
            <v>7.9606691899999998E-2</v>
          </cell>
          <cell r="H57">
            <v>8.04926319E-2</v>
          </cell>
          <cell r="I57">
            <v>8.1158861799999996E-2</v>
          </cell>
          <cell r="J57">
            <v>8.1592492099999997E-2</v>
          </cell>
          <cell r="K57">
            <v>8.1795896199999996E-2</v>
          </cell>
          <cell r="L57">
            <v>8.1784290999999995E-2</v>
          </cell>
          <cell r="M57">
            <v>8.1551475600000006E-2</v>
          </cell>
          <cell r="N57">
            <v>8.1113689700000005E-2</v>
          </cell>
          <cell r="O57">
            <v>8.0494799500000005E-2</v>
          </cell>
          <cell r="P57">
            <v>7.9721583900000004E-2</v>
          </cell>
          <cell r="Q57">
            <v>7.8820773900000002E-2</v>
          </cell>
          <cell r="R57">
            <v>7.7842030800000003E-2</v>
          </cell>
          <cell r="S57">
            <v>7.6818477400000001E-2</v>
          </cell>
          <cell r="T57">
            <v>7.5769482700000002E-2</v>
          </cell>
          <cell r="U57">
            <v>7.4705965599999993E-2</v>
          </cell>
          <cell r="V57">
            <v>7.3629022599999996E-2</v>
          </cell>
          <cell r="W57">
            <v>7.25463566E-2</v>
          </cell>
          <cell r="X57">
            <v>7.1457800299999999E-2</v>
          </cell>
          <cell r="Y57">
            <v>7.03609444E-2</v>
          </cell>
          <cell r="Z57">
            <v>6.9249960400000005E-2</v>
          </cell>
          <cell r="AA57">
            <v>6.8106126099999997E-2</v>
          </cell>
          <cell r="AB57">
            <v>6.6928064600000003E-2</v>
          </cell>
          <cell r="AC57">
            <v>6.5707433800000006E-2</v>
          </cell>
          <cell r="AD57">
            <v>6.4436872199999995E-2</v>
          </cell>
          <cell r="AE57">
            <v>6.3110878100000004E-2</v>
          </cell>
          <cell r="AF57">
            <v>6.17253423E-2</v>
          </cell>
          <cell r="AG57">
            <v>6.0277726599999998E-2</v>
          </cell>
          <cell r="AH57">
            <v>5.87674433E-2</v>
          </cell>
          <cell r="AI57">
            <v>5.7196027900000002E-2</v>
          </cell>
          <cell r="AJ57">
            <v>5.5567143499999999E-2</v>
          </cell>
          <cell r="AK57">
            <v>5.3886420300000001E-2</v>
          </cell>
        </row>
        <row r="58">
          <cell r="A58" t="str">
            <v>auto_cg_cgas_2</v>
          </cell>
          <cell r="B58">
            <v>0.13435819299999999</v>
          </cell>
          <cell r="C58">
            <v>0.1358835652</v>
          </cell>
          <cell r="D58">
            <v>0.13780468009999999</v>
          </cell>
          <cell r="E58">
            <v>0.13966853700000001</v>
          </cell>
          <cell r="F58">
            <v>0.14131160370000001</v>
          </cell>
          <cell r="G58">
            <v>0.14258906299999999</v>
          </cell>
          <cell r="H58">
            <v>0.14334308909999999</v>
          </cell>
          <cell r="I58">
            <v>0.1431201644</v>
          </cell>
          <cell r="J58">
            <v>0.14207198579999999</v>
          </cell>
          <cell r="K58">
            <v>0.1403521043</v>
          </cell>
          <cell r="L58">
            <v>0.1380549291</v>
          </cell>
          <cell r="M58">
            <v>0.1353166334</v>
          </cell>
          <cell r="N58">
            <v>0.1322245829</v>
          </cell>
          <cell r="O58">
            <v>0.12885793370000001</v>
          </cell>
          <cell r="P58">
            <v>0.12529444649999999</v>
          </cell>
          <cell r="Q58">
            <v>0.1216042703</v>
          </cell>
          <cell r="R58">
            <v>0.1178344995</v>
          </cell>
          <cell r="S58">
            <v>0.1140402183</v>
          </cell>
          <cell r="T58">
            <v>0.11026517249999999</v>
          </cell>
          <cell r="U58">
            <v>0.1065405713</v>
          </cell>
          <cell r="V58">
            <v>0.1028832002</v>
          </cell>
          <cell r="W58">
            <v>9.9310174500000001E-2</v>
          </cell>
          <cell r="X58">
            <v>9.5827230999999999E-2</v>
          </cell>
          <cell r="Y58">
            <v>9.2435752100000004E-2</v>
          </cell>
          <cell r="Z58">
            <v>8.9132431100000006E-2</v>
          </cell>
          <cell r="AA58">
            <v>8.5902408299999997E-2</v>
          </cell>
          <cell r="AB58">
            <v>8.2741822300000004E-2</v>
          </cell>
          <cell r="AC58">
            <v>7.9639442300000002E-2</v>
          </cell>
          <cell r="AD58">
            <v>7.6585937699999995E-2</v>
          </cell>
          <cell r="AE58">
            <v>7.3575237000000002E-2</v>
          </cell>
          <cell r="AF58">
            <v>7.06038217E-2</v>
          </cell>
          <cell r="AG58">
            <v>6.7670067299999997E-2</v>
          </cell>
          <cell r="AH58">
            <v>6.47741503E-2</v>
          </cell>
          <cell r="AI58">
            <v>6.1918470099999998E-2</v>
          </cell>
          <cell r="AJ58">
            <v>5.9107338400000001E-2</v>
          </cell>
          <cell r="AK58">
            <v>5.6346315299999998E-2</v>
          </cell>
        </row>
        <row r="59">
          <cell r="A59" t="str">
            <v>auto_cg_cgas_0</v>
          </cell>
          <cell r="B59">
            <v>0.13435819299999999</v>
          </cell>
          <cell r="C59">
            <v>0.1358835652</v>
          </cell>
          <cell r="D59">
            <v>0.13780468009999999</v>
          </cell>
          <cell r="E59">
            <v>0.13966853700000001</v>
          </cell>
          <cell r="F59">
            <v>0.14131160370000001</v>
          </cell>
          <cell r="G59">
            <v>0.14258906299999999</v>
          </cell>
          <cell r="H59">
            <v>0.14334308909999999</v>
          </cell>
          <cell r="I59">
            <v>0.143512049</v>
          </cell>
          <cell r="J59">
            <v>0.1431004652</v>
          </cell>
          <cell r="K59">
            <v>0.1421427324</v>
          </cell>
          <cell r="L59">
            <v>0.14069550589999999</v>
          </cell>
          <cell r="M59">
            <v>0.13878887200000001</v>
          </cell>
          <cell r="N59">
            <v>0.1364892899</v>
          </cell>
          <cell r="O59">
            <v>0.13387256680000001</v>
          </cell>
          <cell r="P59">
            <v>0.13101279569999999</v>
          </cell>
          <cell r="Q59">
            <v>0.12797627280000001</v>
          </cell>
          <cell r="R59">
            <v>0.12485158740000001</v>
          </cell>
          <cell r="S59">
            <v>0.12170069679999999</v>
          </cell>
          <cell r="T59">
            <v>0.11856155879999999</v>
          </cell>
          <cell r="U59">
            <v>0.1154555177</v>
          </cell>
          <cell r="V59">
            <v>0.1123872442</v>
          </cell>
          <cell r="W59">
            <v>0.1093654265</v>
          </cell>
          <cell r="X59">
            <v>0.1063871457</v>
          </cell>
          <cell r="Y59">
            <v>0.1034452934</v>
          </cell>
          <cell r="Z59">
            <v>0.1005277654</v>
          </cell>
          <cell r="AA59">
            <v>9.7608411000000006E-2</v>
          </cell>
          <cell r="AB59">
            <v>9.4680400900000003E-2</v>
          </cell>
          <cell r="AC59">
            <v>9.1731036899999993E-2</v>
          </cell>
          <cell r="AD59">
            <v>8.8750853800000001E-2</v>
          </cell>
          <cell r="AE59">
            <v>8.5735144700000002E-2</v>
          </cell>
          <cell r="AF59">
            <v>8.2683424300000002E-2</v>
          </cell>
          <cell r="AG59">
            <v>7.9599183300000001E-2</v>
          </cell>
          <cell r="AH59">
            <v>7.6489613499999998E-2</v>
          </cell>
          <cell r="AI59">
            <v>7.3365022399999993E-2</v>
          </cell>
          <cell r="AJ59">
            <v>7.0238082699999996E-2</v>
          </cell>
          <cell r="AK59">
            <v>6.7122990100000002E-2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139.4020707</v>
          </cell>
          <cell r="C100">
            <v>140.95641879999999</v>
          </cell>
          <cell r="D100">
            <v>142.53672689999999</v>
          </cell>
          <cell r="E100">
            <v>144.24566949999999</v>
          </cell>
          <cell r="F100">
            <v>146.1603618</v>
          </cell>
          <cell r="G100">
            <v>148.31040490000001</v>
          </cell>
          <cell r="H100">
            <v>150.62058450000001</v>
          </cell>
          <cell r="I100">
            <v>154.1974161</v>
          </cell>
          <cell r="J100">
            <v>157.99026989999999</v>
          </cell>
          <cell r="K100">
            <v>162.46710179999999</v>
          </cell>
          <cell r="L100">
            <v>166.96584609999999</v>
          </cell>
          <cell r="M100">
            <v>170.91727399999999</v>
          </cell>
          <cell r="N100">
            <v>174.4948904</v>
          </cell>
          <cell r="O100">
            <v>177.91117030000001</v>
          </cell>
          <cell r="P100">
            <v>181.38137420000001</v>
          </cell>
          <cell r="Q100">
            <v>185.03836530000001</v>
          </cell>
          <cell r="R100">
            <v>188.7774186</v>
          </cell>
          <cell r="S100">
            <v>192.86725939999999</v>
          </cell>
          <cell r="T100">
            <v>197.3935601</v>
          </cell>
          <cell r="U100">
            <v>202.43982449999999</v>
          </cell>
          <cell r="V100">
            <v>208.064663</v>
          </cell>
          <cell r="W100">
            <v>214.43516779999999</v>
          </cell>
          <cell r="X100">
            <v>221.679329</v>
          </cell>
          <cell r="Y100">
            <v>229.9250715</v>
          </cell>
          <cell r="Z100">
            <v>239.30488080000001</v>
          </cell>
          <cell r="AA100">
            <v>249.85807220000001</v>
          </cell>
          <cell r="AB100">
            <v>262.0080997</v>
          </cell>
          <cell r="AC100">
            <v>276.00419349999999</v>
          </cell>
          <cell r="AD100">
            <v>292.18048429999999</v>
          </cell>
          <cell r="AE100">
            <v>310.8970266</v>
          </cell>
          <cell r="AF100">
            <v>332.60432730000002</v>
          </cell>
          <cell r="AG100">
            <v>357.95060059999997</v>
          </cell>
          <cell r="AH100">
            <v>387.87307349999998</v>
          </cell>
          <cell r="AI100">
            <v>423.69915789999999</v>
          </cell>
          <cell r="AJ100">
            <v>467.38224270000001</v>
          </cell>
          <cell r="AK100">
            <v>521.91327279999996</v>
          </cell>
        </row>
        <row r="101">
          <cell r="A101" t="str">
            <v>m_toe_2</v>
          </cell>
          <cell r="B101">
            <v>150.64917399999999</v>
          </cell>
          <cell r="C101">
            <v>151.64707279999999</v>
          </cell>
          <cell r="D101">
            <v>152.71291189999999</v>
          </cell>
          <cell r="E101">
            <v>153.77705209999999</v>
          </cell>
          <cell r="F101">
            <v>155.45560860000001</v>
          </cell>
          <cell r="G101">
            <v>157.64406729999999</v>
          </cell>
          <cell r="H101">
            <v>159.8472285</v>
          </cell>
          <cell r="I101">
            <v>159.05461679999999</v>
          </cell>
          <cell r="J101">
            <v>157.9596315</v>
          </cell>
          <cell r="K101">
            <v>157.4496714</v>
          </cell>
          <cell r="L101">
            <v>157.05431379999999</v>
          </cell>
          <cell r="M101">
            <v>156.56840389999999</v>
          </cell>
          <cell r="N101">
            <v>155.94334280000001</v>
          </cell>
          <cell r="O101">
            <v>155.23692740000001</v>
          </cell>
          <cell r="P101">
            <v>154.5483979</v>
          </cell>
          <cell r="Q101">
            <v>153.93204750000001</v>
          </cell>
          <cell r="R101">
            <v>153.3258281</v>
          </cell>
          <cell r="S101">
            <v>152.8405684</v>
          </cell>
          <cell r="T101">
            <v>152.51999219999999</v>
          </cell>
          <cell r="U101">
            <v>152.39001579999999</v>
          </cell>
          <cell r="V101">
            <v>152.4508472</v>
          </cell>
          <cell r="W101">
            <v>152.7634109</v>
          </cell>
          <cell r="X101">
            <v>153.3539562</v>
          </cell>
          <cell r="Y101">
            <v>154.23994089999999</v>
          </cell>
          <cell r="Z101">
            <v>155.42863270000001</v>
          </cell>
          <cell r="AA101">
            <v>156.8615418</v>
          </cell>
          <cell r="AB101">
            <v>158.66401010000001</v>
          </cell>
          <cell r="AC101">
            <v>160.8627233</v>
          </cell>
          <cell r="AD101">
            <v>163.48987410000001</v>
          </cell>
          <cell r="AE101">
            <v>166.55028630000001</v>
          </cell>
          <cell r="AF101">
            <v>170.04401050000001</v>
          </cell>
          <cell r="AG101">
            <v>173.99926840000001</v>
          </cell>
          <cell r="AH101">
            <v>178.48380270000001</v>
          </cell>
          <cell r="AI101">
            <v>183.6058395</v>
          </cell>
          <cell r="AJ101">
            <v>189.5374023</v>
          </cell>
          <cell r="AK101">
            <v>196.5541182</v>
          </cell>
        </row>
        <row r="102">
          <cell r="A102" t="str">
            <v>ci_toe_2</v>
          </cell>
          <cell r="B102">
            <v>192.35883190000001</v>
          </cell>
          <cell r="C102">
            <v>194.58358129999999</v>
          </cell>
          <cell r="D102">
            <v>196.9973024</v>
          </cell>
          <cell r="E102">
            <v>199.51228</v>
          </cell>
          <cell r="F102">
            <v>202.5937476</v>
          </cell>
          <cell r="G102">
            <v>206.23063719999999</v>
          </cell>
          <cell r="H102">
            <v>210.05871239999999</v>
          </cell>
          <cell r="I102">
            <v>212.5619173</v>
          </cell>
          <cell r="J102">
            <v>214.9320491</v>
          </cell>
          <cell r="K102">
            <v>218.24853200000001</v>
          </cell>
          <cell r="L102">
            <v>221.75579239999999</v>
          </cell>
          <cell r="M102">
            <v>224.82829029999999</v>
          </cell>
          <cell r="N102">
            <v>227.51023409999999</v>
          </cell>
          <cell r="O102">
            <v>229.98739359999999</v>
          </cell>
          <cell r="P102">
            <v>232.49916730000001</v>
          </cell>
          <cell r="Q102">
            <v>235.20565439999999</v>
          </cell>
          <cell r="R102">
            <v>238.1220045</v>
          </cell>
          <cell r="S102">
            <v>241.44105780000001</v>
          </cell>
          <cell r="T102">
            <v>245.29587119999999</v>
          </cell>
          <cell r="U102">
            <v>249.7951478</v>
          </cell>
          <cell r="V102">
            <v>255.00681969999999</v>
          </cell>
          <cell r="W102">
            <v>261.12037400000003</v>
          </cell>
          <cell r="X102">
            <v>268.28294019999998</v>
          </cell>
          <cell r="Y102">
            <v>276.63802759999999</v>
          </cell>
          <cell r="Z102">
            <v>286.32789320000001</v>
          </cell>
          <cell r="AA102">
            <v>297.38100969999999</v>
          </cell>
          <cell r="AB102">
            <v>310.20603940000001</v>
          </cell>
          <cell r="AC102">
            <v>325.13199900000001</v>
          </cell>
          <cell r="AD102">
            <v>342.52511559999999</v>
          </cell>
          <cell r="AE102">
            <v>362.7676917</v>
          </cell>
          <cell r="AF102">
            <v>386.33224919999998</v>
          </cell>
          <cell r="AG102">
            <v>413.9065951</v>
          </cell>
          <cell r="AH102">
            <v>446.49973829999999</v>
          </cell>
          <cell r="AI102">
            <v>485.55556150000001</v>
          </cell>
          <cell r="AJ102">
            <v>533.20865070000002</v>
          </cell>
          <cell r="AK102">
            <v>592.73484250000001</v>
          </cell>
        </row>
        <row r="103">
          <cell r="A103" t="str">
            <v>ch_toe_2</v>
          </cell>
          <cell r="B103">
            <v>64.301440170000006</v>
          </cell>
          <cell r="C103">
            <v>63.922819750000002</v>
          </cell>
          <cell r="D103">
            <v>63.440136699999996</v>
          </cell>
          <cell r="E103">
            <v>62.974754050000001</v>
          </cell>
          <cell r="F103">
            <v>62.748425130000001</v>
          </cell>
          <cell r="G103">
            <v>62.694371060000002</v>
          </cell>
          <cell r="H103">
            <v>62.608698799999999</v>
          </cell>
          <cell r="I103">
            <v>62.009539629999999</v>
          </cell>
          <cell r="J103">
            <v>61.391717</v>
          </cell>
          <cell r="K103">
            <v>60.744370289999999</v>
          </cell>
          <cell r="L103">
            <v>60.076819720000003</v>
          </cell>
          <cell r="M103">
            <v>59.437847550000001</v>
          </cell>
          <cell r="N103">
            <v>58.848126669999999</v>
          </cell>
          <cell r="O103">
            <v>58.323483109999998</v>
          </cell>
          <cell r="P103">
            <v>57.865248809999997</v>
          </cell>
          <cell r="Q103">
            <v>57.466049529999999</v>
          </cell>
          <cell r="R103">
            <v>57.133147200000003</v>
          </cell>
          <cell r="S103">
            <v>56.832926209999997</v>
          </cell>
          <cell r="T103">
            <v>56.5500471</v>
          </cell>
          <cell r="U103">
            <v>56.282153389999998</v>
          </cell>
          <cell r="V103">
            <v>56.016510060000002</v>
          </cell>
          <cell r="W103">
            <v>55.787107149999997</v>
          </cell>
          <cell r="X103">
            <v>55.593335600000003</v>
          </cell>
          <cell r="Y103">
            <v>55.437600709999998</v>
          </cell>
          <cell r="Z103">
            <v>55.323883670000001</v>
          </cell>
          <cell r="AA103">
            <v>55.208097389999999</v>
          </cell>
          <cell r="AB103">
            <v>55.143646609999998</v>
          </cell>
          <cell r="AC103">
            <v>55.131425749999998</v>
          </cell>
          <cell r="AD103">
            <v>55.173053709999998</v>
          </cell>
          <cell r="AE103">
            <v>55.270232890000003</v>
          </cell>
          <cell r="AF103">
            <v>55.423932819999997</v>
          </cell>
          <cell r="AG103">
            <v>55.634166810000004</v>
          </cell>
          <cell r="AH103">
            <v>55.900179180000002</v>
          </cell>
          <cell r="AI103">
            <v>56.221675789999999</v>
          </cell>
          <cell r="AJ103">
            <v>56.599697339999999</v>
          </cell>
          <cell r="AK103">
            <v>57.037157809999997</v>
          </cell>
        </row>
        <row r="104">
          <cell r="A104" t="str">
            <v>x_toe_2</v>
          </cell>
          <cell r="B104">
            <v>33.390972560000002</v>
          </cell>
          <cell r="C104">
            <v>34.097090559999998</v>
          </cell>
          <cell r="D104">
            <v>34.812199640000003</v>
          </cell>
          <cell r="E104">
            <v>35.535687469999999</v>
          </cell>
          <cell r="F104">
            <v>36.27379767</v>
          </cell>
          <cell r="G104">
            <v>37.02946403</v>
          </cell>
          <cell r="H104">
            <v>37.800401749999999</v>
          </cell>
          <cell r="I104">
            <v>38.68057597</v>
          </cell>
          <cell r="J104">
            <v>39.626135249999997</v>
          </cell>
          <cell r="K104">
            <v>40.923870829999998</v>
          </cell>
          <cell r="L104">
            <v>42.187547790000004</v>
          </cell>
          <cell r="M104">
            <v>43.219540000000002</v>
          </cell>
          <cell r="N104">
            <v>44.079872360000003</v>
          </cell>
          <cell r="O104">
            <v>44.837221020000001</v>
          </cell>
          <cell r="P104">
            <v>45.565356029999997</v>
          </cell>
          <cell r="Q104">
            <v>46.298708769999998</v>
          </cell>
          <cell r="R104">
            <v>46.848094940000003</v>
          </cell>
          <cell r="S104">
            <v>47.433843809999999</v>
          </cell>
          <cell r="T104">
            <v>48.067633919999999</v>
          </cell>
          <cell r="U104">
            <v>48.752539110000001</v>
          </cell>
          <cell r="V104">
            <v>49.492180490000003</v>
          </cell>
          <cell r="W104">
            <v>50.291097540000003</v>
          </cell>
          <cell r="X104">
            <v>51.157009350000003</v>
          </cell>
          <cell r="Y104">
            <v>52.089384119999998</v>
          </cell>
          <cell r="Z104">
            <v>53.0817367</v>
          </cell>
          <cell r="AA104">
            <v>54.1305069</v>
          </cell>
          <cell r="AB104">
            <v>55.32242376</v>
          </cell>
          <cell r="AC104">
            <v>56.603492129999999</v>
          </cell>
          <cell r="AD104">
            <v>57.972189030000003</v>
          </cell>
          <cell r="AE104">
            <v>59.409388239999998</v>
          </cell>
          <cell r="AF104">
            <v>60.89215583</v>
          </cell>
          <cell r="AG104">
            <v>62.409107159999998</v>
          </cell>
          <cell r="AH104">
            <v>63.956958759999999</v>
          </cell>
          <cell r="AI104">
            <v>65.527760020000002</v>
          </cell>
          <cell r="AJ104">
            <v>67.111296980000006</v>
          </cell>
          <cell r="AK104">
            <v>68.695390660000001</v>
          </cell>
        </row>
        <row r="105">
          <cell r="A105" t="str">
            <v>y_toe_0</v>
          </cell>
          <cell r="B105">
            <v>139.4020707</v>
          </cell>
          <cell r="C105">
            <v>140.95641879999999</v>
          </cell>
          <cell r="D105">
            <v>142.53672689999999</v>
          </cell>
          <cell r="E105">
            <v>144.24566949999999</v>
          </cell>
          <cell r="F105">
            <v>146.1603618</v>
          </cell>
          <cell r="G105">
            <v>148.31040490000001</v>
          </cell>
          <cell r="H105">
            <v>150.62058450000001</v>
          </cell>
          <cell r="I105">
            <v>153.03148200000001</v>
          </cell>
          <cell r="J105">
            <v>155.50123429999999</v>
          </cell>
          <cell r="K105">
            <v>158.00843900000001</v>
          </cell>
          <cell r="L105">
            <v>160.48442299999999</v>
          </cell>
          <cell r="M105">
            <v>162.53116460000001</v>
          </cell>
          <cell r="N105">
            <v>164.23590290000001</v>
          </cell>
          <cell r="O105">
            <v>165.686125</v>
          </cell>
          <cell r="P105">
            <v>166.97856039999999</v>
          </cell>
          <cell r="Q105">
            <v>168.20052000000001</v>
          </cell>
          <cell r="R105">
            <v>169.4480873</v>
          </cell>
          <cell r="S105">
            <v>170.8168488</v>
          </cell>
          <cell r="T105">
            <v>172.38357590000001</v>
          </cell>
          <cell r="U105">
            <v>174.180789</v>
          </cell>
          <cell r="V105">
            <v>176.19742160000001</v>
          </cell>
          <cell r="W105">
            <v>178.49631590000001</v>
          </cell>
          <cell r="X105">
            <v>181.09292719999999</v>
          </cell>
          <cell r="Y105">
            <v>183.99711289999999</v>
          </cell>
          <cell r="Z105">
            <v>187.2065369</v>
          </cell>
          <cell r="AA105">
            <v>190.62764390000001</v>
          </cell>
          <cell r="AB105">
            <v>194.35407259999999</v>
          </cell>
          <cell r="AC105">
            <v>198.3986974</v>
          </cell>
          <cell r="AD105">
            <v>202.75848389999999</v>
          </cell>
          <cell r="AE105">
            <v>207.38689880000001</v>
          </cell>
          <cell r="AF105">
            <v>212.2176667</v>
          </cell>
          <cell r="AG105">
            <v>217.1914098</v>
          </cell>
          <cell r="AH105">
            <v>222.25937160000001</v>
          </cell>
          <cell r="AI105">
            <v>227.37756419999999</v>
          </cell>
          <cell r="AJ105">
            <v>232.50404850000001</v>
          </cell>
          <cell r="AK105">
            <v>237.5977857</v>
          </cell>
        </row>
        <row r="106">
          <cell r="A106" t="str">
            <v>m_toe_0</v>
          </cell>
          <cell r="B106">
            <v>150.64917389999999</v>
          </cell>
          <cell r="C106">
            <v>151.64707279999999</v>
          </cell>
          <cell r="D106">
            <v>152.71291210000001</v>
          </cell>
          <cell r="E106">
            <v>153.7770525</v>
          </cell>
          <cell r="F106">
            <v>155.4556091</v>
          </cell>
          <cell r="G106">
            <v>157.64406790000001</v>
          </cell>
          <cell r="H106">
            <v>159.84722909999999</v>
          </cell>
          <cell r="I106">
            <v>162.02239510000001</v>
          </cell>
          <cell r="J106">
            <v>164.1871338</v>
          </cell>
          <cell r="K106">
            <v>166.35717969999999</v>
          </cell>
          <cell r="L106">
            <v>168.4798854</v>
          </cell>
          <cell r="M106">
            <v>170.16419089999999</v>
          </cell>
          <cell r="N106">
            <v>171.4861487</v>
          </cell>
          <cell r="O106">
            <v>172.54040190000001</v>
          </cell>
          <cell r="P106">
            <v>173.42652319999999</v>
          </cell>
          <cell r="Q106">
            <v>174.2326037</v>
          </cell>
          <cell r="R106">
            <v>175.27749180000001</v>
          </cell>
          <cell r="S106">
            <v>176.58722370000001</v>
          </cell>
          <cell r="T106">
            <v>178.18437170000001</v>
          </cell>
          <cell r="U106">
            <v>180.06696669999999</v>
          </cell>
          <cell r="V106">
            <v>182.20459790000001</v>
          </cell>
          <cell r="W106">
            <v>184.6390729</v>
          </cell>
          <cell r="X106">
            <v>187.3807386</v>
          </cell>
          <cell r="Y106">
            <v>190.43822639999999</v>
          </cell>
          <cell r="Z106">
            <v>193.80914189999999</v>
          </cell>
          <cell r="AA106">
            <v>197.41196110000001</v>
          </cell>
          <cell r="AB106">
            <v>201.3287359</v>
          </cell>
          <cell r="AC106">
            <v>205.58110819999999</v>
          </cell>
          <cell r="AD106">
            <v>210.17488689999999</v>
          </cell>
          <cell r="AE106">
            <v>215.07310100000001</v>
          </cell>
          <cell r="AF106">
            <v>220.21520949999999</v>
          </cell>
          <cell r="AG106">
            <v>225.5441027</v>
          </cell>
          <cell r="AH106">
            <v>231.01082650000001</v>
          </cell>
          <cell r="AI106">
            <v>236.56958900000001</v>
          </cell>
          <cell r="AJ106">
            <v>242.17476869999999</v>
          </cell>
          <cell r="AK106">
            <v>247.77951830000001</v>
          </cell>
        </row>
        <row r="107">
          <cell r="A107" t="str">
            <v>ci_toe_0</v>
          </cell>
          <cell r="B107">
            <v>192.35883179999999</v>
          </cell>
          <cell r="C107">
            <v>194.5835812</v>
          </cell>
          <cell r="D107">
            <v>196.99730249999999</v>
          </cell>
          <cell r="E107">
            <v>199.51228019999999</v>
          </cell>
          <cell r="F107">
            <v>202.59374779999999</v>
          </cell>
          <cell r="G107">
            <v>206.2306375</v>
          </cell>
          <cell r="H107">
            <v>210.0587128</v>
          </cell>
          <cell r="I107">
            <v>213.9518559</v>
          </cell>
          <cell r="J107">
            <v>217.86532650000001</v>
          </cell>
          <cell r="K107">
            <v>221.78650200000001</v>
          </cell>
          <cell r="L107">
            <v>225.60562039999999</v>
          </cell>
          <cell r="M107">
            <v>228.68953920000001</v>
          </cell>
          <cell r="N107">
            <v>231.14467680000001</v>
          </cell>
          <cell r="O107">
            <v>233.11859329999999</v>
          </cell>
          <cell r="P107">
            <v>234.780631</v>
          </cell>
          <cell r="Q107">
            <v>236.28916570000001</v>
          </cell>
          <cell r="R107">
            <v>237.9549403</v>
          </cell>
          <cell r="S107">
            <v>239.9286338</v>
          </cell>
          <cell r="T107">
            <v>242.3066886</v>
          </cell>
          <cell r="U107">
            <v>245.13187869999999</v>
          </cell>
          <cell r="V107">
            <v>248.38861299999999</v>
          </cell>
          <cell r="W107">
            <v>252.1584402</v>
          </cell>
          <cell r="X107">
            <v>256.46802150000002</v>
          </cell>
          <cell r="Y107">
            <v>261.33568279999997</v>
          </cell>
          <cell r="Z107">
            <v>266.7592841</v>
          </cell>
          <cell r="AA107">
            <v>272.61050360000002</v>
          </cell>
          <cell r="AB107">
            <v>279.0098744</v>
          </cell>
          <cell r="AC107">
            <v>285.98319909999998</v>
          </cell>
          <cell r="AD107">
            <v>293.53088220000001</v>
          </cell>
          <cell r="AE107">
            <v>301.5807959</v>
          </cell>
          <cell r="AF107">
            <v>310.02195030000001</v>
          </cell>
          <cell r="AG107">
            <v>318.74945539999999</v>
          </cell>
          <cell r="AH107">
            <v>327.67503360000001</v>
          </cell>
          <cell r="AI107">
            <v>336.71747490000001</v>
          </cell>
          <cell r="AJ107">
            <v>345.7978038</v>
          </cell>
          <cell r="AK107">
            <v>354.83733649999999</v>
          </cell>
        </row>
        <row r="108">
          <cell r="A108" t="str">
            <v>ch_toe_0</v>
          </cell>
          <cell r="B108">
            <v>64.301440170000006</v>
          </cell>
          <cell r="C108">
            <v>63.922819850000003</v>
          </cell>
          <cell r="D108">
            <v>63.440136860000003</v>
          </cell>
          <cell r="E108">
            <v>62.974754279999999</v>
          </cell>
          <cell r="F108">
            <v>62.74842538</v>
          </cell>
          <cell r="G108">
            <v>62.694371320000002</v>
          </cell>
          <cell r="H108">
            <v>62.608699049999998</v>
          </cell>
          <cell r="I108">
            <v>62.517238810000002</v>
          </cell>
          <cell r="J108">
            <v>62.440707619999998</v>
          </cell>
          <cell r="K108">
            <v>62.385266950000002</v>
          </cell>
          <cell r="L108">
            <v>62.377370089999999</v>
          </cell>
          <cell r="M108">
            <v>62.368570239999997</v>
          </cell>
          <cell r="N108">
            <v>62.357377759999999</v>
          </cell>
          <cell r="O108">
            <v>62.347508859999998</v>
          </cell>
          <cell r="P108">
            <v>62.337057940000001</v>
          </cell>
          <cell r="Q108">
            <v>62.321483630000003</v>
          </cell>
          <cell r="R108">
            <v>62.385090380000001</v>
          </cell>
          <cell r="S108">
            <v>62.483769870000003</v>
          </cell>
          <cell r="T108">
            <v>62.611399040000002</v>
          </cell>
          <cell r="U108">
            <v>62.753495839999999</v>
          </cell>
          <cell r="V108">
            <v>62.881171399999999</v>
          </cell>
          <cell r="W108">
            <v>63.01600895</v>
          </cell>
          <cell r="X108">
            <v>63.151696899999997</v>
          </cell>
          <cell r="Y108">
            <v>63.287098159999999</v>
          </cell>
          <cell r="Z108">
            <v>63.423569909999998</v>
          </cell>
          <cell r="AA108">
            <v>63.515566819999997</v>
          </cell>
          <cell r="AB108">
            <v>63.617486749999998</v>
          </cell>
          <cell r="AC108">
            <v>63.731848290000002</v>
          </cell>
          <cell r="AD108">
            <v>63.861972289999997</v>
          </cell>
          <cell r="AE108">
            <v>64.011526509999996</v>
          </cell>
          <cell r="AF108">
            <v>64.183019259999995</v>
          </cell>
          <cell r="AG108">
            <v>64.377251509999994</v>
          </cell>
          <cell r="AH108">
            <v>64.591868360000007</v>
          </cell>
          <cell r="AI108">
            <v>64.823839309999997</v>
          </cell>
          <cell r="AJ108">
            <v>65.069753809999995</v>
          </cell>
          <cell r="AK108">
            <v>65.325764410000005</v>
          </cell>
        </row>
        <row r="109">
          <cell r="A109" t="str">
            <v>x_toe_0</v>
          </cell>
          <cell r="B109">
            <v>33.390972560000002</v>
          </cell>
          <cell r="C109">
            <v>34.097090559999998</v>
          </cell>
          <cell r="D109">
            <v>34.812199640000003</v>
          </cell>
          <cell r="E109">
            <v>35.535687469999999</v>
          </cell>
          <cell r="F109">
            <v>36.273797680000001</v>
          </cell>
          <cell r="G109">
            <v>37.029464040000001</v>
          </cell>
          <cell r="H109">
            <v>37.80040176</v>
          </cell>
          <cell r="I109">
            <v>38.58478229</v>
          </cell>
          <cell r="J109">
            <v>39.382333969999998</v>
          </cell>
          <cell r="K109">
            <v>40.193849819999997</v>
          </cell>
          <cell r="L109">
            <v>40.981317930000003</v>
          </cell>
          <cell r="M109">
            <v>41.637246070000003</v>
          </cell>
          <cell r="N109">
            <v>42.219997040000003</v>
          </cell>
          <cell r="O109">
            <v>42.760424739999998</v>
          </cell>
          <cell r="P109">
            <v>43.287394630000001</v>
          </cell>
          <cell r="Q109">
            <v>43.822474319999998</v>
          </cell>
          <cell r="R109">
            <v>44.385548399999998</v>
          </cell>
          <cell r="S109">
            <v>44.991668949999998</v>
          </cell>
          <cell r="T109">
            <v>45.649859919999997</v>
          </cell>
          <cell r="U109">
            <v>46.362381210000002</v>
          </cell>
          <cell r="V109">
            <v>47.132235020000003</v>
          </cell>
          <cell r="W109">
            <v>47.960939660000001</v>
          </cell>
          <cell r="X109">
            <v>48.853947390000002</v>
          </cell>
          <cell r="Y109">
            <v>49.81255839</v>
          </cell>
          <cell r="Z109">
            <v>50.832824909999999</v>
          </cell>
          <cell r="AA109">
            <v>51.913534599999998</v>
          </cell>
          <cell r="AB109">
            <v>53.05544742</v>
          </cell>
          <cell r="AC109">
            <v>54.264758239999999</v>
          </cell>
          <cell r="AD109">
            <v>55.5405163</v>
          </cell>
          <cell r="AE109">
            <v>56.867677329999999</v>
          </cell>
          <cell r="AF109">
            <v>58.227906679999997</v>
          </cell>
          <cell r="AG109">
            <v>59.608805590000003</v>
          </cell>
          <cell r="AH109">
            <v>61.003296110000001</v>
          </cell>
          <cell r="AI109">
            <v>62.405838959999997</v>
          </cell>
          <cell r="AJ109">
            <v>63.811259550000003</v>
          </cell>
          <cell r="AK109">
            <v>65.21420311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29"/>
  <sheetViews>
    <sheetView tabSelected="1" zoomScale="77" workbookViewId="0">
      <pane xSplit="2" ySplit="4" topLeftCell="C404" activePane="bottomRight" state="frozen"/>
      <selection pane="topRight" activeCell="C1" sqref="C1"/>
      <selection pane="bottomLeft" activeCell="A4" sqref="A4"/>
      <selection pane="bottomRight" activeCell="B412" sqref="B412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4" spans="1:3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</row>
    <row r="5" spans="1:38" x14ac:dyDescent="0.35">
      <c r="A5" s="3" t="str">
        <f>[1]Results!E1365</f>
        <v>100*(GDP_2/GDP_0-1)</v>
      </c>
      <c r="B5" t="s">
        <v>18</v>
      </c>
      <c r="C5" s="1">
        <f>[1]Results!F1365</f>
        <v>0</v>
      </c>
      <c r="D5" s="1">
        <f>[1]Results!G1365</f>
        <v>0</v>
      </c>
      <c r="E5" s="1">
        <f>[1]Results!H1365</f>
        <v>0</v>
      </c>
      <c r="F5" s="1">
        <f>[1]Results!I1365</f>
        <v>0</v>
      </c>
      <c r="G5" s="1">
        <f>[1]Results!J1365</f>
        <v>0</v>
      </c>
      <c r="H5" s="1">
        <f>[1]Results!K1365</f>
        <v>0</v>
      </c>
      <c r="I5" s="1">
        <f>[1]Results!L1365</f>
        <v>0</v>
      </c>
      <c r="J5" s="1">
        <f>[1]Results!M1365</f>
        <v>-0.22523456194621927</v>
      </c>
      <c r="K5" s="1">
        <f>[1]Results!N1365</f>
        <v>-0.45049780897455927</v>
      </c>
      <c r="L5" s="1">
        <f>[1]Results!O1365</f>
        <v>-0.30966370578525693</v>
      </c>
      <c r="M5" s="1">
        <f>[1]Results!P1365</f>
        <v>-0.14638698245715842</v>
      </c>
      <c r="N5" s="1">
        <f>[1]Results!Q1365</f>
        <v>-6.8356588520002148E-3</v>
      </c>
      <c r="O5" s="1">
        <f>[1]Results!R1365</f>
        <v>9.9731726276952593E-2</v>
      </c>
      <c r="P5" s="1">
        <f>[1]Results!S1365</f>
        <v>0.18640056889180912</v>
      </c>
      <c r="Q5" s="1">
        <f>[1]Results!T1365</f>
        <v>0.27388673624948456</v>
      </c>
      <c r="R5" s="1">
        <f>[1]Results!U1365</f>
        <v>0.3614615744841343</v>
      </c>
      <c r="S5" s="1">
        <f>[1]Results!V1365</f>
        <v>0.41699918084712184</v>
      </c>
      <c r="T5" s="1">
        <f>[1]Results!W1365</f>
        <v>0.44684082960082527</v>
      </c>
      <c r="U5" s="1">
        <f>[1]Results!X1365</f>
        <v>0.45595193261491751</v>
      </c>
      <c r="V5" s="1">
        <f>[1]Results!Y1365</f>
        <v>0.45127261622555093</v>
      </c>
      <c r="W5" s="1">
        <f>[1]Results!Z1365</f>
        <v>0.43849643489730639</v>
      </c>
      <c r="X5" s="1">
        <f>[1]Results!AA1365</f>
        <v>0.42162429054819484</v>
      </c>
      <c r="Y5" s="1">
        <f>[1]Results!AB1365</f>
        <v>0.40444305272659964</v>
      </c>
      <c r="Z5" s="1">
        <f>[1]Results!AC1365</f>
        <v>0.39089215463468108</v>
      </c>
      <c r="AA5" s="1">
        <f>[1]Results!AD1365</f>
        <v>0.38502599569165685</v>
      </c>
      <c r="AB5" s="1">
        <f>[1]Results!AE1365</f>
        <v>0.38961106577670712</v>
      </c>
      <c r="AC5" s="1">
        <f>[1]Results!AF1365</f>
        <v>0.40965882858514657</v>
      </c>
      <c r="AD5" s="1">
        <f>[1]Results!AG1365</f>
        <v>0.4455874552116379</v>
      </c>
      <c r="AE5" s="1">
        <f>[1]Results!AH1365</f>
        <v>0.5018423855732701</v>
      </c>
      <c r="AF5" s="1">
        <f>[1]Results!AI1365</f>
        <v>0.58384902743040534</v>
      </c>
      <c r="AG5" s="1">
        <f>[1]Results!AJ1365</f>
        <v>0.69655839325135638</v>
      </c>
      <c r="AH5" s="1">
        <f>[1]Results!AK1365</f>
        <v>0.84434499663517126</v>
      </c>
      <c r="AI5" s="1">
        <f>[1]Results!AL1365</f>
        <v>1.032481760451498</v>
      </c>
      <c r="AJ5" s="1">
        <f>[1]Results!AM1365</f>
        <v>1.2687232979693874</v>
      </c>
      <c r="AK5" s="1">
        <f>[1]Results!AN1365</f>
        <v>1.5643169067570462</v>
      </c>
      <c r="AL5" s="1">
        <f>[1]Results!AO1365</f>
        <v>1.9356238668278625</v>
      </c>
    </row>
    <row r="6" spans="1:3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-6.2337024431258214E-9</v>
      </c>
      <c r="E6" s="1">
        <f>[1]Results!H1366</f>
        <v>0</v>
      </c>
      <c r="F6" s="1">
        <f>[1]Results!I1366</f>
        <v>0</v>
      </c>
      <c r="G6" s="1">
        <f>[1]Results!J1366</f>
        <v>-5.8157700877359275E-9</v>
      </c>
      <c r="H6" s="1">
        <f>[1]Results!K1366</f>
        <v>-5.6715299123766272E-9</v>
      </c>
      <c r="I6" s="1">
        <f>[1]Results!L1366</f>
        <v>0</v>
      </c>
      <c r="J6" s="1">
        <f>[1]Results!M1366</f>
        <v>-0.28911477561551768</v>
      </c>
      <c r="K6" s="1">
        <f>[1]Results!N1366</f>
        <v>-0.57178956675076886</v>
      </c>
      <c r="L6" s="1">
        <f>[1]Results!O1366</f>
        <v>-0.40058265509885782</v>
      </c>
      <c r="M6" s="1">
        <f>[1]Results!P1366</f>
        <v>-0.22303388002606894</v>
      </c>
      <c r="N6" s="1">
        <f>[1]Results!Q1366</f>
        <v>-9.1325777342377013E-2</v>
      </c>
      <c r="O6" s="1">
        <f>[1]Results!R1366</f>
        <v>-1.227119274970212E-2</v>
      </c>
      <c r="P6" s="1">
        <f>[1]Results!S1366</f>
        <v>3.7641510449981652E-2</v>
      </c>
      <c r="Q6" s="1">
        <f>[1]Results!T1366</f>
        <v>8.8508382820795539E-2</v>
      </c>
      <c r="R6" s="1">
        <f>[1]Results!U1366</f>
        <v>0.14079818251993004</v>
      </c>
      <c r="S6" s="1">
        <f>[1]Results!V1366</f>
        <v>0.15741592429610041</v>
      </c>
      <c r="T6" s="1">
        <f>[1]Results!W1366</f>
        <v>0.1474759801788128</v>
      </c>
      <c r="U6" s="1">
        <f>[1]Results!X1366</f>
        <v>0.11588618814974971</v>
      </c>
      <c r="V6" s="1">
        <f>[1]Results!Y1366</f>
        <v>7.0080120093263254E-2</v>
      </c>
      <c r="W6" s="1">
        <f>[1]Results!Z1366</f>
        <v>1.6294678266470797E-2</v>
      </c>
      <c r="X6" s="1">
        <f>[1]Results!AA1366</f>
        <v>-4.0453770390647126E-2</v>
      </c>
      <c r="Y6" s="1">
        <f>[1]Results!AB1366</f>
        <v>-9.5888082149753195E-2</v>
      </c>
      <c r="Z6" s="1">
        <f>[1]Results!AC1366</f>
        <v>-0.14588884369940436</v>
      </c>
      <c r="AA6" s="1">
        <f>[1]Results!AD1366</f>
        <v>-0.18626587142483997</v>
      </c>
      <c r="AB6" s="1">
        <f>[1]Results!AE1366</f>
        <v>-0.2146722395520495</v>
      </c>
      <c r="AC6" s="1">
        <f>[1]Results!AF1366</f>
        <v>-0.22473165433811726</v>
      </c>
      <c r="AD6" s="1">
        <f>[1]Results!AG1366</f>
        <v>-0.21663406303208399</v>
      </c>
      <c r="AE6" s="1">
        <f>[1]Results!AH1366</f>
        <v>-0.18708672905159984</v>
      </c>
      <c r="AF6" s="1">
        <f>[1]Results!AI1366</f>
        <v>-0.13190126473167085</v>
      </c>
      <c r="AG6" s="1">
        <f>[1]Results!AJ1366</f>
        <v>-4.7596540296956924E-2</v>
      </c>
      <c r="AH6" s="1">
        <f>[1]Results!AK1366</f>
        <v>6.8540620546797548E-2</v>
      </c>
      <c r="AI6" s="1">
        <f>[1]Results!AL1366</f>
        <v>0.2194577469861736</v>
      </c>
      <c r="AJ6" s="1">
        <f>[1]Results!AM1366</f>
        <v>0.40922363850441901</v>
      </c>
      <c r="AK6" s="1">
        <f>[1]Results!AN1366</f>
        <v>0.64401128723541312</v>
      </c>
      <c r="AL6" s="1">
        <f>[1]Results!AO1366</f>
        <v>0.9328828403921241</v>
      </c>
    </row>
    <row r="7" spans="1:38" x14ac:dyDescent="0.35">
      <c r="A7" s="3" t="str">
        <f>[1]Results!E1367</f>
        <v>100*((CH_2-CH_0)/GDP_0)</v>
      </c>
      <c r="B7" t="s">
        <v>19</v>
      </c>
      <c r="C7" s="1">
        <f>[1]Results!F1367</f>
        <v>0</v>
      </c>
      <c r="D7" s="1">
        <f>[1]Results!G1367</f>
        <v>0</v>
      </c>
      <c r="E7" s="1">
        <f>[1]Results!H1367</f>
        <v>0</v>
      </c>
      <c r="F7" s="1">
        <f>[1]Results!I1367</f>
        <v>0</v>
      </c>
      <c r="G7" s="1">
        <f>[1]Results!J1367</f>
        <v>0</v>
      </c>
      <c r="H7" s="1">
        <f>[1]Results!K1367</f>
        <v>4.0853719645152269E-8</v>
      </c>
      <c r="I7" s="1">
        <f>[1]Results!L1367</f>
        <v>0</v>
      </c>
      <c r="J7" s="1">
        <f>[1]Results!M1367</f>
        <v>-2.3081836423336756E-2</v>
      </c>
      <c r="K7" s="1">
        <f>[1]Results!N1367</f>
        <v>-6.688401473795115E-2</v>
      </c>
      <c r="L7" s="1">
        <f>[1]Results!O1367</f>
        <v>-3.1818385200416362E-2</v>
      </c>
      <c r="M7" s="1">
        <f>[1]Results!P1367</f>
        <v>9.2150858239591987E-2</v>
      </c>
      <c r="N7" s="1">
        <f>[1]Results!Q1367</f>
        <v>0.27632835292584945</v>
      </c>
      <c r="O7" s="1">
        <f>[1]Results!R1367</f>
        <v>0.50380878633736437</v>
      </c>
      <c r="P7" s="1">
        <f>[1]Results!S1367</f>
        <v>0.74266729818635258</v>
      </c>
      <c r="Q7" s="1">
        <f>[1]Results!T1367</f>
        <v>0.97356447435350424</v>
      </c>
      <c r="R7" s="1">
        <f>[1]Results!U1367</f>
        <v>1.1877826102694378</v>
      </c>
      <c r="S7" s="1">
        <f>[1]Results!V1367</f>
        <v>1.3754040144718114</v>
      </c>
      <c r="T7" s="1">
        <f>[1]Results!W1367</f>
        <v>1.5272418388251112</v>
      </c>
      <c r="U7" s="1">
        <f>[1]Results!X1367</f>
        <v>1.6498872852997715</v>
      </c>
      <c r="V7" s="1">
        <f>[1]Results!Y1367</f>
        <v>1.7497286652694388</v>
      </c>
      <c r="W7" s="1">
        <f>[1]Results!Z1367</f>
        <v>1.8305775873178571</v>
      </c>
      <c r="X7" s="1">
        <f>[1]Results!AA1367</f>
        <v>1.8916782725728931</v>
      </c>
      <c r="Y7" s="1">
        <f>[1]Results!AB1367</f>
        <v>1.9339429596455915</v>
      </c>
      <c r="Z7" s="1">
        <f>[1]Results!AC1367</f>
        <v>1.9603767694762524</v>
      </c>
      <c r="AA7" s="1">
        <f>[1]Results!AD1367</f>
        <v>1.9739710527276502</v>
      </c>
      <c r="AB7" s="1">
        <f>[1]Results!AE1367</f>
        <v>1.977485621492292</v>
      </c>
      <c r="AC7" s="1">
        <f>[1]Results!AF1367</f>
        <v>1.9666325964500009</v>
      </c>
      <c r="AD7" s="1">
        <f>[1]Results!AG1367</f>
        <v>1.940808664708997</v>
      </c>
      <c r="AE7" s="1">
        <f>[1]Results!AH1367</f>
        <v>1.9067919768573238</v>
      </c>
      <c r="AF7" s="1">
        <f>[1]Results!AI1367</f>
        <v>1.8715534984877384</v>
      </c>
      <c r="AG7" s="1">
        <f>[1]Results!AJ1367</f>
        <v>1.8404471851014699</v>
      </c>
      <c r="AH7" s="1">
        <f>[1]Results!AK1367</f>
        <v>1.8159395002514733</v>
      </c>
      <c r="AI7" s="1">
        <f>[1]Results!AL1367</f>
        <v>1.8008411367286865</v>
      </c>
      <c r="AJ7" s="1">
        <f>[1]Results!AM1367</f>
        <v>1.8023998342214778</v>
      </c>
      <c r="AK7" s="1">
        <f>[1]Results!AN1367</f>
        <v>1.8300195460657647</v>
      </c>
      <c r="AL7" s="1">
        <f>[1]Results!AO1367</f>
        <v>1.8951719330312347</v>
      </c>
    </row>
    <row r="8" spans="1:3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4.4658107768258778E-10</v>
      </c>
      <c r="E8" s="1">
        <f>[1]Results!H1368</f>
        <v>4.3753642447311446E-10</v>
      </c>
      <c r="F8" s="1">
        <f>[1]Results!I1368</f>
        <v>1.2841039155242746E-9</v>
      </c>
      <c r="G8" s="1">
        <f>[1]Results!J1368</f>
        <v>2.0916480391454859E-9</v>
      </c>
      <c r="H8" s="1">
        <f>[1]Results!K1368</f>
        <v>2.0426862200575761E-9</v>
      </c>
      <c r="I8" s="1">
        <f>[1]Results!L1368</f>
        <v>2.3941696611500134E-9</v>
      </c>
      <c r="J8" s="1">
        <f>[1]Results!M1368</f>
        <v>-6.6088725811536839E-2</v>
      </c>
      <c r="K8" s="1">
        <f>[1]Results!N1368</f>
        <v>-0.11359658917019246</v>
      </c>
      <c r="L8" s="1">
        <f>[1]Results!O1368</f>
        <v>-0.12963666128857798</v>
      </c>
      <c r="M8" s="1">
        <f>[1]Results!P1368</f>
        <v>-0.12539739055760368</v>
      </c>
      <c r="N8" s="1">
        <f>[1]Results!Q1368</f>
        <v>-9.168961152393941E-2</v>
      </c>
      <c r="O8" s="1">
        <f>[1]Results!R1368</f>
        <v>-5.2793188582409112E-2</v>
      </c>
      <c r="P8" s="1">
        <f>[1]Results!S1368</f>
        <v>-2.0932756417130351E-2</v>
      </c>
      <c r="Q8" s="1">
        <f>[1]Results!T1368</f>
        <v>1.7742747545229684E-3</v>
      </c>
      <c r="R8" s="1">
        <f>[1]Results!U1368</f>
        <v>1.7043535226024226E-2</v>
      </c>
      <c r="S8" s="1">
        <f>[1]Results!V1368</f>
        <v>1.3303956029091683E-2</v>
      </c>
      <c r="T8" s="1">
        <f>[1]Results!W1368</f>
        <v>2.6050179864284054E-3</v>
      </c>
      <c r="U8" s="1">
        <f>[1]Results!X1368</f>
        <v>-7.6446085299116872E-3</v>
      </c>
      <c r="V8" s="1">
        <f>[1]Results!Y1368</f>
        <v>-1.4867605239817431E-2</v>
      </c>
      <c r="W8" s="1">
        <f>[1]Results!Z1368</f>
        <v>-1.9012705986537152E-2</v>
      </c>
      <c r="X8" s="1">
        <f>[1]Results!AA1368</f>
        <v>-2.0756782553958828E-2</v>
      </c>
      <c r="Y8" s="1">
        <f>[1]Results!AB1368</f>
        <v>-2.0998037066799889E-2</v>
      </c>
      <c r="Z8" s="1">
        <f>[1]Results!AC1368</f>
        <v>-2.0160068901577025E-2</v>
      </c>
      <c r="AA8" s="1">
        <f>[1]Results!AD1368</f>
        <v>-1.8504859185125379E-2</v>
      </c>
      <c r="AB8" s="1">
        <f>[1]Results!AE1368</f>
        <v>-1.6484528333920816E-2</v>
      </c>
      <c r="AC8" s="1">
        <f>[1]Results!AF1368</f>
        <v>-1.4346299111890693E-2</v>
      </c>
      <c r="AD8" s="1">
        <f>[1]Results!AG1368</f>
        <v>-1.239418558819964E-2</v>
      </c>
      <c r="AE8" s="1">
        <f>[1]Results!AH1368</f>
        <v>-1.0049422678875597E-2</v>
      </c>
      <c r="AF8" s="1">
        <f>[1]Results!AI1368</f>
        <v>-6.8183290597919419E-3</v>
      </c>
      <c r="AG8" s="1">
        <f>[1]Results!AJ1368</f>
        <v>-2.47710740589859E-3</v>
      </c>
      <c r="AH8" s="1">
        <f>[1]Results!AK1368</f>
        <v>2.9942109917123426E-3</v>
      </c>
      <c r="AI8" s="1">
        <f>[1]Results!AL1368</f>
        <v>9.7472455293723011E-3</v>
      </c>
      <c r="AJ8" s="1">
        <f>[1]Results!AM1368</f>
        <v>1.8366893788324193E-2</v>
      </c>
      <c r="AK8" s="1">
        <f>[1]Results!AN1368</f>
        <v>2.9558384394080067E-2</v>
      </c>
      <c r="AL8" s="1">
        <f>[1]Results!AO1368</f>
        <v>4.4031211160786239E-2</v>
      </c>
    </row>
    <row r="9" spans="1:3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</row>
    <row r="10" spans="1:38" x14ac:dyDescent="0.35">
      <c r="A10" s="3" t="str">
        <f>[1]Results!E1370</f>
        <v>100*((I_2-I_0)/GDP_0)</v>
      </c>
      <c r="B10" t="s">
        <v>21</v>
      </c>
      <c r="C10" s="1">
        <f>[1]Results!F1370</f>
        <v>0</v>
      </c>
      <c r="D10" s="1">
        <f>[1]Results!G1370</f>
        <v>0</v>
      </c>
      <c r="E10" s="1">
        <f>[1]Results!H1370</f>
        <v>0</v>
      </c>
      <c r="F10" s="1">
        <f>[1]Results!I1370</f>
        <v>0</v>
      </c>
      <c r="G10" s="1">
        <f>[1]Results!J1370</f>
        <v>0</v>
      </c>
      <c r="H10" s="1">
        <f>[1]Results!K1370</f>
        <v>4.0853748181147767E-9</v>
      </c>
      <c r="I10" s="1">
        <f>[1]Results!L1370</f>
        <v>3.9902802523791448E-9</v>
      </c>
      <c r="J10" s="1">
        <f>[1]Results!M1370</f>
        <v>-5.2912597207627358E-2</v>
      </c>
      <c r="K10" s="1">
        <f>[1]Results!N1370</f>
        <v>-0.1201781524273545</v>
      </c>
      <c r="L10" s="1">
        <f>[1]Results!O1370</f>
        <v>-0.13174447978422194</v>
      </c>
      <c r="M10" s="1">
        <f>[1]Results!P1370</f>
        <v>-0.11219685576611242</v>
      </c>
      <c r="N10" s="1">
        <f>[1]Results!Q1370</f>
        <v>-7.5566318470479066E-2</v>
      </c>
      <c r="O10" s="1">
        <f>[1]Results!R1370</f>
        <v>-3.2127685764344549E-2</v>
      </c>
      <c r="P10" s="1">
        <f>[1]Results!S1370</f>
        <v>1.5641877149442193E-2</v>
      </c>
      <c r="Q10" s="1">
        <f>[1]Results!T1370</f>
        <v>7.0542706982679698E-2</v>
      </c>
      <c r="R10" s="1">
        <f>[1]Results!U1370</f>
        <v>0.13408844912567089</v>
      </c>
      <c r="S10" s="1">
        <f>[1]Results!V1370</f>
        <v>0.19759548739535787</v>
      </c>
      <c r="T10" s="1">
        <f>[1]Results!W1370</f>
        <v>0.26073984912707027</v>
      </c>
      <c r="U10" s="1">
        <f>[1]Results!X1370</f>
        <v>0.32538927647034011</v>
      </c>
      <c r="V10" s="1">
        <f>[1]Results!Y1370</f>
        <v>0.39411469457587328</v>
      </c>
      <c r="W10" s="1">
        <f>[1]Results!Z1370</f>
        <v>0.46950245766633264</v>
      </c>
      <c r="X10" s="1">
        <f>[1]Results!AA1370</f>
        <v>0.55319840366762396</v>
      </c>
      <c r="Y10" s="1">
        <f>[1]Results!AB1370</f>
        <v>0.64687911500215112</v>
      </c>
      <c r="Z10" s="1">
        <f>[1]Results!AC1370</f>
        <v>0.75234955830285455</v>
      </c>
      <c r="AA10" s="1">
        <f>[1]Results!AD1370</f>
        <v>0.87152614573129306</v>
      </c>
      <c r="AB10" s="1">
        <f>[1]Results!AE1370</f>
        <v>1.0067867708202674</v>
      </c>
      <c r="AC10" s="1">
        <f>[1]Results!AF1370</f>
        <v>1.1590630770300214</v>
      </c>
      <c r="AD10" s="1">
        <f>[1]Results!AG1370</f>
        <v>1.328732798313025</v>
      </c>
      <c r="AE10" s="1">
        <f>[1]Results!AH1370</f>
        <v>1.5178335346937277</v>
      </c>
      <c r="AF10" s="1">
        <f>[1]Results!AI1370</f>
        <v>1.7298428384273226</v>
      </c>
      <c r="AG10" s="1">
        <f>[1]Results!AJ1370</f>
        <v>1.9694161748516756</v>
      </c>
      <c r="AH10" s="1">
        <f>[1]Results!AK1370</f>
        <v>2.2421841664323976</v>
      </c>
      <c r="AI10" s="1">
        <f>[1]Results!AL1370</f>
        <v>2.555731560078045</v>
      </c>
      <c r="AJ10" s="1">
        <f>[1]Results!AM1370</f>
        <v>2.9214348306030615</v>
      </c>
      <c r="AK10" s="1">
        <f>[1]Results!AN1370</f>
        <v>3.3560600682917689</v>
      </c>
      <c r="AL10" s="1">
        <f>[1]Results!AO1370</f>
        <v>3.8846780923408173</v>
      </c>
    </row>
    <row r="11" spans="1:3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</row>
    <row r="12" spans="1:3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0</v>
      </c>
      <c r="D12" s="1">
        <f>[1]Results!G1372</f>
        <v>-4.4658120765474342E-9</v>
      </c>
      <c r="E12" s="1">
        <f>[1]Results!H1372</f>
        <v>-4.3753604245366629E-9</v>
      </c>
      <c r="F12" s="1">
        <f>[1]Results!I1372</f>
        <v>-4.2803426478479161E-9</v>
      </c>
      <c r="G12" s="1">
        <f>[1]Results!J1372</f>
        <v>-1.2549885799874235E-8</v>
      </c>
      <c r="H12" s="1">
        <f>[1]Results!K1372</f>
        <v>-8.1707448802303045E-9</v>
      </c>
      <c r="I12" s="1">
        <f>[1]Results!L1372</f>
        <v>-1.596112565481666E-8</v>
      </c>
      <c r="J12" s="1">
        <f>[1]Results!M1372</f>
        <v>-0.14924010103194058</v>
      </c>
      <c r="K12" s="1">
        <f>[1]Results!N1372</f>
        <v>-0.26343559612031842</v>
      </c>
      <c r="L12" s="1">
        <f>[1]Results!O1372</f>
        <v>-0.14610085195912703</v>
      </c>
      <c r="M12" s="1">
        <f>[1]Results!P1372</f>
        <v>-0.12634097402856082</v>
      </c>
      <c r="N12" s="1">
        <f>[1]Results!Q1372</f>
        <v>-0.20759770399113589</v>
      </c>
      <c r="O12" s="1">
        <f>[1]Results!R1372</f>
        <v>-0.37194935681220032</v>
      </c>
      <c r="P12" s="1">
        <f>[1]Results!S1372</f>
        <v>-0.57190859612749034</v>
      </c>
      <c r="Q12" s="1">
        <f>[1]Results!T1372</f>
        <v>-0.7702204417011036</v>
      </c>
      <c r="R12" s="1">
        <f>[1]Results!U1372</f>
        <v>-0.96040949158170608</v>
      </c>
      <c r="S12" s="1">
        <f>[1]Results!V1372</f>
        <v>-1.1560003308776075</v>
      </c>
      <c r="T12" s="1">
        <f>[1]Results!W1372</f>
        <v>-1.3411408227591486</v>
      </c>
      <c r="U12" s="1">
        <f>[1]Results!X1372</f>
        <v>-1.5193245973153622</v>
      </c>
      <c r="V12" s="1">
        <f>[1]Results!Y1372</f>
        <v>-1.6925707749249872</v>
      </c>
      <c r="W12" s="1">
        <f>[1]Results!Z1372</f>
        <v>-1.8615836193155912</v>
      </c>
      <c r="X12" s="1">
        <f>[1]Results!AA1372</f>
        <v>-2.0232523464450329</v>
      </c>
      <c r="Y12" s="1">
        <f>[1]Results!AB1372</f>
        <v>-2.1763790515153403</v>
      </c>
      <c r="Z12" s="1">
        <f>[1]Results!AC1372</f>
        <v>-2.3218341673493574</v>
      </c>
      <c r="AA12" s="1">
        <f>[1]Results!AD1372</f>
        <v>-2.4604712282713725</v>
      </c>
      <c r="AB12" s="1">
        <f>[1]Results!AE1372</f>
        <v>-2.59466132653584</v>
      </c>
      <c r="AC12" s="1">
        <f>[1]Results!AF1372</f>
        <v>-2.7160368990340134</v>
      </c>
      <c r="AD12" s="1">
        <f>[1]Results!AG1372</f>
        <v>-2.8239540078103889</v>
      </c>
      <c r="AE12" s="1">
        <f>[1]Results!AH1372</f>
        <v>-2.922783105374914</v>
      </c>
      <c r="AF12" s="1">
        <f>[1]Results!AI1372</f>
        <v>-3.0175473596649747</v>
      </c>
      <c r="AG12" s="1">
        <f>[1]Results!AJ1372</f>
        <v>-3.1133049667017949</v>
      </c>
      <c r="AH12" s="1">
        <f>[1]Results!AK1372</f>
        <v>-3.2137786700486712</v>
      </c>
      <c r="AI12" s="1">
        <f>[1]Results!AL1372</f>
        <v>-3.3240909363552094</v>
      </c>
      <c r="AJ12" s="1">
        <f>[1]Results!AM1372</f>
        <v>-3.4551113443054602</v>
      </c>
      <c r="AK12" s="1">
        <f>[1]Results!AN1372</f>
        <v>-3.6217627076004826</v>
      </c>
      <c r="AL12" s="1">
        <f>[1]Results!AO1372</f>
        <v>-3.8442261585441755</v>
      </c>
    </row>
    <row r="13" spans="1:3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0</v>
      </c>
      <c r="E13" s="1">
        <f>[1]Results!H1373</f>
        <v>0</v>
      </c>
      <c r="F13" s="1">
        <f>[1]Results!I1373</f>
        <v>0</v>
      </c>
      <c r="G13" s="1">
        <f>[1]Results!J1373</f>
        <v>0</v>
      </c>
      <c r="H13" s="1">
        <f>[1]Results!K1373</f>
        <v>4.0445188821739746E-8</v>
      </c>
      <c r="I13" s="1">
        <f>[1]Results!L1373</f>
        <v>0</v>
      </c>
      <c r="J13" s="1">
        <f>[1]Results!M1373</f>
        <v>-2.1806229025445802E-2</v>
      </c>
      <c r="K13" s="1">
        <f>[1]Results!N1373</f>
        <v>-6.3114774517003785E-2</v>
      </c>
      <c r="L13" s="1">
        <f>[1]Results!O1373</f>
        <v>-2.6530496434857772E-2</v>
      </c>
      <c r="M13" s="1">
        <f>[1]Results!P1373</f>
        <v>9.7454456602217965E-2</v>
      </c>
      <c r="N13" s="1">
        <f>[1]Results!Q1373</f>
        <v>0.28027317427392312</v>
      </c>
      <c r="O13" s="1">
        <f>[1]Results!R1373</f>
        <v>0.50507618540056931</v>
      </c>
      <c r="P13" s="1">
        <f>[1]Results!S1373</f>
        <v>0.74052736617745296</v>
      </c>
      <c r="Q13" s="1">
        <f>[1]Results!T1373</f>
        <v>0.96778645420414444</v>
      </c>
      <c r="R13" s="1">
        <f>[1]Results!U1373</f>
        <v>1.1784385284627779</v>
      </c>
      <c r="S13" s="1">
        <f>[1]Results!V1373</f>
        <v>1.362904251151873</v>
      </c>
      <c r="T13" s="1">
        <f>[1]Results!W1373</f>
        <v>1.5123248598916534</v>
      </c>
      <c r="U13" s="1">
        <f>[1]Results!X1373</f>
        <v>1.6331488282023097</v>
      </c>
      <c r="V13" s="1">
        <f>[1]Results!Y1373</f>
        <v>1.7315492839494648</v>
      </c>
      <c r="W13" s="1">
        <f>[1]Results!Z1373</f>
        <v>1.8111798451719243</v>
      </c>
      <c r="X13" s="1">
        <f>[1]Results!AA1373</f>
        <v>1.8712619309613254</v>
      </c>
      <c r="Y13" s="1">
        <f>[1]Results!AB1373</f>
        <v>1.9127059656993246</v>
      </c>
      <c r="Z13" s="1">
        <f>[1]Results!AC1373</f>
        <v>1.9385002300525835</v>
      </c>
      <c r="AA13" s="1">
        <f>[1]Results!AD1373</f>
        <v>1.9516219522646114</v>
      </c>
      <c r="AB13" s="1">
        <f>[1]Results!AE1373</f>
        <v>1.9548178786355932</v>
      </c>
      <c r="AC13" s="1">
        <f>[1]Results!AF1373</f>
        <v>1.9439418562991313</v>
      </c>
      <c r="AD13" s="1">
        <f>[1]Results!AG1373</f>
        <v>1.918496555132134</v>
      </c>
      <c r="AE13" s="1">
        <f>[1]Results!AH1373</f>
        <v>1.8852175576587205</v>
      </c>
      <c r="AF13" s="1">
        <f>[1]Results!AI1373</f>
        <v>1.850989174156999</v>
      </c>
      <c r="AG13" s="1">
        <f>[1]Results!AJ1373</f>
        <v>1.8210906520241834</v>
      </c>
      <c r="AH13" s="1">
        <f>[1]Results!AK1373</f>
        <v>1.797973420766797</v>
      </c>
      <c r="AI13" s="1">
        <f>[1]Results!AL1373</f>
        <v>1.7844500087366932</v>
      </c>
      <c r="AJ13" s="1">
        <f>[1]Results!AM1373</f>
        <v>1.7877063920263447</v>
      </c>
      <c r="AK13" s="1">
        <f>[1]Results!AN1373</f>
        <v>1.8170565376593097</v>
      </c>
      <c r="AL13" s="1">
        <f>[1]Results!AO1373</f>
        <v>1.8838769077859541</v>
      </c>
    </row>
    <row r="14" spans="1:3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0</v>
      </c>
      <c r="D14" s="1">
        <f>[1]Results!G1374</f>
        <v>0</v>
      </c>
      <c r="E14" s="1">
        <f>[1]Results!H1374</f>
        <v>0</v>
      </c>
      <c r="F14" s="1">
        <f>[1]Results!I1374</f>
        <v>0</v>
      </c>
      <c r="G14" s="1">
        <f>[1]Results!J1374</f>
        <v>0</v>
      </c>
      <c r="H14" s="1">
        <f>[1]Results!K1374</f>
        <v>4.4939151535258026E-9</v>
      </c>
      <c r="I14" s="1">
        <f>[1]Results!L1374</f>
        <v>3.9902802523791448E-9</v>
      </c>
      <c r="J14" s="1">
        <f>[1]Results!M1374</f>
        <v>-5.4188204605518313E-2</v>
      </c>
      <c r="K14" s="1">
        <f>[1]Results!N1374</f>
        <v>-0.1239473926483063</v>
      </c>
      <c r="L14" s="1">
        <f>[1]Results!O1374</f>
        <v>-0.13703236854978051</v>
      </c>
      <c r="M14" s="1">
        <f>[1]Results!P1374</f>
        <v>-0.1175004541287384</v>
      </c>
      <c r="N14" s="1">
        <f>[1]Results!Q1374</f>
        <v>-7.9511139818548598E-2</v>
      </c>
      <c r="O14" s="1">
        <f>[1]Results!R1374</f>
        <v>-3.3395084827549597E-2</v>
      </c>
      <c r="P14" s="1">
        <f>[1]Results!S1374</f>
        <v>1.7781809158337821E-2</v>
      </c>
      <c r="Q14" s="1">
        <f>[1]Results!T1374</f>
        <v>7.6320727132035526E-2</v>
      </c>
      <c r="R14" s="1">
        <f>[1]Results!U1374</f>
        <v>0.1434325309323308</v>
      </c>
      <c r="S14" s="1">
        <f>[1]Results!V1374</f>
        <v>0.21009525071530019</v>
      </c>
      <c r="T14" s="1">
        <f>[1]Results!W1374</f>
        <v>0.27565682806052771</v>
      </c>
      <c r="U14" s="1">
        <f>[1]Results!X1374</f>
        <v>0.34212773356780163</v>
      </c>
      <c r="V14" s="1">
        <f>[1]Results!Y1374</f>
        <v>0.41229407589584399</v>
      </c>
      <c r="W14" s="1">
        <f>[1]Results!Z1374</f>
        <v>0.48890019981226535</v>
      </c>
      <c r="X14" s="1">
        <f>[1]Results!AA1374</f>
        <v>0.57361474527919154</v>
      </c>
      <c r="Y14" s="1">
        <f>[1]Results!AB1374</f>
        <v>0.668116108948418</v>
      </c>
      <c r="Z14" s="1">
        <f>[1]Results!AC1374</f>
        <v>0.77422609772652651</v>
      </c>
      <c r="AA14" s="1">
        <f>[1]Results!AD1374</f>
        <v>0.89387524619433478</v>
      </c>
      <c r="AB14" s="1">
        <f>[1]Results!AE1374</f>
        <v>1.0294545136769662</v>
      </c>
      <c r="AC14" s="1">
        <f>[1]Results!AF1374</f>
        <v>1.1817538171808848</v>
      </c>
      <c r="AD14" s="1">
        <f>[1]Results!AG1374</f>
        <v>1.3510449078898881</v>
      </c>
      <c r="AE14" s="1">
        <f>[1]Results!AH1374</f>
        <v>1.5394079538923344</v>
      </c>
      <c r="AF14" s="1">
        <f>[1]Results!AI1374</f>
        <v>1.7504071627580591</v>
      </c>
      <c r="AG14" s="1">
        <f>[1]Results!AJ1374</f>
        <v>1.9887727079289732</v>
      </c>
      <c r="AH14" s="1">
        <f>[1]Results!AK1374</f>
        <v>2.2601502459170737</v>
      </c>
      <c r="AI14" s="1">
        <f>[1]Results!AL1374</f>
        <v>2.5721226880700385</v>
      </c>
      <c r="AJ14" s="1">
        <f>[1]Results!AM1374</f>
        <v>2.9361282727981943</v>
      </c>
      <c r="AK14" s="1">
        <f>[1]Results!AN1374</f>
        <v>3.3690230766982241</v>
      </c>
      <c r="AL14" s="1">
        <f>[1]Results!AO1374</f>
        <v>3.8959731175860974</v>
      </c>
    </row>
    <row r="15" spans="1:3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0</v>
      </c>
      <c r="E15" s="1">
        <f>[1]Results!H1375</f>
        <v>0</v>
      </c>
      <c r="F15" s="1">
        <f>[1]Results!I1375</f>
        <v>0</v>
      </c>
      <c r="G15" s="1">
        <f>[1]Results!J1375</f>
        <v>-4.1833033832870128E-10</v>
      </c>
      <c r="H15" s="1">
        <f>[1]Results!K1375</f>
        <v>4.0853748181147767E-9</v>
      </c>
      <c r="I15" s="1">
        <f>[1]Results!L1375</f>
        <v>3.5912512980812143E-9</v>
      </c>
      <c r="J15" s="1">
        <f>[1]Results!M1375</f>
        <v>-4.9723933201052652E-2</v>
      </c>
      <c r="K15" s="1">
        <f>[1]Results!N1375</f>
        <v>-0.11360490379274116</v>
      </c>
      <c r="L15" s="1">
        <f>[1]Results!O1375</f>
        <v>-0.12283447793098544</v>
      </c>
      <c r="M15" s="1">
        <f>[1]Results!P1375</f>
        <v>-0.10175919505716702</v>
      </c>
      <c r="N15" s="1">
        <f>[1]Results!Q1375</f>
        <v>-6.4840145691641052E-2</v>
      </c>
      <c r="O15" s="1">
        <f>[1]Results!R1375</f>
        <v>-2.2018648745944055E-2</v>
      </c>
      <c r="P15" s="1">
        <f>[1]Results!S1375</f>
        <v>2.4491784102907303E-2</v>
      </c>
      <c r="Q15" s="1">
        <f>[1]Results!T1375</f>
        <v>7.76233957346084E-2</v>
      </c>
      <c r="R15" s="1">
        <f>[1]Results!U1375</f>
        <v>0.13896639419253984</v>
      </c>
      <c r="S15" s="1">
        <f>[1]Results!V1375</f>
        <v>0.20037949319530643</v>
      </c>
      <c r="T15" s="1">
        <f>[1]Results!W1375</f>
        <v>0.26152420105944663</v>
      </c>
      <c r="U15" s="1">
        <f>[1]Results!X1375</f>
        <v>0.32412402036686727</v>
      </c>
      <c r="V15" s="1">
        <f>[1]Results!Y1375</f>
        <v>0.39061032370138338</v>
      </c>
      <c r="W15" s="1">
        <f>[1]Results!Z1375</f>
        <v>0.46347605591800878</v>
      </c>
      <c r="X15" s="1">
        <f>[1]Results!AA1375</f>
        <v>0.54436070862372521</v>
      </c>
      <c r="Y15" s="1">
        <f>[1]Results!AB1375</f>
        <v>0.63496062344306636</v>
      </c>
      <c r="Z15" s="1">
        <f>[1]Results!AC1375</f>
        <v>0.73708494946722747</v>
      </c>
      <c r="AA15" s="1">
        <f>[1]Results!AD1375</f>
        <v>0.85266740357997939</v>
      </c>
      <c r="AB15" s="1">
        <f>[1]Results!AE1375</f>
        <v>0.98413709198800392</v>
      </c>
      <c r="AC15" s="1">
        <f>[1]Results!AF1375</f>
        <v>1.1326045677615943</v>
      </c>
      <c r="AD15" s="1">
        <f>[1]Results!AG1375</f>
        <v>1.2986503553682864</v>
      </c>
      <c r="AE15" s="1">
        <f>[1]Results!AH1375</f>
        <v>1.4843726543340166</v>
      </c>
      <c r="AF15" s="1">
        <f>[1]Results!AI1375</f>
        <v>1.6932643015219202</v>
      </c>
      <c r="AG15" s="1">
        <f>[1]Results!AJ1375</f>
        <v>1.9299842328963244</v>
      </c>
      <c r="AH15" s="1">
        <f>[1]Results!AK1375</f>
        <v>2.2002008936145949</v>
      </c>
      <c r="AI15" s="1">
        <f>[1]Results!AL1375</f>
        <v>2.5115320025648575</v>
      </c>
      <c r="AJ15" s="1">
        <f>[1]Results!AM1375</f>
        <v>2.8753068430450148</v>
      </c>
      <c r="AK15" s="1">
        <f>[1]Results!AN1375</f>
        <v>3.3081984252017431</v>
      </c>
      <c r="AL15" s="1">
        <f>[1]Results!AO1375</f>
        <v>3.835147934464473</v>
      </c>
    </row>
    <row r="16" spans="1:3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0</v>
      </c>
      <c r="E16" s="1">
        <f>[1]Results!H1376</f>
        <v>0</v>
      </c>
      <c r="F16" s="1">
        <f>[1]Results!I1376</f>
        <v>0</v>
      </c>
      <c r="G16" s="1">
        <f>[1]Results!J1376</f>
        <v>0</v>
      </c>
      <c r="H16" s="1">
        <f>[1]Results!K1376</f>
        <v>4.0853721428651993E-10</v>
      </c>
      <c r="I16" s="1">
        <f>[1]Results!L1376</f>
        <v>0</v>
      </c>
      <c r="J16" s="1">
        <f>[1]Results!M1376</f>
        <v>-1.2756073978916612E-3</v>
      </c>
      <c r="K16" s="1">
        <f>[1]Results!N1376</f>
        <v>-3.7692402209511078E-3</v>
      </c>
      <c r="L16" s="1">
        <f>[1]Results!O1376</f>
        <v>-5.2878887655606185E-3</v>
      </c>
      <c r="M16" s="1">
        <f>[1]Results!P1376</f>
        <v>-5.3035983626258509E-3</v>
      </c>
      <c r="N16" s="1">
        <f>[1]Results!Q1376</f>
        <v>-3.9448213480696463E-3</v>
      </c>
      <c r="O16" s="1">
        <f>[1]Results!R1376</f>
        <v>-1.2673990632055604E-3</v>
      </c>
      <c r="P16" s="1">
        <f>[1]Results!S1376</f>
        <v>2.1399320088975049E-3</v>
      </c>
      <c r="Q16" s="1">
        <f>[1]Results!T1376</f>
        <v>5.7780201493577996E-3</v>
      </c>
      <c r="R16" s="1">
        <f>[1]Results!U1376</f>
        <v>9.3440818066605133E-3</v>
      </c>
      <c r="S16" s="1">
        <f>[1]Results!V1376</f>
        <v>1.2499763319940413E-2</v>
      </c>
      <c r="T16" s="1">
        <f>[1]Results!W1376</f>
        <v>1.4916978933457838E-2</v>
      </c>
      <c r="U16" s="1">
        <f>[1]Results!X1376</f>
        <v>1.6738457097460989E-2</v>
      </c>
      <c r="V16" s="1">
        <f>[1]Results!Y1376</f>
        <v>1.8179381319971214E-2</v>
      </c>
      <c r="W16" s="1">
        <f>[1]Results!Z1376</f>
        <v>1.9397742145933424E-2</v>
      </c>
      <c r="X16" s="1">
        <f>[1]Results!AA1376</f>
        <v>2.0416341611567041E-2</v>
      </c>
      <c r="Y16" s="1">
        <f>[1]Results!AB1376</f>
        <v>2.1236993946267723E-2</v>
      </c>
      <c r="Z16" s="1">
        <f>[1]Results!AC1376</f>
        <v>2.1876539423670485E-2</v>
      </c>
      <c r="AA16" s="1">
        <f>[1]Results!AD1376</f>
        <v>2.2349100463040044E-2</v>
      </c>
      <c r="AB16" s="1">
        <f>[1]Results!AE1376</f>
        <v>2.266774285670043E-2</v>
      </c>
      <c r="AC16" s="1">
        <f>[1]Results!AF1376</f>
        <v>2.2690740150866324E-2</v>
      </c>
      <c r="AD16" s="1">
        <f>[1]Results!AG1376</f>
        <v>2.2312109576863699E-2</v>
      </c>
      <c r="AE16" s="1">
        <f>[1]Results!AH1376</f>
        <v>2.1574419198605276E-2</v>
      </c>
      <c r="AF16" s="1">
        <f>[1]Results!AI1376</f>
        <v>2.0564324330735476E-2</v>
      </c>
      <c r="AG16" s="1">
        <f>[1]Results!AJ1376</f>
        <v>1.9356533077295873E-2</v>
      </c>
      <c r="AH16" s="1">
        <f>[1]Results!AK1376</f>
        <v>1.7966079484676125E-2</v>
      </c>
      <c r="AI16" s="1">
        <f>[1]Results!AL1376</f>
        <v>1.6391127991994138E-2</v>
      </c>
      <c r="AJ16" s="1">
        <f>[1]Results!AM1376</f>
        <v>1.4693442195134288E-2</v>
      </c>
      <c r="AK16" s="1">
        <f>[1]Results!AN1376</f>
        <v>1.2963008406456108E-2</v>
      </c>
      <c r="AL16" s="1">
        <f>[1]Results!AO1376</f>
        <v>1.1295025245281686E-2</v>
      </c>
    </row>
    <row r="17" spans="1:3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0</v>
      </c>
      <c r="E17" s="1">
        <f>[1]Results!H1377</f>
        <v>0</v>
      </c>
      <c r="F17" s="1">
        <f>[1]Results!I1377</f>
        <v>0</v>
      </c>
      <c r="G17" s="1">
        <f>[1]Results!J1377</f>
        <v>4.1832942520419612E-10</v>
      </c>
      <c r="H17" s="1">
        <f>[1]Results!K1377</f>
        <v>0</v>
      </c>
      <c r="I17" s="1">
        <f>[1]Results!L1377</f>
        <v>3.9902808330416545E-10</v>
      </c>
      <c r="J17" s="1">
        <f>[1]Results!M1377</f>
        <v>-3.1886640065761297E-3</v>
      </c>
      <c r="K17" s="1">
        <f>[1]Results!N1377</f>
        <v>-6.5732486346136206E-3</v>
      </c>
      <c r="L17" s="1">
        <f>[1]Results!O1377</f>
        <v>-8.91000185323324E-3</v>
      </c>
      <c r="M17" s="1">
        <f>[1]Results!P1377</f>
        <v>-1.0437660708945385E-2</v>
      </c>
      <c r="N17" s="1">
        <f>[1]Results!Q1377</f>
        <v>-1.0726172778839567E-2</v>
      </c>
      <c r="O17" s="1">
        <f>[1]Results!R1377</f>
        <v>-1.0109037018398458E-2</v>
      </c>
      <c r="P17" s="1">
        <f>[1]Results!S1377</f>
        <v>-8.8499069534658612E-3</v>
      </c>
      <c r="Q17" s="1">
        <f>[1]Results!T1377</f>
        <v>-7.0806887519289504E-3</v>
      </c>
      <c r="R17" s="1">
        <f>[1]Results!U1377</f>
        <v>-4.8779450668686945E-3</v>
      </c>
      <c r="S17" s="1">
        <f>[1]Results!V1377</f>
        <v>-2.7840057999473813E-3</v>
      </c>
      <c r="T17" s="1">
        <f>[1]Results!W1377</f>
        <v>-7.8435193237592817E-4</v>
      </c>
      <c r="U17" s="1">
        <f>[1]Results!X1377</f>
        <v>1.2652561034730762E-3</v>
      </c>
      <c r="V17" s="1">
        <f>[1]Results!Y1377</f>
        <v>3.504370874487653E-3</v>
      </c>
      <c r="W17" s="1">
        <f>[1]Results!Z1377</f>
        <v>6.0264017483241004E-3</v>
      </c>
      <c r="X17" s="1">
        <f>[1]Results!AA1377</f>
        <v>8.8376950438978762E-3</v>
      </c>
      <c r="Y17" s="1">
        <f>[1]Results!AB1377</f>
        <v>1.1918491559082492E-2</v>
      </c>
      <c r="Z17" s="1">
        <f>[1]Results!AC1377</f>
        <v>1.5264608835627269E-2</v>
      </c>
      <c r="AA17" s="1">
        <f>[1]Results!AD1377</f>
        <v>1.8858742151313449E-2</v>
      </c>
      <c r="AB17" s="1">
        <f>[1]Results!AE1377</f>
        <v>2.2649678832262307E-2</v>
      </c>
      <c r="AC17" s="1">
        <f>[1]Results!AF1377</f>
        <v>2.6458509268428344E-2</v>
      </c>
      <c r="AD17" s="1">
        <f>[1]Results!AG1377</f>
        <v>3.0082442944739583E-2</v>
      </c>
      <c r="AE17" s="1">
        <f>[1]Results!AH1377</f>
        <v>3.3460880359710725E-2</v>
      </c>
      <c r="AF17" s="1">
        <f>[1]Results!AI1377</f>
        <v>3.6578536905402026E-2</v>
      </c>
      <c r="AG17" s="1">
        <f>[1]Results!AJ1377</f>
        <v>3.9431941955349624E-2</v>
      </c>
      <c r="AH17" s="1">
        <f>[1]Results!AK1377</f>
        <v>4.1983272817803632E-2</v>
      </c>
      <c r="AI17" s="1">
        <f>[1]Results!AL1377</f>
        <v>4.4199557513189568E-2</v>
      </c>
      <c r="AJ17" s="1">
        <f>[1]Results!AM1377</f>
        <v>4.6127987558043676E-2</v>
      </c>
      <c r="AK17" s="1">
        <f>[1]Results!AN1377</f>
        <v>4.7861643090025913E-2</v>
      </c>
      <c r="AL17" s="1">
        <f>[1]Results!AO1377</f>
        <v>4.9530157876345085E-2</v>
      </c>
    </row>
    <row r="18" spans="1:3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0</v>
      </c>
      <c r="E18" s="1">
        <f>[1]Results!H1378</f>
        <v>0</v>
      </c>
      <c r="F18" s="1">
        <f>[1]Results!I1378</f>
        <v>0</v>
      </c>
      <c r="G18" s="1">
        <f>[1]Results!J1378</f>
        <v>0</v>
      </c>
      <c r="H18" s="1">
        <f>[1]Results!K1378</f>
        <v>7.4772721347926563E-8</v>
      </c>
      <c r="I18" s="1">
        <f>[1]Results!L1378</f>
        <v>0</v>
      </c>
      <c r="J18" s="1">
        <f>[1]Results!M1378</f>
        <v>-4.2157925506469685E-2</v>
      </c>
      <c r="K18" s="1">
        <f>[1]Results!N1378</f>
        <v>-0.12205923425104848</v>
      </c>
      <c r="L18" s="1">
        <f>[1]Results!O1378</f>
        <v>-5.8018777466339877E-2</v>
      </c>
      <c r="M18" s="1">
        <f>[1]Results!P1378</f>
        <v>0.16781761441742038</v>
      </c>
      <c r="N18" s="1">
        <f>[1]Results!Q1378</f>
        <v>0.50170358577354968</v>
      </c>
      <c r="O18" s="1">
        <f>[1]Results!R1378</f>
        <v>0.91176005098267954</v>
      </c>
      <c r="P18" s="1">
        <f>[1]Results!S1378</f>
        <v>1.3402639089156398</v>
      </c>
      <c r="Q18" s="1">
        <f>[1]Results!T1378</f>
        <v>1.7536260137117843</v>
      </c>
      <c r="R18" s="1">
        <f>[1]Results!U1378</f>
        <v>2.1378794749860708</v>
      </c>
      <c r="S18" s="1">
        <f>[1]Results!V1378</f>
        <v>2.4760220556331536</v>
      </c>
      <c r="T18" s="1">
        <f>[1]Results!W1378</f>
        <v>2.7524936554381263</v>
      </c>
      <c r="U18" s="1">
        <f>[1]Results!X1378</f>
        <v>2.979803245814705</v>
      </c>
      <c r="V18" s="1">
        <f>[1]Results!Y1378</f>
        <v>3.1695686542229762</v>
      </c>
      <c r="W18" s="1">
        <f>[1]Results!Z1378</f>
        <v>3.3284422781969081</v>
      </c>
      <c r="X18" s="1">
        <f>[1]Results!AA1378</f>
        <v>3.4549391619382197</v>
      </c>
      <c r="Y18" s="1">
        <f>[1]Results!AB1378</f>
        <v>3.5494778481766298</v>
      </c>
      <c r="Z18" s="1">
        <f>[1]Results!AC1378</f>
        <v>3.6166577619992868</v>
      </c>
      <c r="AA18" s="1">
        <f>[1]Results!AD1378</f>
        <v>3.6609887954048403</v>
      </c>
      <c r="AB18" s="1">
        <f>[1]Results!AE1378</f>
        <v>3.6866820036135284</v>
      </c>
      <c r="AC18" s="1">
        <f>[1]Results!AF1378</f>
        <v>3.6862482494412374</v>
      </c>
      <c r="AD18" s="1">
        <f>[1]Results!AG1378</f>
        <v>3.656808012387569</v>
      </c>
      <c r="AE18" s="1">
        <f>[1]Results!AH1378</f>
        <v>3.610210913949774</v>
      </c>
      <c r="AF18" s="1">
        <f>[1]Results!AI1378</f>
        <v>3.5585814720846098</v>
      </c>
      <c r="AG18" s="1">
        <f>[1]Results!AJ1378</f>
        <v>3.5115124776925244</v>
      </c>
      <c r="AH18" s="1">
        <f>[1]Results!AK1378</f>
        <v>3.473756168337383</v>
      </c>
      <c r="AI18" s="1">
        <f>[1]Results!AL1378</f>
        <v>3.4511065942250507</v>
      </c>
      <c r="AJ18" s="1">
        <f>[1]Results!AM1378</f>
        <v>3.4579952909600919</v>
      </c>
      <c r="AK18" s="1">
        <f>[1]Results!AN1378</f>
        <v>3.5130185208499087</v>
      </c>
      <c r="AL18" s="1">
        <f>[1]Results!AO1378</f>
        <v>3.6386816125747679</v>
      </c>
    </row>
    <row r="19" spans="1:3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1.5145196208266043E-8</v>
      </c>
      <c r="E19" s="1">
        <f>[1]Results!H1379</f>
        <v>1.4078094245917327E-8</v>
      </c>
      <c r="F19" s="1">
        <f>[1]Results!I1379</f>
        <v>3.9705394527800308E-8</v>
      </c>
      <c r="G19" s="1">
        <f>[1]Results!J1379</f>
        <v>6.2805916023478403E-8</v>
      </c>
      <c r="H19" s="1">
        <f>[1]Results!K1379</f>
        <v>6.0255200828862598E-8</v>
      </c>
      <c r="I19" s="1">
        <f>[1]Results!L1379</f>
        <v>7.0253314277124446E-8</v>
      </c>
      <c r="J19" s="1">
        <f>[1]Results!M1379</f>
        <v>-1.9461095339429524</v>
      </c>
      <c r="K19" s="1">
        <f>[1]Results!N1379</f>
        <v>-3.371624718937194</v>
      </c>
      <c r="L19" s="1">
        <f>[1]Results!O1379</f>
        <v>-3.8851451586845553</v>
      </c>
      <c r="M19" s="1">
        <f>[1]Results!P1379</f>
        <v>-3.7941895674102888</v>
      </c>
      <c r="N19" s="1">
        <f>[1]Results!Q1379</f>
        <v>-2.7998215583067587</v>
      </c>
      <c r="O19" s="1">
        <f>[1]Results!R1379</f>
        <v>-1.628091177962776</v>
      </c>
      <c r="P19" s="1">
        <f>[1]Results!S1379</f>
        <v>-0.65261446949401725</v>
      </c>
      <c r="Q19" s="1">
        <f>[1]Results!T1379</f>
        <v>5.5987768631093893E-2</v>
      </c>
      <c r="R19" s="1">
        <f>[1]Results!U1379</f>
        <v>0.54494203256971741</v>
      </c>
      <c r="S19" s="1">
        <f>[1]Results!V1379</f>
        <v>0.43020203126393763</v>
      </c>
      <c r="T19" s="1">
        <f>[1]Results!W1379</f>
        <v>8.5089637075164148E-2</v>
      </c>
      <c r="U19" s="1">
        <f>[1]Results!X1379</f>
        <v>-0.25225991895975186</v>
      </c>
      <c r="V19" s="1">
        <f>[1]Results!Y1379</f>
        <v>-0.49605844332532012</v>
      </c>
      <c r="W19" s="1">
        <f>[1]Results!Z1379</f>
        <v>-0.64226149386472642</v>
      </c>
      <c r="X19" s="1">
        <f>[1]Results!AA1379</f>
        <v>-0.71032732527936959</v>
      </c>
      <c r="Y19" s="1">
        <f>[1]Results!AB1379</f>
        <v>-0.72822399147091099</v>
      </c>
      <c r="Z19" s="1">
        <f>[1]Results!AC1379</f>
        <v>-0.70866164732757975</v>
      </c>
      <c r="AA19" s="1">
        <f>[1]Results!AD1379</f>
        <v>-0.6593352792070073</v>
      </c>
      <c r="AB19" s="1">
        <f>[1]Results!AE1379</f>
        <v>-0.59579238766399589</v>
      </c>
      <c r="AC19" s="1">
        <f>[1]Results!AF1379</f>
        <v>-0.52575152076631548</v>
      </c>
      <c r="AD19" s="1">
        <f>[1]Results!AG1379</f>
        <v>-0.46028495113176193</v>
      </c>
      <c r="AE19" s="1">
        <f>[1]Results!AH1379</f>
        <v>-0.37796026138547933</v>
      </c>
      <c r="AF19" s="1">
        <f>[1]Results!AI1379</f>
        <v>-0.259508665772612</v>
      </c>
      <c r="AG19" s="1">
        <f>[1]Results!AJ1379</f>
        <v>-9.5342950287946593E-2</v>
      </c>
      <c r="AH19" s="1">
        <f>[1]Results!AK1379</f>
        <v>0.11649481887736624</v>
      </c>
      <c r="AI19" s="1">
        <f>[1]Results!AL1379</f>
        <v>0.38329234648959432</v>
      </c>
      <c r="AJ19" s="1">
        <f>[1]Results!AM1379</f>
        <v>0.73007513952041414</v>
      </c>
      <c r="AK19" s="1">
        <f>[1]Results!AN1379</f>
        <v>1.1880734379024371</v>
      </c>
      <c r="AL19" s="1">
        <f>[1]Results!AO1379</f>
        <v>1.7904471238182618</v>
      </c>
    </row>
    <row r="20" spans="1:3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</row>
    <row r="21" spans="1:3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0</v>
      </c>
      <c r="E21" s="1">
        <f>[1]Results!H1381</f>
        <v>0</v>
      </c>
      <c r="F21" s="1">
        <f>[1]Results!I1381</f>
        <v>0</v>
      </c>
      <c r="G21" s="1">
        <f>[1]Results!J1381</f>
        <v>0</v>
      </c>
      <c r="H21" s="1">
        <f>[1]Results!K1381</f>
        <v>1.8871348927973486E-8</v>
      </c>
      <c r="I21" s="1">
        <f>[1]Results!L1381</f>
        <v>1.8358425890596664E-8</v>
      </c>
      <c r="J21" s="1">
        <f>[1]Results!M1381</f>
        <v>-0.24236136222586246</v>
      </c>
      <c r="K21" s="1">
        <f>[1]Results!N1381</f>
        <v>-0.54780602238670983</v>
      </c>
      <c r="L21" s="1">
        <f>[1]Results!O1381</f>
        <v>-0.5973811856793354</v>
      </c>
      <c r="M21" s="1">
        <f>[1]Results!P1381</f>
        <v>-0.50590133884415023</v>
      </c>
      <c r="N21" s="1">
        <f>[1]Results!Q1381</f>
        <v>-0.33833751681855428</v>
      </c>
      <c r="O21" s="1">
        <f>[1]Results!R1381</f>
        <v>-0.14279460164162705</v>
      </c>
      <c r="P21" s="1">
        <f>[1]Results!S1381</f>
        <v>6.8999798168412063E-2</v>
      </c>
      <c r="Q21" s="1">
        <f>[1]Results!T1381</f>
        <v>0.30879847742395494</v>
      </c>
      <c r="R21" s="1">
        <f>[1]Results!U1381</f>
        <v>0.58241186977106008</v>
      </c>
      <c r="S21" s="1">
        <f>[1]Results!V1381</f>
        <v>0.85155518812312092</v>
      </c>
      <c r="T21" s="1">
        <f>[1]Results!W1381</f>
        <v>1.1148278774214537</v>
      </c>
      <c r="U21" s="1">
        <f>[1]Results!X1381</f>
        <v>1.3801815315876542</v>
      </c>
      <c r="V21" s="1">
        <f>[1]Results!Y1381</f>
        <v>1.6583284508742357</v>
      </c>
      <c r="W21" s="1">
        <f>[1]Results!Z1381</f>
        <v>1.9594581006494804</v>
      </c>
      <c r="X21" s="1">
        <f>[1]Results!AA1381</f>
        <v>2.2907970932450228</v>
      </c>
      <c r="Y21" s="1">
        <f>[1]Results!AB1381</f>
        <v>2.6584723967210344</v>
      </c>
      <c r="Z21" s="1">
        <f>[1]Results!AC1381</f>
        <v>3.0693426876797769</v>
      </c>
      <c r="AA21" s="1">
        <f>[1]Results!AD1381</f>
        <v>3.5305672236103591</v>
      </c>
      <c r="AB21" s="1">
        <f>[1]Results!AE1381</f>
        <v>4.0490815838162941</v>
      </c>
      <c r="AC21" s="1">
        <f>[1]Results!AF1381</f>
        <v>4.6312815159152754</v>
      </c>
      <c r="AD21" s="1">
        <f>[1]Results!AG1381</f>
        <v>5.2771380011270796</v>
      </c>
      <c r="AE21" s="1">
        <f>[1]Results!AH1381</f>
        <v>5.9940765384469907</v>
      </c>
      <c r="AF21" s="1">
        <f>[1]Results!AI1381</f>
        <v>6.7945571271710303</v>
      </c>
      <c r="AG21" s="1">
        <f>[1]Results!AJ1381</f>
        <v>7.6952331119521711</v>
      </c>
      <c r="AH21" s="1">
        <f>[1]Results!AK1381</f>
        <v>8.7162660941591206</v>
      </c>
      <c r="AI21" s="1">
        <f>[1]Results!AL1381</f>
        <v>9.884911842488675</v>
      </c>
      <c r="AJ21" s="1">
        <f>[1]Results!AM1381</f>
        <v>11.242258388935177</v>
      </c>
      <c r="AK21" s="1">
        <f>[1]Results!AN1381</f>
        <v>12.848982354578563</v>
      </c>
      <c r="AL21" s="1">
        <f>[1]Results!AO1381</f>
        <v>14.795933679450624</v>
      </c>
    </row>
    <row r="22" spans="1:3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0</v>
      </c>
      <c r="E22" s="1">
        <f>[1]Results!H1382</f>
        <v>0</v>
      </c>
      <c r="F22" s="1">
        <f>[1]Results!I1382</f>
        <v>0</v>
      </c>
      <c r="G22" s="1">
        <f>[1]Results!J1382</f>
        <v>-2.1112667170086752E-9</v>
      </c>
      <c r="H22" s="1">
        <f>[1]Results!K1382</f>
        <v>2.0536972122897623E-8</v>
      </c>
      <c r="I22" s="1">
        <f>[1]Results!L1382</f>
        <v>1.7965895438010193E-8</v>
      </c>
      <c r="J22" s="1">
        <f>[1]Results!M1382</f>
        <v>-0.2474361919633572</v>
      </c>
      <c r="K22" s="1">
        <f>[1]Results!N1382</f>
        <v>-0.56209270726410576</v>
      </c>
      <c r="L22" s="1">
        <f>[1]Results!O1382</f>
        <v>-0.60403532894810485</v>
      </c>
      <c r="M22" s="1">
        <f>[1]Results!P1382</f>
        <v>-0.49719863553366883</v>
      </c>
      <c r="N22" s="1">
        <f>[1]Results!Q1382</f>
        <v>-0.31436009005240129</v>
      </c>
      <c r="O22" s="1">
        <f>[1]Results!R1382</f>
        <v>-0.10590929930648363</v>
      </c>
      <c r="P22" s="1">
        <f>[1]Results!S1382</f>
        <v>0.11686802853241307</v>
      </c>
      <c r="Q22" s="1">
        <f>[1]Results!T1382</f>
        <v>0.36743561721102047</v>
      </c>
      <c r="R22" s="1">
        <f>[1]Results!U1382</f>
        <v>0.65252044258530262</v>
      </c>
      <c r="S22" s="1">
        <f>[1]Results!V1382</f>
        <v>0.93332109669073127</v>
      </c>
      <c r="T22" s="1">
        <f>[1]Results!W1382</f>
        <v>1.208239436767844</v>
      </c>
      <c r="U22" s="1">
        <f>[1]Results!X1382</f>
        <v>1.4851624509114814</v>
      </c>
      <c r="V22" s="1">
        <f>[1]Results!Y1382</f>
        <v>1.7749783059640256</v>
      </c>
      <c r="W22" s="1">
        <f>[1]Results!Z1382</f>
        <v>2.088152266809673</v>
      </c>
      <c r="X22" s="1">
        <f>[1]Results!AA1382</f>
        <v>2.4324789480846709</v>
      </c>
      <c r="Y22" s="1">
        <f>[1]Results!AB1382</f>
        <v>2.8145294778552321</v>
      </c>
      <c r="Z22" s="1">
        <f>[1]Results!AC1382</f>
        <v>3.2415730892098038</v>
      </c>
      <c r="AA22" s="1">
        <f>[1]Results!AD1382</f>
        <v>3.721244659717815</v>
      </c>
      <c r="AB22" s="1">
        <f>[1]Results!AE1382</f>
        <v>4.2607614485876688</v>
      </c>
      <c r="AC22" s="1">
        <f>[1]Results!AF1382</f>
        <v>4.8678718826059342</v>
      </c>
      <c r="AD22" s="1">
        <f>[1]Results!AG1382</f>
        <v>5.5431291779310499</v>
      </c>
      <c r="AE22" s="1">
        <f>[1]Results!AH1382</f>
        <v>6.2944752477835042</v>
      </c>
      <c r="AF22" s="1">
        <f>[1]Results!AI1382</f>
        <v>7.1351132390022665</v>
      </c>
      <c r="AG22" s="1">
        <f>[1]Results!AJ1382</f>
        <v>8.0827194108382017</v>
      </c>
      <c r="AH22" s="1">
        <f>[1]Results!AK1382</f>
        <v>9.1588561746670507</v>
      </c>
      <c r="AI22" s="1">
        <f>[1]Results!AL1382</f>
        <v>10.392616991315862</v>
      </c>
      <c r="AJ22" s="1">
        <f>[1]Results!AM1382</f>
        <v>11.827500413565083</v>
      </c>
      <c r="AK22" s="1">
        <f>[1]Results!AN1382</f>
        <v>13.527666397465254</v>
      </c>
      <c r="AL22" s="1">
        <f>[1]Results!AO1382</f>
        <v>15.589224474827912</v>
      </c>
    </row>
    <row r="23" spans="1:38" x14ac:dyDescent="0.35">
      <c r="A23" s="3" t="str">
        <f>[1]Results!E1383</f>
        <v>100*(X_2/X_0-1)</v>
      </c>
      <c r="B23" t="s">
        <v>22</v>
      </c>
      <c r="C23" s="1">
        <f>[1]Results!F1383</f>
        <v>0</v>
      </c>
      <c r="D23" s="1">
        <f>[1]Results!G1383</f>
        <v>0</v>
      </c>
      <c r="E23" s="1">
        <f>[1]Results!H1383</f>
        <v>-1.4742229659248096E-8</v>
      </c>
      <c r="F23" s="1">
        <f>[1]Results!I1383</f>
        <v>-1.4246626101055426E-8</v>
      </c>
      <c r="G23" s="1">
        <f>[1]Results!J1383</f>
        <v>-2.7557123249977167E-8</v>
      </c>
      <c r="H23" s="1">
        <f>[1]Results!K1383</f>
        <v>-2.6667712482719708E-8</v>
      </c>
      <c r="I23" s="1">
        <f>[1]Results!L1383</f>
        <v>-3.8736081009460577E-8</v>
      </c>
      <c r="J23" s="1">
        <f>[1]Results!M1383</f>
        <v>-0.98409490168257507</v>
      </c>
      <c r="K23" s="1">
        <f>[1]Results!N1383</f>
        <v>-1.8349862935214678</v>
      </c>
      <c r="L23" s="1">
        <f>[1]Results!O1383</f>
        <v>-1.4494573184980597</v>
      </c>
      <c r="M23" s="1">
        <f>[1]Results!P1383</f>
        <v>-1.232518839394714</v>
      </c>
      <c r="N23" s="1">
        <f>[1]Results!Q1383</f>
        <v>-1.2564971754897125</v>
      </c>
      <c r="O23" s="1">
        <f>[1]Results!R1383</f>
        <v>-1.5247123095983972</v>
      </c>
      <c r="P23" s="1">
        <f>[1]Results!S1383</f>
        <v>-1.9032842301520692</v>
      </c>
      <c r="Q23" s="1">
        <f>[1]Results!T1383</f>
        <v>-2.2582139258370049</v>
      </c>
      <c r="R23" s="1">
        <f>[1]Results!U1383</f>
        <v>-2.5698518970331929</v>
      </c>
      <c r="S23" s="1">
        <f>[1]Results!V1383</f>
        <v>-2.9522499661146395</v>
      </c>
      <c r="T23" s="1">
        <f>[1]Results!W1383</f>
        <v>-3.3392528142106914</v>
      </c>
      <c r="U23" s="1">
        <f>[1]Results!X1383</f>
        <v>-3.7234468840283474</v>
      </c>
      <c r="V23" s="1">
        <f>[1]Results!Y1383</f>
        <v>-4.0995716304086276</v>
      </c>
      <c r="W23" s="1">
        <f>[1]Results!Z1383</f>
        <v>-4.4622398005330517</v>
      </c>
      <c r="X23" s="1">
        <f>[1]Results!AA1383</f>
        <v>-4.8029580978783626</v>
      </c>
      <c r="Y23" s="1">
        <f>[1]Results!AB1383</f>
        <v>-5.115515361477474</v>
      </c>
      <c r="Z23" s="1">
        <f>[1]Results!AC1383</f>
        <v>-5.3996237277076915</v>
      </c>
      <c r="AA23" s="1">
        <f>[1]Results!AD1383</f>
        <v>-5.6555775932095269</v>
      </c>
      <c r="AB23" s="1">
        <f>[1]Results!AE1383</f>
        <v>-5.8835318762946347</v>
      </c>
      <c r="AC23" s="1">
        <f>[1]Results!AF1383</f>
        <v>-6.0618346023499363</v>
      </c>
      <c r="AD23" s="1">
        <f>[1]Results!AG1383</f>
        <v>-6.1899297587963975</v>
      </c>
      <c r="AE23" s="1">
        <f>[1]Results!AH1383</f>
        <v>-6.2738676181274826</v>
      </c>
      <c r="AF23" s="1">
        <f>[1]Results!AI1383</f>
        <v>-6.3213751854552243</v>
      </c>
      <c r="AG23" s="1">
        <f>[1]Results!AJ1383</f>
        <v>-6.339719332933214</v>
      </c>
      <c r="AH23" s="1">
        <f>[1]Results!AK1383</f>
        <v>-6.3311661806170871</v>
      </c>
      <c r="AI23" s="1">
        <f>[1]Results!AL1383</f>
        <v>-6.2973482423619771</v>
      </c>
      <c r="AJ23" s="1">
        <f>[1]Results!AM1383</f>
        <v>-6.2473811309278426</v>
      </c>
      <c r="AK23" s="1">
        <f>[1]Results!AN1383</f>
        <v>-6.1928028761617178</v>
      </c>
      <c r="AL23" s="1">
        <f>[1]Results!AO1383</f>
        <v>-6.1468190537050766</v>
      </c>
    </row>
    <row r="24" spans="1:38" x14ac:dyDescent="0.35">
      <c r="A24" s="3" t="str">
        <f>[1]Results!E1384</f>
        <v>100*(M_2/M_0-1)</v>
      </c>
      <c r="B24" t="s">
        <v>23</v>
      </c>
      <c r="C24" s="1">
        <f>[1]Results!F1384</f>
        <v>0</v>
      </c>
      <c r="D24" s="1">
        <f>[1]Results!G1384</f>
        <v>1.4978107643059957E-8</v>
      </c>
      <c r="E24" s="1">
        <f>[1]Results!H1384</f>
        <v>0</v>
      </c>
      <c r="F24" s="1">
        <f>[1]Results!I1384</f>
        <v>0</v>
      </c>
      <c r="G24" s="1">
        <f>[1]Results!J1384</f>
        <v>1.3878609372852679E-8</v>
      </c>
      <c r="H24" s="1">
        <f>[1]Results!K1384</f>
        <v>0</v>
      </c>
      <c r="I24" s="1">
        <f>[1]Results!L1384</f>
        <v>1.3118728325878237E-8</v>
      </c>
      <c r="J24" s="1">
        <f>[1]Results!M1384</f>
        <v>-0.51482876669148858</v>
      </c>
      <c r="K24" s="1">
        <f>[1]Results!N1384</f>
        <v>-1.0175637417919714</v>
      </c>
      <c r="L24" s="1">
        <f>[1]Results!O1384</f>
        <v>-1.0107971195936205</v>
      </c>
      <c r="M24" s="1">
        <f>[1]Results!P1384</f>
        <v>-0.85378623791698693</v>
      </c>
      <c r="N24" s="1">
        <f>[1]Results!Q1384</f>
        <v>-0.61163718660118827</v>
      </c>
      <c r="O24" s="1">
        <f>[1]Results!R1384</f>
        <v>-0.34914488475965566</v>
      </c>
      <c r="P24" s="1">
        <f>[1]Results!S1384</f>
        <v>-8.1587749137013166E-2</v>
      </c>
      <c r="Q24" s="1">
        <f>[1]Results!T1384</f>
        <v>0.20583778731630975</v>
      </c>
      <c r="R24" s="1">
        <f>[1]Results!U1384</f>
        <v>0.50946773863946859</v>
      </c>
      <c r="S24" s="1">
        <f>[1]Results!V1384</f>
        <v>0.75803592122778429</v>
      </c>
      <c r="T24" s="1">
        <f>[1]Results!W1384</f>
        <v>0.96483639269251409</v>
      </c>
      <c r="U24" s="1">
        <f>[1]Results!X1384</f>
        <v>1.1462388280106151</v>
      </c>
      <c r="V24" s="1">
        <f>[1]Results!Y1384</f>
        <v>1.3124991517632134</v>
      </c>
      <c r="W24" s="1">
        <f>[1]Results!Z1384</f>
        <v>1.4680496480209193</v>
      </c>
      <c r="X24" s="1">
        <f>[1]Results!AA1384</f>
        <v>1.6137901117905695</v>
      </c>
      <c r="Y24" s="1">
        <f>[1]Results!AB1384</f>
        <v>1.7501582148841344</v>
      </c>
      <c r="Z24" s="1">
        <f>[1]Results!AC1384</f>
        <v>1.8803644797437125</v>
      </c>
      <c r="AA24" s="1">
        <f>[1]Results!AD1384</f>
        <v>2.0081552491478138</v>
      </c>
      <c r="AB24" s="1">
        <f>[1]Results!AE1384</f>
        <v>2.1352520190273561</v>
      </c>
      <c r="AC24" s="1">
        <f>[1]Results!AF1384</f>
        <v>2.2664550550969942</v>
      </c>
      <c r="AD24" s="1">
        <f>[1]Results!AG1384</f>
        <v>2.3992751154648495</v>
      </c>
      <c r="AE24" s="1">
        <f>[1]Results!AH1384</f>
        <v>2.5436248275464868</v>
      </c>
      <c r="AF24" s="1">
        <f>[1]Results!AI1384</f>
        <v>2.7118491560833125</v>
      </c>
      <c r="AG24" s="1">
        <f>[1]Results!AJ1384</f>
        <v>2.9164025673298566</v>
      </c>
      <c r="AH24" s="1">
        <f>[1]Results!AK1384</f>
        <v>3.1686682125043886</v>
      </c>
      <c r="AI24" s="1">
        <f>[1]Results!AL1384</f>
        <v>3.4831879229923368</v>
      </c>
      <c r="AJ24" s="1">
        <f>[1]Results!AM1384</f>
        <v>3.8830830130723859</v>
      </c>
      <c r="AK24" s="1">
        <f>[1]Results!AN1384</f>
        <v>4.4002967429461304</v>
      </c>
      <c r="AL24" s="1">
        <f>[1]Results!AO1384</f>
        <v>5.0801014529308741</v>
      </c>
    </row>
    <row r="25" spans="1:3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0</v>
      </c>
      <c r="E25" s="1">
        <f>[1]Results!H1385</f>
        <v>0</v>
      </c>
      <c r="F25" s="1">
        <f>[1]Results!I1385</f>
        <v>0</v>
      </c>
      <c r="G25" s="1">
        <f>[1]Results!J1385</f>
        <v>0</v>
      </c>
      <c r="H25" s="1">
        <f>[1]Results!K1385</f>
        <v>7.5132833288193979E-8</v>
      </c>
      <c r="I25" s="1">
        <f>[1]Results!L1385</f>
        <v>0</v>
      </c>
      <c r="J25" s="1">
        <f>[1]Results!M1385</f>
        <v>-4.0422683987384467E-2</v>
      </c>
      <c r="K25" s="1">
        <f>[1]Results!N1385</f>
        <v>-0.11689769379713555</v>
      </c>
      <c r="L25" s="1">
        <f>[1]Results!O1385</f>
        <v>-4.9096805651405173E-2</v>
      </c>
      <c r="M25" s="1">
        <f>[1]Results!P1385</f>
        <v>0.18011464748213246</v>
      </c>
      <c r="N25" s="1">
        <f>[1]Results!Q1385</f>
        <v>0.51642470859383227</v>
      </c>
      <c r="O25" s="1">
        <f>[1]Results!R1385</f>
        <v>0.92762877797718524</v>
      </c>
      <c r="P25" s="1">
        <f>[1]Results!S1385</f>
        <v>1.3562617784798725</v>
      </c>
      <c r="Q25" s="1">
        <f>[1]Results!T1385</f>
        <v>1.7691605086186168</v>
      </c>
      <c r="R25" s="1">
        <f>[1]Results!U1385</f>
        <v>2.1526928702395365</v>
      </c>
      <c r="S25" s="1">
        <f>[1]Results!V1385</f>
        <v>2.4902070232835083</v>
      </c>
      <c r="T25" s="1">
        <f>[1]Results!W1385</f>
        <v>2.766491741446786</v>
      </c>
      <c r="U25" s="1">
        <f>[1]Results!X1385</f>
        <v>2.9939613021470635</v>
      </c>
      <c r="V25" s="1">
        <f>[1]Results!Y1385</f>
        <v>3.1839954225841405</v>
      </c>
      <c r="W25" s="1">
        <f>[1]Results!Z1385</f>
        <v>3.3430411801745441</v>
      </c>
      <c r="X25" s="1">
        <f>[1]Results!AA1385</f>
        <v>3.4695318324209357</v>
      </c>
      <c r="Y25" s="1">
        <f>[1]Results!AB1385</f>
        <v>3.5638899875762187</v>
      </c>
      <c r="Z25" s="1">
        <f>[1]Results!AC1385</f>
        <v>3.6307557007525748</v>
      </c>
      <c r="AA25" s="1">
        <f>[1]Results!AD1385</f>
        <v>3.6746885928588657</v>
      </c>
      <c r="AB25" s="1">
        <f>[1]Results!AE1385</f>
        <v>3.6999511692807019</v>
      </c>
      <c r="AC25" s="1">
        <f>[1]Results!AF1385</f>
        <v>3.6992037731908178</v>
      </c>
      <c r="AD25" s="1">
        <f>[1]Results!AG1385</f>
        <v>3.6697569471530578</v>
      </c>
      <c r="AE25" s="1">
        <f>[1]Results!AH1385</f>
        <v>3.6235851504806016</v>
      </c>
      <c r="AF25" s="1">
        <f>[1]Results!AI1385</f>
        <v>3.5728581594923536</v>
      </c>
      <c r="AG25" s="1">
        <f>[1]Results!AJ1385</f>
        <v>3.5271889515317012</v>
      </c>
      <c r="AH25" s="1">
        <f>[1]Results!AK1385</f>
        <v>3.4913800583928678</v>
      </c>
      <c r="AI25" s="1">
        <f>[1]Results!AL1385</f>
        <v>3.4713163742822406</v>
      </c>
      <c r="AJ25" s="1">
        <f>[1]Results!AM1385</f>
        <v>3.4815223408907192</v>
      </c>
      <c r="AK25" s="1">
        <f>[1]Results!AN1385</f>
        <v>3.5406922307655408</v>
      </c>
      <c r="AL25" s="1">
        <f>[1]Results!AO1385</f>
        <v>3.6714782948734648</v>
      </c>
    </row>
    <row r="26" spans="1:3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0</v>
      </c>
      <c r="E26" s="1">
        <f>[1]Results!H1386</f>
        <v>0</v>
      </c>
      <c r="F26" s="1">
        <f>[1]Results!I1386</f>
        <v>0</v>
      </c>
      <c r="G26" s="1">
        <f>[1]Results!J1386</f>
        <v>0</v>
      </c>
      <c r="H26" s="1">
        <f>[1]Results!K1386</f>
        <v>2.0013724011391787E-8</v>
      </c>
      <c r="I26" s="1">
        <f>[1]Results!L1386</f>
        <v>1.7702284083043196E-8</v>
      </c>
      <c r="J26" s="1">
        <f>[1]Results!M1386</f>
        <v>-0.23937397245359371</v>
      </c>
      <c r="K26" s="1">
        <f>[1]Results!N1386</f>
        <v>-0.54499185863109423</v>
      </c>
      <c r="L26" s="1">
        <f>[1]Results!O1386</f>
        <v>-0.59949183690507502</v>
      </c>
      <c r="M26" s="1">
        <f>[1]Results!P1386</f>
        <v>-0.51127104076067464</v>
      </c>
      <c r="N26" s="1">
        <f>[1]Results!Q1386</f>
        <v>-0.34359764107562141</v>
      </c>
      <c r="O26" s="1">
        <f>[1]Results!R1386</f>
        <v>-0.14327817430217493</v>
      </c>
      <c r="P26" s="1">
        <f>[1]Results!S1386</f>
        <v>7.5728980802947099E-2</v>
      </c>
      <c r="Q26" s="1">
        <f>[1]Results!T1386</f>
        <v>0.32259556530145339</v>
      </c>
      <c r="R26" s="1">
        <f>[1]Results!U1386</f>
        <v>0.6016630861894301</v>
      </c>
      <c r="S26" s="1">
        <f>[1]Results!V1386</f>
        <v>0.87457866437363752</v>
      </c>
      <c r="T26" s="1">
        <f>[1]Results!W1386</f>
        <v>1.1386871219164041</v>
      </c>
      <c r="U26" s="1">
        <f>[1]Results!X1386</f>
        <v>1.4023502868793392</v>
      </c>
      <c r="V26" s="1">
        <f>[1]Results!Y1386</f>
        <v>1.6768870441906003</v>
      </c>
      <c r="W26" s="1">
        <f>[1]Results!Z1386</f>
        <v>1.9728635238822401</v>
      </c>
      <c r="X26" s="1">
        <f>[1]Results!AA1386</f>
        <v>2.2974489503538198</v>
      </c>
      <c r="Y26" s="1">
        <f>[1]Results!AB1386</f>
        <v>2.6566344784133999</v>
      </c>
      <c r="Z26" s="1">
        <f>[1]Results!AC1386</f>
        <v>3.057191142493787</v>
      </c>
      <c r="AA26" s="1">
        <f>[1]Results!AD1386</f>
        <v>3.5061674804623522</v>
      </c>
      <c r="AB26" s="1">
        <f>[1]Results!AE1386</f>
        <v>4.0104056630625884</v>
      </c>
      <c r="AC26" s="1">
        <f>[1]Results!AF1386</f>
        <v>4.5756394569556935</v>
      </c>
      <c r="AD26" s="1">
        <f>[1]Results!AG1386</f>
        <v>5.2014648831732568</v>
      </c>
      <c r="AE26" s="1">
        <f>[1]Results!AH1386</f>
        <v>5.895279228165351</v>
      </c>
      <c r="AF26" s="1">
        <f>[1]Results!AI1386</f>
        <v>6.6694963256661133</v>
      </c>
      <c r="AG26" s="1">
        <f>[1]Results!AJ1386</f>
        <v>7.5405418457617168</v>
      </c>
      <c r="AH26" s="1">
        <f>[1]Results!AK1386</f>
        <v>8.528032049247237</v>
      </c>
      <c r="AI26" s="1">
        <f>[1]Results!AL1386</f>
        <v>9.6584289655692999</v>
      </c>
      <c r="AJ26" s="1">
        <f>[1]Results!AM1386</f>
        <v>10.971889532249634</v>
      </c>
      <c r="AK26" s="1">
        <f>[1]Results!AN1386</f>
        <v>12.527727030443403</v>
      </c>
      <c r="AL26" s="1">
        <f>[1]Results!AO1386</f>
        <v>14.414614342300736</v>
      </c>
    </row>
    <row r="27" spans="1:3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0</v>
      </c>
      <c r="E27" s="1">
        <f>[1]Results!H1387</f>
        <v>0</v>
      </c>
      <c r="F27" s="1">
        <f>[1]Results!I1387</f>
        <v>0</v>
      </c>
      <c r="G27" s="1">
        <f>[1]Results!J1387</f>
        <v>0</v>
      </c>
      <c r="H27" s="1">
        <f>[1]Results!K1387</f>
        <v>5.071072450846259E-8</v>
      </c>
      <c r="I27" s="1">
        <f>[1]Results!L1387</f>
        <v>0</v>
      </c>
      <c r="J27" s="1">
        <f>[1]Results!M1387</f>
        <v>-0.15839009405586024</v>
      </c>
      <c r="K27" s="1">
        <f>[1]Results!N1387</f>
        <v>-0.46828950448580819</v>
      </c>
      <c r="L27" s="1">
        <f>[1]Results!O1387</f>
        <v>-0.65735687731364179</v>
      </c>
      <c r="M27" s="1">
        <f>[1]Results!P1387</f>
        <v>-0.65931353735914078</v>
      </c>
      <c r="N27" s="1">
        <f>[1]Results!Q1387</f>
        <v>-0.48932647231040294</v>
      </c>
      <c r="O27" s="1">
        <f>[1]Results!R1387</f>
        <v>-0.15673294517370984</v>
      </c>
      <c r="P27" s="1">
        <f>[1]Results!S1387</f>
        <v>0.26373410353957016</v>
      </c>
      <c r="Q27" s="1">
        <f>[1]Results!T1387</f>
        <v>0.7097627726972755</v>
      </c>
      <c r="R27" s="1">
        <f>[1]Results!U1387</f>
        <v>1.1445692408051267</v>
      </c>
      <c r="S27" s="1">
        <f>[1]Results!V1387</f>
        <v>1.52737841293622</v>
      </c>
      <c r="T27" s="1">
        <f>[1]Results!W1387</f>
        <v>1.8192488185099442</v>
      </c>
      <c r="U27" s="1">
        <f>[1]Results!X1387</f>
        <v>2.0390204379780785</v>
      </c>
      <c r="V27" s="1">
        <f>[1]Results!Y1387</f>
        <v>2.2140490222418041</v>
      </c>
      <c r="W27" s="1">
        <f>[1]Results!Z1387</f>
        <v>2.3643783476186453</v>
      </c>
      <c r="X27" s="1">
        <f>[1]Results!AA1387</f>
        <v>2.4936467898576398</v>
      </c>
      <c r="Y27" s="1">
        <f>[1]Results!AB1387</f>
        <v>2.6018439633900492</v>
      </c>
      <c r="Z27" s="1">
        <f>[1]Results!AC1387</f>
        <v>2.6908270079190721</v>
      </c>
      <c r="AA27" s="1">
        <f>[1]Results!AD1387</f>
        <v>2.7618459345779556</v>
      </c>
      <c r="AB27" s="1">
        <f>[1]Results!AE1387</f>
        <v>2.8158181684271311</v>
      </c>
      <c r="AC27" s="1">
        <f>[1]Results!AF1387</f>
        <v>2.8354850591130409</v>
      </c>
      <c r="AD27" s="1">
        <f>[1]Results!AG1387</f>
        <v>2.8055892012996297</v>
      </c>
      <c r="AE27" s="1">
        <f>[1]Results!AH1387</f>
        <v>2.7298026010804888</v>
      </c>
      <c r="AF27" s="1">
        <f>[1]Results!AI1387</f>
        <v>2.6172440397739472</v>
      </c>
      <c r="AG27" s="1">
        <f>[1]Results!AJ1387</f>
        <v>2.4761362559426958</v>
      </c>
      <c r="AH27" s="1">
        <f>[1]Results!AK1387</f>
        <v>2.3078882095747044</v>
      </c>
      <c r="AI27" s="1">
        <f>[1]Results!AL1387</f>
        <v>2.1122986968314716</v>
      </c>
      <c r="AJ27" s="1">
        <f>[1]Results!AM1387</f>
        <v>1.8977163806364938</v>
      </c>
      <c r="AK27" s="1">
        <f>[1]Results!AN1387</f>
        <v>1.6763989168108395</v>
      </c>
      <c r="AL27" s="1">
        <f>[1]Results!AO1387</f>
        <v>1.4613823564355366</v>
      </c>
    </row>
    <row r="28" spans="1:3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0</v>
      </c>
      <c r="E28" s="1">
        <f>[1]Results!H1388</f>
        <v>0</v>
      </c>
      <c r="F28" s="1">
        <f>[1]Results!I1388</f>
        <v>0</v>
      </c>
      <c r="G28" s="1">
        <f>[1]Results!J1388</f>
        <v>2.3701351992144737E-8</v>
      </c>
      <c r="H28" s="1">
        <f>[1]Results!K1388</f>
        <v>0</v>
      </c>
      <c r="I28" s="1">
        <f>[1]Results!L1388</f>
        <v>2.2851898151543537E-8</v>
      </c>
      <c r="J28" s="1">
        <f>[1]Results!M1388</f>
        <v>-0.18363117546416063</v>
      </c>
      <c r="K28" s="1">
        <f>[1]Results!N1388</f>
        <v>-0.38061139450817905</v>
      </c>
      <c r="L28" s="1">
        <f>[1]Results!O1388</f>
        <v>-0.51861853383483592</v>
      </c>
      <c r="M28" s="1">
        <f>[1]Results!P1388</f>
        <v>-0.60999405464419176</v>
      </c>
      <c r="N28" s="1">
        <f>[1]Results!Q1388</f>
        <v>-0.62780419294665712</v>
      </c>
      <c r="O28" s="1">
        <f>[1]Results!R1388</f>
        <v>-0.5914725413029509</v>
      </c>
      <c r="P28" s="1">
        <f>[1]Results!S1388</f>
        <v>-0.51673272825737415</v>
      </c>
      <c r="Q28" s="1">
        <f>[1]Results!T1388</f>
        <v>-0.41201768341621037</v>
      </c>
      <c r="R28" s="1">
        <f>[1]Results!U1388</f>
        <v>-0.28260002073315915</v>
      </c>
      <c r="S28" s="1">
        <f>[1]Results!V1388</f>
        <v>-0.16050212428305732</v>
      </c>
      <c r="T28" s="1">
        <f>[1]Results!W1388</f>
        <v>-4.4992724320880306E-2</v>
      </c>
      <c r="U28" s="1">
        <f>[1]Results!X1388</f>
        <v>7.2230764203595754E-2</v>
      </c>
      <c r="V28" s="1">
        <f>[1]Results!Y1388</f>
        <v>0.19919167923532211</v>
      </c>
      <c r="W28" s="1">
        <f>[1]Results!Z1388</f>
        <v>0.34137707094479275</v>
      </c>
      <c r="X28" s="1">
        <f>[1]Results!AA1388</f>
        <v>0.4993374386763838</v>
      </c>
      <c r="Y28" s="1">
        <f>[1]Results!AB1388</f>
        <v>0.67235858321832431</v>
      </c>
      <c r="Z28" s="1">
        <f>[1]Results!AC1388</f>
        <v>0.86082521544230683</v>
      </c>
      <c r="AA28" s="1">
        <f>[1]Results!AD1388</f>
        <v>1.0644678610227887</v>
      </c>
      <c r="AB28" s="1">
        <f>[1]Results!AE1388</f>
        <v>1.2818952170838172</v>
      </c>
      <c r="AC28" s="1">
        <f>[1]Results!AF1388</f>
        <v>1.5034114385512831</v>
      </c>
      <c r="AD28" s="1">
        <f>[1]Results!AG1388</f>
        <v>1.7180808405576897</v>
      </c>
      <c r="AE28" s="1">
        <f>[1]Results!AH1388</f>
        <v>1.9229575035131674</v>
      </c>
      <c r="AF28" s="1">
        <f>[1]Results!AI1388</f>
        <v>2.1170403077391819</v>
      </c>
      <c r="AG28" s="1">
        <f>[1]Results!AJ1388</f>
        <v>2.2995467892912735</v>
      </c>
      <c r="AH28" s="1">
        <f>[1]Results!AK1388</f>
        <v>2.467461811368965</v>
      </c>
      <c r="AI28" s="1">
        <f>[1]Results!AL1388</f>
        <v>2.6178795014707656</v>
      </c>
      <c r="AJ28" s="1">
        <f>[1]Results!AM1388</f>
        <v>2.7525276684100985</v>
      </c>
      <c r="AK28" s="1">
        <f>[1]Results!AN1388</f>
        <v>2.8759355897196803</v>
      </c>
      <c r="AL28" s="1">
        <f>[1]Results!AO1388</f>
        <v>2.9949957643590208</v>
      </c>
    </row>
    <row r="29" spans="1:3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7.0873951152350401E-8</v>
      </c>
      <c r="E29" s="1">
        <f>[1]Results!H1389</f>
        <v>0</v>
      </c>
      <c r="F29" s="1">
        <f>[1]Results!I1389</f>
        <v>6.516052142302442E-8</v>
      </c>
      <c r="G29" s="1">
        <f>[1]Results!J1389</f>
        <v>1.2472820554165764E-7</v>
      </c>
      <c r="H29" s="1">
        <f>[1]Results!K1389</f>
        <v>1.1920286979716366E-7</v>
      </c>
      <c r="I29" s="1">
        <f>[1]Results!L1389</f>
        <v>1.1385394849128261E-7</v>
      </c>
      <c r="J29" s="1">
        <f>[1]Results!M1389</f>
        <v>0.82920321294328581</v>
      </c>
      <c r="K29" s="1">
        <f>[1]Results!N1389</f>
        <v>1.5085876296870415</v>
      </c>
      <c r="L29" s="1">
        <f>[1]Results!O1389</f>
        <v>2.5457215021009283</v>
      </c>
      <c r="M29" s="1">
        <f>[1]Results!P1389</f>
        <v>3.8727192368074093</v>
      </c>
      <c r="N29" s="1">
        <f>[1]Results!Q1389</f>
        <v>5.1204748000118983</v>
      </c>
      <c r="O29" s="1">
        <f>[1]Results!R1389</f>
        <v>6.3917131425598628</v>
      </c>
      <c r="P29" s="1">
        <f>[1]Results!S1389</f>
        <v>7.6201797551313621</v>
      </c>
      <c r="Q29" s="1">
        <f>[1]Results!T1389</f>
        <v>8.781540170049972</v>
      </c>
      <c r="R29" s="1">
        <f>[1]Results!U1389</f>
        <v>9.8607942817915628</v>
      </c>
      <c r="S29" s="1">
        <f>[1]Results!V1389</f>
        <v>10.969434385639531</v>
      </c>
      <c r="T29" s="1">
        <f>[1]Results!W1389</f>
        <v>12.008319578688065</v>
      </c>
      <c r="U29" s="1">
        <f>[1]Results!X1389</f>
        <v>12.972293368013176</v>
      </c>
      <c r="V29" s="1">
        <f>[1]Results!Y1389</f>
        <v>13.848652240233283</v>
      </c>
      <c r="W29" s="1">
        <f>[1]Results!Z1389</f>
        <v>14.624533823517382</v>
      </c>
      <c r="X29" s="1">
        <f>[1]Results!AA1389</f>
        <v>15.287144012448639</v>
      </c>
      <c r="Y29" s="1">
        <f>[1]Results!AB1389</f>
        <v>15.832224055219868</v>
      </c>
      <c r="Z29" s="1">
        <f>[1]Results!AC1389</f>
        <v>16.255601626935089</v>
      </c>
      <c r="AA29" s="1">
        <f>[1]Results!AD1389</f>
        <v>16.554521788738153</v>
      </c>
      <c r="AB29" s="1">
        <f>[1]Results!AE1389</f>
        <v>16.730307143495949</v>
      </c>
      <c r="AC29" s="1">
        <f>[1]Results!AF1389</f>
        <v>16.790952747875167</v>
      </c>
      <c r="AD29" s="1">
        <f>[1]Results!AG1389</f>
        <v>16.759530066074447</v>
      </c>
      <c r="AE29" s="1">
        <f>[1]Results!AH1389</f>
        <v>16.656876620628537</v>
      </c>
      <c r="AF29" s="1">
        <f>[1]Results!AI1389</f>
        <v>16.502414831769041</v>
      </c>
      <c r="AG29" s="1">
        <f>[1]Results!AJ1389</f>
        <v>16.315878826075814</v>
      </c>
      <c r="AH29" s="1">
        <f>[1]Results!AK1389</f>
        <v>16.122177494793853</v>
      </c>
      <c r="AI29" s="1">
        <f>[1]Results!AL1389</f>
        <v>15.953346538511992</v>
      </c>
      <c r="AJ29" s="1">
        <f>[1]Results!AM1389</f>
        <v>15.845534416193496</v>
      </c>
      <c r="AK29" s="1">
        <f>[1]Results!AN1389</f>
        <v>15.840103867959133</v>
      </c>
      <c r="AL29" s="1">
        <f>[1]Results!AO1389</f>
        <v>15.988654740574626</v>
      </c>
    </row>
    <row r="30" spans="1:3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-2.7021829218654148E-8</v>
      </c>
      <c r="E30" s="1">
        <f>[1]Results!H1390</f>
        <v>0</v>
      </c>
      <c r="F30" s="1">
        <f>[1]Results!I1390</f>
        <v>-2.8804625351597224E-8</v>
      </c>
      <c r="G30" s="1">
        <f>[1]Results!J1390</f>
        <v>1.2472820554165764E-7</v>
      </c>
      <c r="H30" s="1">
        <f>[1]Results!K1390</f>
        <v>2.9007485302656733E-8</v>
      </c>
      <c r="I30" s="1">
        <f>[1]Results!L1390</f>
        <v>2.5632074240888869E-8</v>
      </c>
      <c r="J30" s="1">
        <f>[1]Results!M1390</f>
        <v>-6.3271619623384012E-2</v>
      </c>
      <c r="K30" s="1">
        <f>[1]Results!N1390</f>
        <v>-0.16001186732441663</v>
      </c>
      <c r="L30" s="1">
        <f>[1]Results!O1390</f>
        <v>-2.1547649456410412E-2</v>
      </c>
      <c r="M30" s="1">
        <f>[1]Results!P1390</f>
        <v>0.27594676214648395</v>
      </c>
      <c r="N30" s="1">
        <f>[1]Results!Q1390</f>
        <v>0.6504574413053188</v>
      </c>
      <c r="O30" s="1">
        <f>[1]Results!R1390</f>
        <v>1.0905127444001073</v>
      </c>
      <c r="P30" s="1">
        <f>[1]Results!S1390</f>
        <v>1.5278893560521256</v>
      </c>
      <c r="Q30" s="1">
        <f>[1]Results!T1390</f>
        <v>1.9448558258030593</v>
      </c>
      <c r="R30" s="1">
        <f>[1]Results!U1390</f>
        <v>2.3371405391847899</v>
      </c>
      <c r="S30" s="1">
        <f>[1]Results!V1390</f>
        <v>2.6865951763612941</v>
      </c>
      <c r="T30" s="1">
        <f>[1]Results!W1390</f>
        <v>2.9729129501636198</v>
      </c>
      <c r="U30" s="1">
        <f>[1]Results!X1390</f>
        <v>3.2224846994589811</v>
      </c>
      <c r="V30" s="1">
        <f>[1]Results!Y1390</f>
        <v>3.4428904638326383</v>
      </c>
      <c r="W30" s="1">
        <f>[1]Results!Z1390</f>
        <v>3.6350342920242973</v>
      </c>
      <c r="X30" s="1">
        <f>[1]Results!AA1390</f>
        <v>3.7905036178166096</v>
      </c>
      <c r="Y30" s="1">
        <f>[1]Results!AB1390</f>
        <v>3.9097160572857845</v>
      </c>
      <c r="Z30" s="1">
        <f>[1]Results!AC1390</f>
        <v>3.9986413190949293</v>
      </c>
      <c r="AA30" s="1">
        <f>[1]Results!AD1390</f>
        <v>4.0608951228057197</v>
      </c>
      <c r="AB30" s="1">
        <f>[1]Results!AE1390</f>
        <v>4.1001104733875202</v>
      </c>
      <c r="AC30" s="1">
        <f>[1]Results!AF1390</f>
        <v>4.1020428809960503</v>
      </c>
      <c r="AD30" s="1">
        <f>[1]Results!AG1390</f>
        <v>4.0678131515154092</v>
      </c>
      <c r="AE30" s="1">
        <f>[1]Results!AH1390</f>
        <v>4.018698173124859</v>
      </c>
      <c r="AF30" s="1">
        <f>[1]Results!AI1390</f>
        <v>3.9671540439567998</v>
      </c>
      <c r="AG30" s="1">
        <f>[1]Results!AJ1390</f>
        <v>3.9218891981263937</v>
      </c>
      <c r="AH30" s="1">
        <f>[1]Results!AK1390</f>
        <v>3.8859034151123879</v>
      </c>
      <c r="AI30" s="1">
        <f>[1]Results!AL1390</f>
        <v>3.8671855307693015</v>
      </c>
      <c r="AJ30" s="1">
        <f>[1]Results!AM1390</f>
        <v>3.886749271150757</v>
      </c>
      <c r="AK30" s="1">
        <f>[1]Results!AN1390</f>
        <v>3.9669292818809829</v>
      </c>
      <c r="AL30" s="1">
        <f>[1]Results!AO1390</f>
        <v>4.1343679562235724</v>
      </c>
    </row>
    <row r="31" spans="1:3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7.0873951152350401E-8</v>
      </c>
      <c r="E31" s="1">
        <f>[1]Results!H1391</f>
        <v>0</v>
      </c>
      <c r="F31" s="1">
        <f>[1]Results!I1391</f>
        <v>6.516052142302442E-8</v>
      </c>
      <c r="G31" s="1">
        <f>[1]Results!J1391</f>
        <v>1.2472820554165764E-7</v>
      </c>
      <c r="H31" s="1">
        <f>[1]Results!K1391</f>
        <v>8.4408058320661894E-8</v>
      </c>
      <c r="I31" s="1">
        <f>[1]Results!L1391</f>
        <v>1.1385394849128261E-7</v>
      </c>
      <c r="J31" s="1">
        <f>[1]Results!M1391</f>
        <v>0.90208189789588999</v>
      </c>
      <c r="K31" s="1">
        <f>[1]Results!N1391</f>
        <v>1.7000472385090504</v>
      </c>
      <c r="L31" s="1">
        <f>[1]Results!O1391</f>
        <v>2.6825150834634104</v>
      </c>
      <c r="M31" s="1">
        <f>[1]Results!P1391</f>
        <v>3.8353203021193938</v>
      </c>
      <c r="N31" s="1">
        <f>[1]Results!Q1391</f>
        <v>4.8782728647597695</v>
      </c>
      <c r="O31" s="1">
        <f>[1]Results!R1391</f>
        <v>5.9680391398718724</v>
      </c>
      <c r="P31" s="1">
        <f>[1]Results!S1391</f>
        <v>7.0546186658840826</v>
      </c>
      <c r="Q31" s="1">
        <f>[1]Results!T1391</f>
        <v>8.1041751469065986</v>
      </c>
      <c r="R31" s="1">
        <f>[1]Results!U1391</f>
        <v>9.0914219521087034</v>
      </c>
      <c r="S31" s="1">
        <f>[1]Results!V1391</f>
        <v>10.128510847593475</v>
      </c>
      <c r="T31" s="1">
        <f>[1]Results!W1391</f>
        <v>11.116791286168182</v>
      </c>
      <c r="U31" s="1">
        <f>[1]Results!X1391</f>
        <v>12.050243720920051</v>
      </c>
      <c r="V31" s="1">
        <f>[1]Results!Y1391</f>
        <v>12.912875201416952</v>
      </c>
      <c r="W31" s="1">
        <f>[1]Results!Z1391</f>
        <v>13.687017327102756</v>
      </c>
      <c r="X31" s="1">
        <f>[1]Results!AA1391</f>
        <v>14.354563395656751</v>
      </c>
      <c r="Y31" s="1">
        <f>[1]Results!AB1391</f>
        <v>14.905474043169731</v>
      </c>
      <c r="Z31" s="1">
        <f>[1]Results!AC1391</f>
        <v>15.329866610423835</v>
      </c>
      <c r="AA31" s="1">
        <f>[1]Results!AD1391</f>
        <v>15.619171933418597</v>
      </c>
      <c r="AB31" s="1">
        <f>[1]Results!AE1391</f>
        <v>15.768999568935804</v>
      </c>
      <c r="AC31" s="1">
        <f>[1]Results!AF1391</f>
        <v>15.78019833896025</v>
      </c>
      <c r="AD31" s="1">
        <f>[1]Results!AG1391</f>
        <v>15.668399847852777</v>
      </c>
      <c r="AE31" s="1">
        <f>[1]Results!AH1391</f>
        <v>15.446805137694344</v>
      </c>
      <c r="AF31" s="1">
        <f>[1]Results!AI1391</f>
        <v>15.126335462682761</v>
      </c>
      <c r="AG31" s="1">
        <f>[1]Results!AJ1391</f>
        <v>14.717324366648876</v>
      </c>
      <c r="AH31" s="1">
        <f>[1]Results!AK1391</f>
        <v>14.233792411049492</v>
      </c>
      <c r="AI31" s="1">
        <f>[1]Results!AL1391</f>
        <v>13.694262732007957</v>
      </c>
      <c r="AJ31" s="1">
        <f>[1]Results!AM1391</f>
        <v>13.117367037680117</v>
      </c>
      <c r="AK31" s="1">
        <f>[1]Results!AN1391</f>
        <v>12.52002520538238</v>
      </c>
      <c r="AL31" s="1">
        <f>[1]Results!AO1391</f>
        <v>11.917704451800892</v>
      </c>
    </row>
    <row r="32" spans="1:3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-2.7021829218654148E-8</v>
      </c>
      <c r="E32" s="1">
        <f>[1]Results!H1392</f>
        <v>0</v>
      </c>
      <c r="F32" s="1">
        <f>[1]Results!I1392</f>
        <v>-2.8804625351597224E-8</v>
      </c>
      <c r="G32" s="1">
        <f>[1]Results!J1392</f>
        <v>1.2472820554165764E-7</v>
      </c>
      <c r="H32" s="1">
        <f>[1]Results!K1392</f>
        <v>-5.787326173845031E-9</v>
      </c>
      <c r="I32" s="1">
        <f>[1]Results!L1392</f>
        <v>2.5632074240888869E-8</v>
      </c>
      <c r="J32" s="1">
        <f>[1]Results!M1392</f>
        <v>9.6070653292201769E-3</v>
      </c>
      <c r="K32" s="1">
        <f>[1]Results!N1392</f>
        <v>3.1447741497592219E-2</v>
      </c>
      <c r="L32" s="1">
        <f>[1]Results!O1392</f>
        <v>0.11524593190607169</v>
      </c>
      <c r="M32" s="1">
        <f>[1]Results!P1392</f>
        <v>0.23854782745846848</v>
      </c>
      <c r="N32" s="1">
        <f>[1]Results!Q1392</f>
        <v>0.40825550605319005</v>
      </c>
      <c r="O32" s="1">
        <f>[1]Results!R1392</f>
        <v>0.66683874171211688</v>
      </c>
      <c r="P32" s="1">
        <f>[1]Results!S1392</f>
        <v>0.96232826680484607</v>
      </c>
      <c r="Q32" s="1">
        <f>[1]Results!T1392</f>
        <v>1.2674908026596858</v>
      </c>
      <c r="R32" s="1">
        <f>[1]Results!U1392</f>
        <v>1.5677682095019305</v>
      </c>
      <c r="S32" s="1">
        <f>[1]Results!V1392</f>
        <v>1.8456716383152383</v>
      </c>
      <c r="T32" s="1">
        <f>[1]Results!W1392</f>
        <v>2.0813846576437367</v>
      </c>
      <c r="U32" s="1">
        <f>[1]Results!X1392</f>
        <v>2.3004350523658559</v>
      </c>
      <c r="V32" s="1">
        <f>[1]Results!Y1392</f>
        <v>2.507113425016307</v>
      </c>
      <c r="W32" s="1">
        <f>[1]Results!Z1392</f>
        <v>2.6975177956096719</v>
      </c>
      <c r="X32" s="1">
        <f>[1]Results!AA1392</f>
        <v>2.8579230010247212</v>
      </c>
      <c r="Y32" s="1">
        <f>[1]Results!AB1392</f>
        <v>2.9829660452356475</v>
      </c>
      <c r="Z32" s="1">
        <f>[1]Results!AC1392</f>
        <v>3.0729063025836751</v>
      </c>
      <c r="AA32" s="1">
        <f>[1]Results!AD1392</f>
        <v>3.1255452674861637</v>
      </c>
      <c r="AB32" s="1">
        <f>[1]Results!AE1392</f>
        <v>3.1388028988273753</v>
      </c>
      <c r="AC32" s="1">
        <f>[1]Results!AF1392</f>
        <v>3.0912884720811338</v>
      </c>
      <c r="AD32" s="1">
        <f>[1]Results!AG1392</f>
        <v>2.9766829332937395</v>
      </c>
      <c r="AE32" s="1">
        <f>[1]Results!AH1392</f>
        <v>2.8086266901906658</v>
      </c>
      <c r="AF32" s="1">
        <f>[1]Results!AI1392</f>
        <v>2.5910746748705193</v>
      </c>
      <c r="AG32" s="1">
        <f>[1]Results!AJ1392</f>
        <v>2.3233347386994563</v>
      </c>
      <c r="AH32" s="1">
        <f>[1]Results!AK1392</f>
        <v>1.9975183313680276</v>
      </c>
      <c r="AI32" s="1">
        <f>[1]Results!AL1392</f>
        <v>1.608101724265266</v>
      </c>
      <c r="AJ32" s="1">
        <f>[1]Results!AM1392</f>
        <v>1.1585818926373772</v>
      </c>
      <c r="AK32" s="1">
        <f>[1]Results!AN1392</f>
        <v>0.64685061930422982</v>
      </c>
      <c r="AL32" s="1">
        <f>[1]Results!AO1392</f>
        <v>6.3417667449838788E-2</v>
      </c>
    </row>
    <row r="33" spans="1:3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</row>
    <row r="34" spans="1:3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-2.7021829218654148E-8</v>
      </c>
      <c r="E34" s="1">
        <f>[1]Results!H1394</f>
        <v>0</v>
      </c>
      <c r="F34" s="1">
        <f>[1]Results!I1394</f>
        <v>-2.8804625351597224E-8</v>
      </c>
      <c r="G34" s="1">
        <f>[1]Results!J1394</f>
        <v>1.2472820554165764E-7</v>
      </c>
      <c r="H34" s="1">
        <f>[1]Results!K1394</f>
        <v>2.9007485302656733E-8</v>
      </c>
      <c r="I34" s="1">
        <f>[1]Results!L1394</f>
        <v>2.5632074240888869E-8</v>
      </c>
      <c r="J34" s="1">
        <f>[1]Results!M1394</f>
        <v>-6.3271619623384012E-2</v>
      </c>
      <c r="K34" s="1">
        <f>[1]Results!N1394</f>
        <v>-0.16001186732441663</v>
      </c>
      <c r="L34" s="1">
        <f>[1]Results!O1394</f>
        <v>-2.1547649456410412E-2</v>
      </c>
      <c r="M34" s="1">
        <f>[1]Results!P1394</f>
        <v>0.27594676214648395</v>
      </c>
      <c r="N34" s="1">
        <f>[1]Results!Q1394</f>
        <v>0.6504574413053188</v>
      </c>
      <c r="O34" s="1">
        <f>[1]Results!R1394</f>
        <v>1.0905127444001073</v>
      </c>
      <c r="P34" s="1">
        <f>[1]Results!S1394</f>
        <v>1.5278893560521256</v>
      </c>
      <c r="Q34" s="1">
        <f>[1]Results!T1394</f>
        <v>1.9448558258030593</v>
      </c>
      <c r="R34" s="1">
        <f>[1]Results!U1394</f>
        <v>2.3371405391847899</v>
      </c>
      <c r="S34" s="1">
        <f>[1]Results!V1394</f>
        <v>2.6865951763612941</v>
      </c>
      <c r="T34" s="1">
        <f>[1]Results!W1394</f>
        <v>2.9729129501636198</v>
      </c>
      <c r="U34" s="1">
        <f>[1]Results!X1394</f>
        <v>3.2224846994589811</v>
      </c>
      <c r="V34" s="1">
        <f>[1]Results!Y1394</f>
        <v>3.4428904638326383</v>
      </c>
      <c r="W34" s="1">
        <f>[1]Results!Z1394</f>
        <v>3.6350342920242973</v>
      </c>
      <c r="X34" s="1">
        <f>[1]Results!AA1394</f>
        <v>3.7905036178166096</v>
      </c>
      <c r="Y34" s="1">
        <f>[1]Results!AB1394</f>
        <v>3.9097160572857845</v>
      </c>
      <c r="Z34" s="1">
        <f>[1]Results!AC1394</f>
        <v>3.9986413190949293</v>
      </c>
      <c r="AA34" s="1">
        <f>[1]Results!AD1394</f>
        <v>4.0608951228057197</v>
      </c>
      <c r="AB34" s="1">
        <f>[1]Results!AE1394</f>
        <v>4.1001104733875202</v>
      </c>
      <c r="AC34" s="1">
        <f>[1]Results!AF1394</f>
        <v>4.1020428809960503</v>
      </c>
      <c r="AD34" s="1">
        <f>[1]Results!AG1394</f>
        <v>4.0678131515154092</v>
      </c>
      <c r="AE34" s="1">
        <f>[1]Results!AH1394</f>
        <v>4.018698173124859</v>
      </c>
      <c r="AF34" s="1">
        <f>[1]Results!AI1394</f>
        <v>3.9671540439567998</v>
      </c>
      <c r="AG34" s="1">
        <f>[1]Results!AJ1394</f>
        <v>3.9218891981263937</v>
      </c>
      <c r="AH34" s="1">
        <f>[1]Results!AK1394</f>
        <v>3.8859034151123879</v>
      </c>
      <c r="AI34" s="1">
        <f>[1]Results!AL1394</f>
        <v>3.8671855307693015</v>
      </c>
      <c r="AJ34" s="1">
        <f>[1]Results!AM1394</f>
        <v>3.886749271150757</v>
      </c>
      <c r="AK34" s="1">
        <f>[1]Results!AN1394</f>
        <v>3.9669292818809829</v>
      </c>
      <c r="AL34" s="1">
        <f>[1]Results!AO1394</f>
        <v>4.1343679562235724</v>
      </c>
    </row>
    <row r="35" spans="1:3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9.9932395691837428E-8</v>
      </c>
      <c r="D35" s="1">
        <f>[1]Results!G1395</f>
        <v>9.7960040079669852E-8</v>
      </c>
      <c r="E35" s="1">
        <f>[1]Results!H1395</f>
        <v>0</v>
      </c>
      <c r="F35" s="1">
        <f>[1]Results!I1395</f>
        <v>0</v>
      </c>
      <c r="G35" s="1">
        <f>[1]Results!J1395</f>
        <v>9.1858209927409007E-8</v>
      </c>
      <c r="H35" s="1">
        <f>[1]Results!K1395</f>
        <v>8.980307608652538E-8</v>
      </c>
      <c r="I35" s="1">
        <f>[1]Results!L1395</f>
        <v>0</v>
      </c>
      <c r="J35" s="1">
        <f>[1]Results!M1395</f>
        <v>0.4705574288528469</v>
      </c>
      <c r="K35" s="1">
        <f>[1]Results!N1395</f>
        <v>1.0669436173666558</v>
      </c>
      <c r="L35" s="1">
        <f>[1]Results!O1395</f>
        <v>1.8374662295937538</v>
      </c>
      <c r="M35" s="1">
        <f>[1]Results!P1395</f>
        <v>2.7911305882627468</v>
      </c>
      <c r="N35" s="1">
        <f>[1]Results!Q1395</f>
        <v>3.7554606603888097</v>
      </c>
      <c r="O35" s="1">
        <f>[1]Results!R1395</f>
        <v>4.7046171639669954</v>
      </c>
      <c r="P35" s="1">
        <f>[1]Results!S1395</f>
        <v>5.6240623419750113</v>
      </c>
      <c r="Q35" s="1">
        <f>[1]Results!T1395</f>
        <v>6.5026516402566514</v>
      </c>
      <c r="R35" s="1">
        <f>[1]Results!U1395</f>
        <v>7.328001193122291</v>
      </c>
      <c r="S35" s="1">
        <f>[1]Results!V1395</f>
        <v>8.1726430613693335</v>
      </c>
      <c r="T35" s="1">
        <f>[1]Results!W1395</f>
        <v>9.0171750683596841</v>
      </c>
      <c r="U35" s="1">
        <f>[1]Results!X1395</f>
        <v>9.8346253366178296</v>
      </c>
      <c r="V35" s="1">
        <f>[1]Results!Y1395</f>
        <v>10.602730165899032</v>
      </c>
      <c r="W35" s="1">
        <f>[1]Results!Z1395</f>
        <v>11.305160827765892</v>
      </c>
      <c r="X35" s="1">
        <f>[1]Results!AA1395</f>
        <v>11.933566753591851</v>
      </c>
      <c r="Y35" s="1">
        <f>[1]Results!AB1395</f>
        <v>12.482723126177152</v>
      </c>
      <c r="Z35" s="1">
        <f>[1]Results!AC1395</f>
        <v>12.944588883826036</v>
      </c>
      <c r="AA35" s="1">
        <f>[1]Results!AD1395</f>
        <v>13.312804867711115</v>
      </c>
      <c r="AB35" s="1">
        <f>[1]Results!AE1395</f>
        <v>13.584825203273576</v>
      </c>
      <c r="AC35" s="1">
        <f>[1]Results!AF1395</f>
        <v>13.776014691614247</v>
      </c>
      <c r="AD35" s="1">
        <f>[1]Results!AG1395</f>
        <v>13.909015655027002</v>
      </c>
      <c r="AE35" s="1">
        <f>[1]Results!AH1395</f>
        <v>13.992898351760008</v>
      </c>
      <c r="AF35" s="1">
        <f>[1]Results!AI1395</f>
        <v>14.037582524020076</v>
      </c>
      <c r="AG35" s="1">
        <f>[1]Results!AJ1395</f>
        <v>14.056318934131639</v>
      </c>
      <c r="AH35" s="1">
        <f>[1]Results!AK1395</f>
        <v>14.071507163690944</v>
      </c>
      <c r="AI35" s="1">
        <f>[1]Results!AL1395</f>
        <v>14.11097593017403</v>
      </c>
      <c r="AJ35" s="1">
        <f>[1]Results!AM1395</f>
        <v>14.199618601917408</v>
      </c>
      <c r="AK35" s="1">
        <f>[1]Results!AN1395</f>
        <v>14.366669081066519</v>
      </c>
      <c r="AL35" s="1">
        <f>[1]Results!AO1395</f>
        <v>14.651613774563433</v>
      </c>
    </row>
    <row r="36" spans="1:3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9.7968411161275526E-8</v>
      </c>
      <c r="E36" s="1">
        <f>[1]Results!H1396</f>
        <v>9.6026075979693815E-8</v>
      </c>
      <c r="F36" s="1">
        <f>[1]Results!I1396</f>
        <v>0</v>
      </c>
      <c r="G36" s="1">
        <f>[1]Results!J1396</f>
        <v>0</v>
      </c>
      <c r="H36" s="1">
        <f>[1]Results!K1396</f>
        <v>0</v>
      </c>
      <c r="I36" s="1">
        <f>[1]Results!L1396</f>
        <v>8.8101037576393537E-8</v>
      </c>
      <c r="J36" s="1">
        <f>[1]Results!M1396</f>
        <v>0.6105347153481322</v>
      </c>
      <c r="K36" s="1">
        <f>[1]Results!N1396</f>
        <v>1.3522675948156593</v>
      </c>
      <c r="L36" s="1">
        <f>[1]Results!O1396</f>
        <v>2.275973227041872</v>
      </c>
      <c r="M36" s="1">
        <f>[1]Results!P1396</f>
        <v>3.3724916540145644</v>
      </c>
      <c r="N36" s="1">
        <f>[1]Results!Q1396</f>
        <v>4.4053333188627031</v>
      </c>
      <c r="O36" s="1">
        <f>[1]Results!R1396</f>
        <v>5.3419510475583243</v>
      </c>
      <c r="P36" s="1">
        <f>[1]Results!S1396</f>
        <v>6.1900657580075125</v>
      </c>
      <c r="Q36" s="1">
        <f>[1]Results!T1396</f>
        <v>6.9573690370846153</v>
      </c>
      <c r="R36" s="1">
        <f>[1]Results!U1396</f>
        <v>7.6462056619988283</v>
      </c>
      <c r="S36" s="1">
        <f>[1]Results!V1396</f>
        <v>8.3666148913701157</v>
      </c>
      <c r="T36" s="1">
        <f>[1]Results!W1396</f>
        <v>9.1057969874018383</v>
      </c>
      <c r="U36" s="1">
        <f>[1]Results!X1396</f>
        <v>9.8283434052848229</v>
      </c>
      <c r="V36" s="1">
        <f>[1]Results!Y1396</f>
        <v>10.507651999963663</v>
      </c>
      <c r="W36" s="1">
        <f>[1]Results!Z1396</f>
        <v>11.124769785599998</v>
      </c>
      <c r="X36" s="1">
        <f>[1]Results!AA1396</f>
        <v>11.672959801066462</v>
      </c>
      <c r="Y36" s="1">
        <f>[1]Results!AB1396</f>
        <v>12.146723787574709</v>
      </c>
      <c r="Z36" s="1">
        <f>[1]Results!AC1396</f>
        <v>12.534183544517941</v>
      </c>
      <c r="AA36" s="1">
        <f>[1]Results!AD1396</f>
        <v>12.826679329038049</v>
      </c>
      <c r="AB36" s="1">
        <f>[1]Results!AE1396</f>
        <v>13.019973886259063</v>
      </c>
      <c r="AC36" s="1">
        <f>[1]Results!AF1396</f>
        <v>13.138794195554148</v>
      </c>
      <c r="AD36" s="1">
        <f>[1]Results!AG1396</f>
        <v>13.210646819431693</v>
      </c>
      <c r="AE36" s="1">
        <f>[1]Results!AH1396</f>
        <v>13.235404198209233</v>
      </c>
      <c r="AF36" s="1">
        <f>[1]Results!AI1396</f>
        <v>13.216999200115986</v>
      </c>
      <c r="AG36" s="1">
        <f>[1]Results!AJ1396</f>
        <v>13.163263921172064</v>
      </c>
      <c r="AH36" s="1">
        <f>[1]Results!AK1396</f>
        <v>13.094808400468372</v>
      </c>
      <c r="AI36" s="1">
        <f>[1]Results!AL1396</f>
        <v>13.035901090664503</v>
      </c>
      <c r="AJ36" s="1">
        <f>[1]Results!AM1396</f>
        <v>13.000374685189398</v>
      </c>
      <c r="AK36" s="1">
        <f>[1]Results!AN1396</f>
        <v>13.004428272026459</v>
      </c>
      <c r="AL36" s="1">
        <f>[1]Results!AO1396</f>
        <v>13.069933115227549</v>
      </c>
    </row>
    <row r="37" spans="1:3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0.58298313371418775</v>
      </c>
      <c r="K37" s="1">
        <f>[1]Results!N1397</f>
        <v>1.1515608913007069</v>
      </c>
      <c r="L37" s="1">
        <f>[1]Results!O1397</f>
        <v>1.7818994704471791</v>
      </c>
      <c r="M37" s="1">
        <f>[1]Results!P1397</f>
        <v>2.4638048333529561</v>
      </c>
      <c r="N37" s="1">
        <f>[1]Results!Q1397</f>
        <v>2.989453820837018</v>
      </c>
      <c r="O37" s="1">
        <f>[1]Results!R1397</f>
        <v>3.27511274332839</v>
      </c>
      <c r="P37" s="1">
        <f>[1]Results!S1397</f>
        <v>3.4216676077224006</v>
      </c>
      <c r="Q37" s="1">
        <f>[1]Results!T1397</f>
        <v>3.4719541537292065</v>
      </c>
      <c r="R37" s="1">
        <f>[1]Results!U1397</f>
        <v>3.4467973238613503</v>
      </c>
      <c r="S37" s="1">
        <f>[1]Results!V1397</f>
        <v>3.489945633488456</v>
      </c>
      <c r="T37" s="1">
        <f>[1]Results!W1397</f>
        <v>3.5935145826651915</v>
      </c>
      <c r="U37" s="1">
        <f>[1]Results!X1397</f>
        <v>3.6992144060463472</v>
      </c>
      <c r="V37" s="1">
        <f>[1]Results!Y1397</f>
        <v>3.7907538180641076</v>
      </c>
      <c r="W37" s="1">
        <f>[1]Results!Z1397</f>
        <v>3.8628119818972406</v>
      </c>
      <c r="X37" s="1">
        <f>[1]Results!AA1397</f>
        <v>3.9314839240121691</v>
      </c>
      <c r="Y37" s="1">
        <f>[1]Results!AB1397</f>
        <v>3.9965094807949297</v>
      </c>
      <c r="Z37" s="1">
        <f>[1]Results!AC1397</f>
        <v>4.0320386340177317</v>
      </c>
      <c r="AA37" s="1">
        <f>[1]Results!AD1397</f>
        <v>4.0285963567676442</v>
      </c>
      <c r="AB37" s="1">
        <f>[1]Results!AE1397</f>
        <v>3.9838117752452051</v>
      </c>
      <c r="AC37" s="1">
        <f>[1]Results!AF1397</f>
        <v>3.9682992940531792</v>
      </c>
      <c r="AD37" s="1">
        <f>[1]Results!AG1397</f>
        <v>4.0155723532105059</v>
      </c>
      <c r="AE37" s="1">
        <f>[1]Results!AH1397</f>
        <v>4.0678411423682226</v>
      </c>
      <c r="AF37" s="1">
        <f>[1]Results!AI1397</f>
        <v>4.1111722318514454</v>
      </c>
      <c r="AG37" s="1">
        <f>[1]Results!AJ1397</f>
        <v>4.1431948084255321</v>
      </c>
      <c r="AH37" s="1">
        <f>[1]Results!AK1397</f>
        <v>4.1935656584748848</v>
      </c>
      <c r="AI37" s="1">
        <f>[1]Results!AL1397</f>
        <v>4.2833971764170364</v>
      </c>
      <c r="AJ37" s="1">
        <f>[1]Results!AM1397</f>
        <v>4.3914233430832894</v>
      </c>
      <c r="AK37" s="1">
        <f>[1]Results!AN1397</f>
        <v>4.510944624188773</v>
      </c>
      <c r="AL37" s="1">
        <f>[1]Results!AO1397</f>
        <v>4.6410539539595064</v>
      </c>
    </row>
    <row r="38" spans="1:3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0</v>
      </c>
      <c r="E38" s="1">
        <f>[1]Results!H1398</f>
        <v>0</v>
      </c>
      <c r="F38" s="1">
        <f>[1]Results!I1398</f>
        <v>2.2081092510006783E-8</v>
      </c>
      <c r="G38" s="1">
        <f>[1]Results!J1398</f>
        <v>4.2712544612300007E-8</v>
      </c>
      <c r="H38" s="1">
        <f>[1]Results!K1398</f>
        <v>6.1919291916012753E-8</v>
      </c>
      <c r="I38" s="1">
        <f>[1]Results!L1398</f>
        <v>5.9793392459539518E-8</v>
      </c>
      <c r="J38" s="1">
        <f>[1]Results!M1398</f>
        <v>-1.0809148584678407E-2</v>
      </c>
      <c r="K38" s="1">
        <f>[1]Results!N1398</f>
        <v>0.21498934759922594</v>
      </c>
      <c r="L38" s="1">
        <f>[1]Results!O1398</f>
        <v>0.6820325036222652</v>
      </c>
      <c r="M38" s="1">
        <f>[1]Results!P1398</f>
        <v>1.3741823455651225</v>
      </c>
      <c r="N38" s="1">
        <f>[1]Results!Q1398</f>
        <v>2.2668828834242039</v>
      </c>
      <c r="O38" s="1">
        <f>[1]Results!R1398</f>
        <v>3.2552625459685069</v>
      </c>
      <c r="P38" s="1">
        <f>[1]Results!S1398</f>
        <v>4.2740854437291809</v>
      </c>
      <c r="Q38" s="1">
        <f>[1]Results!T1398</f>
        <v>5.2852422123330189</v>
      </c>
      <c r="R38" s="1">
        <f>[1]Results!U1398</f>
        <v>6.2644731661660069</v>
      </c>
      <c r="S38" s="1">
        <f>[1]Results!V1398</f>
        <v>7.1912432039993979</v>
      </c>
      <c r="T38" s="1">
        <f>[1]Results!W1398</f>
        <v>8.0888701899642932</v>
      </c>
      <c r="U38" s="1">
        <f>[1]Results!X1398</f>
        <v>8.9631442482064561</v>
      </c>
      <c r="V38" s="1">
        <f>[1]Results!Y1398</f>
        <v>9.8070418396785328</v>
      </c>
      <c r="W38" s="1">
        <f>[1]Results!Z1398</f>
        <v>10.607971497997193</v>
      </c>
      <c r="X38" s="1">
        <f>[1]Results!AA1398</f>
        <v>11.352054634833886</v>
      </c>
      <c r="Y38" s="1">
        <f>[1]Results!AB1398</f>
        <v>12.028590101731517</v>
      </c>
      <c r="Z38" s="1">
        <f>[1]Results!AC1398</f>
        <v>12.629784612347628</v>
      </c>
      <c r="AA38" s="1">
        <f>[1]Results!AD1398</f>
        <v>13.148692529329065</v>
      </c>
      <c r="AB38" s="1">
        <f>[1]Results!AE1398</f>
        <v>13.580097756205411</v>
      </c>
      <c r="AC38" s="1">
        <f>[1]Results!AF1398</f>
        <v>13.921443241686049</v>
      </c>
      <c r="AD38" s="1">
        <f>[1]Results!AG1398</f>
        <v>14.179454751036502</v>
      </c>
      <c r="AE38" s="1">
        <f>[1]Results!AH1398</f>
        <v>14.369205561873022</v>
      </c>
      <c r="AF38" s="1">
        <f>[1]Results!AI1398</f>
        <v>14.505905744676785</v>
      </c>
      <c r="AG38" s="1">
        <f>[1]Results!AJ1398</f>
        <v>14.605466380962584</v>
      </c>
      <c r="AH38" s="1">
        <f>[1]Results!AK1398</f>
        <v>14.686146960188108</v>
      </c>
      <c r="AI38" s="1">
        <f>[1]Results!AL1398</f>
        <v>14.772189788043843</v>
      </c>
      <c r="AJ38" s="1">
        <f>[1]Results!AM1398</f>
        <v>14.894772751042563</v>
      </c>
      <c r="AK38" s="1">
        <f>[1]Results!AN1398</f>
        <v>15.090125629882746</v>
      </c>
      <c r="AL38" s="1">
        <f>[1]Results!AO1398</f>
        <v>15.402589743529482</v>
      </c>
    </row>
    <row r="39" spans="1:3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-9.7895791473234794E-8</v>
      </c>
      <c r="E39" s="1">
        <f>[1]Results!H1399</f>
        <v>0</v>
      </c>
      <c r="F39" s="1">
        <f>[1]Results!I1399</f>
        <v>-7.1884054264614861E-8</v>
      </c>
      <c r="G39" s="1">
        <f>[1]Results!J1399</f>
        <v>4.2712544612300007E-8</v>
      </c>
      <c r="H39" s="1">
        <f>[1]Results!K1399</f>
        <v>-2.8276081476263926E-8</v>
      </c>
      <c r="I39" s="1">
        <f>[1]Results!L1399</f>
        <v>-2.8428503995314713E-8</v>
      </c>
      <c r="J39" s="1">
        <f>[1]Results!M1399</f>
        <v>-0.89529371011107806</v>
      </c>
      <c r="K39" s="1">
        <f>[1]Results!N1399</f>
        <v>-1.4297532931541568</v>
      </c>
      <c r="L39" s="1">
        <f>[1]Results!O1399</f>
        <v>-1.8380489833938807</v>
      </c>
      <c r="M39" s="1">
        <f>[1]Results!P1399</f>
        <v>-2.1454241054077561</v>
      </c>
      <c r="N39" s="1">
        <f>[1]Results!Q1399</f>
        <v>-2.108867722035257</v>
      </c>
      <c r="O39" s="1">
        <f>[1]Results!R1399</f>
        <v>-1.9429387741594972</v>
      </c>
      <c r="P39" s="1">
        <f>[1]Results!S1399</f>
        <v>-1.7137955533909621</v>
      </c>
      <c r="Q39" s="1">
        <f>[1]Results!T1399</f>
        <v>-1.4521623742223877</v>
      </c>
      <c r="R39" s="1">
        <f>[1]Results!U1399</f>
        <v>-1.1710730919310297</v>
      </c>
      <c r="S39" s="1">
        <f>[1]Results!V1399</f>
        <v>-1.0080969553902475</v>
      </c>
      <c r="T39" s="1">
        <f>[1]Results!W1399</f>
        <v>-0.86810006751746327</v>
      </c>
      <c r="U39" s="1">
        <f>[1]Results!X1399</f>
        <v>-0.71677976471327121</v>
      </c>
      <c r="V39" s="1">
        <f>[1]Results!Y1399</f>
        <v>-0.54229048112058864</v>
      </c>
      <c r="W39" s="1">
        <f>[1]Results!Z1399</f>
        <v>-0.34375146757701369</v>
      </c>
      <c r="X39" s="1">
        <f>[1]Results!AA1399</f>
        <v>-0.12967723447664392</v>
      </c>
      <c r="Y39" s="1">
        <f>[1]Results!AB1399</f>
        <v>9.4781742917526834E-2</v>
      </c>
      <c r="Z39" s="1">
        <f>[1]Results!AC1399</f>
        <v>0.3321168714038425</v>
      </c>
      <c r="AA39" s="1">
        <f>[1]Results!AD1399</f>
        <v>0.58231375662014528</v>
      </c>
      <c r="AB39" s="1">
        <f>[1]Results!AE1399</f>
        <v>0.84338047360359436</v>
      </c>
      <c r="AC39" s="1">
        <f>[1]Results!AF1399</f>
        <v>1.0937486006945329</v>
      </c>
      <c r="AD39" s="1">
        <f>[1]Results!AG1399</f>
        <v>1.320183840668121</v>
      </c>
      <c r="AE39" s="1">
        <f>[1]Results!AH1399</f>
        <v>1.5368031854102737</v>
      </c>
      <c r="AF39" s="1">
        <f>[1]Results!AI1399</f>
        <v>1.751135549043803</v>
      </c>
      <c r="AG39" s="1">
        <f>[1]Results!AJ1399</f>
        <v>1.9676112222136277</v>
      </c>
      <c r="AH39" s="1">
        <f>[1]Results!AK1399</f>
        <v>2.1827817259572946</v>
      </c>
      <c r="AI39" s="1">
        <f>[1]Results!AL1399</f>
        <v>2.3963964472970112</v>
      </c>
      <c r="AJ39" s="1">
        <f>[1]Results!AM1399</f>
        <v>2.6223825153124158</v>
      </c>
      <c r="AK39" s="1">
        <f>[1]Results!AN1399</f>
        <v>2.8755338853188483</v>
      </c>
      <c r="AL39" s="1">
        <f>[1]Results!AO1399</f>
        <v>3.1722547800240974</v>
      </c>
    </row>
    <row r="40" spans="1:3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0</v>
      </c>
      <c r="E40" s="1">
        <f>[1]Results!H1400</f>
        <v>1.7905876781298957E-8</v>
      </c>
      <c r="F40" s="1">
        <f>[1]Results!I1400</f>
        <v>1.733782006851925E-8</v>
      </c>
      <c r="G40" s="1">
        <f>[1]Results!J1400</f>
        <v>3.3537395083271804E-8</v>
      </c>
      <c r="H40" s="1">
        <f>[1]Results!K1400</f>
        <v>4.8618287173951558E-8</v>
      </c>
      <c r="I40" s="1">
        <f>[1]Results!L1400</f>
        <v>7.8248429957739063E-8</v>
      </c>
      <c r="J40" s="1">
        <f>[1]Results!M1400</f>
        <v>-1.0809152180712989E-2</v>
      </c>
      <c r="K40" s="1">
        <f>[1]Results!N1400</f>
        <v>0.21498934416446236</v>
      </c>
      <c r="L40" s="1">
        <f>[1]Results!O1400</f>
        <v>0.68203250858895892</v>
      </c>
      <c r="M40" s="1">
        <f>[1]Results!P1400</f>
        <v>1.3741823630196714</v>
      </c>
      <c r="N40" s="1">
        <f>[1]Results!Q1400</f>
        <v>2.2668828814893072</v>
      </c>
      <c r="O40" s="1">
        <f>[1]Results!R1400</f>
        <v>3.25526253572197</v>
      </c>
      <c r="P40" s="1">
        <f>[1]Results!S1400</f>
        <v>4.2740854275433726</v>
      </c>
      <c r="Q40" s="1">
        <f>[1]Results!T1400</f>
        <v>5.2852422181587588</v>
      </c>
      <c r="R40" s="1">
        <f>[1]Results!U1400</f>
        <v>6.2644731622534033</v>
      </c>
      <c r="S40" s="1">
        <f>[1]Results!V1400</f>
        <v>7.1912431929632481</v>
      </c>
      <c r="T40" s="1">
        <f>[1]Results!W1400</f>
        <v>8.0888701520229986</v>
      </c>
      <c r="U40" s="1">
        <f>[1]Results!X1400</f>
        <v>8.9631442353042203</v>
      </c>
      <c r="V40" s="1">
        <f>[1]Results!Y1400</f>
        <v>9.8070418339765162</v>
      </c>
      <c r="W40" s="1">
        <f>[1]Results!Z1400</f>
        <v>10.607971501811853</v>
      </c>
      <c r="X40" s="1">
        <f>[1]Results!AA1400</f>
        <v>11.352054613558282</v>
      </c>
      <c r="Y40" s="1">
        <f>[1]Results!AB1400</f>
        <v>12.028590086829482</v>
      </c>
      <c r="Z40" s="1">
        <f>[1]Results!AC1400</f>
        <v>12.629784552906509</v>
      </c>
      <c r="AA40" s="1">
        <f>[1]Results!AD1400</f>
        <v>13.148692505283034</v>
      </c>
      <c r="AB40" s="1">
        <f>[1]Results!AE1400</f>
        <v>13.58009774792437</v>
      </c>
      <c r="AC40" s="1">
        <f>[1]Results!AF1400</f>
        <v>13.921443207898299</v>
      </c>
      <c r="AD40" s="1">
        <f>[1]Results!AG1400</f>
        <v>14.179454767761634</v>
      </c>
      <c r="AE40" s="1">
        <f>[1]Results!AH1400</f>
        <v>14.369205589005452</v>
      </c>
      <c r="AF40" s="1">
        <f>[1]Results!AI1400</f>
        <v>14.505905667089625</v>
      </c>
      <c r="AG40" s="1">
        <f>[1]Results!AJ1400</f>
        <v>14.605466326030903</v>
      </c>
      <c r="AH40" s="1">
        <f>[1]Results!AK1400</f>
        <v>14.686146977027459</v>
      </c>
      <c r="AI40" s="1">
        <f>[1]Results!AL1400</f>
        <v>14.772189686722225</v>
      </c>
      <c r="AJ40" s="1">
        <f>[1]Results!AM1400</f>
        <v>14.894772750344941</v>
      </c>
      <c r="AK40" s="1">
        <f>[1]Results!AN1400</f>
        <v>15.090125574292257</v>
      </c>
      <c r="AL40" s="1">
        <f>[1]Results!AO1400</f>
        <v>15.402589730633043</v>
      </c>
    </row>
    <row r="41" spans="1:3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-9.8058272612888686E-8</v>
      </c>
      <c r="E41" s="1">
        <f>[1]Results!H1401</f>
        <v>1.7905876781298957E-8</v>
      </c>
      <c r="F41" s="1">
        <f>[1]Results!I1401</f>
        <v>1.733782006851925E-8</v>
      </c>
      <c r="G41" s="1">
        <f>[1]Results!J1401</f>
        <v>-5.8168514449619124E-8</v>
      </c>
      <c r="H41" s="1">
        <f>[1]Results!K1401</f>
        <v>-4.0864045480759614E-8</v>
      </c>
      <c r="I41" s="1">
        <f>[1]Results!L1401</f>
        <v>7.8248429957739063E-8</v>
      </c>
      <c r="J41" s="1">
        <f>[1]Results!M1401</f>
        <v>8.3442222834606561E-2</v>
      </c>
      <c r="K41" s="1">
        <f>[1]Results!N1401</f>
        <v>3.3795021588955976E-3</v>
      </c>
      <c r="L41" s="1">
        <f>[1]Results!O1401</f>
        <v>-5.4742064095869569E-2</v>
      </c>
      <c r="M41" s="1">
        <f>[1]Results!P1401</f>
        <v>-0.11392891970144481</v>
      </c>
      <c r="N41" s="1">
        <f>[1]Results!Q1401</f>
        <v>-0.19706767923647339</v>
      </c>
      <c r="O41" s="1">
        <f>[1]Results!R1401</f>
        <v>-0.21354467431443647</v>
      </c>
      <c r="P41" s="1">
        <f>[1]Results!S1401</f>
        <v>-0.19334266208701489</v>
      </c>
      <c r="Q41" s="1">
        <f>[1]Results!T1401</f>
        <v>-0.1546743276504059</v>
      </c>
      <c r="R41" s="1">
        <f>[1]Results!U1401</f>
        <v>-0.1043131468034586</v>
      </c>
      <c r="S41" s="1">
        <f>[1]Results!V1401</f>
        <v>-2.6436831185883136E-2</v>
      </c>
      <c r="T41" s="1">
        <f>[1]Results!W1401</f>
        <v>2.641757985035742E-2</v>
      </c>
      <c r="U41" s="1">
        <f>[1]Results!X1401</f>
        <v>7.8659245088785745E-2</v>
      </c>
      <c r="V41" s="1">
        <f>[1]Results!Y1401</f>
        <v>0.14438349122847249</v>
      </c>
      <c r="W41" s="1">
        <f>[1]Results!Z1401</f>
        <v>0.22804443630384252</v>
      </c>
      <c r="X41" s="1">
        <f>[1]Results!AA1401</f>
        <v>0.32732692918329143</v>
      </c>
      <c r="Y41" s="1">
        <f>[1]Results!AB1401</f>
        <v>0.43786294826526628</v>
      </c>
      <c r="Z41" s="1">
        <f>[1]Results!AC1401</f>
        <v>0.55728104763477226</v>
      </c>
      <c r="AA41" s="1">
        <f>[1]Results!AD1401</f>
        <v>0.68422618490984188</v>
      </c>
      <c r="AB41" s="1">
        <f>[1]Results!AE1401</f>
        <v>0.81656915919567918</v>
      </c>
      <c r="AC41" s="1">
        <f>[1]Results!AF1401</f>
        <v>0.94496670330772581</v>
      </c>
      <c r="AD41" s="1">
        <f>[1]Results!AG1401</f>
        <v>1.0568518751718159</v>
      </c>
      <c r="AE41" s="1">
        <f>[1]Results!AH1401</f>
        <v>1.1481715386740587</v>
      </c>
      <c r="AF41" s="1">
        <f>[1]Results!AI1401</f>
        <v>1.2199626171629951</v>
      </c>
      <c r="AG41" s="1">
        <f>[1]Results!AJ1401</f>
        <v>1.2714695774972862</v>
      </c>
      <c r="AH41" s="1">
        <f>[1]Results!AK1401</f>
        <v>1.2987944703594101</v>
      </c>
      <c r="AI41" s="1">
        <f>[1]Results!AL1401</f>
        <v>1.2965647285565263</v>
      </c>
      <c r="AJ41" s="1">
        <f>[1]Results!AM1401</f>
        <v>1.262869378186493</v>
      </c>
      <c r="AK41" s="1">
        <f>[1]Results!AN1401</f>
        <v>1.1979241272890295</v>
      </c>
      <c r="AL41" s="1">
        <f>[1]Results!AO1401</f>
        <v>1.0995751021987576</v>
      </c>
    </row>
    <row r="42" spans="1:3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0</v>
      </c>
      <c r="E42" s="1">
        <f>[1]Results!H1402</f>
        <v>0</v>
      </c>
      <c r="F42" s="1">
        <f>[1]Results!I1402</f>
        <v>0</v>
      </c>
      <c r="G42" s="1">
        <f>[1]Results!J1402</f>
        <v>0</v>
      </c>
      <c r="H42" s="1">
        <f>[1]Results!K1402</f>
        <v>3.4794811476501764E-8</v>
      </c>
      <c r="I42" s="1">
        <f>[1]Results!L1402</f>
        <v>0</v>
      </c>
      <c r="J42" s="1">
        <f>[1]Results!M1402</f>
        <v>-7.2878684952604189E-2</v>
      </c>
      <c r="K42" s="1">
        <f>[1]Results!N1402</f>
        <v>-0.19145960882200885</v>
      </c>
      <c r="L42" s="1">
        <f>[1]Results!O1402</f>
        <v>-0.1367935813624821</v>
      </c>
      <c r="M42" s="1">
        <f>[1]Results!P1402</f>
        <v>3.7398934688015473E-2</v>
      </c>
      <c r="N42" s="1">
        <f>[1]Results!Q1402</f>
        <v>0.24220193525212874</v>
      </c>
      <c r="O42" s="1">
        <f>[1]Results!R1402</f>
        <v>0.42367400268799038</v>
      </c>
      <c r="P42" s="1">
        <f>[1]Results!S1402</f>
        <v>0.56556108924727955</v>
      </c>
      <c r="Q42" s="1">
        <f>[1]Results!T1402</f>
        <v>0.67736502314337255</v>
      </c>
      <c r="R42" s="1">
        <f>[1]Results!U1402</f>
        <v>0.76937232968286029</v>
      </c>
      <c r="S42" s="1">
        <f>[1]Results!V1402</f>
        <v>0.84092353804605668</v>
      </c>
      <c r="T42" s="1">
        <f>[1]Results!W1402</f>
        <v>0.89152829251988308</v>
      </c>
      <c r="U42" s="1">
        <f>[1]Results!X1402</f>
        <v>0.92204964709312609</v>
      </c>
      <c r="V42" s="1">
        <f>[1]Results!Y1402</f>
        <v>0.93577703881633223</v>
      </c>
      <c r="W42" s="1">
        <f>[1]Results!Z1402</f>
        <v>0.93751649641462542</v>
      </c>
      <c r="X42" s="1">
        <f>[1]Results!AA1402</f>
        <v>0.93258061679188931</v>
      </c>
      <c r="Y42" s="1">
        <f>[1]Results!AB1402</f>
        <v>0.92675001205013707</v>
      </c>
      <c r="Z42" s="1">
        <f>[1]Results!AC1402</f>
        <v>0.92573501651125323</v>
      </c>
      <c r="AA42" s="1">
        <f>[1]Results!AD1402</f>
        <v>0.93534985531955606</v>
      </c>
      <c r="AB42" s="1">
        <f>[1]Results!AE1402</f>
        <v>0.96130757456014404</v>
      </c>
      <c r="AC42" s="1">
        <f>[1]Results!AF1402</f>
        <v>1.0107544089149156</v>
      </c>
      <c r="AD42" s="1">
        <f>[1]Results!AG1402</f>
        <v>1.0911302182216698</v>
      </c>
      <c r="AE42" s="1">
        <f>[1]Results!AH1402</f>
        <v>1.2100714829341941</v>
      </c>
      <c r="AF42" s="1">
        <f>[1]Results!AI1402</f>
        <v>1.3760793690862805</v>
      </c>
      <c r="AG42" s="1">
        <f>[1]Results!AJ1402</f>
        <v>1.5985544594269374</v>
      </c>
      <c r="AH42" s="1">
        <f>[1]Results!AK1402</f>
        <v>1.8883850837443594</v>
      </c>
      <c r="AI42" s="1">
        <f>[1]Results!AL1402</f>
        <v>2.2590838065040364</v>
      </c>
      <c r="AJ42" s="1">
        <f>[1]Results!AM1402</f>
        <v>2.7281673785133798</v>
      </c>
      <c r="AK42" s="1">
        <f>[1]Results!AN1402</f>
        <v>3.3200786625767531</v>
      </c>
      <c r="AL42" s="1">
        <f>[1]Results!AO1402</f>
        <v>4.0709502887737337</v>
      </c>
    </row>
    <row r="43" spans="1:3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0</v>
      </c>
      <c r="E43" s="1">
        <f>[1]Results!H1403</f>
        <v>0</v>
      </c>
      <c r="F43" s="1">
        <f>[1]Results!I1403</f>
        <v>0</v>
      </c>
      <c r="G43" s="1">
        <f>[1]Results!J1403</f>
        <v>0</v>
      </c>
      <c r="H43" s="1">
        <f>[1]Results!K1403</f>
        <v>9.9999997473787516E-6</v>
      </c>
      <c r="I43" s="1">
        <f>[1]Results!L1403</f>
        <v>0</v>
      </c>
      <c r="J43" s="1">
        <f>[1]Results!M1403</f>
        <v>-21.504289999997127</v>
      </c>
      <c r="K43" s="1">
        <f>[1]Results!N1403</f>
        <v>-57.22617000000173</v>
      </c>
      <c r="L43" s="1">
        <f>[1]Results!O1403</f>
        <v>-41.403000000002066</v>
      </c>
      <c r="M43" s="1">
        <f>[1]Results!P1403</f>
        <v>11.458439999998518</v>
      </c>
      <c r="N43" s="1">
        <f>[1]Results!Q1403</f>
        <v>74.965530000001309</v>
      </c>
      <c r="O43" s="1">
        <f>[1]Results!R1403</f>
        <v>132.15766000000076</v>
      </c>
      <c r="P43" s="1">
        <f>[1]Results!S1403</f>
        <v>177.38808000000063</v>
      </c>
      <c r="Q43" s="1">
        <f>[1]Results!T1403</f>
        <v>213.2233899999992</v>
      </c>
      <c r="R43" s="1">
        <f>[1]Results!U1403</f>
        <v>242.73228999999992</v>
      </c>
      <c r="S43" s="1">
        <f>[1]Results!V1403</f>
        <v>265.71518000000287</v>
      </c>
      <c r="T43" s="1">
        <f>[1]Results!W1403</f>
        <v>282.11007999999856</v>
      </c>
      <c r="U43" s="1">
        <f>[1]Results!X1403</f>
        <v>292.30079000000114</v>
      </c>
      <c r="V43" s="1">
        <f>[1]Results!Y1403</f>
        <v>297.41035999999804</v>
      </c>
      <c r="W43" s="1">
        <f>[1]Results!Z1403</f>
        <v>298.93917999999758</v>
      </c>
      <c r="X43" s="1">
        <f>[1]Results!AA1403</f>
        <v>298.67861000000266</v>
      </c>
      <c r="Y43" s="1">
        <f>[1]Results!AB1403</f>
        <v>298.49692000000141</v>
      </c>
      <c r="Z43" s="1">
        <f>[1]Results!AC1403</f>
        <v>300.25547999999981</v>
      </c>
      <c r="AA43" s="1">
        <f>[1]Results!AD1403</f>
        <v>305.88404999999693</v>
      </c>
      <c r="AB43" s="1">
        <f>[1]Results!AE1403</f>
        <v>317.15419000000111</v>
      </c>
      <c r="AC43" s="1">
        <f>[1]Results!AF1403</f>
        <v>336.72467999999935</v>
      </c>
      <c r="AD43" s="1">
        <f>[1]Results!AG1403</f>
        <v>367.39053000000422</v>
      </c>
      <c r="AE43" s="1">
        <f>[1]Results!AH1403</f>
        <v>412.16412000000128</v>
      </c>
      <c r="AF43" s="1">
        <f>[1]Results!AI1403</f>
        <v>474.49075000000448</v>
      </c>
      <c r="AG43" s="1">
        <f>[1]Results!AJ1403</f>
        <v>558.26391000000149</v>
      </c>
      <c r="AH43" s="1">
        <f>[1]Results!AK1403</f>
        <v>668.0439899999983</v>
      </c>
      <c r="AI43" s="1">
        <f>[1]Results!AL1403</f>
        <v>809.47712999999931</v>
      </c>
      <c r="AJ43" s="1">
        <f>[1]Results!AM1403</f>
        <v>989.8087400000004</v>
      </c>
      <c r="AK43" s="1">
        <f>[1]Results!AN1403</f>
        <v>1218.9778099999967</v>
      </c>
      <c r="AL43" s="1">
        <f>[1]Results!AO1403</f>
        <v>1511.4405500000066</v>
      </c>
    </row>
    <row r="44" spans="1:3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0</v>
      </c>
      <c r="E44" s="1">
        <f>[1]Results!H1404</f>
        <v>-1.000000082740371E-8</v>
      </c>
      <c r="F44" s="1">
        <f>[1]Results!I1404</f>
        <v>0</v>
      </c>
      <c r="G44" s="1">
        <f>[1]Results!J1404</f>
        <v>-1.000000082740371E-8</v>
      </c>
      <c r="H44" s="1">
        <f>[1]Results!K1404</f>
        <v>-9.9999994396249292E-9</v>
      </c>
      <c r="I44" s="1">
        <f>[1]Results!L1404</f>
        <v>-1.000000082740371E-8</v>
      </c>
      <c r="J44" s="1">
        <f>[1]Results!M1404</f>
        <v>5.4989929999998965E-2</v>
      </c>
      <c r="K44" s="1">
        <f>[1]Results!N1404</f>
        <v>0.14120982000000032</v>
      </c>
      <c r="L44" s="1">
        <f>[1]Results!O1404</f>
        <v>9.1601340000001252E-2</v>
      </c>
      <c r="M44" s="1">
        <f>[1]Results!P1404</f>
        <v>-4.2206129999999842E-2</v>
      </c>
      <c r="N44" s="1">
        <f>[1]Results!Q1404</f>
        <v>-0.19014674999999898</v>
      </c>
      <c r="O44" s="1">
        <f>[1]Results!R1404</f>
        <v>-0.31432698000000009</v>
      </c>
      <c r="P44" s="1">
        <f>[1]Results!S1404</f>
        <v>-0.40648449000000031</v>
      </c>
      <c r="Q44" s="1">
        <f>[1]Results!T1404</f>
        <v>-0.47674512000000085</v>
      </c>
      <c r="R44" s="1">
        <f>[1]Results!U1404</f>
        <v>-0.53379248999999995</v>
      </c>
      <c r="S44" s="1">
        <f>[1]Results!V1404</f>
        <v>-0.57700724000000059</v>
      </c>
      <c r="T44" s="1">
        <f>[1]Results!W1404</f>
        <v>-0.60619583000000032</v>
      </c>
      <c r="U44" s="1">
        <f>[1]Results!X1404</f>
        <v>-0.62227019999999966</v>
      </c>
      <c r="V44" s="1">
        <f>[1]Results!Y1404</f>
        <v>-0.62787691999999917</v>
      </c>
      <c r="W44" s="1">
        <f>[1]Results!Z1404</f>
        <v>-0.62694618999999951</v>
      </c>
      <c r="X44" s="1">
        <f>[1]Results!AA1404</f>
        <v>-0.62234099000000043</v>
      </c>
      <c r="Y44" s="1">
        <f>[1]Results!AB1404</f>
        <v>-0.61861341000000047</v>
      </c>
      <c r="Z44" s="1">
        <f>[1]Results!AC1404</f>
        <v>-0.61959793999999957</v>
      </c>
      <c r="AA44" s="1">
        <f>[1]Results!AD1404</f>
        <v>-0.62921939000000071</v>
      </c>
      <c r="AB44" s="1">
        <f>[1]Results!AE1404</f>
        <v>-0.65240829000000056</v>
      </c>
      <c r="AC44" s="1">
        <f>[1]Results!AF1404</f>
        <v>-0.69241235999999984</v>
      </c>
      <c r="AD44" s="1">
        <f>[1]Results!AG1404</f>
        <v>-0.75557366000000015</v>
      </c>
      <c r="AE44" s="1">
        <f>[1]Results!AH1404</f>
        <v>-0.84760352999999966</v>
      </c>
      <c r="AF44" s="1">
        <f>[1]Results!AI1404</f>
        <v>-0.97497579000000023</v>
      </c>
      <c r="AG44" s="1">
        <f>[1]Results!AJ1404</f>
        <v>-1.1448990499999998</v>
      </c>
      <c r="AH44" s="1">
        <f>[1]Results!AK1404</f>
        <v>-1.3657644500000004</v>
      </c>
      <c r="AI44" s="1">
        <f>[1]Results!AL1404</f>
        <v>-1.6480025700000001</v>
      </c>
      <c r="AJ44" s="1">
        <f>[1]Results!AM1404</f>
        <v>-2.0050752790000002</v>
      </c>
      <c r="AK44" s="1">
        <f>[1]Results!AN1404</f>
        <v>-2.45567651</v>
      </c>
      <c r="AL44" s="1">
        <f>[1]Results!AO1404</f>
        <v>-3.0273090069999999</v>
      </c>
    </row>
    <row r="45" spans="1:3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-9.0850677675335945E-10</v>
      </c>
      <c r="D45" s="1">
        <f>[1]Results!G1405</f>
        <v>1.5714304423680714E-9</v>
      </c>
      <c r="E45" s="1">
        <f>[1]Results!H1405</f>
        <v>3.7658275369584215E-9</v>
      </c>
      <c r="F45" s="1">
        <f>[1]Results!I1405</f>
        <v>5.7029377747985777E-9</v>
      </c>
      <c r="G45" s="1">
        <f>[1]Results!J1405</f>
        <v>6.1775478829573238E-9</v>
      </c>
      <c r="H45" s="1">
        <f>[1]Results!K1405</f>
        <v>5.8791561896587297E-9</v>
      </c>
      <c r="I45" s="1">
        <f>[1]Results!L1405</f>
        <v>5.2914443660068144E-9</v>
      </c>
      <c r="J45" s="1">
        <f>[1]Results!M1405</f>
        <v>-0.14487490976849843</v>
      </c>
      <c r="K45" s="1">
        <f>[1]Results!N1405</f>
        <v>-0.21385745712752882</v>
      </c>
      <c r="L45" s="1">
        <f>[1]Results!O1405</f>
        <v>-2.3595790589974949E-2</v>
      </c>
      <c r="M45" s="1">
        <f>[1]Results!P1405</f>
        <v>0.1015866021615193</v>
      </c>
      <c r="N45" s="1">
        <f>[1]Results!Q1405</f>
        <v>0.15203547669169967</v>
      </c>
      <c r="O45" s="1">
        <f>[1]Results!R1405</f>
        <v>0.15549032384982731</v>
      </c>
      <c r="P45" s="1">
        <f>[1]Results!S1405</f>
        <v>0.1347602166918975</v>
      </c>
      <c r="Q45" s="1">
        <f>[1]Results!T1405</f>
        <v>0.11847149214878477</v>
      </c>
      <c r="R45" s="1">
        <f>[1]Results!U1405</f>
        <v>0.10942572290004518</v>
      </c>
      <c r="S45" s="1">
        <f>[1]Results!V1405</f>
        <v>8.1539196538639447E-2</v>
      </c>
      <c r="T45" s="1">
        <f>[1]Results!W1405</f>
        <v>5.3078921258880446E-2</v>
      </c>
      <c r="U45" s="1">
        <f>[1]Results!X1405</f>
        <v>2.6708147188522768E-2</v>
      </c>
      <c r="V45" s="1">
        <f>[1]Results!Y1405</f>
        <v>-1.5370711673089177E-3</v>
      </c>
      <c r="W45" s="1">
        <f>[1]Results!Z1405</f>
        <v>-3.5315605323595761E-2</v>
      </c>
      <c r="X45" s="1">
        <f>[1]Results!AA1405</f>
        <v>-7.7115519146631756E-2</v>
      </c>
      <c r="Y45" s="1">
        <f>[1]Results!AB1405</f>
        <v>-0.12684578617265518</v>
      </c>
      <c r="Z45" s="1">
        <f>[1]Results!AC1405</f>
        <v>-0.18194171122476802</v>
      </c>
      <c r="AA45" s="1">
        <f>[1]Results!AD1405</f>
        <v>-0.24264687769770948</v>
      </c>
      <c r="AB45" s="1">
        <f>[1]Results!AE1405</f>
        <v>-0.31164689976916904</v>
      </c>
      <c r="AC45" s="1">
        <f>[1]Results!AF1405</f>
        <v>-0.39240589542992449</v>
      </c>
      <c r="AD45" s="1">
        <f>[1]Results!AG1405</f>
        <v>-0.4860141015896664</v>
      </c>
      <c r="AE45" s="1">
        <f>[1]Results!AH1405</f>
        <v>-0.58329079307523068</v>
      </c>
      <c r="AF45" s="1">
        <f>[1]Results!AI1405</f>
        <v>-0.68454755155710478</v>
      </c>
      <c r="AG45" s="1">
        <f>[1]Results!AJ1405</f>
        <v>-0.79153698602228151</v>
      </c>
      <c r="AH45" s="1">
        <f>[1]Results!AK1405</f>
        <v>-0.90927587407995947</v>
      </c>
      <c r="AI45" s="1">
        <f>[1]Results!AL1405</f>
        <v>-1.0411720861219276</v>
      </c>
      <c r="AJ45" s="1">
        <f>[1]Results!AM1405</f>
        <v>-1.1881869935224574</v>
      </c>
      <c r="AK45" s="1">
        <f>[1]Results!AN1405</f>
        <v>-1.357184919489774</v>
      </c>
      <c r="AL45" s="1">
        <f>[1]Results!AO1405</f>
        <v>-1.5589018509760848</v>
      </c>
    </row>
    <row r="46" spans="1:3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1.8170137269790665E-9</v>
      </c>
      <c r="D46" s="1">
        <f>[1]Results!G1406</f>
        <v>0</v>
      </c>
      <c r="E46" s="1">
        <f>[1]Results!H1406</f>
        <v>-1.673701108262371E-9</v>
      </c>
      <c r="F46" s="1">
        <f>[1]Results!I1406</f>
        <v>-4.7131583358339668E-9</v>
      </c>
      <c r="G46" s="1">
        <f>[1]Results!J1406</f>
        <v>-5.6423287916884668E-9</v>
      </c>
      <c r="H46" s="1">
        <f>[1]Results!K1406</f>
        <v>-6.4742619251823008E-9</v>
      </c>
      <c r="I46" s="1">
        <f>[1]Results!L1406</f>
        <v>-7.2847046103663438E-9</v>
      </c>
      <c r="J46" s="1">
        <f>[1]Results!M1406</f>
        <v>-5.4011464345287037E-2</v>
      </c>
      <c r="K46" s="1">
        <f>[1]Results!N1406</f>
        <v>-0.11851158850793089</v>
      </c>
      <c r="L46" s="1">
        <f>[1]Results!O1406</f>
        <v>-0.19244200818249943</v>
      </c>
      <c r="M46" s="1">
        <f>[1]Results!P1406</f>
        <v>-0.26639139225884573</v>
      </c>
      <c r="N46" s="1">
        <f>[1]Results!Q1406</f>
        <v>-0.33004320546184668</v>
      </c>
      <c r="O46" s="1">
        <f>[1]Results!R1406</f>
        <v>-0.38744266659855586</v>
      </c>
      <c r="P46" s="1">
        <f>[1]Results!S1406</f>
        <v>-0.4399938372539457</v>
      </c>
      <c r="Q46" s="1">
        <f>[1]Results!T1406</f>
        <v>-0.48937332529025312</v>
      </c>
      <c r="R46" s="1">
        <f>[1]Results!U1406</f>
        <v>-0.53654022419667102</v>
      </c>
      <c r="S46" s="1">
        <f>[1]Results!V1406</f>
        <v>-0.56731485663112236</v>
      </c>
      <c r="T46" s="1">
        <f>[1]Results!W1406</f>
        <v>-0.6002334685001528</v>
      </c>
      <c r="U46" s="1">
        <f>[1]Results!X1406</f>
        <v>-0.63424277959943232</v>
      </c>
      <c r="V46" s="1">
        <f>[1]Results!Y1406</f>
        <v>-0.66821257396292222</v>
      </c>
      <c r="W46" s="1">
        <f>[1]Results!Z1406</f>
        <v>-0.70139252742054514</v>
      </c>
      <c r="X46" s="1">
        <f>[1]Results!AA1406</f>
        <v>-0.73267590151342865</v>
      </c>
      <c r="Y46" s="1">
        <f>[1]Results!AB1406</f>
        <v>-0.761756071366539</v>
      </c>
      <c r="Z46" s="1">
        <f>[1]Results!AC1406</f>
        <v>-0.78844978851216385</v>
      </c>
      <c r="AA46" s="1">
        <f>[1]Results!AD1406</f>
        <v>-0.8125652752155661</v>
      </c>
      <c r="AB46" s="1">
        <f>[1]Results!AE1406</f>
        <v>-0.83429776553564428</v>
      </c>
      <c r="AC46" s="1">
        <f>[1]Results!AF1406</f>
        <v>-0.8536025954659785</v>
      </c>
      <c r="AD46" s="1">
        <f>[1]Results!AG1406</f>
        <v>-0.86895614092305629</v>
      </c>
      <c r="AE46" s="1">
        <f>[1]Results!AH1406</f>
        <v>-0.88054035232699823</v>
      </c>
      <c r="AF46" s="1">
        <f>[1]Results!AI1406</f>
        <v>-0.88797253200633874</v>
      </c>
      <c r="AG46" s="1">
        <f>[1]Results!AJ1406</f>
        <v>-0.89094117931415862</v>
      </c>
      <c r="AH46" s="1">
        <f>[1]Results!AK1406</f>
        <v>-0.88894875103916415</v>
      </c>
      <c r="AI46" s="1">
        <f>[1]Results!AL1406</f>
        <v>-0.88151449311147623</v>
      </c>
      <c r="AJ46" s="1">
        <f>[1]Results!AM1406</f>
        <v>-0.86826531370104609</v>
      </c>
      <c r="AK46" s="1">
        <f>[1]Results!AN1406</f>
        <v>-0.84835681291156417</v>
      </c>
      <c r="AL46" s="1">
        <f>[1]Results!AO1406</f>
        <v>-0.82036977912856612</v>
      </c>
    </row>
    <row r="47" spans="1:3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1.362760251866213E-9</v>
      </c>
      <c r="D47" s="1">
        <f>[1]Results!G1407</f>
        <v>8.7301702325626174E-10</v>
      </c>
      <c r="E47" s="1">
        <f>[1]Results!H1407</f>
        <v>-4.1842527706559274E-10</v>
      </c>
      <c r="F47" s="1">
        <f>[1]Results!I1407</f>
        <v>-2.8085491723083E-9</v>
      </c>
      <c r="G47" s="1">
        <f>[1]Results!J1407</f>
        <v>-6.33340845046515E-9</v>
      </c>
      <c r="H47" s="1">
        <f>[1]Results!K1407</f>
        <v>-9.1253149134273848E-9</v>
      </c>
      <c r="I47" s="1">
        <f>[1]Results!L1407</f>
        <v>-1.1567699229053652E-8</v>
      </c>
      <c r="J47" s="1">
        <f>[1]Results!M1407</f>
        <v>0.1505550516282865</v>
      </c>
      <c r="K47" s="1">
        <f>[1]Results!N1407</f>
        <v>0.23880153692702397</v>
      </c>
      <c r="L47" s="1">
        <f>[1]Results!O1407</f>
        <v>0.18660423622534061</v>
      </c>
      <c r="M47" s="1">
        <f>[1]Results!P1407</f>
        <v>5.2822746177901003E-2</v>
      </c>
      <c r="N47" s="1">
        <f>[1]Results!Q1407</f>
        <v>-0.13907196596470578</v>
      </c>
      <c r="O47" s="1">
        <f>[1]Results!R1407</f>
        <v>-0.32250511258623826</v>
      </c>
      <c r="P47" s="1">
        <f>[1]Results!S1407</f>
        <v>-0.48064402711725795</v>
      </c>
      <c r="Q47" s="1">
        <f>[1]Results!T1407</f>
        <v>-0.61605611498070367</v>
      </c>
      <c r="R47" s="1">
        <f>[1]Results!U1407</f>
        <v>-0.73350480544516827</v>
      </c>
      <c r="S47" s="1">
        <f>[1]Results!V1407</f>
        <v>-0.81644465567183644</v>
      </c>
      <c r="T47" s="1">
        <f>[1]Results!W1407</f>
        <v>-0.8824973993429186</v>
      </c>
      <c r="U47" s="1">
        <f>[1]Results!X1407</f>
        <v>-0.93568783341685735</v>
      </c>
      <c r="V47" s="1">
        <f>[1]Results!Y1407</f>
        <v>-0.97696601810883665</v>
      </c>
      <c r="W47" s="1">
        <f>[1]Results!Z1407</f>
        <v>-1.0057012948754953</v>
      </c>
      <c r="X47" s="1">
        <f>[1]Results!AA1407</f>
        <v>-1.0230723209462722</v>
      </c>
      <c r="Y47" s="1">
        <f>[1]Results!AB1407</f>
        <v>-1.0293910695468109</v>
      </c>
      <c r="Z47" s="1">
        <f>[1]Results!AC1407</f>
        <v>-1.0274809654622616</v>
      </c>
      <c r="AA47" s="1">
        <f>[1]Results!AD1407</f>
        <v>-1.0201503058077364</v>
      </c>
      <c r="AB47" s="1">
        <f>[1]Results!AE1407</f>
        <v>-1.0077719177504441</v>
      </c>
      <c r="AC47" s="1">
        <f>[1]Results!AF1407</f>
        <v>-0.99534775054055602</v>
      </c>
      <c r="AD47" s="1">
        <f>[1]Results!AG1407</f>
        <v>-0.98411539660539926</v>
      </c>
      <c r="AE47" s="1">
        <f>[1]Results!AH1407</f>
        <v>-0.98028401503215401</v>
      </c>
      <c r="AF47" s="1">
        <f>[1]Results!AI1407</f>
        <v>-0.989144017879652</v>
      </c>
      <c r="AG47" s="1">
        <f>[1]Results!AJ1407</f>
        <v>-1.0152289548714555</v>
      </c>
      <c r="AH47" s="1">
        <f>[1]Results!AK1407</f>
        <v>-1.0625664209162875</v>
      </c>
      <c r="AI47" s="1">
        <f>[1]Results!AL1407</f>
        <v>-1.136778261154145</v>
      </c>
      <c r="AJ47" s="1">
        <f>[1]Results!AM1407</f>
        <v>-1.2467445910406951</v>
      </c>
      <c r="AK47" s="1">
        <f>[1]Results!AN1407</f>
        <v>-1.403996474740772</v>
      </c>
      <c r="AL47" s="1">
        <f>[1]Results!AO1407</f>
        <v>-1.6244068907429381</v>
      </c>
    </row>
    <row r="48" spans="1:3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1.8170135535067189E-9</v>
      </c>
      <c r="D48" s="1">
        <f>[1]Results!G1408</f>
        <v>8.2936605499961402E-9</v>
      </c>
      <c r="E48" s="1">
        <f>[1]Results!H1408</f>
        <v>8.3685055413118548E-9</v>
      </c>
      <c r="F48" s="1">
        <f>[1]Results!I1408</f>
        <v>6.2022994379296037E-9</v>
      </c>
      <c r="G48" s="1">
        <f>[1]Results!J1408</f>
        <v>6.0038606031209696E-9</v>
      </c>
      <c r="H48" s="1">
        <f>[1]Results!K1408</f>
        <v>8.4478812834021255E-10</v>
      </c>
      <c r="I48" s="1">
        <f>[1]Results!L1408</f>
        <v>-3.4015696726355515E-9</v>
      </c>
      <c r="J48" s="1">
        <f>[1]Results!M1408</f>
        <v>0.14200765932184103</v>
      </c>
      <c r="K48" s="1">
        <f>[1]Results!N1408</f>
        <v>0.55315016180405829</v>
      </c>
      <c r="L48" s="1">
        <f>[1]Results!O1408</f>
        <v>0.58465607890972449</v>
      </c>
      <c r="M48" s="1">
        <f>[1]Results!P1408</f>
        <v>0.49903231856637009</v>
      </c>
      <c r="N48" s="1">
        <f>[1]Results!Q1408</f>
        <v>0.33502015481484543</v>
      </c>
      <c r="O48" s="1">
        <f>[1]Results!R1408</f>
        <v>8.6786327336194069E-2</v>
      </c>
      <c r="P48" s="1">
        <f>[1]Results!S1408</f>
        <v>-0.14635504256836351</v>
      </c>
      <c r="Q48" s="1">
        <f>[1]Results!T1408</f>
        <v>-0.35867216660773404</v>
      </c>
      <c r="R48" s="1">
        <f>[1]Results!U1408</f>
        <v>-0.55151002574142582</v>
      </c>
      <c r="S48" s="1">
        <f>[1]Results!V1408</f>
        <v>-0.70663802080535787</v>
      </c>
      <c r="T48" s="1">
        <f>[1]Results!W1408</f>
        <v>-0.82413489971969733</v>
      </c>
      <c r="U48" s="1">
        <f>[1]Results!X1408</f>
        <v>-0.92717370048845882</v>
      </c>
      <c r="V48" s="1">
        <f>[1]Results!Y1408</f>
        <v>-1.0165459417030933</v>
      </c>
      <c r="W48" s="1">
        <f>[1]Results!Z1408</f>
        <v>-1.0892736500219893</v>
      </c>
      <c r="X48" s="1">
        <f>[1]Results!AA1408</f>
        <v>-1.1447630796308652</v>
      </c>
      <c r="Y48" s="1">
        <f>[1]Results!AB1408</f>
        <v>-1.1820016121508792</v>
      </c>
      <c r="Z48" s="1">
        <f>[1]Results!AC1408</f>
        <v>-1.2038565668620751</v>
      </c>
      <c r="AA48" s="1">
        <f>[1]Results!AD1408</f>
        <v>-1.2130322208209163</v>
      </c>
      <c r="AB48" s="1">
        <f>[1]Results!AE1408</f>
        <v>-1.2103286404309479</v>
      </c>
      <c r="AC48" s="1">
        <f>[1]Results!AF1408</f>
        <v>-1.2013566776405722</v>
      </c>
      <c r="AD48" s="1">
        <f>[1]Results!AG1408</f>
        <v>-1.1909337933413671</v>
      </c>
      <c r="AE48" s="1">
        <f>[1]Results!AH1408</f>
        <v>-1.1889378263841039</v>
      </c>
      <c r="AF48" s="1">
        <f>[1]Results!AI1408</f>
        <v>-1.1990119102520722</v>
      </c>
      <c r="AG48" s="1">
        <f>[1]Results!AJ1408</f>
        <v>-1.2253855130495692</v>
      </c>
      <c r="AH48" s="1">
        <f>[1]Results!AK1408</f>
        <v>-1.2729738623039597</v>
      </c>
      <c r="AI48" s="1">
        <f>[1]Results!AL1408</f>
        <v>-1.3515831069212891</v>
      </c>
      <c r="AJ48" s="1">
        <f>[1]Results!AM1408</f>
        <v>-1.4746733205047546</v>
      </c>
      <c r="AK48" s="1">
        <f>[1]Results!AN1408</f>
        <v>-1.6548177552672447</v>
      </c>
      <c r="AL48" s="1">
        <f>[1]Results!AO1408</f>
        <v>-1.9111417574574894</v>
      </c>
    </row>
    <row r="49" spans="1:3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</v>
      </c>
      <c r="E49" s="1">
        <f>[1]Results!H1409</f>
        <v>0</v>
      </c>
      <c r="F49" s="1">
        <f>[1]Results!I1409</f>
        <v>-4.5027814810083555E-8</v>
      </c>
      <c r="G49" s="1">
        <f>[1]Results!J1409</f>
        <v>-4.2373637931802932E-8</v>
      </c>
      <c r="H49" s="1">
        <f>[1]Results!K1409</f>
        <v>-3.9195346968057265E-8</v>
      </c>
      <c r="I49" s="1">
        <f>[1]Results!L1409</f>
        <v>-3.5558778144206826E-8</v>
      </c>
      <c r="J49" s="1">
        <f>[1]Results!M1409</f>
        <v>-0.22449409868364745</v>
      </c>
      <c r="K49" s="1">
        <f>[1]Results!N1409</f>
        <v>-1.4870075269668437E-2</v>
      </c>
      <c r="L49" s="1">
        <f>[1]Results!O1409</f>
        <v>-0.11359318311751077</v>
      </c>
      <c r="M49" s="1">
        <f>[1]Results!P1409</f>
        <v>-0.35623148000312188</v>
      </c>
      <c r="N49" s="1">
        <f>[1]Results!Q1409</f>
        <v>-0.6364517064876396</v>
      </c>
      <c r="O49" s="1">
        <f>[1]Results!R1409</f>
        <v>-1.0708249675467851</v>
      </c>
      <c r="P49" s="1">
        <f>[1]Results!S1409</f>
        <v>-1.6359269794454012</v>
      </c>
      <c r="Q49" s="1">
        <f>[1]Results!T1409</f>
        <v>-2.3150315724674075</v>
      </c>
      <c r="R49" s="1">
        <f>[1]Results!U1409</f>
        <v>-3.0873210850864421</v>
      </c>
      <c r="S49" s="1">
        <f>[1]Results!V1409</f>
        <v>-3.933336267248047</v>
      </c>
      <c r="T49" s="1">
        <f>[1]Results!W1409</f>
        <v>-4.8109701464319947</v>
      </c>
      <c r="U49" s="1">
        <f>[1]Results!X1409</f>
        <v>-5.7092989426161855</v>
      </c>
      <c r="V49" s="1">
        <f>[1]Results!Y1409</f>
        <v>-6.6205363738431391</v>
      </c>
      <c r="W49" s="1">
        <f>[1]Results!Z1409</f>
        <v>-7.5372580707510863</v>
      </c>
      <c r="X49" s="1">
        <f>[1]Results!AA1409</f>
        <v>-8.4451534701177238</v>
      </c>
      <c r="Y49" s="1">
        <f>[1]Results!AB1409</f>
        <v>-9.3333499887682976</v>
      </c>
      <c r="Z49" s="1">
        <f>[1]Results!AC1409</f>
        <v>-10.191723522206813</v>
      </c>
      <c r="AA49" s="1">
        <f>[1]Results!AD1409</f>
        <v>-11.012815918868998</v>
      </c>
      <c r="AB49" s="1">
        <f>[1]Results!AE1409</f>
        <v>-11.798773717873884</v>
      </c>
      <c r="AC49" s="1">
        <f>[1]Results!AF1409</f>
        <v>-12.530765129022402</v>
      </c>
      <c r="AD49" s="1">
        <f>[1]Results!AG1409</f>
        <v>-13.205313640597549</v>
      </c>
      <c r="AE49" s="1">
        <f>[1]Results!AH1409</f>
        <v>-13.824239018374524</v>
      </c>
      <c r="AF49" s="1">
        <f>[1]Results!AI1409</f>
        <v>-14.395164095917002</v>
      </c>
      <c r="AG49" s="1">
        <f>[1]Results!AJ1409</f>
        <v>-14.928913418592661</v>
      </c>
      <c r="AH49" s="1">
        <f>[1]Results!AK1409</f>
        <v>-15.435387074803309</v>
      </c>
      <c r="AI49" s="1">
        <f>[1]Results!AL1409</f>
        <v>-15.924912583974059</v>
      </c>
      <c r="AJ49" s="1">
        <f>[1]Results!AM1409</f>
        <v>-16.412454300085876</v>
      </c>
      <c r="AK49" s="1">
        <f>[1]Results!AN1409</f>
        <v>-16.913267144165122</v>
      </c>
      <c r="AL49" s="1">
        <f>[1]Results!AO1409</f>
        <v>-17.439819697650893</v>
      </c>
    </row>
    <row r="50" spans="1:3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2197953.023</v>
      </c>
      <c r="D50" s="1">
        <f>[1]Results!G1410</f>
        <v>2239235.804</v>
      </c>
      <c r="E50" s="1">
        <f>[1]Results!H1410</f>
        <v>2285524.7760000001</v>
      </c>
      <c r="F50" s="1">
        <f>[1]Results!I1410</f>
        <v>2336260.3130000001</v>
      </c>
      <c r="G50" s="1">
        <f>[1]Results!J1410</f>
        <v>2390459.6490000002</v>
      </c>
      <c r="H50" s="1">
        <f>[1]Results!K1410</f>
        <v>2447757.3640000001</v>
      </c>
      <c r="I50" s="1">
        <f>[1]Results!L1410</f>
        <v>2506088.2999999998</v>
      </c>
      <c r="J50" s="1">
        <f>[1]Results!M1410</f>
        <v>2559892.2940000002</v>
      </c>
      <c r="K50" s="1">
        <f>[1]Results!N1410</f>
        <v>2614625.037</v>
      </c>
      <c r="L50" s="1">
        <f>[1]Results!O1410</f>
        <v>2680208.2590000001</v>
      </c>
      <c r="M50" s="1">
        <f>[1]Results!P1410</f>
        <v>2747741.0389999999</v>
      </c>
      <c r="N50" s="1">
        <f>[1]Results!Q1410</f>
        <v>2807803.6579999998</v>
      </c>
      <c r="O50" s="1">
        <f>[1]Results!R1410</f>
        <v>2862630.139</v>
      </c>
      <c r="P50" s="1">
        <f>[1]Results!S1410</f>
        <v>2913381.5380000002</v>
      </c>
      <c r="Q50" s="1">
        <f>[1]Results!T1410</f>
        <v>2961789.5989999999</v>
      </c>
      <c r="R50" s="1">
        <f>[1]Results!U1410</f>
        <v>3009008.7629999998</v>
      </c>
      <c r="S50" s="1">
        <f>[1]Results!V1410</f>
        <v>3056039.6439999999</v>
      </c>
      <c r="T50" s="1">
        <f>[1]Results!W1410</f>
        <v>3104372.8190000001</v>
      </c>
      <c r="U50" s="1">
        <f>[1]Results!X1410</f>
        <v>3155040.0550000002</v>
      </c>
      <c r="V50" s="1">
        <f>[1]Results!Y1410</f>
        <v>3208769.497</v>
      </c>
      <c r="W50" s="1">
        <f>[1]Results!Z1410</f>
        <v>3264980.176</v>
      </c>
      <c r="X50" s="1">
        <f>[1]Results!AA1410</f>
        <v>3326296.335</v>
      </c>
      <c r="Y50" s="1">
        <f>[1]Results!AB1410</f>
        <v>3392706.906</v>
      </c>
      <c r="Z50" s="1">
        <f>[1]Results!AC1410</f>
        <v>3464692.7710000002</v>
      </c>
      <c r="AA50" s="1">
        <f>[1]Results!AD1410</f>
        <v>3542434.4219999998</v>
      </c>
      <c r="AB50" s="1">
        <f>[1]Results!AE1410</f>
        <v>3622446.1779999998</v>
      </c>
      <c r="AC50" s="1">
        <f>[1]Results!AF1410</f>
        <v>3709319.0460000001</v>
      </c>
      <c r="AD50" s="1">
        <f>[1]Results!AG1410</f>
        <v>3802514.4369999999</v>
      </c>
      <c r="AE50" s="1">
        <f>[1]Results!AH1410</f>
        <v>3902438.71</v>
      </c>
      <c r="AF50" s="1">
        <f>[1]Results!AI1410</f>
        <v>4008896.1009999998</v>
      </c>
      <c r="AG50" s="1">
        <f>[1]Results!AJ1410</f>
        <v>4121363.5430000001</v>
      </c>
      <c r="AH50" s="1">
        <f>[1]Results!AK1410</f>
        <v>4239374.0029999996</v>
      </c>
      <c r="AI50" s="1">
        <f>[1]Results!AL1410</f>
        <v>4362617.1619999995</v>
      </c>
      <c r="AJ50" s="1">
        <f>[1]Results!AM1410</f>
        <v>4490912.5810000002</v>
      </c>
      <c r="AK50" s="1">
        <f>[1]Results!AN1410</f>
        <v>4624253.0999999996</v>
      </c>
      <c r="AL50" s="1">
        <f>[1]Results!AO1410</f>
        <v>4762892.6179999998</v>
      </c>
    </row>
    <row r="51" spans="1:3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-3.1164604230582427E-8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2.2922019837778862E-8</v>
      </c>
      <c r="AJ51" s="1">
        <f>[1]Results!AM1411</f>
        <v>2.2267188093394452E-8</v>
      </c>
      <c r="AK51" s="1">
        <f>[1]Results!AN1411</f>
        <v>0</v>
      </c>
      <c r="AL51" s="1">
        <f>[1]Results!AO1411</f>
        <v>0</v>
      </c>
    </row>
    <row r="52" spans="1:3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1178854.173</v>
      </c>
      <c r="D52" s="1">
        <f>[1]Results!G1412</f>
        <v>1219274.5179999999</v>
      </c>
      <c r="E52" s="1">
        <f>[1]Results!H1412</f>
        <v>1258349.773</v>
      </c>
      <c r="F52" s="1">
        <f>[1]Results!I1412</f>
        <v>1300079.395</v>
      </c>
      <c r="G52" s="1">
        <f>[1]Results!J1412</f>
        <v>1343852.318</v>
      </c>
      <c r="H52" s="1">
        <f>[1]Results!K1412</f>
        <v>1386736.247</v>
      </c>
      <c r="I52" s="1">
        <f>[1]Results!L1412</f>
        <v>1430538.2139999999</v>
      </c>
      <c r="J52" s="1">
        <f>[1]Results!M1412</f>
        <v>1484395.9040000001</v>
      </c>
      <c r="K52" s="1">
        <f>[1]Results!N1412</f>
        <v>1551851.6270000001</v>
      </c>
      <c r="L52" s="1">
        <f>[1]Results!O1412</f>
        <v>1616353.166</v>
      </c>
      <c r="M52" s="1">
        <f>[1]Results!P1412</f>
        <v>1686258.32</v>
      </c>
      <c r="N52" s="1">
        <f>[1]Results!Q1412</f>
        <v>1753323.567</v>
      </c>
      <c r="O52" s="1">
        <f>[1]Results!R1412</f>
        <v>1816583.2819999999</v>
      </c>
      <c r="P52" s="1">
        <f>[1]Results!S1412</f>
        <v>1877844.8149999999</v>
      </c>
      <c r="Q52" s="1">
        <f>[1]Results!T1412</f>
        <v>1936824.7239999999</v>
      </c>
      <c r="R52" s="1">
        <f>[1]Results!U1412</f>
        <v>1993389.02</v>
      </c>
      <c r="S52" s="1">
        <f>[1]Results!V1412</f>
        <v>2047969.943</v>
      </c>
      <c r="T52" s="1">
        <f>[1]Results!W1412</f>
        <v>2100534.9530000002</v>
      </c>
      <c r="U52" s="1">
        <f>[1]Results!X1412</f>
        <v>2150576.9730000002</v>
      </c>
      <c r="V52" s="1">
        <f>[1]Results!Y1412</f>
        <v>2198283.6370000001</v>
      </c>
      <c r="W52" s="1">
        <f>[1]Results!Z1412</f>
        <v>2241167.9440000001</v>
      </c>
      <c r="X52" s="1">
        <f>[1]Results!AA1412</f>
        <v>2285006.2220000001</v>
      </c>
      <c r="Y52" s="1">
        <f>[1]Results!AB1412</f>
        <v>2327229.355</v>
      </c>
      <c r="Z52" s="1">
        <f>[1]Results!AC1412</f>
        <v>2367940.1179999998</v>
      </c>
      <c r="AA52" s="1">
        <f>[1]Results!AD1412</f>
        <v>2407357.7250000001</v>
      </c>
      <c r="AB52" s="1">
        <f>[1]Results!AE1412</f>
        <v>2437152.423</v>
      </c>
      <c r="AC52" s="1">
        <f>[1]Results!AF1412</f>
        <v>2470784.176</v>
      </c>
      <c r="AD52" s="1">
        <f>[1]Results!AG1412</f>
        <v>2503666.9049999998</v>
      </c>
      <c r="AE52" s="1">
        <f>[1]Results!AH1412</f>
        <v>2535313.96</v>
      </c>
      <c r="AF52" s="1">
        <f>[1]Results!AI1412</f>
        <v>2565378.818</v>
      </c>
      <c r="AG52" s="1">
        <f>[1]Results!AJ1412</f>
        <v>2593478.4550000001</v>
      </c>
      <c r="AH52" s="1">
        <f>[1]Results!AK1412</f>
        <v>2619152.7719999999</v>
      </c>
      <c r="AI52" s="1">
        <f>[1]Results!AL1412</f>
        <v>2641529.3840000001</v>
      </c>
      <c r="AJ52" s="1">
        <f>[1]Results!AM1412</f>
        <v>2659275.9569999999</v>
      </c>
      <c r="AK52" s="1">
        <f>[1]Results!AN1412</f>
        <v>2671141.0989999999</v>
      </c>
      <c r="AL52" s="1">
        <f>[1]Results!AO1412</f>
        <v>2675394.1120000002</v>
      </c>
    </row>
    <row r="53" spans="1:3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1011152.647</v>
      </c>
      <c r="D53" s="1">
        <f>[1]Results!G1413</f>
        <v>1048701.6229999999</v>
      </c>
      <c r="E53" s="1">
        <f>[1]Results!H1413</f>
        <v>1091834.6880000001</v>
      </c>
      <c r="F53" s="1">
        <f>[1]Results!I1413</f>
        <v>1140623.7390000001</v>
      </c>
      <c r="G53" s="1">
        <f>[1]Results!J1413</f>
        <v>1194169.6580000001</v>
      </c>
      <c r="H53" s="1">
        <f>[1]Results!K1413</f>
        <v>1252268.845</v>
      </c>
      <c r="I53" s="1">
        <f>[1]Results!L1413</f>
        <v>1314912.426</v>
      </c>
      <c r="J53" s="1">
        <f>[1]Results!M1413</f>
        <v>1384995.4809999999</v>
      </c>
      <c r="K53" s="1">
        <f>[1]Results!N1413</f>
        <v>1462350.8030000001</v>
      </c>
      <c r="L53" s="1">
        <f>[1]Results!O1413</f>
        <v>1551701.8230000001</v>
      </c>
      <c r="M53" s="1">
        <f>[1]Results!P1413</f>
        <v>1652454.95</v>
      </c>
      <c r="N53" s="1">
        <f>[1]Results!Q1413</f>
        <v>1757201.6680000001</v>
      </c>
      <c r="O53" s="1">
        <f>[1]Results!R1413</f>
        <v>1862314.7180000001</v>
      </c>
      <c r="P53" s="1">
        <f>[1]Results!S1413</f>
        <v>1965016.0190000001</v>
      </c>
      <c r="Q53" s="1">
        <f>[1]Results!T1413</f>
        <v>2063922.389</v>
      </c>
      <c r="R53" s="1">
        <f>[1]Results!U1413</f>
        <v>2158422.2390000001</v>
      </c>
      <c r="S53" s="1">
        <f>[1]Results!V1413</f>
        <v>2248456.5410000002</v>
      </c>
      <c r="T53" s="1">
        <f>[1]Results!W1413</f>
        <v>2334854.36</v>
      </c>
      <c r="U53" s="1">
        <f>[1]Results!X1413</f>
        <v>2418392.969</v>
      </c>
      <c r="V53" s="1">
        <f>[1]Results!Y1413</f>
        <v>2499961.1690000002</v>
      </c>
      <c r="W53" s="1">
        <f>[1]Results!Z1413</f>
        <v>2579713.6170000001</v>
      </c>
      <c r="X53" s="1">
        <f>[1]Results!AA1413</f>
        <v>2660265.693</v>
      </c>
      <c r="Y53" s="1">
        <f>[1]Results!AB1413</f>
        <v>2742792.0109999999</v>
      </c>
      <c r="Z53" s="1">
        <f>[1]Results!AC1413</f>
        <v>2828881.287</v>
      </c>
      <c r="AA53" s="1">
        <f>[1]Results!AD1413</f>
        <v>2920064.4360000002</v>
      </c>
      <c r="AB53" s="1">
        <f>[1]Results!AE1413</f>
        <v>3015131.0079999999</v>
      </c>
      <c r="AC53" s="1">
        <f>[1]Results!AF1413</f>
        <v>3118932.6430000002</v>
      </c>
      <c r="AD53" s="1">
        <f>[1]Results!AG1413</f>
        <v>3233392.3659999999</v>
      </c>
      <c r="AE53" s="1">
        <f>[1]Results!AH1413</f>
        <v>3361014.6150000002</v>
      </c>
      <c r="AF53" s="1">
        <f>[1]Results!AI1413</f>
        <v>3503769.9049999998</v>
      </c>
      <c r="AG53" s="1">
        <f>[1]Results!AJ1413</f>
        <v>3663100.7429999998</v>
      </c>
      <c r="AH53" s="1">
        <f>[1]Results!AK1413</f>
        <v>3840334.4279999998</v>
      </c>
      <c r="AI53" s="1">
        <f>[1]Results!AL1413</f>
        <v>4036970.2820000001</v>
      </c>
      <c r="AJ53" s="1">
        <f>[1]Results!AM1413</f>
        <v>4254712.3729999997</v>
      </c>
      <c r="AK53" s="1">
        <f>[1]Results!AN1413</f>
        <v>4495761.2889999999</v>
      </c>
      <c r="AL53" s="1">
        <f>[1]Results!AO1413</f>
        <v>4763274.841</v>
      </c>
    </row>
    <row r="54" spans="1:3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-65724.458440000002</v>
      </c>
      <c r="D54" s="1">
        <f>[1]Results!G1414</f>
        <v>-65309.604509999997</v>
      </c>
      <c r="E54" s="1">
        <f>[1]Results!H1414</f>
        <v>-57986.313970000003</v>
      </c>
      <c r="F54" s="1">
        <f>[1]Results!I1414</f>
        <v>-48027.568579999999</v>
      </c>
      <c r="G54" s="1">
        <f>[1]Results!J1414</f>
        <v>-35853.194819999997</v>
      </c>
      <c r="H54" s="1">
        <f>[1]Results!K1414</f>
        <v>-18845.276519999999</v>
      </c>
      <c r="I54" s="1">
        <f>[1]Results!L1414</f>
        <v>938.60104690000003</v>
      </c>
      <c r="J54" s="1">
        <f>[1]Results!M1414</f>
        <v>17117.03557</v>
      </c>
      <c r="K54" s="1">
        <f>[1]Results!N1414</f>
        <v>26160.783220000001</v>
      </c>
      <c r="L54" s="1">
        <f>[1]Results!O1414</f>
        <v>49702.224410000003</v>
      </c>
      <c r="M54" s="1">
        <f>[1]Results!P1414</f>
        <v>78065.085949999993</v>
      </c>
      <c r="N54" s="1">
        <f>[1]Results!Q1414</f>
        <v>111843.3033</v>
      </c>
      <c r="O54" s="1">
        <f>[1]Results!R1414</f>
        <v>148104.47289999999</v>
      </c>
      <c r="P54" s="1">
        <f>[1]Results!S1414</f>
        <v>182139.0171</v>
      </c>
      <c r="Q54" s="1">
        <f>[1]Results!T1414</f>
        <v>212958.52739999999</v>
      </c>
      <c r="R54" s="1">
        <f>[1]Results!U1414</f>
        <v>240246.1556</v>
      </c>
      <c r="S54" s="1">
        <f>[1]Results!V1414</f>
        <v>263687.22610000003</v>
      </c>
      <c r="T54" s="1">
        <f>[1]Results!W1414</f>
        <v>284335.67340000003</v>
      </c>
      <c r="U54" s="1">
        <f>[1]Results!X1414</f>
        <v>303615.47840000002</v>
      </c>
      <c r="V54" s="1">
        <f>[1]Results!Y1414</f>
        <v>322296.24180000002</v>
      </c>
      <c r="W54" s="1">
        <f>[1]Results!Z1414</f>
        <v>343049.57089999999</v>
      </c>
      <c r="X54" s="1">
        <f>[1]Results!AA1414</f>
        <v>362610.88919999998</v>
      </c>
      <c r="Y54" s="1">
        <f>[1]Results!AB1414</f>
        <v>384783.53019999998</v>
      </c>
      <c r="Z54" s="1">
        <f>[1]Results!AC1414</f>
        <v>410922.86670000001</v>
      </c>
      <c r="AA54" s="1">
        <f>[1]Results!AD1414</f>
        <v>442142.2659</v>
      </c>
      <c r="AB54" s="1">
        <f>[1]Results!AE1414</f>
        <v>485307.02679999999</v>
      </c>
      <c r="AC54" s="1">
        <f>[1]Results!AF1414</f>
        <v>531211.55649999995</v>
      </c>
      <c r="AD54" s="1">
        <f>[1]Results!AG1414</f>
        <v>586227.97320000001</v>
      </c>
      <c r="AE54" s="1">
        <f>[1]Results!AH1414</f>
        <v>652891.76820000005</v>
      </c>
      <c r="AF54" s="1">
        <f>[1]Results!AI1414</f>
        <v>732937.61170000001</v>
      </c>
      <c r="AG54" s="1">
        <f>[1]Results!AJ1414</f>
        <v>827521.9325</v>
      </c>
      <c r="AH54" s="1">
        <f>[1]Results!AK1414</f>
        <v>937705.2034</v>
      </c>
      <c r="AI54" s="1">
        <f>[1]Results!AL1414</f>
        <v>1065079.186</v>
      </c>
      <c r="AJ54" s="1">
        <f>[1]Results!AM1414</f>
        <v>1211820.7439999999</v>
      </c>
      <c r="AK54" s="1">
        <f>[1]Results!AN1414</f>
        <v>1380413.4809999999</v>
      </c>
      <c r="AL54" s="1">
        <f>[1]Results!AO1414</f>
        <v>1574653.3459999999</v>
      </c>
    </row>
    <row r="55" spans="1:3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2105265.8119999999</v>
      </c>
      <c r="D55" s="1">
        <f>[1]Results!G1415</f>
        <v>2170575.4160000002</v>
      </c>
      <c r="E55" s="1">
        <f>[1]Results!H1415</f>
        <v>2228561.73</v>
      </c>
      <c r="F55" s="1">
        <f>[1]Results!I1415</f>
        <v>2276589.2990000001</v>
      </c>
      <c r="G55" s="1">
        <f>[1]Results!J1415</f>
        <v>2312442.4939999999</v>
      </c>
      <c r="H55" s="1">
        <f>[1]Results!K1415</f>
        <v>2331287.77</v>
      </c>
      <c r="I55" s="1">
        <f>[1]Results!L1415</f>
        <v>2330349.1690000002</v>
      </c>
      <c r="J55" s="1">
        <f>[1]Results!M1415</f>
        <v>2313232.1340000001</v>
      </c>
      <c r="K55" s="1">
        <f>[1]Results!N1415</f>
        <v>2287071.35</v>
      </c>
      <c r="L55" s="1">
        <f>[1]Results!O1415</f>
        <v>2237369.1260000002</v>
      </c>
      <c r="M55" s="1">
        <f>[1]Results!P1415</f>
        <v>2159304.04</v>
      </c>
      <c r="N55" s="1">
        <f>[1]Results!Q1415</f>
        <v>2047460.737</v>
      </c>
      <c r="O55" s="1">
        <f>[1]Results!R1415</f>
        <v>1899356.264</v>
      </c>
      <c r="P55" s="1">
        <f>[1]Results!S1415</f>
        <v>1717217.247</v>
      </c>
      <c r="Q55" s="1">
        <f>[1]Results!T1415</f>
        <v>1504258.719</v>
      </c>
      <c r="R55" s="1">
        <f>[1]Results!U1415</f>
        <v>1264012.564</v>
      </c>
      <c r="S55" s="1">
        <f>[1]Results!V1415</f>
        <v>1000325.338</v>
      </c>
      <c r="T55" s="1">
        <f>[1]Results!W1415</f>
        <v>715989.6642</v>
      </c>
      <c r="U55" s="1">
        <f>[1]Results!X1415</f>
        <v>412374.18579999998</v>
      </c>
      <c r="V55" s="1">
        <f>[1]Results!Y1415</f>
        <v>90077.94399</v>
      </c>
      <c r="W55" s="1">
        <f>[1]Results!Z1415</f>
        <v>-252971.6269</v>
      </c>
      <c r="X55" s="1">
        <f>[1]Results!AA1415</f>
        <v>-615582.51610000001</v>
      </c>
      <c r="Y55" s="1">
        <f>[1]Results!AB1415</f>
        <v>-1000366.046</v>
      </c>
      <c r="Z55" s="1">
        <f>[1]Results!AC1415</f>
        <v>-1411288.9129999999</v>
      </c>
      <c r="AA55" s="1">
        <f>[1]Results!AD1415</f>
        <v>-1853431.179</v>
      </c>
      <c r="AB55" s="1">
        <f>[1]Results!AE1415</f>
        <v>-2338738.2059999998</v>
      </c>
      <c r="AC55" s="1">
        <f>[1]Results!AF1415</f>
        <v>-2869949.7620000001</v>
      </c>
      <c r="AD55" s="1">
        <f>[1]Results!AG1415</f>
        <v>-3456177.7349999999</v>
      </c>
      <c r="AE55" s="1">
        <f>[1]Results!AH1415</f>
        <v>-4109069.503</v>
      </c>
      <c r="AF55" s="1">
        <f>[1]Results!AI1415</f>
        <v>-4842007.1150000002</v>
      </c>
      <c r="AG55" s="1">
        <f>[1]Results!AJ1415</f>
        <v>-5669529.0480000004</v>
      </c>
      <c r="AH55" s="1">
        <f>[1]Results!AK1415</f>
        <v>-6607234.2510000002</v>
      </c>
      <c r="AI55" s="1">
        <f>[1]Results!AL1415</f>
        <v>-7672313.4369999999</v>
      </c>
      <c r="AJ55" s="1">
        <f>[1]Results!AM1415</f>
        <v>-8884134.1809999999</v>
      </c>
      <c r="AK55" s="1">
        <f>[1]Results!AN1415</f>
        <v>-10264547.66</v>
      </c>
      <c r="AL55" s="1">
        <f>[1]Results!AO1415</f>
        <v>-11839201.01</v>
      </c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35">
      <c r="A58" s="13" t="s">
        <v>49</v>
      </c>
      <c r="B58" t="s">
        <v>4</v>
      </c>
      <c r="C58" s="1">
        <f>[1]Results!F1731</f>
        <v>1202789.014</v>
      </c>
      <c r="D58" s="1">
        <f>[1]Results!G1731</f>
        <v>1221919.3970000001</v>
      </c>
      <c r="E58" s="1">
        <f>[1]Results!H1731</f>
        <v>1245837.0560000001</v>
      </c>
      <c r="F58" s="1">
        <f>[1]Results!I1731</f>
        <v>1273721.156</v>
      </c>
      <c r="G58" s="1">
        <f>[1]Results!J1731</f>
        <v>1304412.1100000001</v>
      </c>
      <c r="H58" s="1">
        <f>[1]Results!K1731</f>
        <v>1337386.04</v>
      </c>
      <c r="I58" s="1">
        <f>[1]Results!L1731</f>
        <v>1370840.4539999999</v>
      </c>
      <c r="J58" s="1">
        <f>[1]Results!M1731</f>
        <v>1404727.564</v>
      </c>
      <c r="K58" s="1">
        <f>[1]Results!N1731</f>
        <v>1439202.868</v>
      </c>
      <c r="L58" s="1">
        <f>[1]Results!O1731</f>
        <v>1474432.9979999999</v>
      </c>
      <c r="M58" s="1">
        <f>[1]Results!P1731</f>
        <v>1511032.682</v>
      </c>
      <c r="N58" s="1">
        <f>[1]Results!Q1731</f>
        <v>1546588.1089999999</v>
      </c>
      <c r="O58" s="1">
        <f>[1]Results!R1731</f>
        <v>1580219.8160000001</v>
      </c>
      <c r="P58" s="1">
        <f>[1]Results!S1731</f>
        <v>1611359.9609999999</v>
      </c>
      <c r="Q58" s="1">
        <f>[1]Results!T1731</f>
        <v>1639812.125</v>
      </c>
      <c r="R58" s="1">
        <f>[1]Results!U1731</f>
        <v>1665751.527</v>
      </c>
      <c r="S58" s="1">
        <f>[1]Results!V1731</f>
        <v>1690548.067</v>
      </c>
      <c r="T58" s="1">
        <f>[1]Results!W1731</f>
        <v>1714822.118</v>
      </c>
      <c r="U58" s="1">
        <f>[1]Results!X1731</f>
        <v>1738985.219</v>
      </c>
      <c r="V58" s="1">
        <f>[1]Results!Y1731</f>
        <v>1763411.3060000001</v>
      </c>
      <c r="W58" s="1">
        <f>[1]Results!Z1731</f>
        <v>1787835.09</v>
      </c>
      <c r="X58" s="1">
        <f>[1]Results!AA1731</f>
        <v>1813596.074</v>
      </c>
      <c r="Y58" s="1">
        <f>[1]Results!AB1731</f>
        <v>1841079.753</v>
      </c>
      <c r="Z58" s="1">
        <f>[1]Results!AC1731</f>
        <v>1870693.122</v>
      </c>
      <c r="AA58" s="1">
        <f>[1]Results!AD1731</f>
        <v>1902721.666</v>
      </c>
      <c r="AB58" s="1">
        <f>[1]Results!AE1731</f>
        <v>1935489.5249999999</v>
      </c>
      <c r="AC58" s="1">
        <f>[1]Results!AF1731</f>
        <v>1970867.155</v>
      </c>
      <c r="AD58" s="1">
        <f>[1]Results!AG1731</f>
        <v>2009187.9790000001</v>
      </c>
      <c r="AE58" s="1">
        <f>[1]Results!AH1731</f>
        <v>2050844.861</v>
      </c>
      <c r="AF58" s="1">
        <f>[1]Results!AI1731</f>
        <v>2096147.709</v>
      </c>
      <c r="AG58" s="1">
        <f>[1]Results!AJ1731</f>
        <v>2145139.0099999998</v>
      </c>
      <c r="AH58" s="1">
        <f>[1]Results!AK1731</f>
        <v>2197618.12</v>
      </c>
      <c r="AI58" s="1">
        <f>[1]Results!AL1731</f>
        <v>2253217.4789999998</v>
      </c>
      <c r="AJ58" s="1">
        <f>[1]Results!AM1731</f>
        <v>2311458.0060000001</v>
      </c>
      <c r="AK58" s="1">
        <f>[1]Results!AN1731</f>
        <v>2371787.2680000002</v>
      </c>
      <c r="AL58" s="1">
        <f>[1]Results!AO1731</f>
        <v>2433600.9419999998</v>
      </c>
    </row>
    <row r="59" spans="1:38" x14ac:dyDescent="0.35">
      <c r="A59" s="14"/>
      <c r="B59" t="s">
        <v>6</v>
      </c>
      <c r="C59" s="1">
        <f>[1]Results!F1702</f>
        <v>1202789.014</v>
      </c>
      <c r="D59" s="1">
        <f>[1]Results!G1702</f>
        <v>1221919.3970000001</v>
      </c>
      <c r="E59" s="1">
        <f>[1]Results!H1702</f>
        <v>1245837.0560000001</v>
      </c>
      <c r="F59" s="1">
        <f>[1]Results!I1702</f>
        <v>1273721.156</v>
      </c>
      <c r="G59" s="1">
        <f>[1]Results!J1702</f>
        <v>1304412.1100000001</v>
      </c>
      <c r="H59" s="1">
        <f>[1]Results!K1702</f>
        <v>1337386.041</v>
      </c>
      <c r="I59" s="1">
        <f>[1]Results!L1702</f>
        <v>1370840.4539999999</v>
      </c>
      <c r="J59" s="1">
        <f>[1]Results!M1702</f>
        <v>1404135.36</v>
      </c>
      <c r="K59" s="1">
        <f>[1]Results!N1702</f>
        <v>1437446.1880000001</v>
      </c>
      <c r="L59" s="1">
        <f>[1]Results!O1702</f>
        <v>1473577.55</v>
      </c>
      <c r="M59" s="1">
        <f>[1]Results!P1702</f>
        <v>1513568.4609999999</v>
      </c>
      <c r="N59" s="1">
        <f>[1]Results!Q1702</f>
        <v>1554347.3970000001</v>
      </c>
      <c r="O59" s="1">
        <f>[1]Results!R1702</f>
        <v>1594627.629</v>
      </c>
      <c r="P59" s="1">
        <f>[1]Results!S1702</f>
        <v>1632956.4369999999</v>
      </c>
      <c r="Q59" s="1">
        <f>[1]Results!T1702</f>
        <v>1668568.297</v>
      </c>
      <c r="R59" s="1">
        <f>[1]Results!U1702</f>
        <v>1701363.287</v>
      </c>
      <c r="S59" s="1">
        <f>[1]Results!V1702</f>
        <v>1732406.41</v>
      </c>
      <c r="T59" s="1">
        <f>[1]Results!W1702</f>
        <v>1762022.4879999999</v>
      </c>
      <c r="U59" s="1">
        <f>[1]Results!X1702</f>
        <v>1790803.557</v>
      </c>
      <c r="V59" s="1">
        <f>[1]Results!Y1702</f>
        <v>1819303.838</v>
      </c>
      <c r="W59" s="1">
        <f>[1]Results!Z1702</f>
        <v>1847342.149</v>
      </c>
      <c r="X59" s="1">
        <f>[1]Results!AA1702</f>
        <v>1876254.7150000001</v>
      </c>
      <c r="Y59" s="1">
        <f>[1]Results!AB1702</f>
        <v>1906428.4709999999</v>
      </c>
      <c r="Z59" s="1">
        <f>[1]Results!AC1702</f>
        <v>1938349.69</v>
      </c>
      <c r="AA59" s="1">
        <f>[1]Results!AD1702</f>
        <v>1972380.0930000001</v>
      </c>
      <c r="AB59" s="1">
        <f>[1]Results!AE1702</f>
        <v>2006844.8689999999</v>
      </c>
      <c r="AC59" s="1">
        <f>[1]Results!AF1702</f>
        <v>2043518.2109999999</v>
      </c>
      <c r="AD59" s="1">
        <f>[1]Results!AG1702</f>
        <v>2082660.1259999999</v>
      </c>
      <c r="AE59" s="1">
        <f>[1]Results!AH1702</f>
        <v>2124884.6860000002</v>
      </c>
      <c r="AF59" s="1">
        <f>[1]Results!AI1702</f>
        <v>2170740.8330000001</v>
      </c>
      <c r="AG59" s="1">
        <f>[1]Results!AJ1702</f>
        <v>2220465.8339999998</v>
      </c>
      <c r="AH59" s="1">
        <f>[1]Results!AK1702</f>
        <v>2273958.0150000001</v>
      </c>
      <c r="AI59" s="1">
        <f>[1]Results!AL1702</f>
        <v>2330978.4160000002</v>
      </c>
      <c r="AJ59" s="1">
        <f>[1]Results!AM1702</f>
        <v>2391388.1150000002</v>
      </c>
      <c r="AK59" s="1">
        <f>[1]Results!AN1702</f>
        <v>2455108.594</v>
      </c>
      <c r="AL59" s="1">
        <f>[1]Results!AO1702</f>
        <v>2522151.932</v>
      </c>
    </row>
    <row r="60" spans="1:38" x14ac:dyDescent="0.35">
      <c r="A60" s="14"/>
      <c r="C60" s="1"/>
      <c r="D60" s="1"/>
      <c r="E60" s="1"/>
      <c r="F60" s="1"/>
      <c r="G60" s="1"/>
      <c r="H60" s="4">
        <f t="shared" ref="H60:U60" si="0">H58/G58-1</f>
        <v>2.5278767152813408E-2</v>
      </c>
      <c r="I60" s="4">
        <f t="shared" si="0"/>
        <v>2.5014777333850269E-2</v>
      </c>
      <c r="J60" s="4">
        <f t="shared" si="0"/>
        <v>2.4719951837663068E-2</v>
      </c>
      <c r="K60" s="4">
        <f t="shared" si="0"/>
        <v>2.4542341791764066E-2</v>
      </c>
      <c r="L60" s="4">
        <f t="shared" si="0"/>
        <v>2.4478918700987284E-2</v>
      </c>
      <c r="M60" s="4">
        <f t="shared" si="0"/>
        <v>2.4822887204536181E-2</v>
      </c>
      <c r="N60" s="4">
        <f t="shared" si="0"/>
        <v>2.3530547964679904E-2</v>
      </c>
      <c r="O60" s="4">
        <f t="shared" si="0"/>
        <v>2.174574264750162E-2</v>
      </c>
      <c r="P60" s="4">
        <f t="shared" si="0"/>
        <v>1.9706210923759127E-2</v>
      </c>
      <c r="Q60" s="4">
        <f t="shared" si="0"/>
        <v>1.7657236550884026E-2</v>
      </c>
      <c r="R60" s="4">
        <f t="shared" si="0"/>
        <v>1.5818520673519298E-2</v>
      </c>
      <c r="S60" s="4">
        <f t="shared" si="0"/>
        <v>1.4886097715100632E-2</v>
      </c>
      <c r="T60" s="4">
        <f t="shared" si="0"/>
        <v>1.4358687264702352E-2</v>
      </c>
      <c r="U60" s="4">
        <f t="shared" si="0"/>
        <v>1.4090733229042751E-2</v>
      </c>
      <c r="V60" s="4">
        <f>V58/U58-1</f>
        <v>1.4046172867441697E-2</v>
      </c>
      <c r="W60" s="4">
        <f t="shared" ref="W60:AL60" si="1">W58/V58-1</f>
        <v>1.3850304756977572E-2</v>
      </c>
      <c r="X60" s="4">
        <f t="shared" si="1"/>
        <v>1.4409038140089203E-2</v>
      </c>
      <c r="Y60" s="4">
        <f t="shared" si="1"/>
        <v>1.5154244869632461E-2</v>
      </c>
      <c r="Z60" s="4">
        <f t="shared" si="1"/>
        <v>1.6084783373314204E-2</v>
      </c>
      <c r="AA60" s="4">
        <f t="shared" si="1"/>
        <v>1.712121759754881E-2</v>
      </c>
      <c r="AB60" s="4">
        <f t="shared" si="1"/>
        <v>1.7221572437804866E-2</v>
      </c>
      <c r="AC60" s="4">
        <f t="shared" si="1"/>
        <v>1.827838877092347E-2</v>
      </c>
      <c r="AD60" s="4">
        <f t="shared" si="1"/>
        <v>1.9443636220118465E-2</v>
      </c>
      <c r="AE60" s="4">
        <f t="shared" si="1"/>
        <v>2.0733192929381028E-2</v>
      </c>
      <c r="AF60" s="4">
        <f t="shared" si="1"/>
        <v>2.2089846414764969E-2</v>
      </c>
      <c r="AG60" s="4">
        <f t="shared" si="1"/>
        <v>2.3372065236457962E-2</v>
      </c>
      <c r="AH60" s="4">
        <f t="shared" si="1"/>
        <v>2.4464200107945588E-2</v>
      </c>
      <c r="AI60" s="4">
        <f t="shared" si="1"/>
        <v>2.5299827342158743E-2</v>
      </c>
      <c r="AJ60" s="4">
        <f t="shared" si="1"/>
        <v>2.5847716673069732E-2</v>
      </c>
      <c r="AK60" s="4">
        <f t="shared" si="1"/>
        <v>2.610009000526925E-2</v>
      </c>
      <c r="AL60" s="4">
        <f t="shared" si="1"/>
        <v>2.6062065023278347E-2</v>
      </c>
    </row>
    <row r="61" spans="1:38" x14ac:dyDescent="0.35">
      <c r="A61" s="16" t="s">
        <v>3</v>
      </c>
      <c r="B61" t="s">
        <v>4</v>
      </c>
      <c r="C61" s="1">
        <f>[1]Results!F1789</f>
        <v>1.0019287059999999</v>
      </c>
      <c r="D61" s="1">
        <f>[1]Results!G1789</f>
        <v>1.021494479</v>
      </c>
      <c r="E61" s="1">
        <f>[1]Results!H1789</f>
        <v>1.0418859840000001</v>
      </c>
      <c r="F61" s="1">
        <f>[1]Results!I1789</f>
        <v>1.0642241750000001</v>
      </c>
      <c r="G61" s="1">
        <f>[1]Results!J1789</f>
        <v>1.085978227</v>
      </c>
      <c r="H61" s="1">
        <f>[1]Results!K1789</f>
        <v>1.108704336</v>
      </c>
      <c r="I61" s="1">
        <f>[1]Results!L1789</f>
        <v>1.133505894</v>
      </c>
      <c r="J61" s="1">
        <f>[1]Results!M1789</f>
        <v>1.1601926039999999</v>
      </c>
      <c r="K61" s="1">
        <f>[1]Results!N1789</f>
        <v>1.1884143579999999</v>
      </c>
      <c r="L61" s="1">
        <f>[1]Results!O1789</f>
        <v>1.2179940300000001</v>
      </c>
      <c r="M61" s="1">
        <f>[1]Results!P1789</f>
        <v>1.2486133420000001</v>
      </c>
      <c r="N61" s="1">
        <f>[1]Results!Q1789</f>
        <v>1.2794536219999999</v>
      </c>
      <c r="O61" s="1">
        <f>[1]Results!R1789</f>
        <v>1.3097054400000001</v>
      </c>
      <c r="P61" s="1">
        <f>[1]Results!S1789</f>
        <v>1.3387365449999999</v>
      </c>
      <c r="Q61" s="1">
        <f>[1]Results!T1789</f>
        <v>1.366189622</v>
      </c>
      <c r="R61" s="1">
        <f>[1]Results!U1789</f>
        <v>1.3918880849999999</v>
      </c>
      <c r="S61" s="1">
        <f>[1]Results!V1789</f>
        <v>1.41469332</v>
      </c>
      <c r="T61" s="1">
        <f>[1]Results!W1789</f>
        <v>1.4348847410000001</v>
      </c>
      <c r="U61" s="1">
        <f>[1]Results!X1789</f>
        <v>1.452841423</v>
      </c>
      <c r="V61" s="1">
        <f>[1]Results!Y1789</f>
        <v>1.469028614</v>
      </c>
      <c r="W61" s="1">
        <f>[1]Results!Z1789</f>
        <v>1.483981309</v>
      </c>
      <c r="X61" s="1">
        <f>[1]Results!AA1789</f>
        <v>1.498162864</v>
      </c>
      <c r="Y61" s="1">
        <f>[1]Results!AB1789</f>
        <v>1.512097673</v>
      </c>
      <c r="Z61" s="1">
        <f>[1]Results!AC1789</f>
        <v>1.5263453849999999</v>
      </c>
      <c r="AA61" s="1">
        <f>[1]Results!AD1789</f>
        <v>1.541524404</v>
      </c>
      <c r="AB61" s="1">
        <f>[1]Results!AE1789</f>
        <v>1.558305695</v>
      </c>
      <c r="AC61" s="1">
        <f>[1]Results!AF1789</f>
        <v>1.5771651710000001</v>
      </c>
      <c r="AD61" s="1">
        <f>[1]Results!AG1789</f>
        <v>1.59854466</v>
      </c>
      <c r="AE61" s="1">
        <f>[1]Results!AH1789</f>
        <v>1.6228350300000001</v>
      </c>
      <c r="AF61" s="1">
        <f>[1]Results!AI1789</f>
        <v>1.650218376</v>
      </c>
      <c r="AG61" s="1">
        <f>[1]Results!AJ1789</f>
        <v>1.6807989780000001</v>
      </c>
      <c r="AH61" s="1">
        <f>[1]Results!AK1789</f>
        <v>1.7145915140000001</v>
      </c>
      <c r="AI61" s="1">
        <f>[1]Results!AL1789</f>
        <v>1.751537406</v>
      </c>
      <c r="AJ61" s="1">
        <f>[1]Results!AM1789</f>
        <v>1.791512795</v>
      </c>
      <c r="AK61" s="1">
        <f>[1]Results!AN1789</f>
        <v>1.834326771</v>
      </c>
      <c r="AL61" s="1">
        <f>[1]Results!AO1789</f>
        <v>1.8797223489999999</v>
      </c>
    </row>
    <row r="62" spans="1:38" x14ac:dyDescent="0.35">
      <c r="A62" s="16"/>
      <c r="B62" t="s">
        <v>6</v>
      </c>
      <c r="C62" s="1">
        <f>[1]Results!F1760</f>
        <v>1.0019287059999999</v>
      </c>
      <c r="D62" s="1">
        <f>[1]Results!G1760</f>
        <v>1.0214944800000001</v>
      </c>
      <c r="E62" s="1">
        <f>[1]Results!H1760</f>
        <v>1.0418859840000001</v>
      </c>
      <c r="F62" s="1">
        <f>[1]Results!I1760</f>
        <v>1.064224176</v>
      </c>
      <c r="G62" s="1">
        <f>[1]Results!J1760</f>
        <v>1.085978227</v>
      </c>
      <c r="H62" s="1">
        <f>[1]Results!K1760</f>
        <v>1.108704337</v>
      </c>
      <c r="I62" s="1">
        <f>[1]Results!L1760</f>
        <v>1.1335058950000001</v>
      </c>
      <c r="J62" s="1">
        <f>[1]Results!M1760</f>
        <v>1.1705470309999999</v>
      </c>
      <c r="K62" s="1">
        <f>[1]Results!N1760</f>
        <v>1.2082442339999999</v>
      </c>
      <c r="L62" s="1">
        <f>[1]Results!O1760</f>
        <v>1.249263215</v>
      </c>
      <c r="M62" s="1">
        <f>[1]Results!P1760</f>
        <v>1.2935231229999999</v>
      </c>
      <c r="N62" s="1">
        <f>[1]Results!Q1760</f>
        <v>1.3366454210000001</v>
      </c>
      <c r="O62" s="1">
        <f>[1]Results!R1760</f>
        <v>1.37913555</v>
      </c>
      <c r="P62" s="1">
        <f>[1]Results!S1760</f>
        <v>1.420296263</v>
      </c>
      <c r="Q62" s="1">
        <f>[1]Results!T1760</f>
        <v>1.459591694</v>
      </c>
      <c r="R62" s="1">
        <f>[1]Results!U1760</f>
        <v>1.4966089250000001</v>
      </c>
      <c r="S62" s="1">
        <f>[1]Results!V1760</f>
        <v>1.531870093</v>
      </c>
      <c r="T62" s="1">
        <f>[1]Results!W1760</f>
        <v>1.5645324119999999</v>
      </c>
      <c r="U62" s="1">
        <f>[1]Results!X1760</f>
        <v>1.594490682</v>
      </c>
      <c r="V62" s="1">
        <f>[1]Results!Y1760</f>
        <v>1.621892232</v>
      </c>
      <c r="W62" s="1">
        <f>[1]Results!Z1760</f>
        <v>1.6470634280000001</v>
      </c>
      <c r="X62" s="1">
        <f>[1]Results!AA1760</f>
        <v>1.6704012610000001</v>
      </c>
      <c r="Y62" s="1">
        <f>[1]Results!AB1760</f>
        <v>1.692377639</v>
      </c>
      <c r="Z62" s="1">
        <f>[1]Results!AC1760</f>
        <v>1.7134289330000001</v>
      </c>
      <c r="AA62" s="1">
        <f>[1]Results!AD1760</f>
        <v>1.734116708</v>
      </c>
      <c r="AB62" s="1">
        <f>[1]Results!AE1760</f>
        <v>1.755122769</v>
      </c>
      <c r="AC62" s="1">
        <f>[1]Results!AF1760</f>
        <v>1.777290238</v>
      </c>
      <c r="AD62" s="1">
        <f>[1]Results!AG1760</f>
        <v>1.801427423</v>
      </c>
      <c r="AE62" s="1">
        <f>[1]Results!AH1760</f>
        <v>1.8279318170000001</v>
      </c>
      <c r="AF62" s="1">
        <f>[1]Results!AI1760</f>
        <v>1.8570775530000001</v>
      </c>
      <c r="AG62" s="1">
        <f>[1]Results!AJ1760</f>
        <v>1.8891170289999999</v>
      </c>
      <c r="AH62" s="1">
        <f>[1]Results!AK1760</f>
        <v>1.924393631</v>
      </c>
      <c r="AI62" s="1">
        <f>[1]Results!AL1760</f>
        <v>1.9632310369999999</v>
      </c>
      <c r="AJ62" s="1">
        <f>[1]Results!AM1760</f>
        <v>2.0057559610000002</v>
      </c>
      <c r="AK62" s="1">
        <f>[1]Results!AN1760</f>
        <v>2.0521195909999999</v>
      </c>
      <c r="AL62" s="1">
        <f>[1]Results!AO1760</f>
        <v>2.1025500269999999</v>
      </c>
    </row>
    <row r="63" spans="1:3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35">
      <c r="A64" s="16" t="s">
        <v>1</v>
      </c>
      <c r="B64" t="str">
        <f>B61</f>
        <v>Baseline</v>
      </c>
      <c r="D64" s="1">
        <f t="shared" ref="D64:AL64" si="2">(D61/C61-1)*100</f>
        <v>1.9528109018966511</v>
      </c>
      <c r="E64" s="1">
        <f t="shared" si="2"/>
        <v>1.996242311555374</v>
      </c>
      <c r="F64" s="1">
        <f t="shared" si="2"/>
        <v>2.14401492514944</v>
      </c>
      <c r="G64" s="1">
        <f t="shared" si="2"/>
        <v>2.0441230814926659</v>
      </c>
      <c r="H64" s="1">
        <f t="shared" si="2"/>
        <v>2.0926855101672359</v>
      </c>
      <c r="I64" s="1">
        <f t="shared" si="2"/>
        <v>2.2369857494631606</v>
      </c>
      <c r="J64" s="1">
        <f t="shared" si="2"/>
        <v>2.3543512337484085</v>
      </c>
      <c r="K64" s="1">
        <f t="shared" si="2"/>
        <v>2.4325059393328186</v>
      </c>
      <c r="L64" s="1">
        <f t="shared" si="2"/>
        <v>2.4890032504975901</v>
      </c>
      <c r="M64" s="1">
        <f t="shared" si="2"/>
        <v>2.5139131429076089</v>
      </c>
      <c r="N64" s="1">
        <f t="shared" si="2"/>
        <v>2.4699623944911986</v>
      </c>
      <c r="O64" s="1">
        <f t="shared" si="2"/>
        <v>2.3644325577594216</v>
      </c>
      <c r="P64" s="1">
        <f t="shared" si="2"/>
        <v>2.2166133019955847</v>
      </c>
      <c r="Q64" s="1">
        <f t="shared" si="2"/>
        <v>2.0506706194384217</v>
      </c>
      <c r="R64" s="1">
        <f t="shared" si="2"/>
        <v>1.8810319289630728</v>
      </c>
      <c r="S64" s="1">
        <f t="shared" si="2"/>
        <v>1.6384388404330652</v>
      </c>
      <c r="T64" s="1">
        <f t="shared" si="2"/>
        <v>1.4272648859330106</v>
      </c>
      <c r="U64" s="1">
        <f t="shared" si="2"/>
        <v>1.2514372400033613</v>
      </c>
      <c r="V64" s="1">
        <f t="shared" si="2"/>
        <v>1.1141746610290548</v>
      </c>
      <c r="W64" s="1">
        <f t="shared" si="2"/>
        <v>1.0178627466816748</v>
      </c>
      <c r="X64" s="1">
        <f t="shared" si="2"/>
        <v>0.95564242716481562</v>
      </c>
      <c r="Y64" s="1">
        <f t="shared" si="2"/>
        <v>0.93012644585215298</v>
      </c>
      <c r="Z64" s="1">
        <f t="shared" si="2"/>
        <v>0.94224812685099746</v>
      </c>
      <c r="AA64" s="1">
        <f t="shared" si="2"/>
        <v>0.9944681688148993</v>
      </c>
      <c r="AB64" s="1">
        <f t="shared" si="2"/>
        <v>1.0886166288678556</v>
      </c>
      <c r="AC64" s="1">
        <f t="shared" si="2"/>
        <v>1.210255218890155</v>
      </c>
      <c r="AD64" s="1">
        <f t="shared" si="2"/>
        <v>1.3555643627638725</v>
      </c>
      <c r="AE64" s="1">
        <f t="shared" si="2"/>
        <v>1.5195302707401437</v>
      </c>
      <c r="AF64" s="1">
        <f t="shared" si="2"/>
        <v>1.6873770588992087</v>
      </c>
      <c r="AG64" s="1">
        <f t="shared" si="2"/>
        <v>1.8531245588311318</v>
      </c>
      <c r="AH64" s="1">
        <f t="shared" si="2"/>
        <v>2.0105043162395253</v>
      </c>
      <c r="AI64" s="1">
        <f t="shared" si="2"/>
        <v>2.1547926545960827</v>
      </c>
      <c r="AJ64" s="1">
        <f t="shared" si="2"/>
        <v>2.2823028993307126</v>
      </c>
      <c r="AK64" s="1">
        <f t="shared" si="2"/>
        <v>2.3898225075194013</v>
      </c>
      <c r="AL64" s="1">
        <f t="shared" si="2"/>
        <v>2.4747814139599589</v>
      </c>
    </row>
    <row r="65" spans="1:38" x14ac:dyDescent="0.35">
      <c r="A65" s="16"/>
      <c r="B65" t="str">
        <f>B62</f>
        <v>NZ50</v>
      </c>
      <c r="D65" s="1">
        <f t="shared" ref="D65:AL65" si="3">(D62/C62-1)*100</f>
        <v>1.9528110017041689</v>
      </c>
      <c r="E65" s="1">
        <f t="shared" si="3"/>
        <v>1.9962422117053347</v>
      </c>
      <c r="F65" s="1">
        <f t="shared" si="3"/>
        <v>2.1440150211292197</v>
      </c>
      <c r="G65" s="1">
        <f t="shared" si="3"/>
        <v>2.0441229856067444</v>
      </c>
      <c r="H65" s="1">
        <f t="shared" si="3"/>
        <v>2.0926856022501106</v>
      </c>
      <c r="I65" s="1">
        <f t="shared" si="3"/>
        <v>2.2369857474454857</v>
      </c>
      <c r="J65" s="1">
        <f t="shared" si="3"/>
        <v>3.2678379674417002</v>
      </c>
      <c r="K65" s="1">
        <f t="shared" si="3"/>
        <v>3.2204774350497622</v>
      </c>
      <c r="L65" s="1">
        <f t="shared" si="3"/>
        <v>3.3949246224997953</v>
      </c>
      <c r="M65" s="1">
        <f t="shared" si="3"/>
        <v>3.5428809132109107</v>
      </c>
      <c r="N65" s="1">
        <f t="shared" si="3"/>
        <v>3.3337090952026305</v>
      </c>
      <c r="O65" s="1">
        <f t="shared" si="3"/>
        <v>3.1788631698757674</v>
      </c>
      <c r="P65" s="1">
        <f t="shared" si="3"/>
        <v>2.9845299107836176</v>
      </c>
      <c r="Q65" s="1">
        <f t="shared" si="3"/>
        <v>2.7667066388669337</v>
      </c>
      <c r="R65" s="1">
        <f t="shared" si="3"/>
        <v>2.5361360407960776</v>
      </c>
      <c r="S65" s="1">
        <f t="shared" si="3"/>
        <v>2.3560709421801551</v>
      </c>
      <c r="T65" s="1">
        <f t="shared" si="3"/>
        <v>2.132185956841437</v>
      </c>
      <c r="U65" s="1">
        <f t="shared" si="3"/>
        <v>1.9148385658372735</v>
      </c>
      <c r="V65" s="1">
        <f t="shared" si="3"/>
        <v>1.7185142760213434</v>
      </c>
      <c r="W65" s="1">
        <f t="shared" si="3"/>
        <v>1.5519647670400927</v>
      </c>
      <c r="X65" s="1">
        <f t="shared" si="3"/>
        <v>1.416935899568772</v>
      </c>
      <c r="Y65" s="1">
        <f t="shared" si="3"/>
        <v>1.3156346629458193</v>
      </c>
      <c r="Z65" s="1">
        <f t="shared" si="3"/>
        <v>1.2438886874231558</v>
      </c>
      <c r="AA65" s="1">
        <f t="shared" si="3"/>
        <v>1.2073903154989907</v>
      </c>
      <c r="AB65" s="1">
        <f t="shared" si="3"/>
        <v>1.2113406729254539</v>
      </c>
      <c r="AC65" s="1">
        <f t="shared" si="3"/>
        <v>1.2630152939460793</v>
      </c>
      <c r="AD65" s="1">
        <f t="shared" si="3"/>
        <v>1.3580891001326645</v>
      </c>
      <c r="AE65" s="1">
        <f t="shared" si="3"/>
        <v>1.4712995739712298</v>
      </c>
      <c r="AF65" s="1">
        <f t="shared" si="3"/>
        <v>1.5944651616072836</v>
      </c>
      <c r="AG65" s="1">
        <f t="shared" si="3"/>
        <v>1.7252632206038898</v>
      </c>
      <c r="AH65" s="1">
        <f t="shared" si="3"/>
        <v>1.8673592720019894</v>
      </c>
      <c r="AI65" s="1">
        <f t="shared" si="3"/>
        <v>2.0181632995645682</v>
      </c>
      <c r="AJ65" s="1">
        <f t="shared" si="3"/>
        <v>2.1660682415138632</v>
      </c>
      <c r="AK65" s="1">
        <f t="shared" si="3"/>
        <v>2.31152896471436</v>
      </c>
      <c r="AL65" s="1">
        <f t="shared" si="3"/>
        <v>2.4574803642620768</v>
      </c>
    </row>
    <row r="66" spans="1:3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38" x14ac:dyDescent="0.35">
      <c r="A67" s="15" t="s">
        <v>2</v>
      </c>
      <c r="B67" t="str">
        <f>B64</f>
        <v>Baseline</v>
      </c>
      <c r="C67" s="6">
        <f>[1]Emissions!B820</f>
        <v>348.0186405</v>
      </c>
      <c r="D67" s="6">
        <f>[1]Emissions!C820</f>
        <v>348.2828753</v>
      </c>
      <c r="E67" s="6">
        <f>[1]Emissions!D820</f>
        <v>348.69084459999999</v>
      </c>
      <c r="F67" s="6">
        <f>[1]Emissions!E820</f>
        <v>348.92196819999998</v>
      </c>
      <c r="G67" s="6">
        <f>[1]Emissions!F820</f>
        <v>351.19290660000001</v>
      </c>
      <c r="H67" s="6">
        <f>[1]Emissions!G820</f>
        <v>355.04232150000001</v>
      </c>
      <c r="I67" s="6">
        <f>[1]Emissions!H820</f>
        <v>359.23289829999999</v>
      </c>
      <c r="J67" s="6">
        <f>[1]Emissions!I820</f>
        <v>363.5112421</v>
      </c>
      <c r="K67" s="6">
        <f>[1]Emissions!J820</f>
        <v>367.86726929999998</v>
      </c>
      <c r="L67" s="6">
        <f>[1]Emissions!K820</f>
        <v>372.2950591</v>
      </c>
      <c r="M67" s="6">
        <f>[1]Emissions!L820</f>
        <v>376.70954289999997</v>
      </c>
      <c r="N67" s="6">
        <f>[1]Emissions!M820</f>
        <v>380.22014300000001</v>
      </c>
      <c r="O67" s="6">
        <f>[1]Emissions!N820</f>
        <v>382.95278819999999</v>
      </c>
      <c r="P67" s="6">
        <f>[1]Emissions!O820</f>
        <v>385.07680979999998</v>
      </c>
      <c r="Q67" s="6">
        <f>[1]Emissions!P820</f>
        <v>386.78594989999999</v>
      </c>
      <c r="R67" s="6">
        <f>[1]Emissions!Q820</f>
        <v>388.26377489999999</v>
      </c>
      <c r="S67" s="6">
        <f>[1]Emissions!R820</f>
        <v>390.21900649999998</v>
      </c>
      <c r="T67" s="6">
        <f>[1]Emissions!S820</f>
        <v>392.72864700000002</v>
      </c>
      <c r="U67" s="6">
        <f>[1]Emissions!T820</f>
        <v>395.86954400000002</v>
      </c>
      <c r="V67" s="6">
        <f>[1]Emissions!U820</f>
        <v>399.6513061</v>
      </c>
      <c r="W67" s="6">
        <f>[1]Emissions!V820</f>
        <v>403.98743389999998</v>
      </c>
      <c r="X67" s="6">
        <f>[1]Emissions!W820</f>
        <v>409.01772089999997</v>
      </c>
      <c r="Y67" s="6">
        <f>[1]Emissions!X820</f>
        <v>414.757881</v>
      </c>
      <c r="Z67" s="6">
        <f>[1]Emissions!Y820</f>
        <v>421.23086610000001</v>
      </c>
      <c r="AA67" s="6">
        <f>[1]Emissions!Z820</f>
        <v>428.44048780000003</v>
      </c>
      <c r="AB67" s="6">
        <f>[1]Emissions!AA820</f>
        <v>436.13761979999998</v>
      </c>
      <c r="AC67" s="6">
        <f>[1]Emissions!AB820</f>
        <v>444.5890958</v>
      </c>
      <c r="AD67" s="6">
        <f>[1]Emissions!AC820</f>
        <v>453.83114119999999</v>
      </c>
      <c r="AE67" s="6">
        <f>[1]Emissions!AD820</f>
        <v>463.87755909999998</v>
      </c>
      <c r="AF67" s="6">
        <f>[1]Emissions!AE820</f>
        <v>474.65461390000002</v>
      </c>
      <c r="AG67" s="6">
        <f>[1]Emissions!AF820</f>
        <v>486.03652499999998</v>
      </c>
      <c r="AH67" s="6">
        <f>[1]Emissions!AG820</f>
        <v>497.89747519999997</v>
      </c>
      <c r="AI67" s="6">
        <f>[1]Emissions!AH820</f>
        <v>510.12106940000001</v>
      </c>
      <c r="AJ67" s="6">
        <f>[1]Emissions!AI820</f>
        <v>522.59448499999996</v>
      </c>
      <c r="AK67" s="6">
        <f>[1]Emissions!AJ820</f>
        <v>535.20370760000003</v>
      </c>
      <c r="AL67" s="6">
        <f>[1]Emissions!AK820</f>
        <v>547.8313015</v>
      </c>
    </row>
    <row r="68" spans="1:38" x14ac:dyDescent="0.35">
      <c r="A68" s="11"/>
      <c r="B68" t="s">
        <v>25</v>
      </c>
      <c r="C68" s="6">
        <f>[1]Emissions!B824</f>
        <v>119.490486</v>
      </c>
      <c r="D68" s="6">
        <f>[1]Emissions!C824</f>
        <v>118.3899419</v>
      </c>
      <c r="E68" s="6">
        <f>[1]Emissions!D824</f>
        <v>117.193859</v>
      </c>
      <c r="F68" s="6">
        <f>[1]Emissions!E824</f>
        <v>116.0659916</v>
      </c>
      <c r="G68" s="6">
        <f>[1]Emissions!F824</f>
        <v>115.6044706</v>
      </c>
      <c r="H68" s="6">
        <f>[1]Emissions!G824</f>
        <v>115.5697278</v>
      </c>
      <c r="I68" s="6">
        <f>[1]Emissions!H824</f>
        <v>115.53520519999999</v>
      </c>
      <c r="J68" s="6">
        <f>[1]Emissions!I824</f>
        <v>115.5125225</v>
      </c>
      <c r="K68" s="6">
        <f>[1]Emissions!J824</f>
        <v>115.53396739999999</v>
      </c>
      <c r="L68" s="6">
        <f>[1]Emissions!K824</f>
        <v>115.6038501</v>
      </c>
      <c r="M68" s="6">
        <f>[1]Emissions!L824</f>
        <v>115.7565097</v>
      </c>
      <c r="N68" s="6">
        <f>[1]Emissions!M824</f>
        <v>115.9116282</v>
      </c>
      <c r="O68" s="6">
        <f>[1]Emissions!N824</f>
        <v>116.05635890000001</v>
      </c>
      <c r="P68" s="6">
        <f>[1]Emissions!O824</f>
        <v>116.18885210000001</v>
      </c>
      <c r="Q68" s="6">
        <f>[1]Emissions!P824</f>
        <v>116.3009813</v>
      </c>
      <c r="R68" s="6">
        <f>[1]Emissions!Q824</f>
        <v>116.3827778</v>
      </c>
      <c r="S68" s="6">
        <f>[1]Emissions!R824</f>
        <v>116.5924224</v>
      </c>
      <c r="T68" s="6">
        <f>[1]Emissions!S824</f>
        <v>116.85086440000001</v>
      </c>
      <c r="U68" s="6">
        <f>[1]Emissions!T824</f>
        <v>117.1467901</v>
      </c>
      <c r="V68" s="6">
        <f>[1]Emissions!U824</f>
        <v>117.45867459999999</v>
      </c>
      <c r="W68" s="6">
        <f>[1]Emissions!V824</f>
        <v>117.7421272</v>
      </c>
      <c r="X68" s="6">
        <f>[1]Emissions!W824</f>
        <v>118.02858209999999</v>
      </c>
      <c r="Y68" s="6">
        <f>[1]Emissions!X824</f>
        <v>118.3096595</v>
      </c>
      <c r="Z68" s="6">
        <f>[1]Emissions!Y824</f>
        <v>118.58634670000001</v>
      </c>
      <c r="AA68" s="6">
        <f>[1]Emissions!Z824</f>
        <v>118.862945</v>
      </c>
      <c r="AB68" s="6">
        <f>[1]Emissions!AA824</f>
        <v>119.0723508</v>
      </c>
      <c r="AC68" s="6">
        <f>[1]Emissions!AB824</f>
        <v>119.2957025</v>
      </c>
      <c r="AD68" s="6">
        <f>[1]Emissions!AC824</f>
        <v>119.539722</v>
      </c>
      <c r="AE68" s="6">
        <f>[1]Emissions!AD824</f>
        <v>119.8118963</v>
      </c>
      <c r="AF68" s="6">
        <f>[1]Emissions!AE824</f>
        <v>120.1197573</v>
      </c>
      <c r="AG68" s="6">
        <f>[1]Emissions!AF824</f>
        <v>120.46768539999999</v>
      </c>
      <c r="AH68" s="6">
        <f>[1]Emissions!AG824</f>
        <v>120.85587889999999</v>
      </c>
      <c r="AI68" s="6">
        <f>[1]Emissions!AH824</f>
        <v>121.2772927</v>
      </c>
      <c r="AJ68" s="6">
        <f>[1]Emissions!AI824</f>
        <v>121.7232633</v>
      </c>
      <c r="AK68" s="6">
        <f>[1]Emissions!AJ824</f>
        <v>122.1842973</v>
      </c>
      <c r="AL68" s="6">
        <f>[1]Emissions!AK824</f>
        <v>122.6499845</v>
      </c>
    </row>
    <row r="69" spans="1:38" x14ac:dyDescent="0.35">
      <c r="A69" s="11"/>
      <c r="B69" t="s">
        <v>26</v>
      </c>
      <c r="C69" s="6">
        <f>SUM(C70:C72)</f>
        <v>228.52815449439998</v>
      </c>
      <c r="D69" s="6">
        <f t="shared" ref="D69:AL69" si="4">SUM(D70:D72)</f>
        <v>229.8929334911</v>
      </c>
      <c r="E69" s="6">
        <f t="shared" si="4"/>
        <v>231.49698558699998</v>
      </c>
      <c r="F69" s="6">
        <f t="shared" si="4"/>
        <v>232.855976607</v>
      </c>
      <c r="G69" s="6">
        <f t="shared" si="4"/>
        <v>235.58843603700001</v>
      </c>
      <c r="H69" s="6">
        <f t="shared" si="4"/>
        <v>239.4725937979</v>
      </c>
      <c r="I69" s="6">
        <f t="shared" si="4"/>
        <v>243.69769308929997</v>
      </c>
      <c r="J69" s="6">
        <f t="shared" si="4"/>
        <v>247.99871965879998</v>
      </c>
      <c r="K69" s="6">
        <f t="shared" si="4"/>
        <v>252.33330183090001</v>
      </c>
      <c r="L69" s="6">
        <f t="shared" si="4"/>
        <v>256.6912089045</v>
      </c>
      <c r="M69" s="6">
        <f t="shared" si="4"/>
        <v>260.95303325980001</v>
      </c>
      <c r="N69" s="6">
        <f t="shared" si="4"/>
        <v>264.30851483999999</v>
      </c>
      <c r="O69" s="6">
        <f t="shared" si="4"/>
        <v>266.89642931319997</v>
      </c>
      <c r="P69" s="6">
        <f t="shared" si="4"/>
        <v>268.88795770510001</v>
      </c>
      <c r="Q69" s="6">
        <f t="shared" si="4"/>
        <v>270.48496870600002</v>
      </c>
      <c r="R69" s="6">
        <f t="shared" si="4"/>
        <v>271.88099714499998</v>
      </c>
      <c r="S69" s="6">
        <f t="shared" si="4"/>
        <v>273.62658407420003</v>
      </c>
      <c r="T69" s="6">
        <f t="shared" si="4"/>
        <v>275.87778259980001</v>
      </c>
      <c r="U69" s="6">
        <f t="shared" si="4"/>
        <v>278.72275385440003</v>
      </c>
      <c r="V69" s="6">
        <f t="shared" si="4"/>
        <v>282.19263148930003</v>
      </c>
      <c r="W69" s="6">
        <f t="shared" si="4"/>
        <v>286.24530673049998</v>
      </c>
      <c r="X69" s="6">
        <f t="shared" si="4"/>
        <v>290.98913884910002</v>
      </c>
      <c r="Y69" s="6">
        <f t="shared" si="4"/>
        <v>296.44822149360004</v>
      </c>
      <c r="Z69" s="6">
        <f t="shared" si="4"/>
        <v>302.64451937449996</v>
      </c>
      <c r="AA69" s="6">
        <f t="shared" si="4"/>
        <v>309.57754279789998</v>
      </c>
      <c r="AB69" s="6">
        <f t="shared" si="4"/>
        <v>317.06526892299996</v>
      </c>
      <c r="AC69" s="6">
        <f t="shared" si="4"/>
        <v>325.29339325109999</v>
      </c>
      <c r="AD69" s="6">
        <f t="shared" si="4"/>
        <v>334.29141922829996</v>
      </c>
      <c r="AE69" s="6">
        <f t="shared" si="4"/>
        <v>344.06566281740004</v>
      </c>
      <c r="AF69" s="6">
        <f t="shared" si="4"/>
        <v>354.53485656070001</v>
      </c>
      <c r="AG69" s="6">
        <f t="shared" si="4"/>
        <v>365.56883953869999</v>
      </c>
      <c r="AH69" s="6">
        <f t="shared" si="4"/>
        <v>377.04159626209997</v>
      </c>
      <c r="AI69" s="6">
        <f t="shared" si="4"/>
        <v>388.84377673890003</v>
      </c>
      <c r="AJ69" s="6">
        <f t="shared" si="4"/>
        <v>400.87122173360001</v>
      </c>
      <c r="AK69" s="6">
        <f t="shared" si="4"/>
        <v>413.01941027099997</v>
      </c>
      <c r="AL69" s="6">
        <f t="shared" si="4"/>
        <v>425.18131703339998</v>
      </c>
    </row>
    <row r="70" spans="1:38" x14ac:dyDescent="0.35">
      <c r="A70" s="11"/>
      <c r="B70" t="s">
        <v>50</v>
      </c>
      <c r="C70" s="6">
        <f>[1]Emissions!B821</f>
        <v>213.27374029999999</v>
      </c>
      <c r="D70" s="6">
        <f>[1]Emissions!C821</f>
        <v>214.38117</v>
      </c>
      <c r="E70" s="6">
        <f>[1]Emissions!D821</f>
        <v>215.68811819999999</v>
      </c>
      <c r="F70" s="6">
        <f>[1]Emissions!E821</f>
        <v>216.7261207</v>
      </c>
      <c r="G70" s="6">
        <f>[1]Emissions!F821</f>
        <v>219.11274359999999</v>
      </c>
      <c r="H70" s="6">
        <f>[1]Emissions!G821</f>
        <v>222.62583219999999</v>
      </c>
      <c r="I70" s="6">
        <f>[1]Emissions!H821</f>
        <v>226.4658556</v>
      </c>
      <c r="J70" s="6">
        <f>[1]Emissions!I821</f>
        <v>230.36968469999999</v>
      </c>
      <c r="K70" s="6">
        <f>[1]Emissions!J821</f>
        <v>234.29661200000001</v>
      </c>
      <c r="L70" s="6">
        <f>[1]Emissions!K821</f>
        <v>238.2365345</v>
      </c>
      <c r="M70" s="6">
        <f>[1]Emissions!L821</f>
        <v>242.0703671</v>
      </c>
      <c r="N70" s="6">
        <f>[1]Emissions!M821</f>
        <v>245.0358832</v>
      </c>
      <c r="O70" s="6">
        <f>[1]Emissions!N821</f>
        <v>247.26299839999999</v>
      </c>
      <c r="P70" s="6">
        <f>[1]Emissions!O821</f>
        <v>248.9141138</v>
      </c>
      <c r="Q70" s="6">
        <f>[1]Emissions!P821</f>
        <v>250.18096130000001</v>
      </c>
      <c r="R70" s="6">
        <f>[1]Emissions!Q821</f>
        <v>251.2474915</v>
      </c>
      <c r="S70" s="6">
        <f>[1]Emissions!R821</f>
        <v>252.65112590000001</v>
      </c>
      <c r="T70" s="6">
        <f>[1]Emissions!S821</f>
        <v>254.5373256</v>
      </c>
      <c r="U70" s="6">
        <f>[1]Emissions!T821</f>
        <v>256.98713780000003</v>
      </c>
      <c r="V70" s="6">
        <f>[1]Emissions!U821</f>
        <v>260.02801030000001</v>
      </c>
      <c r="W70" s="6">
        <f>[1]Emissions!V821</f>
        <v>263.62279719999998</v>
      </c>
      <c r="X70" s="6">
        <f>[1]Emissions!W821</f>
        <v>267.86692909999999</v>
      </c>
      <c r="Y70" s="6">
        <f>[1]Emissions!X821</f>
        <v>272.78523180000002</v>
      </c>
      <c r="Z70" s="6">
        <f>[1]Emissions!Y821</f>
        <v>278.39882790000001</v>
      </c>
      <c r="AA70" s="6">
        <f>[1]Emissions!Z821</f>
        <v>284.70784939999999</v>
      </c>
      <c r="AB70" s="6">
        <f>[1]Emissions!AA821</f>
        <v>291.5528592</v>
      </c>
      <c r="AC70" s="6">
        <f>[1]Emissions!AB821</f>
        <v>299.09727359999999</v>
      </c>
      <c r="AD70" s="6">
        <f>[1]Emissions!AC821</f>
        <v>307.37284899999997</v>
      </c>
      <c r="AE70" s="6">
        <f>[1]Emissions!AD821</f>
        <v>316.3859415</v>
      </c>
      <c r="AF70" s="6">
        <f>[1]Emissions!AE821</f>
        <v>326.05890909999999</v>
      </c>
      <c r="AG70" s="6">
        <f>[1]Emissions!AF821</f>
        <v>336.26744389999999</v>
      </c>
      <c r="AH70" s="6">
        <f>[1]Emissions!AG821</f>
        <v>346.8909931</v>
      </c>
      <c r="AI70" s="6">
        <f>[1]Emissions!AH821</f>
        <v>357.82458430000003</v>
      </c>
      <c r="AJ70" s="6">
        <f>[1]Emissions!AI821</f>
        <v>368.96793630000002</v>
      </c>
      <c r="AK70" s="6">
        <f>[1]Emissions!AJ821</f>
        <v>380.22025830000001</v>
      </c>
      <c r="AL70" s="6">
        <f>[1]Emissions!AK821</f>
        <v>391.4783094</v>
      </c>
    </row>
    <row r="71" spans="1:38" x14ac:dyDescent="0.35">
      <c r="A71" s="11"/>
      <c r="B71" t="s">
        <v>51</v>
      </c>
      <c r="C71" s="6">
        <f>[1]Emissions!B822</f>
        <v>2.7534944400000001E-2</v>
      </c>
      <c r="D71" s="6">
        <f>[1]Emissions!C822</f>
        <v>2.8000791099999998E-2</v>
      </c>
      <c r="E71" s="6">
        <f>[1]Emissions!D822</f>
        <v>2.8553087000000001E-2</v>
      </c>
      <c r="F71" s="6">
        <f>[1]Emissions!E822</f>
        <v>2.9187306999999999E-2</v>
      </c>
      <c r="G71" s="6">
        <f>[1]Emissions!F822</f>
        <v>2.9887357E-2</v>
      </c>
      <c r="H71" s="6">
        <f>[1]Emissions!G822</f>
        <v>3.06469779E-2</v>
      </c>
      <c r="I71" s="6">
        <f>[1]Emissions!H822</f>
        <v>3.1438939300000003E-2</v>
      </c>
      <c r="J71" s="6">
        <f>[1]Emissions!I822</f>
        <v>3.2252248800000001E-2</v>
      </c>
      <c r="K71" s="6">
        <f>[1]Emissions!J822</f>
        <v>3.30806009E-2</v>
      </c>
      <c r="L71" s="6">
        <f>[1]Emissions!K822</f>
        <v>3.39217645E-2</v>
      </c>
      <c r="M71" s="6">
        <f>[1]Emissions!L822</f>
        <v>3.47559598E-2</v>
      </c>
      <c r="N71" s="6">
        <f>[1]Emissions!M822</f>
        <v>3.5474949999999998E-2</v>
      </c>
      <c r="O71" s="6">
        <f>[1]Emissions!N822</f>
        <v>3.6100953200000001E-2</v>
      </c>
      <c r="P71" s="6">
        <f>[1]Emissions!O822</f>
        <v>3.6651025099999998E-2</v>
      </c>
      <c r="Q71" s="6">
        <f>[1]Emissions!P822</f>
        <v>3.7147225999999998E-2</v>
      </c>
      <c r="R71" s="6">
        <f>[1]Emissions!Q822</f>
        <v>3.7611905000000001E-2</v>
      </c>
      <c r="S71" s="6">
        <f>[1]Emissions!R822</f>
        <v>3.8078674200000003E-2</v>
      </c>
      <c r="T71" s="6">
        <f>[1]Emissions!S822</f>
        <v>3.8573499800000001E-2</v>
      </c>
      <c r="U71" s="6">
        <f>[1]Emissions!T822</f>
        <v>3.9114334399999999E-2</v>
      </c>
      <c r="V71" s="6">
        <f>[1]Emissions!U822</f>
        <v>3.97116593E-2</v>
      </c>
      <c r="W71" s="6">
        <f>[1]Emissions!V822</f>
        <v>4.0365200499999997E-2</v>
      </c>
      <c r="X71" s="6">
        <f>[1]Emissions!W822</f>
        <v>4.1093029099999998E-2</v>
      </c>
      <c r="Y71" s="6">
        <f>[1]Emissions!X822</f>
        <v>4.19036136E-2</v>
      </c>
      <c r="Z71" s="6">
        <f>[1]Emissions!Y822</f>
        <v>4.2802044499999997E-2</v>
      </c>
      <c r="AA71" s="6">
        <f>[1]Emissions!Z822</f>
        <v>4.37883279E-2</v>
      </c>
      <c r="AB71" s="6">
        <f>[1]Emissions!AA822</f>
        <v>4.4836622999999999E-2</v>
      </c>
      <c r="AC71" s="6">
        <f>[1]Emissions!AB822</f>
        <v>4.59681911E-2</v>
      </c>
      <c r="AD71" s="6">
        <f>[1]Emissions!AC822</f>
        <v>4.7190238299999999E-2</v>
      </c>
      <c r="AE71" s="6">
        <f>[1]Emissions!AD822</f>
        <v>4.8505077399999999E-2</v>
      </c>
      <c r="AF71" s="6">
        <f>[1]Emissions!AE822</f>
        <v>4.9903440700000003E-2</v>
      </c>
      <c r="AG71" s="6">
        <f>[1]Emissions!AF822</f>
        <v>5.1369798699999997E-2</v>
      </c>
      <c r="AH71" s="6">
        <f>[1]Emissions!AG822</f>
        <v>5.2889332099999999E-2</v>
      </c>
      <c r="AI71" s="6">
        <f>[1]Emissions!AH822</f>
        <v>5.4449128899999998E-2</v>
      </c>
      <c r="AJ71" s="6">
        <f>[1]Emissions!AI822</f>
        <v>5.6036553599999997E-2</v>
      </c>
      <c r="AK71" s="6">
        <f>[1]Emissions!AJ822</f>
        <v>5.7638850999999998E-2</v>
      </c>
      <c r="AL71" s="6">
        <f>[1]Emissions!AK822</f>
        <v>5.9243053400000002E-2</v>
      </c>
    </row>
    <row r="72" spans="1:38" x14ac:dyDescent="0.35">
      <c r="A72" s="11"/>
      <c r="B72" t="s">
        <v>52</v>
      </c>
      <c r="C72" s="6">
        <f>[1]Emissions!B823</f>
        <v>15.22687925</v>
      </c>
      <c r="D72" s="6">
        <f>[1]Emissions!C823</f>
        <v>15.4837627</v>
      </c>
      <c r="E72" s="6">
        <f>[1]Emissions!D823</f>
        <v>15.780314300000001</v>
      </c>
      <c r="F72" s="6">
        <f>[1]Emissions!E823</f>
        <v>16.100668599999999</v>
      </c>
      <c r="G72" s="6">
        <f>[1]Emissions!F823</f>
        <v>16.44580508</v>
      </c>
      <c r="H72" s="6">
        <f>[1]Emissions!G823</f>
        <v>16.81611462</v>
      </c>
      <c r="I72" s="6">
        <f>[1]Emissions!H823</f>
        <v>17.200398549999999</v>
      </c>
      <c r="J72" s="6">
        <f>[1]Emissions!I823</f>
        <v>17.596782709999999</v>
      </c>
      <c r="K72" s="6">
        <f>[1]Emissions!J823</f>
        <v>18.003609229999999</v>
      </c>
      <c r="L72" s="6">
        <f>[1]Emissions!K823</f>
        <v>18.42075264</v>
      </c>
      <c r="M72" s="6">
        <f>[1]Emissions!L823</f>
        <v>18.847910200000001</v>
      </c>
      <c r="N72" s="6">
        <f>[1]Emissions!M823</f>
        <v>19.237156689999999</v>
      </c>
      <c r="O72" s="6">
        <f>[1]Emissions!N823</f>
        <v>19.59732996</v>
      </c>
      <c r="P72" s="6">
        <f>[1]Emissions!O823</f>
        <v>19.937192880000001</v>
      </c>
      <c r="Q72" s="6">
        <f>[1]Emissions!P823</f>
        <v>20.266860179999998</v>
      </c>
      <c r="R72" s="6">
        <f>[1]Emissions!Q823</f>
        <v>20.595893740000001</v>
      </c>
      <c r="S72" s="6">
        <f>[1]Emissions!R823</f>
        <v>20.937379499999999</v>
      </c>
      <c r="T72" s="6">
        <f>[1]Emissions!S823</f>
        <v>21.301883499999999</v>
      </c>
      <c r="U72" s="6">
        <f>[1]Emissions!T823</f>
        <v>21.696501720000001</v>
      </c>
      <c r="V72" s="6">
        <f>[1]Emissions!U823</f>
        <v>22.12490953</v>
      </c>
      <c r="W72" s="6">
        <f>[1]Emissions!V823</f>
        <v>22.582144329999998</v>
      </c>
      <c r="X72" s="6">
        <f>[1]Emissions!W823</f>
        <v>23.081116720000001</v>
      </c>
      <c r="Y72" s="6">
        <f>[1]Emissions!X823</f>
        <v>23.621086080000001</v>
      </c>
      <c r="Z72" s="6">
        <f>[1]Emissions!Y823</f>
        <v>24.202889429999999</v>
      </c>
      <c r="AA72" s="6">
        <f>[1]Emissions!Z823</f>
        <v>24.825905070000001</v>
      </c>
      <c r="AB72" s="6">
        <f>[1]Emissions!AA823</f>
        <v>25.467573099999999</v>
      </c>
      <c r="AC72" s="6">
        <f>[1]Emissions!AB823</f>
        <v>26.15015146</v>
      </c>
      <c r="AD72" s="6">
        <f>[1]Emissions!AC823</f>
        <v>26.871379990000001</v>
      </c>
      <c r="AE72" s="6">
        <f>[1]Emissions!AD823</f>
        <v>27.631216240000001</v>
      </c>
      <c r="AF72" s="6">
        <f>[1]Emissions!AE823</f>
        <v>28.426044019999999</v>
      </c>
      <c r="AG72" s="6">
        <f>[1]Emissions!AF823</f>
        <v>29.250025839999999</v>
      </c>
      <c r="AH72" s="6">
        <f>[1]Emissions!AG823</f>
        <v>30.09771383</v>
      </c>
      <c r="AI72" s="6">
        <f>[1]Emissions!AH823</f>
        <v>30.964743309999999</v>
      </c>
      <c r="AJ72" s="6">
        <f>[1]Emissions!AI823</f>
        <v>31.847248879999999</v>
      </c>
      <c r="AK72" s="6">
        <f>[1]Emissions!AJ823</f>
        <v>32.74151312</v>
      </c>
      <c r="AL72" s="6">
        <f>[1]Emissions!AK823</f>
        <v>33.643764580000003</v>
      </c>
    </row>
    <row r="73" spans="1:38" x14ac:dyDescent="0.35">
      <c r="A73" s="11"/>
      <c r="B73" t="str">
        <f>B65</f>
        <v>NZ50</v>
      </c>
      <c r="C73" s="6">
        <f>[1]Emissions!B825</f>
        <v>348.01866310000003</v>
      </c>
      <c r="D73" s="6">
        <f>[1]Emissions!C825</f>
        <v>348.28289740000002</v>
      </c>
      <c r="E73" s="6">
        <f>[1]Emissions!D825</f>
        <v>348.69086609999999</v>
      </c>
      <c r="F73" s="6">
        <f>[1]Emissions!E825</f>
        <v>348.92198919999998</v>
      </c>
      <c r="G73" s="6">
        <f>[1]Emissions!F825</f>
        <v>351.19292739999997</v>
      </c>
      <c r="H73" s="6">
        <f>[1]Emissions!G825</f>
        <v>355.04234229999997</v>
      </c>
      <c r="I73" s="6">
        <f>[1]Emissions!H825</f>
        <v>359.2329191</v>
      </c>
      <c r="J73" s="6">
        <f>[1]Emissions!I825</f>
        <v>348.75001709999998</v>
      </c>
      <c r="K73" s="6">
        <f>[1]Emissions!J825</f>
        <v>337.7842387</v>
      </c>
      <c r="L73" s="6">
        <f>[1]Emissions!K825</f>
        <v>328.01498650000002</v>
      </c>
      <c r="M73" s="6">
        <f>[1]Emissions!L825</f>
        <v>318.71565320000002</v>
      </c>
      <c r="N73" s="6">
        <f>[1]Emissions!M825</f>
        <v>309.92886090000002</v>
      </c>
      <c r="O73" s="6">
        <f>[1]Emissions!N825</f>
        <v>301.35252159999999</v>
      </c>
      <c r="P73" s="6">
        <f>[1]Emissions!O825</f>
        <v>292.94981319999999</v>
      </c>
      <c r="Q73" s="6">
        <f>[1]Emissions!P825</f>
        <v>284.78862179999999</v>
      </c>
      <c r="R73" s="6">
        <f>[1]Emissions!Q825</f>
        <v>276.88766670000001</v>
      </c>
      <c r="S73" s="6">
        <f>[1]Emissions!R825</f>
        <v>269.0322506</v>
      </c>
      <c r="T73" s="6">
        <f>[1]Emissions!S825</f>
        <v>261.34335679999998</v>
      </c>
      <c r="U73" s="6">
        <f>[1]Emissions!T825</f>
        <v>253.8985744</v>
      </c>
      <c r="V73" s="6">
        <f>[1]Emissions!U825</f>
        <v>246.73718160000001</v>
      </c>
      <c r="W73" s="6">
        <f>[1]Emissions!V825</f>
        <v>239.82831630000001</v>
      </c>
      <c r="X73" s="6">
        <f>[1]Emissions!W825</f>
        <v>233.26568689999999</v>
      </c>
      <c r="Y73" s="6">
        <f>[1]Emissions!X825</f>
        <v>227.0394728</v>
      </c>
      <c r="Z73" s="6">
        <f>[1]Emissions!Y825</f>
        <v>221.11901330000001</v>
      </c>
      <c r="AA73" s="6">
        <f>[1]Emissions!Z825</f>
        <v>215.45223659999999</v>
      </c>
      <c r="AB73" s="6">
        <f>[1]Emissions!AA825</f>
        <v>209.8547121</v>
      </c>
      <c r="AC73" s="6">
        <f>[1]Emissions!AB825</f>
        <v>204.4260496</v>
      </c>
      <c r="AD73" s="6">
        <f>[1]Emissions!AC825</f>
        <v>199.14048589999999</v>
      </c>
      <c r="AE73" s="6">
        <f>[1]Emissions!AD825</f>
        <v>193.93043890000001</v>
      </c>
      <c r="AF73" s="6">
        <f>[1]Emissions!AE825</f>
        <v>188.68053599999999</v>
      </c>
      <c r="AG73" s="6">
        <f>[1]Emissions!AF825</f>
        <v>183.25600990000001</v>
      </c>
      <c r="AH73" s="6">
        <f>[1]Emissions!AG825</f>
        <v>177.5340909</v>
      </c>
      <c r="AI73" s="6">
        <f>[1]Emissions!AH825</f>
        <v>171.4003836</v>
      </c>
      <c r="AJ73" s="6">
        <f>[1]Emissions!AI825</f>
        <v>164.7260714</v>
      </c>
      <c r="AK73" s="6">
        <f>[1]Emissions!AJ825</f>
        <v>157.3614579</v>
      </c>
      <c r="AL73" s="6">
        <f>[1]Emissions!AK825</f>
        <v>149.1146517</v>
      </c>
    </row>
    <row r="74" spans="1:38" x14ac:dyDescent="0.35">
      <c r="A74" s="8"/>
      <c r="B74" t="s">
        <v>25</v>
      </c>
      <c r="C74" s="6">
        <f>[1]Emissions!B829</f>
        <v>119.49049309999999</v>
      </c>
      <c r="D74" s="6">
        <f>[1]Emissions!C829</f>
        <v>118.3899486</v>
      </c>
      <c r="E74" s="6">
        <f>[1]Emissions!D829</f>
        <v>117.1938656</v>
      </c>
      <c r="F74" s="6">
        <f>[1]Emissions!E829</f>
        <v>116.0659979</v>
      </c>
      <c r="G74" s="6">
        <f>[1]Emissions!F829</f>
        <v>115.6044768</v>
      </c>
      <c r="H74" s="6">
        <f>[1]Emissions!G829</f>
        <v>115.569734</v>
      </c>
      <c r="I74" s="6">
        <f>[1]Emissions!H829</f>
        <v>115.53521139999999</v>
      </c>
      <c r="J74" s="6">
        <f>[1]Emissions!I829</f>
        <v>110.94653889999999</v>
      </c>
      <c r="K74" s="6">
        <f>[1]Emissions!J829</f>
        <v>106.4439027</v>
      </c>
      <c r="L74" s="6">
        <f>[1]Emissions!K829</f>
        <v>101.973159</v>
      </c>
      <c r="M74" s="6">
        <f>[1]Emissions!L829</f>
        <v>97.523112600000005</v>
      </c>
      <c r="N74" s="6">
        <f>[1]Emissions!M829</f>
        <v>93.323353819999994</v>
      </c>
      <c r="O74" s="6">
        <f>[1]Emissions!N829</f>
        <v>89.286021079999998</v>
      </c>
      <c r="P74" s="6">
        <f>[1]Emissions!O829</f>
        <v>85.388673359999999</v>
      </c>
      <c r="Q74" s="6">
        <f>[1]Emissions!P829</f>
        <v>81.613847680000006</v>
      </c>
      <c r="R74" s="6">
        <f>[1]Emissions!Q829</f>
        <v>77.941652090000005</v>
      </c>
      <c r="S74" s="6">
        <f>[1]Emissions!R829</f>
        <v>74.313272920000003</v>
      </c>
      <c r="T74" s="6">
        <f>[1]Emissions!S829</f>
        <v>70.722791079999993</v>
      </c>
      <c r="U74" s="6">
        <f>[1]Emissions!T829</f>
        <v>67.167292410000002</v>
      </c>
      <c r="V74" s="6">
        <f>[1]Emissions!U829</f>
        <v>63.651550309999998</v>
      </c>
      <c r="W74" s="6">
        <f>[1]Emissions!V829</f>
        <v>60.16726766</v>
      </c>
      <c r="X74" s="6">
        <f>[1]Emissions!W829</f>
        <v>56.748851180000003</v>
      </c>
      <c r="Y74" s="6">
        <f>[1]Emissions!X829</f>
        <v>53.39374024</v>
      </c>
      <c r="Z74" s="6">
        <f>[1]Emissions!Y829</f>
        <v>50.100845739999997</v>
      </c>
      <c r="AA74" s="6">
        <f>[1]Emissions!Z829</f>
        <v>46.869367500000003</v>
      </c>
      <c r="AB74" s="6">
        <f>[1]Emissions!AA829</f>
        <v>43.660316049999999</v>
      </c>
      <c r="AC74" s="6">
        <f>[1]Emissions!AB829</f>
        <v>40.512520879999997</v>
      </c>
      <c r="AD74" s="6">
        <f>[1]Emissions!AC829</f>
        <v>37.420203229999998</v>
      </c>
      <c r="AE74" s="6">
        <f>[1]Emissions!AD829</f>
        <v>34.377491259999999</v>
      </c>
      <c r="AF74" s="6">
        <f>[1]Emissions!AE829</f>
        <v>31.3780006</v>
      </c>
      <c r="AG74" s="6">
        <f>[1]Emissions!AF829</f>
        <v>28.414412219999999</v>
      </c>
      <c r="AH74" s="6">
        <f>[1]Emissions!AG829</f>
        <v>25.478747859999999</v>
      </c>
      <c r="AI74" s="6">
        <f>[1]Emissions!AH829</f>
        <v>22.562928490000001</v>
      </c>
      <c r="AJ74" s="6">
        <f>[1]Emissions!AI829</f>
        <v>19.65919955</v>
      </c>
      <c r="AK74" s="6">
        <f>[1]Emissions!AJ829</f>
        <v>16.760259319999999</v>
      </c>
      <c r="AL74" s="6">
        <f>[1]Emissions!AK829</f>
        <v>13.85898884</v>
      </c>
    </row>
    <row r="75" spans="1:38" x14ac:dyDescent="0.35">
      <c r="A75" s="8"/>
      <c r="B75" t="s">
        <v>26</v>
      </c>
      <c r="C75" s="6">
        <f>SUM(C76:C78)</f>
        <v>228.5281699944</v>
      </c>
      <c r="D75" s="6">
        <f t="shared" ref="D75:AL75" si="5">SUM(D76:D78)</f>
        <v>229.8929486911</v>
      </c>
      <c r="E75" s="6">
        <f t="shared" si="5"/>
        <v>231.497000587</v>
      </c>
      <c r="F75" s="6">
        <f t="shared" si="5"/>
        <v>232.85599120700002</v>
      </c>
      <c r="G75" s="6">
        <f t="shared" si="5"/>
        <v>235.58845053700003</v>
      </c>
      <c r="H75" s="6">
        <f t="shared" si="5"/>
        <v>239.47260829790002</v>
      </c>
      <c r="I75" s="6">
        <f t="shared" si="5"/>
        <v>243.69770768929999</v>
      </c>
      <c r="J75" s="6">
        <f t="shared" si="5"/>
        <v>237.80347816659997</v>
      </c>
      <c r="K75" s="6">
        <f t="shared" si="5"/>
        <v>231.3403360209</v>
      </c>
      <c r="L75" s="6">
        <f t="shared" si="5"/>
        <v>226.0418275129</v>
      </c>
      <c r="M75" s="6">
        <f t="shared" si="5"/>
        <v>221.1925406272</v>
      </c>
      <c r="N75" s="6">
        <f t="shared" si="5"/>
        <v>216.60550711230002</v>
      </c>
      <c r="O75" s="6">
        <f t="shared" si="5"/>
        <v>212.06650055880002</v>
      </c>
      <c r="P75" s="6">
        <f t="shared" si="5"/>
        <v>207.56113984659999</v>
      </c>
      <c r="Q75" s="6">
        <f t="shared" si="5"/>
        <v>203.17477414679999</v>
      </c>
      <c r="R75" s="6">
        <f t="shared" si="5"/>
        <v>198.94601458689999</v>
      </c>
      <c r="S75" s="6">
        <f t="shared" si="5"/>
        <v>194.71897764549999</v>
      </c>
      <c r="T75" s="6">
        <f t="shared" si="5"/>
        <v>190.6205657328</v>
      </c>
      <c r="U75" s="6">
        <f t="shared" si="5"/>
        <v>186.73128205259999</v>
      </c>
      <c r="V75" s="6">
        <f t="shared" si="5"/>
        <v>183.0856312713</v>
      </c>
      <c r="W75" s="6">
        <f t="shared" si="5"/>
        <v>179.66104856800001</v>
      </c>
      <c r="X75" s="6">
        <f t="shared" si="5"/>
        <v>176.5168356833</v>
      </c>
      <c r="Y75" s="6">
        <f t="shared" si="5"/>
        <v>173.6457325552</v>
      </c>
      <c r="Z75" s="6">
        <f t="shared" si="5"/>
        <v>171.01816756780002</v>
      </c>
      <c r="AA75" s="6">
        <f t="shared" si="5"/>
        <v>168.58286916979998</v>
      </c>
      <c r="AB75" s="6">
        <f t="shared" si="5"/>
        <v>166.19439601919998</v>
      </c>
      <c r="AC75" s="6">
        <f t="shared" si="5"/>
        <v>163.91352875500002</v>
      </c>
      <c r="AD75" s="6">
        <f t="shared" si="5"/>
        <v>161.72028266849998</v>
      </c>
      <c r="AE75" s="6">
        <f t="shared" si="5"/>
        <v>159.55294767290002</v>
      </c>
      <c r="AF75" s="6">
        <f t="shared" si="5"/>
        <v>157.3025354442</v>
      </c>
      <c r="AG75" s="6">
        <f t="shared" si="5"/>
        <v>154.8415977235</v>
      </c>
      <c r="AH75" s="6">
        <f t="shared" si="5"/>
        <v>152.05534309430001</v>
      </c>
      <c r="AI75" s="6">
        <f t="shared" si="5"/>
        <v>148.83745507960001</v>
      </c>
      <c r="AJ75" s="6">
        <f t="shared" si="5"/>
        <v>145.0668719132</v>
      </c>
      <c r="AK75" s="6">
        <f t="shared" si="5"/>
        <v>140.60119856200001</v>
      </c>
      <c r="AL75" s="6">
        <f t="shared" si="5"/>
        <v>135.25566278380001</v>
      </c>
    </row>
    <row r="76" spans="1:38" x14ac:dyDescent="0.35">
      <c r="A76" s="8"/>
      <c r="B76" t="s">
        <v>50</v>
      </c>
      <c r="C76" s="5">
        <f>[1]Emissions!B826</f>
        <v>213.2737558</v>
      </c>
      <c r="D76" s="5">
        <f>[1]Emissions!C826</f>
        <v>214.3811852</v>
      </c>
      <c r="E76" s="5">
        <f>[1]Emissions!D826</f>
        <v>215.68813320000001</v>
      </c>
      <c r="F76" s="5">
        <f>[1]Emissions!E826</f>
        <v>216.72613530000001</v>
      </c>
      <c r="G76" s="5">
        <f>[1]Emissions!F826</f>
        <v>219.11275810000001</v>
      </c>
      <c r="H76" s="5">
        <f>[1]Emissions!G826</f>
        <v>222.62584670000001</v>
      </c>
      <c r="I76" s="5">
        <f>[1]Emissions!H826</f>
        <v>226.46587020000001</v>
      </c>
      <c r="J76" s="5">
        <f>[1]Emissions!I826</f>
        <v>220.2500537</v>
      </c>
      <c r="K76" s="5">
        <f>[1]Emissions!J826</f>
        <v>213.48922630000001</v>
      </c>
      <c r="L76" s="5">
        <f>[1]Emissions!K826</f>
        <v>207.85364939999999</v>
      </c>
      <c r="M76" s="5">
        <f>[1]Emissions!L826</f>
        <v>202.6548908</v>
      </c>
      <c r="N76" s="5">
        <f>[1]Emissions!M826</f>
        <v>197.74976240000001</v>
      </c>
      <c r="O76" s="5">
        <f>[1]Emissions!N826</f>
        <v>192.91626160000001</v>
      </c>
      <c r="P76" s="5">
        <f>[1]Emissions!O826</f>
        <v>188.12967169999999</v>
      </c>
      <c r="Q76" s="5">
        <f>[1]Emissions!P826</f>
        <v>183.46295319999999</v>
      </c>
      <c r="R76" s="5">
        <f>[1]Emissions!Q826</f>
        <v>178.94618299999999</v>
      </c>
      <c r="S76" s="5">
        <f>[1]Emissions!R826</f>
        <v>174.417586</v>
      </c>
      <c r="T76" s="5">
        <f>[1]Emissions!S826</f>
        <v>170.0017129</v>
      </c>
      <c r="U76" s="5">
        <f>[1]Emissions!T826</f>
        <v>165.7726792</v>
      </c>
      <c r="V76" s="5">
        <f>[1]Emissions!U826</f>
        <v>161.759488</v>
      </c>
      <c r="W76" s="5">
        <f>[1]Emissions!V826</f>
        <v>157.94190230000001</v>
      </c>
      <c r="X76" s="5">
        <f>[1]Emissions!W826</f>
        <v>154.36364399999999</v>
      </c>
      <c r="Y76" s="5">
        <f>[1]Emissions!X826</f>
        <v>151.01577359999999</v>
      </c>
      <c r="Z76" s="5">
        <f>[1]Emissions!Y826</f>
        <v>147.8658423</v>
      </c>
      <c r="AA76" s="5">
        <f>[1]Emissions!Z826</f>
        <v>144.86098709999999</v>
      </c>
      <c r="AB76" s="5">
        <f>[1]Emissions!AA826</f>
        <v>141.87571449999999</v>
      </c>
      <c r="AC76" s="5">
        <f>[1]Emissions!AB826</f>
        <v>138.94879159999999</v>
      </c>
      <c r="AD76" s="5">
        <f>[1]Emissions!AC826</f>
        <v>136.05608849999999</v>
      </c>
      <c r="AE76" s="5">
        <f>[1]Emissions!AD826</f>
        <v>133.13243170000001</v>
      </c>
      <c r="AF76" s="5">
        <f>[1]Emissions!AE826</f>
        <v>130.06793350000001</v>
      </c>
      <c r="AG76" s="5">
        <f>[1]Emissions!AF826</f>
        <v>126.7350825</v>
      </c>
      <c r="AH76" s="5">
        <f>[1]Emissions!AG826</f>
        <v>123.01685190000001</v>
      </c>
      <c r="AI76" s="5">
        <f>[1]Emissions!AH826</f>
        <v>118.80140230000001</v>
      </c>
      <c r="AJ76" s="5">
        <f>[1]Emissions!AI826</f>
        <v>113.9589142</v>
      </c>
      <c r="AK76" s="5">
        <f>[1]Emissions!AJ826</f>
        <v>108.3329894</v>
      </c>
      <c r="AL76" s="5">
        <f>[1]Emissions!AK826</f>
        <v>101.7164351</v>
      </c>
    </row>
    <row r="77" spans="1:38" x14ac:dyDescent="0.35">
      <c r="A77" s="8"/>
      <c r="B77" t="s">
        <v>51</v>
      </c>
      <c r="C77" s="5">
        <f>[1]Emissions!B827</f>
        <v>2.7534944400000001E-2</v>
      </c>
      <c r="D77" s="5">
        <f>[1]Emissions!C827</f>
        <v>2.8000791099999998E-2</v>
      </c>
      <c r="E77" s="5">
        <f>[1]Emissions!D827</f>
        <v>2.8553087000000001E-2</v>
      </c>
      <c r="F77" s="5">
        <f>[1]Emissions!E827</f>
        <v>2.9187306999999999E-2</v>
      </c>
      <c r="G77" s="5">
        <f>[1]Emissions!F827</f>
        <v>2.9887357E-2</v>
      </c>
      <c r="H77" s="5">
        <f>[1]Emissions!G827</f>
        <v>3.06469779E-2</v>
      </c>
      <c r="I77" s="5">
        <f>[1]Emissions!H827</f>
        <v>3.1438939300000003E-2</v>
      </c>
      <c r="J77" s="5">
        <f>[1]Emissions!I827</f>
        <v>3.2128166600000001E-2</v>
      </c>
      <c r="K77" s="5">
        <f>[1]Emissions!J827</f>
        <v>3.2801510899999997E-2</v>
      </c>
      <c r="L77" s="5">
        <f>[1]Emissions!K827</f>
        <v>3.3621082900000002E-2</v>
      </c>
      <c r="M77" s="5">
        <f>[1]Emissions!L827</f>
        <v>3.4445857199999999E-2</v>
      </c>
      <c r="N77" s="5">
        <f>[1]Emissions!M827</f>
        <v>3.5149242300000001E-2</v>
      </c>
      <c r="O77" s="5">
        <f>[1]Emissions!N827</f>
        <v>3.5752108800000001E-2</v>
      </c>
      <c r="P77" s="5">
        <f>[1]Emissions!O827</f>
        <v>3.6279306599999998E-2</v>
      </c>
      <c r="Q77" s="5">
        <f>[1]Emissions!P827</f>
        <v>3.6762136799999998E-2</v>
      </c>
      <c r="R77" s="5">
        <f>[1]Emissions!Q827</f>
        <v>3.72213869E-2</v>
      </c>
      <c r="S77" s="5">
        <f>[1]Emissions!R827</f>
        <v>3.7684225500000001E-2</v>
      </c>
      <c r="T77" s="5">
        <f>[1]Emissions!S827</f>
        <v>3.8163102800000001E-2</v>
      </c>
      <c r="U77" s="5">
        <f>[1]Emissions!T827</f>
        <v>3.8674602600000003E-2</v>
      </c>
      <c r="V77" s="5">
        <f>[1]Emissions!U827</f>
        <v>3.9230911299999997E-2</v>
      </c>
      <c r="W77" s="5">
        <f>[1]Emissions!V827</f>
        <v>3.9834087999999997E-2</v>
      </c>
      <c r="X77" s="5">
        <f>[1]Emissions!W827</f>
        <v>4.0504353299999997E-2</v>
      </c>
      <c r="Y77" s="5">
        <f>[1]Emissions!X827</f>
        <v>4.12523152E-2</v>
      </c>
      <c r="Z77" s="5">
        <f>[1]Emissions!Y827</f>
        <v>4.2085297799999997E-2</v>
      </c>
      <c r="AA77" s="5">
        <f>[1]Emissions!Z827</f>
        <v>4.3005759800000001E-2</v>
      </c>
      <c r="AB77" s="5">
        <f>[1]Emissions!AA827</f>
        <v>4.3989969199999999E-2</v>
      </c>
      <c r="AC77" s="5">
        <f>[1]Emissions!AB827</f>
        <v>4.5053164999999999E-2</v>
      </c>
      <c r="AD77" s="5">
        <f>[1]Emissions!AC827</f>
        <v>4.6212618499999997E-2</v>
      </c>
      <c r="AE77" s="5">
        <f>[1]Emissions!AD827</f>
        <v>4.7474582899999999E-2</v>
      </c>
      <c r="AF77" s="5">
        <f>[1]Emissions!AE827</f>
        <v>4.8834454200000002E-2</v>
      </c>
      <c r="AG77" s="5">
        <f>[1]Emissions!AF827</f>
        <v>5.02813935E-2</v>
      </c>
      <c r="AH77" s="5">
        <f>[1]Emissions!AG827</f>
        <v>5.1804954299999997E-2</v>
      </c>
      <c r="AI77" s="5">
        <f>[1]Emissions!AH827</f>
        <v>5.3396829600000001E-2</v>
      </c>
      <c r="AJ77" s="5">
        <f>[1]Emissions!AI827</f>
        <v>5.5049773199999999E-2</v>
      </c>
      <c r="AK77" s="5">
        <f>[1]Emissions!AJ827</f>
        <v>5.6757762000000003E-2</v>
      </c>
      <c r="AL77" s="5">
        <f>[1]Emissions!AK827</f>
        <v>5.8516633800000002E-2</v>
      </c>
    </row>
    <row r="78" spans="1:38" x14ac:dyDescent="0.35">
      <c r="B78" t="s">
        <v>52</v>
      </c>
      <c r="C78" s="5">
        <f>[1]Emissions!B828</f>
        <v>15.22687925</v>
      </c>
      <c r="D78" s="5">
        <f>[1]Emissions!C828</f>
        <v>15.4837627</v>
      </c>
      <c r="E78" s="5">
        <f>[1]Emissions!D828</f>
        <v>15.780314300000001</v>
      </c>
      <c r="F78" s="5">
        <f>[1]Emissions!E828</f>
        <v>16.100668599999999</v>
      </c>
      <c r="G78" s="5">
        <f>[1]Emissions!F828</f>
        <v>16.44580508</v>
      </c>
      <c r="H78" s="5">
        <f>[1]Emissions!G828</f>
        <v>16.81611462</v>
      </c>
      <c r="I78" s="5">
        <f>[1]Emissions!H828</f>
        <v>17.200398549999999</v>
      </c>
      <c r="J78" s="5">
        <f>[1]Emissions!I828</f>
        <v>17.521296299999999</v>
      </c>
      <c r="K78" s="5">
        <f>[1]Emissions!J828</f>
        <v>17.818308210000001</v>
      </c>
      <c r="L78" s="5">
        <f>[1]Emissions!K828</f>
        <v>18.154557029999999</v>
      </c>
      <c r="M78" s="5">
        <f>[1]Emissions!L828</f>
        <v>18.503203970000001</v>
      </c>
      <c r="N78" s="5">
        <f>[1]Emissions!M828</f>
        <v>18.820595470000001</v>
      </c>
      <c r="O78" s="5">
        <f>[1]Emissions!N828</f>
        <v>19.114486849999999</v>
      </c>
      <c r="P78" s="5">
        <f>[1]Emissions!O828</f>
        <v>19.395188839999999</v>
      </c>
      <c r="Q78" s="5">
        <f>[1]Emissions!P828</f>
        <v>19.675058809999999</v>
      </c>
      <c r="R78" s="5">
        <f>[1]Emissions!Q828</f>
        <v>19.9626102</v>
      </c>
      <c r="S78" s="5">
        <f>[1]Emissions!R828</f>
        <v>20.263707419999999</v>
      </c>
      <c r="T78" s="5">
        <f>[1]Emissions!S828</f>
        <v>20.58068973</v>
      </c>
      <c r="U78" s="5">
        <f>[1]Emissions!T828</f>
        <v>20.919928250000002</v>
      </c>
      <c r="V78" s="5">
        <f>[1]Emissions!U828</f>
        <v>21.286912359999999</v>
      </c>
      <c r="W78" s="5">
        <f>[1]Emissions!V828</f>
        <v>21.67931218</v>
      </c>
      <c r="X78" s="5">
        <f>[1]Emissions!W828</f>
        <v>22.11268733</v>
      </c>
      <c r="Y78" s="5">
        <f>[1]Emissions!X828</f>
        <v>22.588706640000002</v>
      </c>
      <c r="Z78" s="5">
        <f>[1]Emissions!Y828</f>
        <v>23.110239969999999</v>
      </c>
      <c r="AA78" s="5">
        <f>[1]Emissions!Z828</f>
        <v>23.67887631</v>
      </c>
      <c r="AB78" s="5">
        <f>[1]Emissions!AA828</f>
        <v>24.27469155</v>
      </c>
      <c r="AC78" s="5">
        <f>[1]Emissions!AB828</f>
        <v>24.919683989999999</v>
      </c>
      <c r="AD78" s="5">
        <f>[1]Emissions!AC828</f>
        <v>25.61798155</v>
      </c>
      <c r="AE78" s="5">
        <f>[1]Emissions!AD828</f>
        <v>26.373041390000001</v>
      </c>
      <c r="AF78" s="5">
        <f>[1]Emissions!AE828</f>
        <v>27.18576749</v>
      </c>
      <c r="AG78" s="5">
        <f>[1]Emissions!AF828</f>
        <v>28.05623383</v>
      </c>
      <c r="AH78" s="5">
        <f>[1]Emissions!AG828</f>
        <v>28.986686240000001</v>
      </c>
      <c r="AI78" s="5">
        <f>[1]Emissions!AH828</f>
        <v>29.982655950000002</v>
      </c>
      <c r="AJ78" s="5">
        <f>[1]Emissions!AI828</f>
        <v>31.052907940000001</v>
      </c>
      <c r="AK78" s="5">
        <f>[1]Emissions!AJ828</f>
        <v>32.211451400000001</v>
      </c>
      <c r="AL78" s="5">
        <f>[1]Emissions!AK828</f>
        <v>33.480711049999996</v>
      </c>
    </row>
    <row r="79" spans="1:38" x14ac:dyDescent="0.35">
      <c r="B79" t="s">
        <v>13</v>
      </c>
      <c r="C79" s="6">
        <f>[1]Results!F1551</f>
        <v>1966951.8470000001</v>
      </c>
      <c r="D79" s="6">
        <f>[1]Results!G1551</f>
        <v>2004517.4639999999</v>
      </c>
      <c r="E79" s="6">
        <f>[1]Results!H1551</f>
        <v>2046270.9890000001</v>
      </c>
      <c r="F79" s="6">
        <f>[1]Results!I1551</f>
        <v>2091819.257</v>
      </c>
      <c r="G79" s="6">
        <f>[1]Results!J1551</f>
        <v>2140286.5759999999</v>
      </c>
      <c r="H79" s="6">
        <f>[1]Results!K1551</f>
        <v>2191398.8160000001</v>
      </c>
      <c r="I79" s="6">
        <f>[1]Results!L1551</f>
        <v>2243404.61</v>
      </c>
      <c r="J79" s="6">
        <f>[1]Results!M1551</f>
        <v>2296556.909</v>
      </c>
      <c r="K79" s="6">
        <f>[1]Results!N1551</f>
        <v>2350786.0210000002</v>
      </c>
      <c r="L79" s="6">
        <f>[1]Results!O1551</f>
        <v>2406150.142</v>
      </c>
      <c r="M79" s="6">
        <f>[1]Results!P1551</f>
        <v>2462478.7579999999</v>
      </c>
      <c r="N79" s="6">
        <f>[1]Results!Q1551</f>
        <v>2512152.4270000001</v>
      </c>
      <c r="O79" s="6">
        <f>[1]Results!R1551</f>
        <v>2557805.0260000001</v>
      </c>
      <c r="P79" s="6">
        <f>[1]Results!S1551</f>
        <v>2600311.1060000001</v>
      </c>
      <c r="Q79" s="6">
        <f>[1]Results!T1551</f>
        <v>2640800.2409999999</v>
      </c>
      <c r="R79" s="6">
        <f>[1]Results!U1551</f>
        <v>2680379.517</v>
      </c>
      <c r="S79" s="6">
        <f>[1]Results!V1551</f>
        <v>2720755.591</v>
      </c>
      <c r="T79" s="6">
        <f>[1]Results!W1551</f>
        <v>2763126.139</v>
      </c>
      <c r="U79" s="6">
        <f>[1]Results!X1551</f>
        <v>2808313.39</v>
      </c>
      <c r="V79" s="6">
        <f>[1]Results!Y1551</f>
        <v>2856790.2710000002</v>
      </c>
      <c r="W79" s="6">
        <f>[1]Results!Z1551</f>
        <v>2907857.4649999999</v>
      </c>
      <c r="X79" s="6">
        <f>[1]Results!AA1551</f>
        <v>2963807.3930000002</v>
      </c>
      <c r="Y79" s="6">
        <f>[1]Results!AB1551</f>
        <v>3024443.3489999999</v>
      </c>
      <c r="Z79" s="6">
        <f>[1]Results!AC1551</f>
        <v>3090049.2510000002</v>
      </c>
      <c r="AA79" s="6">
        <f>[1]Results!AD1551</f>
        <v>3160620.446</v>
      </c>
      <c r="AB79" s="6">
        <f>[1]Results!AE1551</f>
        <v>3232836.8</v>
      </c>
      <c r="AC79" s="6">
        <f>[1]Results!AF1551</f>
        <v>3310781.9819999998</v>
      </c>
      <c r="AD79" s="6">
        <f>[1]Results!AG1551</f>
        <v>3393795.3169999998</v>
      </c>
      <c r="AE79" s="6">
        <f>[1]Results!AH1551</f>
        <v>3482001.196</v>
      </c>
      <c r="AF79" s="6">
        <f>[1]Results!AI1551</f>
        <v>3574898.0129999998</v>
      </c>
      <c r="AG79" s="6">
        <f>[1]Results!AJ1551</f>
        <v>3671698.6209999998</v>
      </c>
      <c r="AH79" s="6">
        <f>[1]Results!AK1551</f>
        <v>3771699.0929999999</v>
      </c>
      <c r="AI79" s="6">
        <f>[1]Results!AL1551</f>
        <v>3874306.122</v>
      </c>
      <c r="AJ79" s="6">
        <f>[1]Results!AM1551</f>
        <v>3978933.2489999998</v>
      </c>
      <c r="AK79" s="6">
        <f>[1]Results!AN1551</f>
        <v>4084981.9219999998</v>
      </c>
      <c r="AL79" s="6">
        <f>[1]Results!AO1551</f>
        <v>4191833.1009999998</v>
      </c>
    </row>
    <row r="80" spans="1:3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spans="1:38" x14ac:dyDescent="0.35">
      <c r="A81" s="12" t="s">
        <v>78</v>
      </c>
      <c r="B81" t="s">
        <v>13</v>
      </c>
      <c r="C81" s="6">
        <f>[1]Results!F1551</f>
        <v>1966951.8470000001</v>
      </c>
      <c r="D81" s="6">
        <f>[1]Results!G1551</f>
        <v>2004517.4639999999</v>
      </c>
      <c r="E81" s="6">
        <f>[1]Results!H1551</f>
        <v>2046270.9890000001</v>
      </c>
      <c r="F81" s="6">
        <f>[1]Results!I1551</f>
        <v>2091819.257</v>
      </c>
      <c r="G81" s="6">
        <f>[1]Results!J1551</f>
        <v>2140286.5759999999</v>
      </c>
      <c r="H81" s="6">
        <f>[1]Results!K1551</f>
        <v>2191398.8160000001</v>
      </c>
      <c r="I81" s="6">
        <f>[1]Results!L1551</f>
        <v>2243404.61</v>
      </c>
      <c r="J81" s="6">
        <f>[1]Results!M1551</f>
        <v>2296556.909</v>
      </c>
      <c r="K81" s="6">
        <f>[1]Results!N1551</f>
        <v>2350786.0210000002</v>
      </c>
      <c r="L81" s="6">
        <f>[1]Results!O1551</f>
        <v>2406150.142</v>
      </c>
      <c r="M81" s="6">
        <f>[1]Results!P1551</f>
        <v>2462478.7579999999</v>
      </c>
      <c r="N81" s="6">
        <f>[1]Results!Q1551</f>
        <v>2512152.4270000001</v>
      </c>
      <c r="O81" s="6">
        <f>[1]Results!R1551</f>
        <v>2557805.0260000001</v>
      </c>
      <c r="P81" s="6">
        <f>[1]Results!S1551</f>
        <v>2600311.1060000001</v>
      </c>
      <c r="Q81" s="6">
        <f>[1]Results!T1551</f>
        <v>2640800.2409999999</v>
      </c>
      <c r="R81" s="6">
        <f>[1]Results!U1551</f>
        <v>2680379.517</v>
      </c>
      <c r="S81" s="6">
        <f>[1]Results!V1551</f>
        <v>2720755.591</v>
      </c>
      <c r="T81" s="6">
        <f>[1]Results!W1551</f>
        <v>2763126.139</v>
      </c>
      <c r="U81" s="6">
        <f>[1]Results!X1551</f>
        <v>2808313.39</v>
      </c>
      <c r="V81" s="6">
        <f>[1]Results!Y1551</f>
        <v>2856790.2710000002</v>
      </c>
      <c r="W81" s="6">
        <f>[1]Results!Z1551</f>
        <v>2907857.4649999999</v>
      </c>
      <c r="X81" s="6">
        <f>[1]Results!AA1551</f>
        <v>2963807.3930000002</v>
      </c>
      <c r="Y81" s="6">
        <f>[1]Results!AB1551</f>
        <v>3024443.3489999999</v>
      </c>
      <c r="Z81" s="6">
        <f>[1]Results!AC1551</f>
        <v>3090049.2510000002</v>
      </c>
      <c r="AA81" s="6">
        <f>[1]Results!AD1551</f>
        <v>3160620.446</v>
      </c>
      <c r="AB81" s="6">
        <f>[1]Results!AE1551</f>
        <v>3232836.8</v>
      </c>
      <c r="AC81" s="6">
        <f>[1]Results!AF1551</f>
        <v>3310781.9819999998</v>
      </c>
      <c r="AD81" s="6">
        <f>[1]Results!AG1551</f>
        <v>3393795.3169999998</v>
      </c>
      <c r="AE81" s="6">
        <f>[1]Results!AH1551</f>
        <v>3482001.196</v>
      </c>
      <c r="AF81" s="6">
        <f>[1]Results!AI1551</f>
        <v>3574898.0129999998</v>
      </c>
      <c r="AG81" s="6">
        <f>[1]Results!AJ1551</f>
        <v>3671698.6209999998</v>
      </c>
      <c r="AH81" s="6">
        <f>[1]Results!AK1551</f>
        <v>3771699.0929999999</v>
      </c>
      <c r="AI81" s="6">
        <f>[1]Results!AL1551</f>
        <v>3874306.122</v>
      </c>
      <c r="AJ81" s="6">
        <f>[1]Results!AM1551</f>
        <v>3978933.2489999998</v>
      </c>
      <c r="AK81" s="6">
        <f>[1]Results!AN1551</f>
        <v>4084981.9219999998</v>
      </c>
      <c r="AL81" s="6">
        <f>[1]Results!AO1551</f>
        <v>4191833.1009999998</v>
      </c>
    </row>
    <row r="82" spans="1:38" x14ac:dyDescent="0.35">
      <c r="A82" t="s">
        <v>38</v>
      </c>
      <c r="B82" t="s">
        <v>7</v>
      </c>
      <c r="C82" s="6">
        <f>[1]Results!F1552</f>
        <v>36098.159420000004</v>
      </c>
      <c r="D82" s="6">
        <f>[1]Results!G1552</f>
        <v>36617.899369999999</v>
      </c>
      <c r="E82" s="6">
        <f>[1]Results!H1552</f>
        <v>37230.459040000002</v>
      </c>
      <c r="F82" s="6">
        <f>[1]Results!I1552</f>
        <v>37935.083769999997</v>
      </c>
      <c r="G82" s="6">
        <f>[1]Results!J1552</f>
        <v>38728.781049999998</v>
      </c>
      <c r="H82" s="6">
        <f>[1]Results!K1552</f>
        <v>39596.263400000003</v>
      </c>
      <c r="I82" s="6">
        <f>[1]Results!L1552</f>
        <v>40501.912089999998</v>
      </c>
      <c r="J82" s="6">
        <f>[1]Results!M1552</f>
        <v>41436.229290000003</v>
      </c>
      <c r="K82" s="6">
        <f>[1]Results!N1552</f>
        <v>42393.18219</v>
      </c>
      <c r="L82" s="6">
        <f>[1]Results!O1552</f>
        <v>43370.119570000003</v>
      </c>
      <c r="M82" s="6">
        <f>[1]Results!P1552</f>
        <v>44341.506730000001</v>
      </c>
      <c r="N82" s="6">
        <f>[1]Results!Q1552</f>
        <v>45162.253279999997</v>
      </c>
      <c r="O82" s="6">
        <f>[1]Results!R1552</f>
        <v>45883.682379999998</v>
      </c>
      <c r="P82" s="6">
        <f>[1]Results!S1552</f>
        <v>46526.707889999998</v>
      </c>
      <c r="Q82" s="6">
        <f>[1]Results!T1552</f>
        <v>47116.967940000002</v>
      </c>
      <c r="R82" s="6">
        <f>[1]Results!U1552</f>
        <v>47679.102570000003</v>
      </c>
      <c r="S82" s="6">
        <f>[1]Results!V1552</f>
        <v>48249.94958</v>
      </c>
      <c r="T82" s="6">
        <f>[1]Results!W1552</f>
        <v>48855.861770000003</v>
      </c>
      <c r="U82" s="6">
        <f>[1]Results!X1552</f>
        <v>49516.938099999999</v>
      </c>
      <c r="V82" s="6">
        <f>[1]Results!Y1552</f>
        <v>50243.750059999998</v>
      </c>
      <c r="W82" s="6">
        <f>[1]Results!Z1552</f>
        <v>51032.61045</v>
      </c>
      <c r="X82" s="6">
        <f>[1]Results!AA1552</f>
        <v>51909.467660000002</v>
      </c>
      <c r="Y82" s="6">
        <f>[1]Results!AB1552</f>
        <v>52881.982499999998</v>
      </c>
      <c r="Z82" s="6">
        <f>[1]Results!AC1552</f>
        <v>53954.979120000004</v>
      </c>
      <c r="AA82" s="6">
        <f>[1]Results!AD1552</f>
        <v>55127.198499999999</v>
      </c>
      <c r="AB82" s="6">
        <f>[1]Results!AE1552</f>
        <v>56360.823920000003</v>
      </c>
      <c r="AC82" s="6">
        <f>[1]Results!AF1552</f>
        <v>57692.813349999997</v>
      </c>
      <c r="AD82" s="6">
        <f>[1]Results!AG1552</f>
        <v>59129.198850000001</v>
      </c>
      <c r="AE82" s="6">
        <f>[1]Results!AH1552</f>
        <v>60671.450689999998</v>
      </c>
      <c r="AF82" s="6">
        <f>[1]Results!AI1552</f>
        <v>62306.820570000003</v>
      </c>
      <c r="AG82" s="6">
        <f>[1]Results!AJ1552</f>
        <v>64016.641259999997</v>
      </c>
      <c r="AH82" s="6">
        <f>[1]Results!AK1552</f>
        <v>65784.772790000003</v>
      </c>
      <c r="AI82" s="6">
        <f>[1]Results!AL1552</f>
        <v>67597.574099999998</v>
      </c>
      <c r="AJ82" s="6">
        <f>[1]Results!AM1552</f>
        <v>69441.401339999997</v>
      </c>
      <c r="AK82" s="6">
        <f>[1]Results!AN1552</f>
        <v>71302.307079999999</v>
      </c>
      <c r="AL82" s="6">
        <f>[1]Results!AO1552</f>
        <v>73165.998210000005</v>
      </c>
    </row>
    <row r="83" spans="1:38" x14ac:dyDescent="0.35">
      <c r="B83" t="s">
        <v>30</v>
      </c>
      <c r="C83" s="6">
        <f>[1]Results!F1555</f>
        <v>331692.73849999998</v>
      </c>
      <c r="D83" s="6">
        <f>[1]Results!G1555</f>
        <v>339805.06449999998</v>
      </c>
      <c r="E83" s="6">
        <f>[1]Results!H1555</f>
        <v>348264.30849999998</v>
      </c>
      <c r="F83" s="6">
        <f>[1]Results!I1555</f>
        <v>357302.64030000003</v>
      </c>
      <c r="G83" s="6">
        <f>[1]Results!J1555</f>
        <v>366862.2855</v>
      </c>
      <c r="H83" s="6">
        <f>[1]Results!K1555</f>
        <v>376897.22409999999</v>
      </c>
      <c r="I83" s="6">
        <f>[1]Results!L1555</f>
        <v>387180.72529999999</v>
      </c>
      <c r="J83" s="6">
        <f>[1]Results!M1555</f>
        <v>397708.72700000001</v>
      </c>
      <c r="K83" s="6">
        <f>[1]Results!N1555</f>
        <v>408498.84759999998</v>
      </c>
      <c r="L83" s="6">
        <f>[1]Results!O1555</f>
        <v>419585.17719999998</v>
      </c>
      <c r="M83" s="6">
        <f>[1]Results!P1555</f>
        <v>430632.64860000001</v>
      </c>
      <c r="N83" s="6">
        <f>[1]Results!Q1555</f>
        <v>440089.24839999998</v>
      </c>
      <c r="O83" s="6">
        <f>[1]Results!R1555</f>
        <v>448783.65549999999</v>
      </c>
      <c r="P83" s="6">
        <f>[1]Results!S1555</f>
        <v>456988.60759999999</v>
      </c>
      <c r="Q83" s="6">
        <f>[1]Results!T1555</f>
        <v>465007.02169999998</v>
      </c>
      <c r="R83" s="6">
        <f>[1]Results!U1555</f>
        <v>473090.98080000002</v>
      </c>
      <c r="S83" s="6">
        <f>[1]Results!V1555</f>
        <v>481596.11330000003</v>
      </c>
      <c r="T83" s="6">
        <f>[1]Results!W1555</f>
        <v>490762.25799999997</v>
      </c>
      <c r="U83" s="6">
        <f>[1]Results!X1555</f>
        <v>500739.22570000001</v>
      </c>
      <c r="V83" s="6">
        <f>[1]Results!Y1555</f>
        <v>511589.26770000003</v>
      </c>
      <c r="W83" s="6">
        <f>[1]Results!Z1555</f>
        <v>523273.9094</v>
      </c>
      <c r="X83" s="6">
        <f>[1]Results!AA1555</f>
        <v>535988.69889999996</v>
      </c>
      <c r="Y83" s="6">
        <f>[1]Results!AB1555</f>
        <v>549795.46790000005</v>
      </c>
      <c r="Z83" s="6">
        <f>[1]Results!AC1555</f>
        <v>564722.71939999994</v>
      </c>
      <c r="AA83" s="6">
        <f>[1]Results!AD1555</f>
        <v>580729.47180000006</v>
      </c>
      <c r="AB83" s="6">
        <f>[1]Results!AE1555</f>
        <v>597484.01119999995</v>
      </c>
      <c r="AC83" s="6">
        <f>[1]Results!AF1555</f>
        <v>615274.12540000002</v>
      </c>
      <c r="AD83" s="6">
        <f>[1]Results!AG1555</f>
        <v>634140.41410000005</v>
      </c>
      <c r="AE83" s="6">
        <f>[1]Results!AH1555</f>
        <v>654076.64690000005</v>
      </c>
      <c r="AF83" s="6">
        <f>[1]Results!AI1555</f>
        <v>674913.02549999999</v>
      </c>
      <c r="AG83" s="6">
        <f>[1]Results!AJ1555</f>
        <v>696443.38529999997</v>
      </c>
      <c r="AH83" s="6">
        <f>[1]Results!AK1555</f>
        <v>718521.74930000002</v>
      </c>
      <c r="AI83" s="6">
        <f>[1]Results!AL1555</f>
        <v>741047.39080000005</v>
      </c>
      <c r="AJ83" s="6">
        <f>[1]Results!AM1555</f>
        <v>763923.59909999999</v>
      </c>
      <c r="AK83" s="6">
        <f>[1]Results!AN1555</f>
        <v>787051.2426</v>
      </c>
      <c r="AL83" s="6">
        <f>[1]Results!AO1555</f>
        <v>810325.52720000001</v>
      </c>
    </row>
    <row r="84" spans="1:38" x14ac:dyDescent="0.35">
      <c r="B84" t="s">
        <v>9</v>
      </c>
      <c r="C84" s="6">
        <f>[1]Results!F1567</f>
        <v>48475.55906</v>
      </c>
      <c r="D84" s="6">
        <f>[1]Results!G1567</f>
        <v>49503.345600000001</v>
      </c>
      <c r="E84" s="6">
        <f>[1]Results!H1567</f>
        <v>50549.355009999999</v>
      </c>
      <c r="F84" s="6">
        <f>[1]Results!I1567</f>
        <v>51649.355730000003</v>
      </c>
      <c r="G84" s="6">
        <f>[1]Results!J1567</f>
        <v>52823.453869999998</v>
      </c>
      <c r="H84" s="6">
        <f>[1]Results!K1567</f>
        <v>54070.299830000004</v>
      </c>
      <c r="I84" s="6">
        <f>[1]Results!L1567</f>
        <v>55346.159039999999</v>
      </c>
      <c r="J84" s="6">
        <f>[1]Results!M1567</f>
        <v>56643.930099999998</v>
      </c>
      <c r="K84" s="6">
        <f>[1]Results!N1567</f>
        <v>57959.73964</v>
      </c>
      <c r="L84" s="6">
        <f>[1]Results!O1567</f>
        <v>59293.770450000004</v>
      </c>
      <c r="M84" s="6">
        <f>[1]Results!P1567</f>
        <v>60604.899490000003</v>
      </c>
      <c r="N84" s="6">
        <f>[1]Results!Q1567</f>
        <v>61670.739459999997</v>
      </c>
      <c r="O84" s="6">
        <f>[1]Results!R1567</f>
        <v>62600.557659999999</v>
      </c>
      <c r="P84" s="6">
        <f>[1]Results!S1567</f>
        <v>63428.957320000001</v>
      </c>
      <c r="Q84" s="6">
        <f>[1]Results!T1567</f>
        <v>64196.897850000001</v>
      </c>
      <c r="R84" s="6">
        <f>[1]Results!U1567</f>
        <v>64941.055820000001</v>
      </c>
      <c r="S84" s="6">
        <f>[1]Results!V1567</f>
        <v>65716.268070000006</v>
      </c>
      <c r="T84" s="6">
        <f>[1]Results!W1567</f>
        <v>66559.075750000004</v>
      </c>
      <c r="U84" s="6">
        <f>[1]Results!X1567</f>
        <v>67492.606010000003</v>
      </c>
      <c r="V84" s="6">
        <f>[1]Results!Y1567</f>
        <v>68528.146179999996</v>
      </c>
      <c r="W84" s="6">
        <f>[1]Results!Z1567</f>
        <v>69659.139150000003</v>
      </c>
      <c r="X84" s="6">
        <f>[1]Results!AA1567</f>
        <v>70923.924159999995</v>
      </c>
      <c r="Y84" s="6">
        <f>[1]Results!AB1567</f>
        <v>72328.140849999996</v>
      </c>
      <c r="Z84" s="6">
        <f>[1]Results!AC1567</f>
        <v>73877.519010000004</v>
      </c>
      <c r="AA84" s="6">
        <f>[1]Results!AD1567</f>
        <v>75568.652600000001</v>
      </c>
      <c r="AB84" s="6">
        <f>[1]Results!AE1567</f>
        <v>77347.053799999994</v>
      </c>
      <c r="AC84" s="6">
        <f>[1]Results!AF1567</f>
        <v>79273.692689999996</v>
      </c>
      <c r="AD84" s="6">
        <f>[1]Results!AG1567</f>
        <v>81347.165439999997</v>
      </c>
      <c r="AE84" s="6">
        <f>[1]Results!AH1567</f>
        <v>83566.286900000006</v>
      </c>
      <c r="AF84" s="6">
        <f>[1]Results!AI1567</f>
        <v>85906.91287</v>
      </c>
      <c r="AG84" s="6">
        <f>[1]Results!AJ1567</f>
        <v>88338.435419999994</v>
      </c>
      <c r="AH84" s="6">
        <f>[1]Results!AK1567</f>
        <v>90836.841549999997</v>
      </c>
      <c r="AI84" s="6">
        <f>[1]Results!AL1567</f>
        <v>93383.459780000005</v>
      </c>
      <c r="AJ84" s="6">
        <f>[1]Results!AM1567</f>
        <v>95960.17611</v>
      </c>
      <c r="AK84" s="6">
        <f>[1]Results!AN1567</f>
        <v>98548.944529999993</v>
      </c>
      <c r="AL84" s="6">
        <f>[1]Results!AO1567</f>
        <v>101131.6324</v>
      </c>
    </row>
    <row r="85" spans="1:38" x14ac:dyDescent="0.35">
      <c r="B85" t="s">
        <v>10</v>
      </c>
      <c r="C85" s="6">
        <f>[1]Results!F1572</f>
        <v>1512067.868</v>
      </c>
      <c r="D85" s="6">
        <f>[1]Results!G1572</f>
        <v>1539380.2290000001</v>
      </c>
      <c r="E85" s="6">
        <f>[1]Results!H1572</f>
        <v>1570450.7560000001</v>
      </c>
      <c r="F85" s="6">
        <f>[1]Results!I1572</f>
        <v>1604537.7620000001</v>
      </c>
      <c r="G85" s="6">
        <f>[1]Results!J1572</f>
        <v>1640912.3319999999</v>
      </c>
      <c r="H85" s="6">
        <f>[1]Results!K1572</f>
        <v>1679300.558</v>
      </c>
      <c r="I85" s="6">
        <f>[1]Results!L1572</f>
        <v>1718244.13</v>
      </c>
      <c r="J85" s="6">
        <f>[1]Results!M1572</f>
        <v>1758011.2819999999</v>
      </c>
      <c r="K85" s="6">
        <f>[1]Results!N1572</f>
        <v>1798536.49</v>
      </c>
      <c r="L85" s="6">
        <f>[1]Results!O1572</f>
        <v>1839852.906</v>
      </c>
      <c r="M85" s="6">
        <f>[1]Results!P1572</f>
        <v>1882208.7379999999</v>
      </c>
      <c r="N85" s="6">
        <f>[1]Results!Q1572</f>
        <v>1920039.2350000001</v>
      </c>
      <c r="O85" s="6">
        <f>[1]Results!R1572</f>
        <v>1954947.2439999999</v>
      </c>
      <c r="P85" s="6">
        <f>[1]Results!S1572</f>
        <v>1987452.804</v>
      </c>
      <c r="Q85" s="6">
        <f>[1]Results!T1572</f>
        <v>2018286.5619999999</v>
      </c>
      <c r="R85" s="6">
        <f>[1]Results!U1572</f>
        <v>2048214.798</v>
      </c>
      <c r="S85" s="6">
        <f>[1]Results!V1572</f>
        <v>2078479.1580000001</v>
      </c>
      <c r="T85" s="6">
        <f>[1]Results!W1572</f>
        <v>2109946.8629999999</v>
      </c>
      <c r="U85" s="6">
        <f>[1]Results!X1572</f>
        <v>2143219.014</v>
      </c>
      <c r="V85" s="6">
        <f>[1]Results!Y1572</f>
        <v>2178671.1349999998</v>
      </c>
      <c r="W85" s="6">
        <f>[1]Results!Z1572</f>
        <v>2215656.2940000002</v>
      </c>
      <c r="X85" s="6">
        <f>[1]Results!AA1572</f>
        <v>2256176.1170000001</v>
      </c>
      <c r="Y85" s="6">
        <f>[1]Results!AB1572</f>
        <v>2299955.5070000002</v>
      </c>
      <c r="Z85" s="6">
        <f>[1]Results!AC1572</f>
        <v>2347236.0299999998</v>
      </c>
      <c r="AA85" s="6">
        <f>[1]Results!AD1572</f>
        <v>2398058.6919999998</v>
      </c>
      <c r="AB85" s="6">
        <f>[1]Results!AE1572</f>
        <v>2449567.8629999999</v>
      </c>
      <c r="AC85" s="6">
        <f>[1]Results!AF1572</f>
        <v>2505415.0639999998</v>
      </c>
      <c r="AD85" s="6">
        <f>[1]Results!AG1572</f>
        <v>2564897.1710000001</v>
      </c>
      <c r="AE85" s="6">
        <f>[1]Results!AH1572</f>
        <v>2628148.537</v>
      </c>
      <c r="AF85" s="6">
        <f>[1]Results!AI1572</f>
        <v>2694891.7089999998</v>
      </c>
      <c r="AG85" s="6">
        <f>[1]Results!AJ1572</f>
        <v>2764617.2220000001</v>
      </c>
      <c r="AH85" s="6">
        <f>[1]Results!AK1572</f>
        <v>2836826.6850000001</v>
      </c>
      <c r="AI85" s="6">
        <f>[1]Results!AL1572</f>
        <v>2911075.8459999999</v>
      </c>
      <c r="AJ85" s="6">
        <f>[1]Results!AM1572</f>
        <v>2986921.3629999999</v>
      </c>
      <c r="AK85" s="6">
        <f>[1]Results!AN1572</f>
        <v>3063909.548</v>
      </c>
      <c r="AL85" s="6">
        <f>[1]Results!AO1572</f>
        <v>3141571.5090000001</v>
      </c>
    </row>
    <row r="86" spans="1:38" x14ac:dyDescent="0.35">
      <c r="B86" t="s">
        <v>29</v>
      </c>
      <c r="C86" s="6">
        <f>C91-C87</f>
        <v>-1916.1346972000001</v>
      </c>
      <c r="D86" s="6">
        <f t="shared" ref="D86:AL86" si="6">D91-D87</f>
        <v>-1930.1830877</v>
      </c>
      <c r="E86" s="6">
        <f t="shared" si="6"/>
        <v>-1942.2714231</v>
      </c>
      <c r="F86" s="6">
        <f t="shared" si="6"/>
        <v>-1955.4454356000001</v>
      </c>
      <c r="G86" s="6">
        <f t="shared" si="6"/>
        <v>-1965.4154352999999</v>
      </c>
      <c r="H86" s="6">
        <f t="shared" si="6"/>
        <v>-1982.2899373000002</v>
      </c>
      <c r="I86" s="6">
        <f t="shared" si="6"/>
        <v>-2010.4583833999998</v>
      </c>
      <c r="J86" s="6">
        <f t="shared" si="6"/>
        <v>-2044.9110197</v>
      </c>
      <c r="K86" s="6">
        <f t="shared" si="6"/>
        <v>-2081.4529196999997</v>
      </c>
      <c r="L86" s="6">
        <f t="shared" si="6"/>
        <v>-2118.4947313000002</v>
      </c>
      <c r="M86" s="6">
        <f t="shared" si="6"/>
        <v>-2156.3940058999997</v>
      </c>
      <c r="N86" s="6">
        <f t="shared" si="6"/>
        <v>-2197.4880778000002</v>
      </c>
      <c r="O86" s="6">
        <f t="shared" si="6"/>
        <v>-2230.9347226</v>
      </c>
      <c r="P86" s="6">
        <f t="shared" si="6"/>
        <v>-2257.9922837999998</v>
      </c>
      <c r="Q86" s="6">
        <f t="shared" si="6"/>
        <v>-2280.5689616999998</v>
      </c>
      <c r="R86" s="6">
        <f t="shared" si="6"/>
        <v>-2300.5727735999999</v>
      </c>
      <c r="S86" s="6">
        <f t="shared" si="6"/>
        <v>-2315.0862364</v>
      </c>
      <c r="T86" s="6">
        <f t="shared" si="6"/>
        <v>-2328.9988293000001</v>
      </c>
      <c r="U86" s="6">
        <f t="shared" si="6"/>
        <v>-2345.0081096999997</v>
      </c>
      <c r="V86" s="6">
        <f t="shared" si="6"/>
        <v>-2364.4239278</v>
      </c>
      <c r="W86" s="6">
        <f t="shared" si="6"/>
        <v>-2387.6320378</v>
      </c>
      <c r="X86" s="6">
        <f t="shared" si="6"/>
        <v>-2413.5203283999999</v>
      </c>
      <c r="Y86" s="6">
        <f t="shared" si="6"/>
        <v>-2442.4896386</v>
      </c>
      <c r="Z86" s="6">
        <f t="shared" si="6"/>
        <v>-2474.6525433000002</v>
      </c>
      <c r="AA86" s="6">
        <f t="shared" si="6"/>
        <v>-2510.1401301999999</v>
      </c>
      <c r="AB86" s="6">
        <f t="shared" si="6"/>
        <v>-2549.5705108000002</v>
      </c>
      <c r="AC86" s="6">
        <f t="shared" si="6"/>
        <v>-2590.4900815999999</v>
      </c>
      <c r="AD86" s="6">
        <f t="shared" si="6"/>
        <v>-2634.0091951000004</v>
      </c>
      <c r="AE86" s="6">
        <f t="shared" si="6"/>
        <v>-2680.7459386</v>
      </c>
      <c r="AF86" s="6">
        <f t="shared" si="6"/>
        <v>-2731.2477595</v>
      </c>
      <c r="AG86" s="6">
        <f t="shared" si="6"/>
        <v>-2785.1214253000003</v>
      </c>
      <c r="AH86" s="6">
        <f t="shared" si="6"/>
        <v>-2841.3402218000001</v>
      </c>
      <c r="AI86" s="6">
        <f t="shared" si="6"/>
        <v>-2898.9976658</v>
      </c>
      <c r="AJ86" s="6">
        <f t="shared" si="6"/>
        <v>-2957.4951340000002</v>
      </c>
      <c r="AK86" s="6">
        <f t="shared" si="6"/>
        <v>-3016.3619313999998</v>
      </c>
      <c r="AL86" s="6">
        <f t="shared" si="6"/>
        <v>-3075.1605835</v>
      </c>
    </row>
    <row r="87" spans="1:38" x14ac:dyDescent="0.35">
      <c r="B87" t="s">
        <v>36</v>
      </c>
      <c r="C87" s="6">
        <f>C89+C90</f>
        <v>-119.34647280000002</v>
      </c>
      <c r="D87" s="6">
        <f t="shared" ref="D87:AL87" si="7">D89+D90</f>
        <v>-123.73567230000003</v>
      </c>
      <c r="E87" s="6">
        <f t="shared" si="7"/>
        <v>-125.80798089999996</v>
      </c>
      <c r="F87" s="6">
        <f t="shared" si="7"/>
        <v>-128.01541740000005</v>
      </c>
      <c r="G87" s="6">
        <f t="shared" si="7"/>
        <v>-131.72507970000004</v>
      </c>
      <c r="H87" s="6">
        <f t="shared" si="7"/>
        <v>-137.78985669999997</v>
      </c>
      <c r="I87" s="6">
        <f t="shared" si="7"/>
        <v>-145.78182360000005</v>
      </c>
      <c r="J87" s="6">
        <f t="shared" si="7"/>
        <v>-154.89281130000006</v>
      </c>
      <c r="K87" s="6">
        <f t="shared" si="7"/>
        <v>-164.47580030000006</v>
      </c>
      <c r="L87" s="6">
        <f t="shared" si="7"/>
        <v>-174.22485470000004</v>
      </c>
      <c r="M87" s="6">
        <f t="shared" si="7"/>
        <v>-183.96389910000005</v>
      </c>
      <c r="N87" s="6">
        <f t="shared" si="7"/>
        <v>-193.21419019999996</v>
      </c>
      <c r="O87" s="6">
        <f t="shared" si="7"/>
        <v>-201.38356940000006</v>
      </c>
      <c r="P87" s="6">
        <f t="shared" si="7"/>
        <v>-208.5503622</v>
      </c>
      <c r="Q87" s="6">
        <f t="shared" si="7"/>
        <v>-214.90230629999996</v>
      </c>
      <c r="R87" s="6">
        <f t="shared" si="7"/>
        <v>-220.65652339999997</v>
      </c>
      <c r="S87" s="6">
        <f t="shared" si="7"/>
        <v>-226.11464260000002</v>
      </c>
      <c r="T87" s="6">
        <f t="shared" si="7"/>
        <v>-231.70580170000005</v>
      </c>
      <c r="U87" s="6">
        <f t="shared" si="7"/>
        <v>-237.75864330000002</v>
      </c>
      <c r="V87" s="6">
        <f t="shared" si="7"/>
        <v>-244.42356319999999</v>
      </c>
      <c r="W87" s="6">
        <f t="shared" si="7"/>
        <v>-251.71700320000002</v>
      </c>
      <c r="X87" s="6">
        <f t="shared" si="7"/>
        <v>-259.63795460000006</v>
      </c>
      <c r="Y87" s="6">
        <f t="shared" si="7"/>
        <v>-268.26495539999996</v>
      </c>
      <c r="Z87" s="6">
        <f t="shared" si="7"/>
        <v>-277.64558269999998</v>
      </c>
      <c r="AA87" s="6">
        <f t="shared" si="7"/>
        <v>-287.81193180000002</v>
      </c>
      <c r="AB87" s="6">
        <f t="shared" si="7"/>
        <v>-298.70213720000004</v>
      </c>
      <c r="AC87" s="6">
        <f t="shared" si="7"/>
        <v>-310.25731940000003</v>
      </c>
      <c r="AD87" s="6">
        <f t="shared" si="7"/>
        <v>-322.6178539</v>
      </c>
      <c r="AE87" s="6">
        <f t="shared" si="7"/>
        <v>-335.85458040000003</v>
      </c>
      <c r="AF87" s="6">
        <f t="shared" si="7"/>
        <v>-349.96654250000006</v>
      </c>
      <c r="AG87" s="6">
        <f t="shared" si="7"/>
        <v>-364.85625670000002</v>
      </c>
      <c r="AH87" s="6">
        <f t="shared" si="7"/>
        <v>-380.37665519999996</v>
      </c>
      <c r="AI87" s="6">
        <f t="shared" si="7"/>
        <v>-396.37798220000002</v>
      </c>
      <c r="AJ87" s="6">
        <f t="shared" si="7"/>
        <v>-412.71623399999999</v>
      </c>
      <c r="AK87" s="6">
        <f t="shared" si="7"/>
        <v>-429.24435560000006</v>
      </c>
      <c r="AL87" s="6">
        <f t="shared" si="7"/>
        <v>-445.80859150000003</v>
      </c>
    </row>
    <row r="88" spans="1:38" x14ac:dyDescent="0.35">
      <c r="B88" t="s">
        <v>33</v>
      </c>
      <c r="C88" s="6">
        <f>[1]Results!F1580</f>
        <v>40653.00333</v>
      </c>
      <c r="D88" s="6">
        <f>[1]Results!G1580</f>
        <v>41264.844779999999</v>
      </c>
      <c r="E88" s="6">
        <f>[1]Results!H1580</f>
        <v>41844.189980000003</v>
      </c>
      <c r="F88" s="6">
        <f>[1]Results!I1580</f>
        <v>42477.875599999999</v>
      </c>
      <c r="G88" s="6">
        <f>[1]Results!J1580</f>
        <v>43056.86434</v>
      </c>
      <c r="H88" s="6">
        <f>[1]Results!K1580</f>
        <v>43654.550430000003</v>
      </c>
      <c r="I88" s="6">
        <f>[1]Results!L1580</f>
        <v>44287.923190000001</v>
      </c>
      <c r="J88" s="6">
        <f>[1]Results!M1580</f>
        <v>44956.544829999999</v>
      </c>
      <c r="K88" s="6">
        <f>[1]Results!N1580</f>
        <v>45643.689910000001</v>
      </c>
      <c r="L88" s="6">
        <f>[1]Results!O1580</f>
        <v>46340.888700000003</v>
      </c>
      <c r="M88" s="6">
        <f>[1]Results!P1580</f>
        <v>47031.323279999997</v>
      </c>
      <c r="N88" s="6">
        <f>[1]Results!Q1580</f>
        <v>47581.652710000002</v>
      </c>
      <c r="O88" s="6">
        <f>[1]Results!R1580</f>
        <v>48022.20433</v>
      </c>
      <c r="P88" s="6">
        <f>[1]Results!S1580</f>
        <v>48380.572169999999</v>
      </c>
      <c r="Q88" s="6">
        <f>[1]Results!T1580</f>
        <v>48688.263319999998</v>
      </c>
      <c r="R88" s="6">
        <f>[1]Results!U1580</f>
        <v>48974.808810000002</v>
      </c>
      <c r="S88" s="6">
        <f>[1]Results!V1580</f>
        <v>49255.303290000003</v>
      </c>
      <c r="T88" s="6">
        <f>[1]Results!W1580</f>
        <v>49562.784540000001</v>
      </c>
      <c r="U88" s="6">
        <f>[1]Results!X1580</f>
        <v>49928.372329999998</v>
      </c>
      <c r="V88" s="6">
        <f>[1]Results!Y1580</f>
        <v>50366.820200000002</v>
      </c>
      <c r="W88" s="6">
        <f>[1]Results!Z1580</f>
        <v>50874.860809999998</v>
      </c>
      <c r="X88" s="6">
        <f>[1]Results!AA1580</f>
        <v>51482.343919999999</v>
      </c>
      <c r="Y88" s="6">
        <f>[1]Results!AB1580</f>
        <v>52193.004979999998</v>
      </c>
      <c r="Z88" s="6">
        <f>[1]Results!AC1580</f>
        <v>53010.301939999998</v>
      </c>
      <c r="AA88" s="6">
        <f>[1]Results!AD1580</f>
        <v>53934.383569999998</v>
      </c>
      <c r="AB88" s="6">
        <f>[1]Results!AE1580</f>
        <v>54925.320800000001</v>
      </c>
      <c r="AC88" s="6">
        <f>[1]Results!AF1580</f>
        <v>56027.033369999997</v>
      </c>
      <c r="AD88" s="6">
        <f>[1]Results!AG1580</f>
        <v>57237.994250000003</v>
      </c>
      <c r="AE88" s="6">
        <f>[1]Results!AH1580</f>
        <v>58554.875390000001</v>
      </c>
      <c r="AF88" s="6">
        <f>[1]Results!AI1580</f>
        <v>59960.759819999999</v>
      </c>
      <c r="AG88" s="6">
        <f>[1]Results!AJ1580</f>
        <v>61432.91532</v>
      </c>
      <c r="AH88" s="6">
        <f>[1]Results!AK1580</f>
        <v>62950.761460000002</v>
      </c>
      <c r="AI88" s="6">
        <f>[1]Results!AL1580</f>
        <v>64497.22696</v>
      </c>
      <c r="AJ88" s="6">
        <f>[1]Results!AM1580</f>
        <v>66056.920499999993</v>
      </c>
      <c r="AK88" s="6">
        <f>[1]Results!AN1580</f>
        <v>67615.485960000005</v>
      </c>
      <c r="AL88" s="6">
        <f>[1]Results!AO1580</f>
        <v>69159.403139999995</v>
      </c>
    </row>
    <row r="89" spans="1:38" x14ac:dyDescent="0.35">
      <c r="B89" t="s">
        <v>35</v>
      </c>
      <c r="C89" s="6">
        <f>[1]Results!F1577</f>
        <v>-612.37312850000001</v>
      </c>
      <c r="D89" s="6">
        <f>[1]Results!G1577</f>
        <v>-616.76232800000002</v>
      </c>
      <c r="E89" s="6">
        <f>[1]Results!H1577</f>
        <v>-618.83463659999995</v>
      </c>
      <c r="F89" s="6">
        <f>[1]Results!I1577</f>
        <v>-621.04207310000004</v>
      </c>
      <c r="G89" s="6">
        <f>[1]Results!J1577</f>
        <v>-624.75173540000003</v>
      </c>
      <c r="H89" s="6">
        <f>[1]Results!K1577</f>
        <v>-630.81651239999997</v>
      </c>
      <c r="I89" s="6">
        <f>[1]Results!L1577</f>
        <v>-638.80847930000004</v>
      </c>
      <c r="J89" s="6">
        <f>[1]Results!M1577</f>
        <v>-647.91946700000005</v>
      </c>
      <c r="K89" s="6">
        <f>[1]Results!N1577</f>
        <v>-657.50245600000005</v>
      </c>
      <c r="L89" s="6">
        <f>[1]Results!O1577</f>
        <v>-667.25151040000003</v>
      </c>
      <c r="M89" s="6">
        <f>[1]Results!P1577</f>
        <v>-676.99055480000004</v>
      </c>
      <c r="N89" s="6">
        <f>[1]Results!Q1577</f>
        <v>-686.24084589999995</v>
      </c>
      <c r="O89" s="6">
        <f>[1]Results!R1577</f>
        <v>-694.41022510000005</v>
      </c>
      <c r="P89" s="6">
        <f>[1]Results!S1577</f>
        <v>-701.57701789999999</v>
      </c>
      <c r="Q89" s="6">
        <f>[1]Results!T1577</f>
        <v>-707.92896199999996</v>
      </c>
      <c r="R89" s="6">
        <f>[1]Results!U1577</f>
        <v>-713.68317909999996</v>
      </c>
      <c r="S89" s="6">
        <f>[1]Results!V1577</f>
        <v>-719.14129830000002</v>
      </c>
      <c r="T89" s="6">
        <f>[1]Results!W1577</f>
        <v>-724.73245740000004</v>
      </c>
      <c r="U89" s="6">
        <f>[1]Results!X1577</f>
        <v>-730.78529900000001</v>
      </c>
      <c r="V89" s="6">
        <f>[1]Results!Y1577</f>
        <v>-737.45021889999998</v>
      </c>
      <c r="W89" s="6">
        <f>[1]Results!Z1577</f>
        <v>-744.74365890000001</v>
      </c>
      <c r="X89" s="6">
        <f>[1]Results!AA1577</f>
        <v>-752.66461030000005</v>
      </c>
      <c r="Y89" s="6">
        <f>[1]Results!AB1577</f>
        <v>-761.29161109999995</v>
      </c>
      <c r="Z89" s="6">
        <f>[1]Results!AC1577</f>
        <v>-770.67223839999997</v>
      </c>
      <c r="AA89" s="6">
        <f>[1]Results!AD1577</f>
        <v>-780.83858750000002</v>
      </c>
      <c r="AB89" s="6">
        <f>[1]Results!AE1577</f>
        <v>-791.72879290000003</v>
      </c>
      <c r="AC89" s="6">
        <f>[1]Results!AF1577</f>
        <v>-803.28397510000002</v>
      </c>
      <c r="AD89" s="6">
        <f>[1]Results!AG1577</f>
        <v>-815.64450959999999</v>
      </c>
      <c r="AE89" s="6">
        <f>[1]Results!AH1577</f>
        <v>-828.88123610000002</v>
      </c>
      <c r="AF89" s="6">
        <f>[1]Results!AI1577</f>
        <v>-842.99319820000005</v>
      </c>
      <c r="AG89" s="6">
        <f>[1]Results!AJ1577</f>
        <v>-857.88291240000001</v>
      </c>
      <c r="AH89" s="6">
        <f>[1]Results!AK1577</f>
        <v>-873.40331089999995</v>
      </c>
      <c r="AI89" s="6">
        <f>[1]Results!AL1577</f>
        <v>-889.40463790000001</v>
      </c>
      <c r="AJ89" s="6">
        <f>[1]Results!AM1577</f>
        <v>-905.74288969999998</v>
      </c>
      <c r="AK89" s="6">
        <f>[1]Results!AN1577</f>
        <v>-922.27101130000005</v>
      </c>
      <c r="AL89" s="6">
        <f>[1]Results!AO1577</f>
        <v>-938.83524720000003</v>
      </c>
    </row>
    <row r="90" spans="1:38" x14ac:dyDescent="0.35">
      <c r="B90" t="s">
        <v>34</v>
      </c>
      <c r="C90" s="6">
        <f>[1]Results!$F1579</f>
        <v>493.02665569999999</v>
      </c>
      <c r="D90" s="6">
        <f>[1]Results!$F1579</f>
        <v>493.02665569999999</v>
      </c>
      <c r="E90" s="6">
        <f>[1]Results!$F1579</f>
        <v>493.02665569999999</v>
      </c>
      <c r="F90" s="6">
        <f>[1]Results!$F1579</f>
        <v>493.02665569999999</v>
      </c>
      <c r="G90" s="6">
        <f>[1]Results!$F1579</f>
        <v>493.02665569999999</v>
      </c>
      <c r="H90" s="6">
        <f>[1]Results!$F1579</f>
        <v>493.02665569999999</v>
      </c>
      <c r="I90" s="6">
        <f>[1]Results!$F1579</f>
        <v>493.02665569999999</v>
      </c>
      <c r="J90" s="6">
        <f>[1]Results!$F1579</f>
        <v>493.02665569999999</v>
      </c>
      <c r="K90" s="6">
        <f>[1]Results!$F1579</f>
        <v>493.02665569999999</v>
      </c>
      <c r="L90" s="6">
        <f>[1]Results!$F1579</f>
        <v>493.02665569999999</v>
      </c>
      <c r="M90" s="6">
        <f>[1]Results!$F1579</f>
        <v>493.02665569999999</v>
      </c>
      <c r="N90" s="6">
        <f>[1]Results!$F1579</f>
        <v>493.02665569999999</v>
      </c>
      <c r="O90" s="6">
        <f>[1]Results!$F1579</f>
        <v>493.02665569999999</v>
      </c>
      <c r="P90" s="6">
        <f>[1]Results!$F1579</f>
        <v>493.02665569999999</v>
      </c>
      <c r="Q90" s="6">
        <f>[1]Results!$F1579</f>
        <v>493.02665569999999</v>
      </c>
      <c r="R90" s="6">
        <f>[1]Results!$F1579</f>
        <v>493.02665569999999</v>
      </c>
      <c r="S90" s="6">
        <f>[1]Results!$F1579</f>
        <v>493.02665569999999</v>
      </c>
      <c r="T90" s="6">
        <f>[1]Results!$F1579</f>
        <v>493.02665569999999</v>
      </c>
      <c r="U90" s="6">
        <f>[1]Results!$F1579</f>
        <v>493.02665569999999</v>
      </c>
      <c r="V90" s="6">
        <f>[1]Results!$F1579</f>
        <v>493.02665569999999</v>
      </c>
      <c r="W90" s="6">
        <f>[1]Results!$F1579</f>
        <v>493.02665569999999</v>
      </c>
      <c r="X90" s="6">
        <f>[1]Results!$F1579</f>
        <v>493.02665569999999</v>
      </c>
      <c r="Y90" s="6">
        <f>[1]Results!$F1579</f>
        <v>493.02665569999999</v>
      </c>
      <c r="Z90" s="6">
        <f>[1]Results!$F1579</f>
        <v>493.02665569999999</v>
      </c>
      <c r="AA90" s="6">
        <f>[1]Results!$F1579</f>
        <v>493.02665569999999</v>
      </c>
      <c r="AB90" s="6">
        <f>[1]Results!$F1579</f>
        <v>493.02665569999999</v>
      </c>
      <c r="AC90" s="6">
        <f>[1]Results!$F1579</f>
        <v>493.02665569999999</v>
      </c>
      <c r="AD90" s="6">
        <f>[1]Results!$F1579</f>
        <v>493.02665569999999</v>
      </c>
      <c r="AE90" s="6">
        <f>[1]Results!$F1579</f>
        <v>493.02665569999999</v>
      </c>
      <c r="AF90" s="6">
        <f>[1]Results!$F1579</f>
        <v>493.02665569999999</v>
      </c>
      <c r="AG90" s="6">
        <f>[1]Results!$F1579</f>
        <v>493.02665569999999</v>
      </c>
      <c r="AH90" s="6">
        <f>[1]Results!$F1579</f>
        <v>493.02665569999999</v>
      </c>
      <c r="AI90" s="6">
        <f>[1]Results!$F1579</f>
        <v>493.02665569999999</v>
      </c>
      <c r="AJ90" s="6">
        <f>[1]Results!$F1579</f>
        <v>493.02665569999999</v>
      </c>
      <c r="AK90" s="6">
        <f>[1]Results!$F1579</f>
        <v>493.02665569999999</v>
      </c>
      <c r="AL90" s="6">
        <f>[1]Results!$F1579</f>
        <v>493.02665569999999</v>
      </c>
    </row>
    <row r="91" spans="1:38" x14ac:dyDescent="0.35">
      <c r="B91" t="s">
        <v>37</v>
      </c>
      <c r="C91" s="6">
        <f>[1]Results!F1575</f>
        <v>-2035.48117</v>
      </c>
      <c r="D91" s="6">
        <f>[1]Results!G1575</f>
        <v>-2053.91876</v>
      </c>
      <c r="E91" s="6">
        <f>[1]Results!H1575</f>
        <v>-2068.0794040000001</v>
      </c>
      <c r="F91" s="6">
        <f>[1]Results!I1575</f>
        <v>-2083.460853</v>
      </c>
      <c r="G91" s="6">
        <f>[1]Results!J1575</f>
        <v>-2097.1405150000001</v>
      </c>
      <c r="H91" s="6">
        <f>[1]Results!K1575</f>
        <v>-2120.0797940000002</v>
      </c>
      <c r="I91" s="6">
        <f>[1]Results!L1575</f>
        <v>-2156.2402069999998</v>
      </c>
      <c r="J91" s="6">
        <f>[1]Results!M1575</f>
        <v>-2199.8038310000002</v>
      </c>
      <c r="K91" s="6">
        <f>[1]Results!N1575</f>
        <v>-2245.9287199999999</v>
      </c>
      <c r="L91" s="6">
        <f>[1]Results!O1575</f>
        <v>-2292.7195860000002</v>
      </c>
      <c r="M91" s="6">
        <f>[1]Results!P1575</f>
        <v>-2340.3579049999998</v>
      </c>
      <c r="N91" s="6">
        <f>[1]Results!Q1575</f>
        <v>-2390.702268</v>
      </c>
      <c r="O91" s="6">
        <f>[1]Results!R1575</f>
        <v>-2432.3182919999999</v>
      </c>
      <c r="P91" s="6">
        <f>[1]Results!S1575</f>
        <v>-2466.5426459999999</v>
      </c>
      <c r="Q91" s="6">
        <f>[1]Results!T1575</f>
        <v>-2495.4712679999998</v>
      </c>
      <c r="R91" s="6">
        <f>[1]Results!U1575</f>
        <v>-2521.2292969999999</v>
      </c>
      <c r="S91" s="6">
        <f>[1]Results!V1575</f>
        <v>-2541.200879</v>
      </c>
      <c r="T91" s="6">
        <f>[1]Results!W1575</f>
        <v>-2560.7046310000001</v>
      </c>
      <c r="U91" s="6">
        <f>[1]Results!X1575</f>
        <v>-2582.7667529999999</v>
      </c>
      <c r="V91" s="6">
        <f>[1]Results!Y1575</f>
        <v>-2608.847491</v>
      </c>
      <c r="W91" s="6">
        <f>[1]Results!Z1575</f>
        <v>-2639.3490409999999</v>
      </c>
      <c r="X91" s="6">
        <f>[1]Results!AA1575</f>
        <v>-2673.1582830000002</v>
      </c>
      <c r="Y91" s="6">
        <f>[1]Results!AB1575</f>
        <v>-2710.754594</v>
      </c>
      <c r="Z91" s="6">
        <f>[1]Results!AC1575</f>
        <v>-2752.2981260000001</v>
      </c>
      <c r="AA91" s="6">
        <f>[1]Results!AD1575</f>
        <v>-2797.9520619999998</v>
      </c>
      <c r="AB91" s="6">
        <f>[1]Results!AE1575</f>
        <v>-2848.2726480000001</v>
      </c>
      <c r="AC91" s="6">
        <f>[1]Results!AF1575</f>
        <v>-2900.7474010000001</v>
      </c>
      <c r="AD91" s="6">
        <f>[1]Results!AG1575</f>
        <v>-2956.6270490000002</v>
      </c>
      <c r="AE91" s="6">
        <f>[1]Results!AH1575</f>
        <v>-3016.6005190000001</v>
      </c>
      <c r="AF91" s="6">
        <f>[1]Results!AI1575</f>
        <v>-3081.2143019999999</v>
      </c>
      <c r="AG91" s="6">
        <f>[1]Results!AJ1575</f>
        <v>-3149.9776820000002</v>
      </c>
      <c r="AH91" s="6">
        <f>[1]Results!AK1575</f>
        <v>-3221.7168769999998</v>
      </c>
      <c r="AI91" s="6">
        <f>[1]Results!AL1575</f>
        <v>-3295.3756480000002</v>
      </c>
      <c r="AJ91" s="6">
        <f>[1]Results!AM1575</f>
        <v>-3370.2113680000002</v>
      </c>
      <c r="AK91" s="6">
        <f>[1]Results!AN1575</f>
        <v>-3445.6062870000001</v>
      </c>
      <c r="AL91" s="6">
        <f>[1]Results!AO1575</f>
        <v>-3520.9691750000002</v>
      </c>
    </row>
    <row r="93" spans="1:38" x14ac:dyDescent="0.35">
      <c r="A93" t="s">
        <v>39</v>
      </c>
      <c r="B93" t="s">
        <v>13</v>
      </c>
      <c r="C93" s="6">
        <f>[1]Results!F1512</f>
        <v>1966951.8470000001</v>
      </c>
      <c r="D93" s="6">
        <f>[1]Results!G1512</f>
        <v>2004517.4639999999</v>
      </c>
      <c r="E93" s="6">
        <f>[1]Results!H1512</f>
        <v>2046270.9890000001</v>
      </c>
      <c r="F93" s="6">
        <f>[1]Results!I1512</f>
        <v>2091819.257</v>
      </c>
      <c r="G93" s="6">
        <f>[1]Results!J1512</f>
        <v>2140286.5759999999</v>
      </c>
      <c r="H93" s="6">
        <f>[1]Results!K1512</f>
        <v>2191398.8160000001</v>
      </c>
      <c r="I93" s="6">
        <f>[1]Results!L1512</f>
        <v>2243404.61</v>
      </c>
      <c r="J93" s="6">
        <f>[1]Results!M1512</f>
        <v>2291098.196</v>
      </c>
      <c r="K93" s="6">
        <f>[1]Results!N1512</f>
        <v>2339685.932</v>
      </c>
      <c r="L93" s="6">
        <f>[1]Results!O1512</f>
        <v>2398317.9840000002</v>
      </c>
      <c r="M93" s="6">
        <f>[1]Results!P1512</f>
        <v>2458301.0490000001</v>
      </c>
      <c r="N93" s="6">
        <f>[1]Results!Q1512</f>
        <v>2510860.3139999998</v>
      </c>
      <c r="O93" s="6">
        <f>[1]Results!R1512</f>
        <v>2558388.0430000001</v>
      </c>
      <c r="P93" s="6">
        <f>[1]Results!S1512</f>
        <v>2602184.1179999998</v>
      </c>
      <c r="Q93" s="6">
        <f>[1]Results!T1512</f>
        <v>2644003.3730000001</v>
      </c>
      <c r="R93" s="6">
        <f>[1]Results!U1512</f>
        <v>2684963.301</v>
      </c>
      <c r="S93" s="6">
        <f>[1]Results!V1512</f>
        <v>2725938.426</v>
      </c>
      <c r="T93" s="6">
        <f>[1]Results!W1512</f>
        <v>2768289.5890000002</v>
      </c>
      <c r="U93" s="6">
        <f>[1]Results!X1512</f>
        <v>2812928.2829999998</v>
      </c>
      <c r="V93" s="6">
        <f>[1]Results!Y1512</f>
        <v>2860481.662</v>
      </c>
      <c r="W93" s="6">
        <f>[1]Results!Z1512</f>
        <v>2910383.1039999998</v>
      </c>
      <c r="X93" s="6">
        <f>[1]Results!AA1512</f>
        <v>2965036.3280000002</v>
      </c>
      <c r="Y93" s="6">
        <f>[1]Results!AB1512</f>
        <v>3024344.4419999998</v>
      </c>
      <c r="Z93" s="6">
        <f>[1]Results!AC1512</f>
        <v>3088697.102</v>
      </c>
      <c r="AA93" s="6">
        <f>[1]Results!AD1512</f>
        <v>3158208.1209999998</v>
      </c>
      <c r="AB93" s="6">
        <f>[1]Results!AE1512</f>
        <v>3229641.0040000002</v>
      </c>
      <c r="AC93" s="6">
        <f>[1]Results!AF1512</f>
        <v>3307278.523</v>
      </c>
      <c r="AD93" s="6">
        <f>[1]Results!AG1512</f>
        <v>3390497.6519999998</v>
      </c>
      <c r="AE93" s="6">
        <f>[1]Results!AH1512</f>
        <v>3479573.2250000001</v>
      </c>
      <c r="AF93" s="6">
        <f>[1]Results!AI1512</f>
        <v>3574200.0490000001</v>
      </c>
      <c r="AG93" s="6">
        <f>[1]Results!AJ1512</f>
        <v>3673786.341</v>
      </c>
      <c r="AH93" s="6">
        <f>[1]Results!AK1512</f>
        <v>3777816.9369999999</v>
      </c>
      <c r="AI93" s="6">
        <f>[1]Results!AL1512</f>
        <v>3885913.969</v>
      </c>
      <c r="AJ93" s="6">
        <f>[1]Results!AM1512</f>
        <v>3997768.8420000002</v>
      </c>
      <c r="AK93" s="6">
        <f>[1]Results!AN1512</f>
        <v>4113164.6779999998</v>
      </c>
      <c r="AL93" s="6">
        <f>[1]Results!AO1512</f>
        <v>4232013.0750000002</v>
      </c>
    </row>
    <row r="94" spans="1:38" x14ac:dyDescent="0.35">
      <c r="B94" t="s">
        <v>7</v>
      </c>
      <c r="C94" s="6">
        <f>[1]Results!F1513</f>
        <v>36098.159420000004</v>
      </c>
      <c r="D94" s="6">
        <f>[1]Results!G1513</f>
        <v>36617.899369999999</v>
      </c>
      <c r="E94" s="6">
        <f>[1]Results!H1513</f>
        <v>37230.459040000002</v>
      </c>
      <c r="F94" s="6">
        <f>[1]Results!I1513</f>
        <v>37935.083769999997</v>
      </c>
      <c r="G94" s="6">
        <f>[1]Results!J1513</f>
        <v>38728.781049999998</v>
      </c>
      <c r="H94" s="6">
        <f>[1]Results!K1513</f>
        <v>39596.263400000003</v>
      </c>
      <c r="I94" s="6">
        <f>[1]Results!L1513</f>
        <v>40501.912089999998</v>
      </c>
      <c r="J94" s="6">
        <f>[1]Results!M1513</f>
        <v>41233.395230000002</v>
      </c>
      <c r="K94" s="6">
        <f>[1]Results!N1513</f>
        <v>41972.850169999998</v>
      </c>
      <c r="L94" s="6">
        <f>[1]Results!O1513</f>
        <v>42909.79782</v>
      </c>
      <c r="M94" s="6">
        <f>[1]Results!P1513</f>
        <v>43811.507570000002</v>
      </c>
      <c r="N94" s="6">
        <f>[1]Results!Q1513</f>
        <v>44542.349450000002</v>
      </c>
      <c r="O94" s="6">
        <f>[1]Results!R1513</f>
        <v>45159.735050000003</v>
      </c>
      <c r="P94" s="6">
        <f>[1]Results!S1513</f>
        <v>45702.152820000003</v>
      </c>
      <c r="Q94" s="6">
        <f>[1]Results!T1513</f>
        <v>46210.910889999999</v>
      </c>
      <c r="R94" s="6">
        <f>[1]Results!U1513</f>
        <v>46708.702380000002</v>
      </c>
      <c r="S94" s="6">
        <f>[1]Results!V1513</f>
        <v>47211.984600000003</v>
      </c>
      <c r="T94" s="6">
        <f>[1]Results!W1513</f>
        <v>47742.561609999997</v>
      </c>
      <c r="U94" s="6">
        <f>[1]Results!X1513</f>
        <v>48319.927889999999</v>
      </c>
      <c r="V94" s="6">
        <f>[1]Results!Y1513</f>
        <v>48957.221469999997</v>
      </c>
      <c r="W94" s="6">
        <f>[1]Results!Z1513</f>
        <v>49653.914349999999</v>
      </c>
      <c r="X94" s="6">
        <f>[1]Results!AA1513</f>
        <v>50438.447619999999</v>
      </c>
      <c r="Y94" s="6">
        <f>[1]Results!AB1513</f>
        <v>51321.090349999999</v>
      </c>
      <c r="Z94" s="6">
        <f>[1]Results!AC1513</f>
        <v>52309.320549999997</v>
      </c>
      <c r="AA94" s="6">
        <f>[1]Results!AD1513</f>
        <v>53404.705220000003</v>
      </c>
      <c r="AB94" s="6">
        <f>[1]Results!AE1513</f>
        <v>54571.84059</v>
      </c>
      <c r="AC94" s="6">
        <f>[1]Results!AF1513</f>
        <v>55842.096019999997</v>
      </c>
      <c r="AD94" s="6">
        <f>[1]Results!AG1513</f>
        <v>57232.250209999998</v>
      </c>
      <c r="AE94" s="6">
        <f>[1]Results!AH1513</f>
        <v>58747.215750000003</v>
      </c>
      <c r="AF94" s="6">
        <f>[1]Results!AI1513</f>
        <v>60379.494120000003</v>
      </c>
      <c r="AG94" s="6">
        <f>[1]Results!AJ1513</f>
        <v>62115.709300000002</v>
      </c>
      <c r="AH94" s="6">
        <f>[1]Results!AK1513</f>
        <v>63944.804100000001</v>
      </c>
      <c r="AI94" s="6">
        <f>[1]Results!AL1513</f>
        <v>65859.243870000006</v>
      </c>
      <c r="AJ94" s="6">
        <f>[1]Results!AM1513</f>
        <v>67853.492079999996</v>
      </c>
      <c r="AK94" s="6">
        <f>[1]Results!AN1513</f>
        <v>69924.833360000004</v>
      </c>
      <c r="AL94" s="6">
        <f>[1]Results!AO1513</f>
        <v>72075.10974</v>
      </c>
    </row>
    <row r="95" spans="1:38" x14ac:dyDescent="0.35">
      <c r="B95" t="s">
        <v>30</v>
      </c>
      <c r="C95" s="6">
        <f>[1]Results!F1516</f>
        <v>331692.73849999998</v>
      </c>
      <c r="D95" s="6">
        <f>[1]Results!G1516</f>
        <v>339805.06449999998</v>
      </c>
      <c r="E95" s="6">
        <f>[1]Results!H1516</f>
        <v>348264.30859999999</v>
      </c>
      <c r="F95" s="6">
        <f>[1]Results!I1516</f>
        <v>357302.64039999997</v>
      </c>
      <c r="G95" s="6">
        <f>[1]Results!J1516</f>
        <v>366862.2855</v>
      </c>
      <c r="H95" s="6">
        <f>[1]Results!K1516</f>
        <v>376897.22409999999</v>
      </c>
      <c r="I95" s="6">
        <f>[1]Results!L1516</f>
        <v>387180.72529999999</v>
      </c>
      <c r="J95" s="6">
        <f>[1]Results!M1516</f>
        <v>395807.7254</v>
      </c>
      <c r="K95" s="6">
        <f>[1]Results!N1516</f>
        <v>405049.94650000002</v>
      </c>
      <c r="L95" s="6">
        <f>[1]Results!O1516</f>
        <v>417190.85629999998</v>
      </c>
      <c r="M95" s="6">
        <f>[1]Results!P1516</f>
        <v>428966.99790000002</v>
      </c>
      <c r="N95" s="6">
        <f>[1]Results!Q1516</f>
        <v>438918.81079999998</v>
      </c>
      <c r="O95" s="6">
        <f>[1]Results!R1516</f>
        <v>447799.76779999997</v>
      </c>
      <c r="P95" s="6">
        <f>[1]Results!S1516</f>
        <v>456080.02299999999</v>
      </c>
      <c r="Q95" s="6">
        <f>[1]Results!T1516</f>
        <v>464278.85479999997</v>
      </c>
      <c r="R95" s="6">
        <f>[1]Results!U1516</f>
        <v>472651.23989999999</v>
      </c>
      <c r="S95" s="6">
        <f>[1]Results!V1516</f>
        <v>481283.9952</v>
      </c>
      <c r="T95" s="6">
        <f>[1]Results!W1516</f>
        <v>490538.93300000002</v>
      </c>
      <c r="U95" s="6">
        <f>[1]Results!X1516</f>
        <v>500599.86589999998</v>
      </c>
      <c r="V95" s="6">
        <f>[1]Results!Y1516</f>
        <v>511572.2855</v>
      </c>
      <c r="W95" s="6">
        <f>[1]Results!Z1516</f>
        <v>523460.15539999999</v>
      </c>
      <c r="X95" s="6">
        <f>[1]Results!AA1516</f>
        <v>536505.2611</v>
      </c>
      <c r="Y95" s="6">
        <f>[1]Results!AB1516</f>
        <v>550811.59770000004</v>
      </c>
      <c r="Z95" s="6">
        <f>[1]Results!AC1516</f>
        <v>566448.77049999998</v>
      </c>
      <c r="AA95" s="6">
        <f>[1]Results!AD1516</f>
        <v>583426.51249999995</v>
      </c>
      <c r="AB95" s="6">
        <f>[1]Results!AE1516</f>
        <v>601460.08349999995</v>
      </c>
      <c r="AC95" s="6">
        <f>[1]Results!AF1516</f>
        <v>620923.82420000003</v>
      </c>
      <c r="AD95" s="6">
        <f>[1]Results!AG1516</f>
        <v>641917.99360000005</v>
      </c>
      <c r="AE95" s="6">
        <f>[1]Results!AH1516</f>
        <v>664504.00950000004</v>
      </c>
      <c r="AF95" s="6">
        <f>[1]Results!AI1516</f>
        <v>688610.10690000001</v>
      </c>
      <c r="AG95" s="6">
        <f>[1]Results!AJ1516</f>
        <v>714149.71050000004</v>
      </c>
      <c r="AH95" s="6">
        <f>[1]Results!AK1516</f>
        <v>741128.09019999998</v>
      </c>
      <c r="AI95" s="6">
        <f>[1]Results!AL1516</f>
        <v>769637.70319999999</v>
      </c>
      <c r="AJ95" s="6">
        <f>[1]Results!AM1516</f>
        <v>799832.57460000005</v>
      </c>
      <c r="AK95" s="6">
        <f>[1]Results!AN1516</f>
        <v>831975.28220000002</v>
      </c>
      <c r="AL95" s="6">
        <f>[1]Results!AO1516</f>
        <v>866496.63329999999</v>
      </c>
    </row>
    <row r="96" spans="1:38" x14ac:dyDescent="0.35">
      <c r="B96" t="s">
        <v>9</v>
      </c>
      <c r="C96" s="6">
        <f>[1]Results!F1528</f>
        <v>48475.55906</v>
      </c>
      <c r="D96" s="6">
        <f>[1]Results!G1528</f>
        <v>49503.345600000001</v>
      </c>
      <c r="E96" s="6">
        <f>[1]Results!H1528</f>
        <v>50549.355009999999</v>
      </c>
      <c r="F96" s="6">
        <f>[1]Results!I1528</f>
        <v>51649.355730000003</v>
      </c>
      <c r="G96" s="6">
        <f>[1]Results!J1528</f>
        <v>52823.453869999998</v>
      </c>
      <c r="H96" s="6">
        <f>[1]Results!K1528</f>
        <v>54070.299830000004</v>
      </c>
      <c r="I96" s="6">
        <f>[1]Results!L1528</f>
        <v>55346.159039999999</v>
      </c>
      <c r="J96" s="6">
        <f>[1]Results!M1528</f>
        <v>56340.652889999998</v>
      </c>
      <c r="K96" s="6">
        <f>[1]Results!N1528</f>
        <v>57357.860529999998</v>
      </c>
      <c r="L96" s="6">
        <f>[1]Results!O1528</f>
        <v>58727.178919999998</v>
      </c>
      <c r="M96" s="6">
        <f>[1]Results!P1528</f>
        <v>60049.367389999999</v>
      </c>
      <c r="N96" s="6">
        <f>[1]Results!Q1528</f>
        <v>61129.289409999998</v>
      </c>
      <c r="O96" s="6">
        <f>[1]Results!R1528</f>
        <v>62052.086860000003</v>
      </c>
      <c r="P96" s="6">
        <f>[1]Results!S1528</f>
        <v>62867.624300000003</v>
      </c>
      <c r="Q96" s="6">
        <f>[1]Results!T1528</f>
        <v>63634.910380000001</v>
      </c>
      <c r="R96" s="6">
        <f>[1]Results!U1528</f>
        <v>64382.618649999997</v>
      </c>
      <c r="S96" s="6">
        <f>[1]Results!V1528</f>
        <v>65126.998850000004</v>
      </c>
      <c r="T96" s="6">
        <f>[1]Results!W1528</f>
        <v>65908.997900000002</v>
      </c>
      <c r="U96" s="6">
        <f>[1]Results!X1528</f>
        <v>66761.231289999996</v>
      </c>
      <c r="V96" s="6">
        <f>[1]Results!Y1528</f>
        <v>67703.656589999999</v>
      </c>
      <c r="W96" s="6">
        <f>[1]Results!Z1528</f>
        <v>68737.613840000005</v>
      </c>
      <c r="X96" s="6">
        <f>[1]Results!AA1528</f>
        <v>69909.637879999995</v>
      </c>
      <c r="Y96" s="6">
        <f>[1]Results!AB1528</f>
        <v>71232.274560000005</v>
      </c>
      <c r="Z96" s="6">
        <f>[1]Results!AC1528</f>
        <v>72713.300529999993</v>
      </c>
      <c r="AA96" s="6">
        <f>[1]Results!AD1528</f>
        <v>74351.574040000007</v>
      </c>
      <c r="AB96" s="6">
        <f>[1]Results!AE1528</f>
        <v>76096.077539999998</v>
      </c>
      <c r="AC96" s="6">
        <f>[1]Results!AF1528</f>
        <v>78024.103140000007</v>
      </c>
      <c r="AD96" s="6">
        <f>[1]Results!AG1528</f>
        <v>80149.54466</v>
      </c>
      <c r="AE96" s="6">
        <f>[1]Results!AH1528</f>
        <v>82474.704970000006</v>
      </c>
      <c r="AF96" s="6">
        <f>[1]Results!AI1528</f>
        <v>84980.587639999998</v>
      </c>
      <c r="AG96" s="6">
        <f>[1]Results!AJ1528</f>
        <v>87642.783639999994</v>
      </c>
      <c r="AH96" s="6">
        <f>[1]Results!AK1528</f>
        <v>90450.157040000006</v>
      </c>
      <c r="AI96" s="6">
        <f>[1]Results!AL1528</f>
        <v>93399.982149999996</v>
      </c>
      <c r="AJ96" s="6">
        <f>[1]Results!AM1528</f>
        <v>96484.689119999995</v>
      </c>
      <c r="AK96" s="6">
        <f>[1]Results!AN1528</f>
        <v>99699.076730000001</v>
      </c>
      <c r="AL96" s="6">
        <f>[1]Results!AO1528</f>
        <v>103042.14049999999</v>
      </c>
    </row>
    <row r="97" spans="1:38" x14ac:dyDescent="0.35">
      <c r="B97" t="s">
        <v>10</v>
      </c>
      <c r="C97" s="6">
        <f>[1]Results!F1533</f>
        <v>1512067.868</v>
      </c>
      <c r="D97" s="6">
        <f>[1]Results!G1533</f>
        <v>1539380.2290000001</v>
      </c>
      <c r="E97" s="6">
        <f>[1]Results!H1533</f>
        <v>1570450.7560000001</v>
      </c>
      <c r="F97" s="6">
        <f>[1]Results!I1533</f>
        <v>1604537.7620000001</v>
      </c>
      <c r="G97" s="6">
        <f>[1]Results!J1533</f>
        <v>1640912.3319999999</v>
      </c>
      <c r="H97" s="6">
        <f>[1]Results!K1533</f>
        <v>1679300.558</v>
      </c>
      <c r="I97" s="6">
        <f>[1]Results!L1533</f>
        <v>1718244.1310000001</v>
      </c>
      <c r="J97" s="6">
        <f>[1]Results!M1533</f>
        <v>1754963.5209999999</v>
      </c>
      <c r="K97" s="6">
        <f>[1]Results!N1533</f>
        <v>1792179.834</v>
      </c>
      <c r="L97" s="6">
        <f>[1]Results!O1533</f>
        <v>1835975.5390000001</v>
      </c>
      <c r="M97" s="6">
        <f>[1]Results!P1533</f>
        <v>1881734.737</v>
      </c>
      <c r="N97" s="6">
        <f>[1]Results!Q1533</f>
        <v>1922708.747</v>
      </c>
      <c r="O97" s="6">
        <f>[1]Results!R1533</f>
        <v>1960236.419</v>
      </c>
      <c r="P97" s="6">
        <f>[1]Results!S1533</f>
        <v>1994964</v>
      </c>
      <c r="Q97" s="6">
        <f>[1]Results!T1533</f>
        <v>2027960.4650000001</v>
      </c>
      <c r="R97" s="6">
        <f>[1]Results!U1533</f>
        <v>2060007.9779999999</v>
      </c>
      <c r="S97" s="6">
        <f>[1]Results!V1533</f>
        <v>2091850.7239999999</v>
      </c>
      <c r="T97" s="6">
        <f>[1]Results!W1533</f>
        <v>2124402.236</v>
      </c>
      <c r="U97" s="6">
        <f>[1]Results!X1533</f>
        <v>2158352.3820000002</v>
      </c>
      <c r="V97" s="6">
        <f>[1]Results!Y1533</f>
        <v>2194196.872</v>
      </c>
      <c r="W97" s="6">
        <f>[1]Results!Z1533</f>
        <v>2231383.1129999999</v>
      </c>
      <c r="X97" s="6">
        <f>[1]Results!AA1533</f>
        <v>2271985.0430000001</v>
      </c>
      <c r="Y97" s="6">
        <f>[1]Results!AB1533</f>
        <v>2315799.341</v>
      </c>
      <c r="Z97" s="6">
        <f>[1]Results!AC1533</f>
        <v>2363159.7119999998</v>
      </c>
      <c r="AA97" s="6">
        <f>[1]Results!AD1533</f>
        <v>2414209.594</v>
      </c>
      <c r="AB97" s="6">
        <f>[1]Results!AE1533</f>
        <v>2466165.699</v>
      </c>
      <c r="AC97" s="6">
        <f>[1]Results!AF1533</f>
        <v>2522827.4980000001</v>
      </c>
      <c r="AD97" s="6">
        <f>[1]Results!AG1533</f>
        <v>2583531.56</v>
      </c>
      <c r="AE97" s="6">
        <f>[1]Results!AH1533</f>
        <v>2648590.1179999998</v>
      </c>
      <c r="AF97" s="6">
        <f>[1]Results!AI1533</f>
        <v>2717942.3739999998</v>
      </c>
      <c r="AG97" s="6">
        <f>[1]Results!AJ1533</f>
        <v>2791305.9619999998</v>
      </c>
      <c r="AH97" s="6">
        <f>[1]Results!AK1533</f>
        <v>2868415.3080000002</v>
      </c>
      <c r="AI97" s="6">
        <f>[1]Results!AL1533</f>
        <v>2949122.4109999998</v>
      </c>
      <c r="AJ97" s="6">
        <f>[1]Results!AM1533</f>
        <v>3033419.1460000002</v>
      </c>
      <c r="AK97" s="6">
        <f>[1]Results!AN1533</f>
        <v>3121471.5619999999</v>
      </c>
      <c r="AL97" s="6">
        <f>[1]Results!AO1533</f>
        <v>3213717.0729999999</v>
      </c>
    </row>
    <row r="98" spans="1:38" x14ac:dyDescent="0.35">
      <c r="B98" t="s">
        <v>29</v>
      </c>
      <c r="C98" s="6">
        <f>C103-C99</f>
        <v>-2005.8049440999998</v>
      </c>
      <c r="D98" s="6">
        <f t="shared" ref="D98:AL98" si="8">D103-D99</f>
        <v>-2023.1777996999999</v>
      </c>
      <c r="E98" s="6">
        <f t="shared" si="8"/>
        <v>-2042.4002673</v>
      </c>
      <c r="F98" s="6">
        <f t="shared" si="8"/>
        <v>-2061.7949431000002</v>
      </c>
      <c r="G98" s="6">
        <f t="shared" si="8"/>
        <v>-2082.1528636000003</v>
      </c>
      <c r="H98" s="6">
        <f t="shared" si="8"/>
        <v>-2110.8805701000001</v>
      </c>
      <c r="I98" s="6">
        <f t="shared" si="8"/>
        <v>-2145.6729215999999</v>
      </c>
      <c r="J98" s="6">
        <f t="shared" si="8"/>
        <v>-2227.9504405000002</v>
      </c>
      <c r="K98" s="6">
        <f t="shared" si="8"/>
        <v>-2103.7836394000001</v>
      </c>
      <c r="L98" s="6">
        <f t="shared" si="8"/>
        <v>-1956.4941732999998</v>
      </c>
      <c r="M98" s="6">
        <f t="shared" si="8"/>
        <v>-1823.5535805999998</v>
      </c>
      <c r="N98" s="6">
        <f t="shared" si="8"/>
        <v>-1691.9224683999996</v>
      </c>
      <c r="O98" s="6">
        <f t="shared" si="8"/>
        <v>-1551.2749779000001</v>
      </c>
      <c r="P98" s="6">
        <f t="shared" si="8"/>
        <v>-1401.153278</v>
      </c>
      <c r="Q98" s="6">
        <f t="shared" si="8"/>
        <v>-1243.3567680000001</v>
      </c>
      <c r="R98" s="6">
        <f t="shared" si="8"/>
        <v>-1080.2363169999999</v>
      </c>
      <c r="S98" s="6">
        <f t="shared" si="8"/>
        <v>-914.44382300000029</v>
      </c>
      <c r="T98" s="6">
        <f t="shared" si="8"/>
        <v>-740.96033499999976</v>
      </c>
      <c r="U98" s="6">
        <f t="shared" si="8"/>
        <v>-563.15185199999996</v>
      </c>
      <c r="V98" s="6">
        <f t="shared" si="8"/>
        <v>-381.16550000000007</v>
      </c>
      <c r="W98" s="6">
        <f t="shared" si="8"/>
        <v>-194.26633399999992</v>
      </c>
      <c r="X98" s="6">
        <f t="shared" si="8"/>
        <v>-1.8222539999999299</v>
      </c>
      <c r="Y98" s="6">
        <f t="shared" si="8"/>
        <v>196.7908110000003</v>
      </c>
      <c r="Z98" s="6">
        <f t="shared" si="8"/>
        <v>402.4393050000001</v>
      </c>
      <c r="AA98" s="6">
        <f t="shared" si="8"/>
        <v>616.25956800000017</v>
      </c>
      <c r="AB98" s="6">
        <f t="shared" si="8"/>
        <v>840.12850599999956</v>
      </c>
      <c r="AC98" s="6">
        <f t="shared" si="8"/>
        <v>1075.3233800000003</v>
      </c>
      <c r="AD98" s="6">
        <f t="shared" si="8"/>
        <v>1321.2138929999999</v>
      </c>
      <c r="AE98" s="6">
        <f t="shared" si="8"/>
        <v>1580.5200810000003</v>
      </c>
      <c r="AF98" s="6">
        <f t="shared" si="8"/>
        <v>1855.5476550000001</v>
      </c>
      <c r="AG98" s="6">
        <f t="shared" si="8"/>
        <v>2149.1209899999999</v>
      </c>
      <c r="AH98" s="6">
        <f t="shared" si="8"/>
        <v>2464.1680139999999</v>
      </c>
      <c r="AI98" s="6">
        <f t="shared" si="8"/>
        <v>2803.5313720000004</v>
      </c>
      <c r="AJ98" s="6">
        <f t="shared" si="8"/>
        <v>3170.2391149999999</v>
      </c>
      <c r="AK98" s="6">
        <f t="shared" si="8"/>
        <v>3567.8013999999994</v>
      </c>
      <c r="AL98" s="6">
        <f t="shared" si="8"/>
        <v>4000.8532800000003</v>
      </c>
    </row>
    <row r="99" spans="1:38" x14ac:dyDescent="0.35">
      <c r="B99" t="s">
        <v>36</v>
      </c>
      <c r="C99" s="6">
        <f>C101+C102</f>
        <v>-119.34658389999998</v>
      </c>
      <c r="D99" s="6">
        <f t="shared" ref="D99:AL99" si="9">D101+D102</f>
        <v>-120.55198630000001</v>
      </c>
      <c r="E99" s="6">
        <f t="shared" si="9"/>
        <v>-118.83838370000001</v>
      </c>
      <c r="F99" s="6">
        <f t="shared" si="9"/>
        <v>-117.56927189999999</v>
      </c>
      <c r="G99" s="6">
        <f t="shared" si="9"/>
        <v>-115.49044040000001</v>
      </c>
      <c r="H99" s="6">
        <f t="shared" si="9"/>
        <v>-114.17792489999999</v>
      </c>
      <c r="I99" s="6">
        <f t="shared" si="9"/>
        <v>-116.11831940000002</v>
      </c>
      <c r="J99" s="6">
        <f t="shared" si="9"/>
        <v>-97.706508500000041</v>
      </c>
      <c r="K99" s="6">
        <f t="shared" si="9"/>
        <v>-194.71984659999998</v>
      </c>
      <c r="L99" s="6">
        <f t="shared" si="9"/>
        <v>-304.60725470000011</v>
      </c>
      <c r="M99" s="6">
        <f t="shared" si="9"/>
        <v>-416.97621140000012</v>
      </c>
      <c r="N99" s="6">
        <f t="shared" si="9"/>
        <v>-531.48379860000011</v>
      </c>
      <c r="O99" s="6">
        <f t="shared" si="9"/>
        <v>-649.49077709999995</v>
      </c>
      <c r="P99" s="6">
        <f t="shared" si="9"/>
        <v>-771.55287599999997</v>
      </c>
      <c r="Q99" s="6">
        <f t="shared" si="9"/>
        <v>-897.86383299999989</v>
      </c>
      <c r="R99" s="6">
        <f t="shared" si="9"/>
        <v>-1028.8498450000002</v>
      </c>
      <c r="S99" s="6">
        <f t="shared" si="9"/>
        <v>-1163.4208529999999</v>
      </c>
      <c r="T99" s="6">
        <f t="shared" si="9"/>
        <v>-1301.4879360000002</v>
      </c>
      <c r="U99" s="6">
        <f t="shared" si="9"/>
        <v>-1444.002868</v>
      </c>
      <c r="V99" s="6">
        <f t="shared" si="9"/>
        <v>-1592.0264519999998</v>
      </c>
      <c r="W99" s="6">
        <f t="shared" si="9"/>
        <v>-1746.6382980000001</v>
      </c>
      <c r="X99" s="6">
        <f t="shared" si="9"/>
        <v>-1908.0616480000001</v>
      </c>
      <c r="Y99" s="6">
        <f t="shared" si="9"/>
        <v>-2077.3906850000003</v>
      </c>
      <c r="Z99" s="6">
        <f t="shared" si="9"/>
        <v>-2255.6806750000001</v>
      </c>
      <c r="AA99" s="6">
        <f t="shared" si="9"/>
        <v>-2443.9984100000001</v>
      </c>
      <c r="AB99" s="6">
        <f t="shared" si="9"/>
        <v>-2644.0314019999996</v>
      </c>
      <c r="AC99" s="6">
        <f t="shared" si="9"/>
        <v>-2855.1857800000002</v>
      </c>
      <c r="AD99" s="6">
        <f t="shared" si="9"/>
        <v>-3079.0786189999999</v>
      </c>
      <c r="AE99" s="6">
        <f t="shared" si="9"/>
        <v>-3317.6968220000003</v>
      </c>
      <c r="AF99" s="6">
        <f t="shared" si="9"/>
        <v>-3573.211225</v>
      </c>
      <c r="AG99" s="6">
        <f t="shared" si="9"/>
        <v>-3847.6030329999999</v>
      </c>
      <c r="AH99" s="6">
        <f t="shared" si="9"/>
        <v>-4142.59141</v>
      </c>
      <c r="AI99" s="6">
        <f t="shared" si="9"/>
        <v>-4460.1052330000002</v>
      </c>
      <c r="AJ99" s="6">
        <f t="shared" si="9"/>
        <v>-4802.6561499999998</v>
      </c>
      <c r="AK99" s="6">
        <f t="shared" si="9"/>
        <v>-5173.3193169999995</v>
      </c>
      <c r="AL99" s="6">
        <f t="shared" si="9"/>
        <v>-5576.3625140000004</v>
      </c>
    </row>
    <row r="100" spans="1:38" x14ac:dyDescent="0.35">
      <c r="B100" t="s">
        <v>33</v>
      </c>
      <c r="C100" s="6">
        <f>[1]Results!F1541</f>
        <v>40653.00333</v>
      </c>
      <c r="D100" s="6">
        <f>[1]Results!G1541</f>
        <v>41264.844779999999</v>
      </c>
      <c r="E100" s="6">
        <f>[1]Results!H1541</f>
        <v>41844.189980000003</v>
      </c>
      <c r="F100" s="6">
        <f>[1]Results!I1541</f>
        <v>42477.875599999999</v>
      </c>
      <c r="G100" s="6">
        <f>[1]Results!J1541</f>
        <v>43056.86434</v>
      </c>
      <c r="H100" s="6">
        <f>[1]Results!K1541</f>
        <v>43654.55042</v>
      </c>
      <c r="I100" s="6">
        <f>[1]Results!L1541</f>
        <v>44287.923179999998</v>
      </c>
      <c r="J100" s="6">
        <f>[1]Results!M1541</f>
        <v>44965.767690000001</v>
      </c>
      <c r="K100" s="6">
        <f>[1]Results!N1541</f>
        <v>45418.052329999999</v>
      </c>
      <c r="L100" s="6">
        <f>[1]Results!O1541</f>
        <v>45888.245560000003</v>
      </c>
      <c r="M100" s="6">
        <f>[1]Results!P1541</f>
        <v>46212.048699999999</v>
      </c>
      <c r="N100" s="6">
        <f>[1]Results!Q1541</f>
        <v>46140.205479999997</v>
      </c>
      <c r="O100" s="6">
        <f>[1]Results!R1541</f>
        <v>45822.615819999999</v>
      </c>
      <c r="P100" s="6">
        <f>[1]Results!S1541</f>
        <v>45354.97193</v>
      </c>
      <c r="Q100" s="6">
        <f>[1]Results!T1541</f>
        <v>44805.60454</v>
      </c>
      <c r="R100" s="6">
        <f>[1]Results!U1541</f>
        <v>44206.650670000003</v>
      </c>
      <c r="S100" s="6">
        <f>[1]Results!V1541</f>
        <v>43569.253819999998</v>
      </c>
      <c r="T100" s="6">
        <f>[1]Results!W1541</f>
        <v>42911.014360000001</v>
      </c>
      <c r="U100" s="6">
        <f>[1]Results!X1541</f>
        <v>42222.93707</v>
      </c>
      <c r="V100" s="6">
        <f>[1]Results!Y1541</f>
        <v>41500.1826</v>
      </c>
      <c r="W100" s="6">
        <f>[1]Results!Z1541</f>
        <v>40725.426370000001</v>
      </c>
      <c r="X100" s="6">
        <f>[1]Results!AA1541</f>
        <v>39911.487549999998</v>
      </c>
      <c r="Y100" s="6">
        <f>[1]Results!AB1541</f>
        <v>39039.590279999997</v>
      </c>
      <c r="Z100" s="6">
        <f>[1]Results!AC1541</f>
        <v>38082.110919999999</v>
      </c>
      <c r="AA100" s="6">
        <f>[1]Results!AD1541</f>
        <v>37000.309710000001</v>
      </c>
      <c r="AB100" s="6">
        <f>[1]Results!AE1541</f>
        <v>35713.732219999998</v>
      </c>
      <c r="AC100" s="6">
        <f>[1]Results!AF1541</f>
        <v>34220.188670000003</v>
      </c>
      <c r="AD100" s="6">
        <f>[1]Results!AG1541</f>
        <v>32433.049009999999</v>
      </c>
      <c r="AE100" s="6">
        <f>[1]Results!AH1541</f>
        <v>30247.587189999998</v>
      </c>
      <c r="AF100" s="6">
        <f>[1]Results!AI1541</f>
        <v>27519.773570000001</v>
      </c>
      <c r="AG100" s="6">
        <f>[1]Results!AJ1541</f>
        <v>24065.75764</v>
      </c>
      <c r="AH100" s="6">
        <f>[1]Results!AK1541</f>
        <v>19653.44485</v>
      </c>
      <c r="AI100" s="6">
        <f>[1]Results!AL1541</f>
        <v>13971.842500000001</v>
      </c>
      <c r="AJ100" s="6">
        <f>[1]Results!AM1541</f>
        <v>6581.6241980000004</v>
      </c>
      <c r="AK100" s="6">
        <f>[1]Results!AN1541</f>
        <v>-3152.0818060000001</v>
      </c>
      <c r="AL100" s="6">
        <f>[1]Results!AO1541</f>
        <v>-16182.73659</v>
      </c>
    </row>
    <row r="101" spans="1:38" x14ac:dyDescent="0.35">
      <c r="B101" t="s">
        <v>35</v>
      </c>
      <c r="C101" s="6">
        <f>[1]Results!F1538</f>
        <v>-612.37312850000001</v>
      </c>
      <c r="D101" s="6">
        <f>[1]Results!G1538</f>
        <v>-616.76232809999999</v>
      </c>
      <c r="E101" s="6">
        <f>[1]Results!H1538</f>
        <v>-618.83463670000003</v>
      </c>
      <c r="F101" s="6">
        <f>[1]Results!I1538</f>
        <v>-621.04207329999997</v>
      </c>
      <c r="G101" s="6">
        <f>[1]Results!J1538</f>
        <v>-624.7517355</v>
      </c>
      <c r="H101" s="6">
        <f>[1]Results!K1538</f>
        <v>-630.81651260000001</v>
      </c>
      <c r="I101" s="6">
        <f>[1]Results!L1538</f>
        <v>-638.80847960000006</v>
      </c>
      <c r="J101" s="6">
        <f>[1]Results!M1538</f>
        <v>-695.61955450000005</v>
      </c>
      <c r="K101" s="6">
        <f>[1]Results!N1538</f>
        <v>-864.43001430000004</v>
      </c>
      <c r="L101" s="6">
        <f>[1]Results!O1538</f>
        <v>-1047.7362250000001</v>
      </c>
      <c r="M101" s="6">
        <f>[1]Results!P1538</f>
        <v>-1233.5823270000001</v>
      </c>
      <c r="N101" s="6">
        <f>[1]Results!Q1538</f>
        <v>-1420.6545900000001</v>
      </c>
      <c r="O101" s="6">
        <f>[1]Results!R1538</f>
        <v>-1609.548331</v>
      </c>
      <c r="P101" s="6">
        <f>[1]Results!S1538</f>
        <v>-1800.9980399999999</v>
      </c>
      <c r="Q101" s="6">
        <f>[1]Results!T1538</f>
        <v>-1995.910173</v>
      </c>
      <c r="R101" s="6">
        <f>[1]Results!U1538</f>
        <v>-2195.2965490000001</v>
      </c>
      <c r="S101" s="6">
        <f>[1]Results!V1538</f>
        <v>-2399.6601009999999</v>
      </c>
      <c r="T101" s="6">
        <f>[1]Results!W1538</f>
        <v>-2609.3309880000002</v>
      </c>
      <c r="U101" s="6">
        <f>[1]Results!X1538</f>
        <v>-2825.763766</v>
      </c>
      <c r="V101" s="6">
        <f>[1]Results!Y1538</f>
        <v>-3050.5090209999998</v>
      </c>
      <c r="W101" s="6">
        <f>[1]Results!Z1538</f>
        <v>-3284.9079940000001</v>
      </c>
      <c r="X101" s="6">
        <f>[1]Results!AA1538</f>
        <v>-3530.3314180000002</v>
      </c>
      <c r="Y101" s="6">
        <f>[1]Results!AB1538</f>
        <v>-3788.5718310000002</v>
      </c>
      <c r="Z101" s="6">
        <f>[1]Results!AC1538</f>
        <v>-4061.3708900000001</v>
      </c>
      <c r="AA101" s="6">
        <f>[1]Results!AD1538</f>
        <v>-4350.4223650000004</v>
      </c>
      <c r="AB101" s="6">
        <f>[1]Results!AE1538</f>
        <v>-4657.0150819999999</v>
      </c>
      <c r="AC101" s="6">
        <f>[1]Results!AF1538</f>
        <v>-4982.6384790000002</v>
      </c>
      <c r="AD101" s="6">
        <f>[1]Results!AG1538</f>
        <v>-5330.3924489999999</v>
      </c>
      <c r="AE101" s="6">
        <f>[1]Results!AH1538</f>
        <v>-5703.5020940000004</v>
      </c>
      <c r="AF101" s="6">
        <f>[1]Results!AI1538</f>
        <v>-6104.9872820000001</v>
      </c>
      <c r="AG101" s="6">
        <f>[1]Results!AJ1538</f>
        <v>-6537.6199059999999</v>
      </c>
      <c r="AH101" s="6">
        <f>[1]Results!AK1538</f>
        <v>-7004.4195669999999</v>
      </c>
      <c r="AI101" s="6">
        <f>[1]Results!AL1538</f>
        <v>-7509.3544320000001</v>
      </c>
      <c r="AJ101" s="6">
        <f>[1]Results!AM1538</f>
        <v>-8057.7220269999998</v>
      </c>
      <c r="AK101" s="6">
        <f>[1]Results!AN1538</f>
        <v>-8656.6045219999996</v>
      </c>
      <c r="AL101" s="6">
        <f>[1]Results!AO1538</f>
        <v>-9316.1874619999999</v>
      </c>
    </row>
    <row r="102" spans="1:38" x14ac:dyDescent="0.35">
      <c r="B102" t="s">
        <v>34</v>
      </c>
      <c r="C102" s="6">
        <f>[1]Results!F1540</f>
        <v>493.02654460000002</v>
      </c>
      <c r="D102" s="6">
        <f>[1]Results!G1540</f>
        <v>496.21034179999998</v>
      </c>
      <c r="E102" s="6">
        <f>[1]Results!H1540</f>
        <v>499.99625300000002</v>
      </c>
      <c r="F102" s="6">
        <f>[1]Results!I1540</f>
        <v>503.47280139999998</v>
      </c>
      <c r="G102" s="6">
        <f>[1]Results!J1540</f>
        <v>509.26129509999998</v>
      </c>
      <c r="H102" s="6">
        <f>[1]Results!K1540</f>
        <v>516.63858770000002</v>
      </c>
      <c r="I102" s="6">
        <f>[1]Results!L1540</f>
        <v>522.69016020000004</v>
      </c>
      <c r="J102" s="6">
        <f>[1]Results!M1540</f>
        <v>597.91304600000001</v>
      </c>
      <c r="K102" s="6">
        <f>[1]Results!N1540</f>
        <v>669.71016770000006</v>
      </c>
      <c r="L102" s="6">
        <f>[1]Results!O1540</f>
        <v>743.12897029999999</v>
      </c>
      <c r="M102" s="6">
        <f>[1]Results!P1540</f>
        <v>816.60611559999995</v>
      </c>
      <c r="N102" s="6">
        <f>[1]Results!Q1540</f>
        <v>889.17079139999998</v>
      </c>
      <c r="O102" s="6">
        <f>[1]Results!R1540</f>
        <v>960.05755390000002</v>
      </c>
      <c r="P102" s="6">
        <f>[1]Results!S1540</f>
        <v>1029.445164</v>
      </c>
      <c r="Q102" s="6">
        <f>[1]Results!T1540</f>
        <v>1098.0463400000001</v>
      </c>
      <c r="R102" s="6">
        <f>[1]Results!U1540</f>
        <v>1166.446704</v>
      </c>
      <c r="S102" s="6">
        <f>[1]Results!V1540</f>
        <v>1236.2392480000001</v>
      </c>
      <c r="T102" s="6">
        <f>[1]Results!W1540</f>
        <v>1307.8430519999999</v>
      </c>
      <c r="U102" s="6">
        <f>[1]Results!X1540</f>
        <v>1381.760898</v>
      </c>
      <c r="V102" s="6">
        <f>[1]Results!Y1540</f>
        <v>1458.482569</v>
      </c>
      <c r="W102" s="6">
        <f>[1]Results!Z1540</f>
        <v>1538.2696960000001</v>
      </c>
      <c r="X102" s="6">
        <f>[1]Results!AA1540</f>
        <v>1622.2697700000001</v>
      </c>
      <c r="Y102" s="6">
        <f>[1]Results!AB1540</f>
        <v>1711.1811459999999</v>
      </c>
      <c r="Z102" s="6">
        <f>[1]Results!AC1540</f>
        <v>1805.6902150000001</v>
      </c>
      <c r="AA102" s="6">
        <f>[1]Results!AD1540</f>
        <v>1906.423955</v>
      </c>
      <c r="AB102" s="6">
        <f>[1]Results!AE1540</f>
        <v>2012.98368</v>
      </c>
      <c r="AC102" s="6">
        <f>[1]Results!AF1540</f>
        <v>2127.4526989999999</v>
      </c>
      <c r="AD102" s="6">
        <f>[1]Results!AG1540</f>
        <v>2251.3138300000001</v>
      </c>
      <c r="AE102" s="6">
        <f>[1]Results!AH1540</f>
        <v>2385.8052720000001</v>
      </c>
      <c r="AF102" s="6">
        <f>[1]Results!AI1540</f>
        <v>2531.776057</v>
      </c>
      <c r="AG102" s="6">
        <f>[1]Results!AJ1540</f>
        <v>2690.016873</v>
      </c>
      <c r="AH102" s="6">
        <f>[1]Results!AK1540</f>
        <v>2861.8281569999999</v>
      </c>
      <c r="AI102" s="6">
        <f>[1]Results!AL1540</f>
        <v>3049.2491989999999</v>
      </c>
      <c r="AJ102" s="6">
        <f>[1]Results!AM1540</f>
        <v>3255.065877</v>
      </c>
      <c r="AK102" s="6">
        <f>[1]Results!AN1540</f>
        <v>3483.2852050000001</v>
      </c>
      <c r="AL102" s="6">
        <f>[1]Results!AO1540</f>
        <v>3739.8249479999999</v>
      </c>
    </row>
    <row r="103" spans="1:38" x14ac:dyDescent="0.35">
      <c r="B103" t="s">
        <v>37</v>
      </c>
      <c r="C103" s="6">
        <f>[1]Results!F1537</f>
        <v>-2125.1515279999999</v>
      </c>
      <c r="D103" s="6">
        <f>[1]Results!G1537</f>
        <v>-2143.7297859999999</v>
      </c>
      <c r="E103" s="6">
        <f>[1]Results!H1537</f>
        <v>-2161.2386510000001</v>
      </c>
      <c r="F103" s="6">
        <f>[1]Results!I1537</f>
        <v>-2179.3642150000001</v>
      </c>
      <c r="G103" s="6">
        <f>[1]Results!J1537</f>
        <v>-2197.6433040000002</v>
      </c>
      <c r="H103" s="6">
        <f>[1]Results!K1537</f>
        <v>-2225.0584950000002</v>
      </c>
      <c r="I103" s="6">
        <f>[1]Results!L1537</f>
        <v>-2261.7912409999999</v>
      </c>
      <c r="J103" s="6">
        <f>[1]Results!M1537</f>
        <v>-2325.6569490000002</v>
      </c>
      <c r="K103" s="6">
        <f>[1]Results!N1537</f>
        <v>-2298.5034860000001</v>
      </c>
      <c r="L103" s="6">
        <f>[1]Results!O1537</f>
        <v>-2261.1014279999999</v>
      </c>
      <c r="M103" s="6">
        <f>[1]Results!P1537</f>
        <v>-2240.5297919999998</v>
      </c>
      <c r="N103" s="6">
        <f>[1]Results!Q1537</f>
        <v>-2223.4062669999998</v>
      </c>
      <c r="O103" s="6">
        <f>[1]Results!R1537</f>
        <v>-2200.7657549999999</v>
      </c>
      <c r="P103" s="6">
        <f>[1]Results!S1537</f>
        <v>-2172.706154</v>
      </c>
      <c r="Q103" s="6">
        <f>[1]Results!T1537</f>
        <v>-2141.220601</v>
      </c>
      <c r="R103" s="6">
        <f>[1]Results!U1537</f>
        <v>-2109.0861620000001</v>
      </c>
      <c r="S103" s="6">
        <f>[1]Results!V1537</f>
        <v>-2077.8646760000001</v>
      </c>
      <c r="T103" s="6">
        <f>[1]Results!W1537</f>
        <v>-2042.448271</v>
      </c>
      <c r="U103" s="6">
        <f>[1]Results!X1537</f>
        <v>-2007.15472</v>
      </c>
      <c r="V103" s="6">
        <f>[1]Results!Y1537</f>
        <v>-1973.1919519999999</v>
      </c>
      <c r="W103" s="6">
        <f>[1]Results!Z1537</f>
        <v>-1940.904632</v>
      </c>
      <c r="X103" s="6">
        <f>[1]Results!AA1537</f>
        <v>-1909.883902</v>
      </c>
      <c r="Y103" s="6">
        <f>[1]Results!AB1537</f>
        <v>-1880.599874</v>
      </c>
      <c r="Z103" s="6">
        <f>[1]Results!AC1537</f>
        <v>-1853.24137</v>
      </c>
      <c r="AA103" s="6">
        <f>[1]Results!AD1537</f>
        <v>-1827.738842</v>
      </c>
      <c r="AB103" s="6">
        <f>[1]Results!AE1537</f>
        <v>-1803.9028960000001</v>
      </c>
      <c r="AC103" s="6">
        <f>[1]Results!AF1537</f>
        <v>-1779.8624</v>
      </c>
      <c r="AD103" s="6">
        <f>[1]Results!AG1537</f>
        <v>-1757.864726</v>
      </c>
      <c r="AE103" s="6">
        <f>[1]Results!AH1537</f>
        <v>-1737.176741</v>
      </c>
      <c r="AF103" s="6">
        <f>[1]Results!AI1537</f>
        <v>-1717.6635699999999</v>
      </c>
      <c r="AG103" s="6">
        <f>[1]Results!AJ1537</f>
        <v>-1698.482043</v>
      </c>
      <c r="AH103" s="6">
        <f>[1]Results!AK1537</f>
        <v>-1678.4233959999999</v>
      </c>
      <c r="AI103" s="6">
        <f>[1]Results!AL1537</f>
        <v>-1656.5738610000001</v>
      </c>
      <c r="AJ103" s="6">
        <f>[1]Results!AM1537</f>
        <v>-1632.4170349999999</v>
      </c>
      <c r="AK103" s="6">
        <f>[1]Results!AN1537</f>
        <v>-1605.5179169999999</v>
      </c>
      <c r="AL103" s="6">
        <f>[1]Results!AO1537</f>
        <v>-1575.5092340000001</v>
      </c>
    </row>
    <row r="104" spans="1:3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6" spans="1:3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38" x14ac:dyDescent="0.35">
      <c r="A107" t="s">
        <v>80</v>
      </c>
      <c r="B107" t="s">
        <v>27</v>
      </c>
      <c r="C107" s="4">
        <f>(R93-R79)/R79</f>
        <v>1.7101249919751515E-3</v>
      </c>
      <c r="D107" s="10">
        <f>(AB93-AB79)/AB79</f>
        <v>-9.8854232295290121E-4</v>
      </c>
      <c r="E107" s="10">
        <f>(AL93-AL79)/AL79</f>
        <v>9.5852990879849425E-3</v>
      </c>
    </row>
    <row r="108" spans="1:38" x14ac:dyDescent="0.35">
      <c r="B108" t="s">
        <v>7</v>
      </c>
      <c r="C108" s="4">
        <f t="shared" ref="C108:C114" si="10">(R94-R82)/R82</f>
        <v>-2.0352736056122464E-2</v>
      </c>
      <c r="D108" s="4">
        <f t="shared" ref="D108:D114" si="11">(AB94-AB82)/AB82</f>
        <v>-3.1741610671613525E-2</v>
      </c>
      <c r="E108" s="4">
        <f t="shared" ref="E108:E114" si="12">(AL94-AL82)/AL82</f>
        <v>-1.49097736201036E-2</v>
      </c>
      <c r="Q108" s="5"/>
      <c r="U108" s="5"/>
      <c r="V108" s="5"/>
      <c r="Y108" s="5"/>
      <c r="Z108" s="5"/>
      <c r="AA108" s="5"/>
    </row>
    <row r="109" spans="1:38" x14ac:dyDescent="0.35">
      <c r="B109" t="s">
        <v>30</v>
      </c>
      <c r="C109" s="4">
        <f t="shared" si="10"/>
        <v>-9.2950598900961635E-4</v>
      </c>
      <c r="D109" s="4">
        <f t="shared" si="11"/>
        <v>6.6546923858504083E-3</v>
      </c>
      <c r="E109" s="4">
        <f t="shared" si="12"/>
        <v>6.9319186196803773E-2</v>
      </c>
      <c r="Q109" s="5"/>
      <c r="U109" s="5"/>
      <c r="V109" s="5"/>
      <c r="Y109" s="5"/>
      <c r="Z109" s="5"/>
      <c r="AA109" s="5"/>
    </row>
    <row r="110" spans="1:38" x14ac:dyDescent="0.35">
      <c r="B110" t="s">
        <v>9</v>
      </c>
      <c r="C110" s="4">
        <f t="shared" si="10"/>
        <v>-8.5991390646288496E-3</v>
      </c>
      <c r="D110" s="4">
        <f t="shared" si="11"/>
        <v>-1.6173547647137347E-2</v>
      </c>
      <c r="E110" s="4">
        <f t="shared" si="12"/>
        <v>1.8891300918029992E-2</v>
      </c>
      <c r="Q110" s="5"/>
      <c r="U110" s="5"/>
      <c r="V110" s="5"/>
      <c r="Y110" s="5"/>
      <c r="Z110" s="5"/>
      <c r="AA110" s="5"/>
    </row>
    <row r="111" spans="1:38" x14ac:dyDescent="0.35">
      <c r="B111" t="s">
        <v>10</v>
      </c>
      <c r="C111" s="4">
        <f t="shared" si="10"/>
        <v>5.7577847848358015E-3</v>
      </c>
      <c r="D111" s="4">
        <f t="shared" si="11"/>
        <v>6.7758220748669771E-3</v>
      </c>
      <c r="E111" s="4">
        <f t="shared" si="12"/>
        <v>2.2964800830831501E-2</v>
      </c>
      <c r="Q111" s="5"/>
      <c r="U111" s="5"/>
      <c r="V111" s="5"/>
      <c r="Y111" s="5"/>
      <c r="Z111" s="5"/>
      <c r="AA111" s="5"/>
    </row>
    <row r="112" spans="1:38" x14ac:dyDescent="0.35">
      <c r="B112" t="s">
        <v>29</v>
      </c>
      <c r="C112" s="4">
        <f t="shared" si="10"/>
        <v>-0.53044896931922902</v>
      </c>
      <c r="D112" s="4">
        <f t="shared" si="11"/>
        <v>-1.3295176589316549</v>
      </c>
      <c r="E112" s="4">
        <f t="shared" si="12"/>
        <v>-2.3010225552014658</v>
      </c>
      <c r="Q112" s="5"/>
      <c r="U112" s="5"/>
      <c r="V112" s="5"/>
      <c r="Y112" s="5"/>
      <c r="Z112" s="5"/>
      <c r="AA112" s="5"/>
    </row>
    <row r="113" spans="1:38" x14ac:dyDescent="0.35">
      <c r="B113" t="s">
        <v>36</v>
      </c>
      <c r="C113" s="4">
        <f t="shared" si="10"/>
        <v>3.6626758599605505</v>
      </c>
      <c r="D113" s="4">
        <f t="shared" si="11"/>
        <v>7.8517324542263083</v>
      </c>
      <c r="E113" s="4">
        <f t="shared" si="12"/>
        <v>11.508423167075728</v>
      </c>
      <c r="Q113" s="5"/>
      <c r="U113" s="5"/>
      <c r="V113" s="5"/>
      <c r="Y113" s="5"/>
      <c r="Z113" s="5"/>
      <c r="AA113" s="5"/>
    </row>
    <row r="114" spans="1:38" x14ac:dyDescent="0.35">
      <c r="B114" t="s">
        <v>33</v>
      </c>
      <c r="C114" s="4">
        <f t="shared" si="10"/>
        <v>-9.7359402841127693E-2</v>
      </c>
      <c r="D114" s="4">
        <f t="shared" si="11"/>
        <v>-0.34977653840121042</v>
      </c>
      <c r="E114" s="4">
        <f t="shared" si="12"/>
        <v>-1.2339918486173334</v>
      </c>
      <c r="Q114" s="5"/>
      <c r="U114" s="5"/>
      <c r="V114" s="5"/>
      <c r="Y114" s="5"/>
      <c r="Z114" s="5"/>
      <c r="AA114" s="5"/>
    </row>
    <row r="115" spans="1:3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38" x14ac:dyDescent="0.35">
      <c r="A117" t="s">
        <v>81</v>
      </c>
      <c r="B117" t="s">
        <v>7</v>
      </c>
      <c r="C117" s="4">
        <f>R94/R82-1</f>
        <v>-2.0352736056122422E-2</v>
      </c>
      <c r="D117" s="4">
        <f>AB94/AB82-1</f>
        <v>-3.1741610671613518E-2</v>
      </c>
      <c r="E117" s="4">
        <f>AL94/AL82-1</f>
        <v>-1.4909773620103595E-2</v>
      </c>
    </row>
    <row r="118" spans="1:38" x14ac:dyDescent="0.35">
      <c r="B118" t="s">
        <v>30</v>
      </c>
      <c r="C118" s="4">
        <f>R95/R83-1</f>
        <v>-9.2950598900964909E-4</v>
      </c>
      <c r="D118" s="4">
        <f>AB95/AB83-1</f>
        <v>6.6546923858503693E-3</v>
      </c>
      <c r="E118" s="4">
        <f>AL95/AL83-1</f>
        <v>6.9319186196803662E-2</v>
      </c>
    </row>
    <row r="119" spans="1:38" x14ac:dyDescent="0.35">
      <c r="B119" t="s">
        <v>9</v>
      </c>
      <c r="C119" s="4">
        <f>R96/R84-1</f>
        <v>-8.5991390646288357E-3</v>
      </c>
      <c r="D119" s="4">
        <f>AB96/AB84-1</f>
        <v>-1.6173547647137299E-2</v>
      </c>
      <c r="E119" s="4">
        <f>AL96/AL84-1</f>
        <v>1.8891300918030041E-2</v>
      </c>
    </row>
    <row r="120" spans="1:38" x14ac:dyDescent="0.35">
      <c r="B120" t="s">
        <v>10</v>
      </c>
      <c r="C120" s="4">
        <f>R97/R85-1</f>
        <v>5.7577847848357955E-3</v>
      </c>
      <c r="D120" s="4">
        <f>AB97/AB85-1</f>
        <v>6.7758220748670439E-3</v>
      </c>
      <c r="E120" s="4">
        <f>AL97/AL85-1</f>
        <v>2.2964800830831411E-2</v>
      </c>
    </row>
    <row r="121" spans="1:38" x14ac:dyDescent="0.35">
      <c r="B121" t="s">
        <v>29</v>
      </c>
      <c r="C121" s="4">
        <f>R98/R86-1</f>
        <v>-0.53044896931922902</v>
      </c>
      <c r="D121" s="4">
        <f>AB98/AB86-1</f>
        <v>-1.3295176589316549</v>
      </c>
      <c r="E121" s="4">
        <f>AL98/AL86-1</f>
        <v>-2.3010225552014658</v>
      </c>
    </row>
    <row r="122" spans="1:38" x14ac:dyDescent="0.35">
      <c r="B122" t="s">
        <v>33</v>
      </c>
      <c r="C122" s="4">
        <f>R100/R88-1</f>
        <v>-9.7359402841127651E-2</v>
      </c>
      <c r="D122" s="4">
        <f>AB100/AB88-1</f>
        <v>-0.34977653840121048</v>
      </c>
      <c r="E122" s="4">
        <f>AL100/AL88-1</f>
        <v>-1.2339918486173334</v>
      </c>
    </row>
    <row r="124" spans="1:3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</row>
    <row r="125" spans="1:38" x14ac:dyDescent="0.35">
      <c r="A125" t="s">
        <v>38</v>
      </c>
      <c r="B125" t="s">
        <v>27</v>
      </c>
      <c r="C125" s="6">
        <f>[1]Production!B3</f>
        <v>3854147.4219999998</v>
      </c>
      <c r="D125" s="6">
        <f>[1]Production!C3</f>
        <v>3927348.9470000002</v>
      </c>
      <c r="E125" s="6">
        <f>[1]Production!D3</f>
        <v>4010756.76</v>
      </c>
      <c r="F125" s="6">
        <f>[1]Production!E3</f>
        <v>4101925.0619999999</v>
      </c>
      <c r="G125" s="6">
        <f>[1]Production!F3</f>
        <v>4199290.4989999998</v>
      </c>
      <c r="H125" s="6">
        <f>[1]Production!G3</f>
        <v>4302202.5779999997</v>
      </c>
      <c r="I125" s="6">
        <f>[1]Production!H3</f>
        <v>4407338.3779999996</v>
      </c>
      <c r="J125" s="6">
        <f>[1]Production!I3</f>
        <v>4514599.82</v>
      </c>
      <c r="K125" s="6">
        <f>[1]Production!J3</f>
        <v>4623816.1090000002</v>
      </c>
      <c r="L125" s="6">
        <f>[1]Production!K3</f>
        <v>4735118.0590000004</v>
      </c>
      <c r="M125" s="6">
        <f>[1]Production!L3</f>
        <v>4847612.4539999999</v>
      </c>
      <c r="N125" s="6">
        <f>[1]Production!M3</f>
        <v>4946883.1030000001</v>
      </c>
      <c r="O125" s="6">
        <f>[1]Production!N3</f>
        <v>5036662.8150000004</v>
      </c>
      <c r="P125" s="6">
        <f>[1]Production!O3</f>
        <v>5119168.898</v>
      </c>
      <c r="Q125" s="6">
        <f>[1]Production!P3</f>
        <v>5197078.0240000002</v>
      </c>
      <c r="R125" s="6">
        <f>[1]Production!Q3</f>
        <v>5272961.5650000004</v>
      </c>
      <c r="S125" s="6">
        <f>[1]Production!R3</f>
        <v>5350518.7439999999</v>
      </c>
      <c r="T125" s="6">
        <f>[1]Production!S3</f>
        <v>5432474.307</v>
      </c>
      <c r="U125" s="6">
        <f>[1]Production!T3</f>
        <v>5520667.9409999996</v>
      </c>
      <c r="V125" s="6">
        <f>[1]Production!U3</f>
        <v>5616124.2359999996</v>
      </c>
      <c r="W125" s="6">
        <f>[1]Production!V3</f>
        <v>5717857.0539999995</v>
      </c>
      <c r="X125" s="6">
        <f>[1]Production!W3</f>
        <v>5829508.858</v>
      </c>
      <c r="Y125" s="6">
        <f>[1]Production!X3</f>
        <v>5951201.1210000003</v>
      </c>
      <c r="Z125" s="6">
        <f>[1]Production!Y3</f>
        <v>6083475.8810000001</v>
      </c>
      <c r="AA125" s="6">
        <f>[1]Production!Z3</f>
        <v>6226301.966</v>
      </c>
      <c r="AB125" s="6">
        <f>[1]Production!AA3</f>
        <v>6374210.2079999996</v>
      </c>
      <c r="AC125" s="6">
        <f>[1]Production!AB3</f>
        <v>6533230.125</v>
      </c>
      <c r="AD125" s="6">
        <f>[1]Production!AC3</f>
        <v>6702914.3720000004</v>
      </c>
      <c r="AE125" s="6">
        <f>[1]Production!AD3</f>
        <v>6883488.3030000003</v>
      </c>
      <c r="AF125" s="6">
        <f>[1]Production!AE3</f>
        <v>7073881.727</v>
      </c>
      <c r="AG125" s="6">
        <f>[1]Production!AF3</f>
        <v>7272344.8600000003</v>
      </c>
      <c r="AH125" s="6">
        <f>[1]Production!AG3</f>
        <v>7477265.0010000002</v>
      </c>
      <c r="AI125" s="6">
        <f>[1]Production!AH3</f>
        <v>7687304.0820000004</v>
      </c>
      <c r="AJ125" s="6">
        <f>[1]Production!AI3</f>
        <v>7901194.1890000002</v>
      </c>
      <c r="AK125" s="6">
        <f>[1]Production!AJ3</f>
        <v>8117667.5880000005</v>
      </c>
      <c r="AL125" s="6">
        <f>[1]Production!AK3</f>
        <v>8335425.1030000001</v>
      </c>
    </row>
    <row r="126" spans="1:38" x14ac:dyDescent="0.35">
      <c r="B126" t="s">
        <v>7</v>
      </c>
      <c r="C126" s="6">
        <f>[1]Production!B5+[1]Production!B7</f>
        <v>88284.497585000005</v>
      </c>
      <c r="D126" s="6">
        <f>[1]Production!C5+[1]Production!C7</f>
        <v>89617.370384999987</v>
      </c>
      <c r="E126" s="6">
        <f>[1]Production!D5+[1]Production!D7</f>
        <v>91211.376428999996</v>
      </c>
      <c r="F126" s="6">
        <f>[1]Production!E5+[1]Production!E7</f>
        <v>93048.552284000005</v>
      </c>
      <c r="G126" s="6">
        <f>[1]Production!F5+[1]Production!F7</f>
        <v>95112.816611000002</v>
      </c>
      <c r="H126" s="6">
        <f>[1]Production!G5+[1]Production!G7</f>
        <v>97373.838026999991</v>
      </c>
      <c r="I126" s="6">
        <f>[1]Production!H5+[1]Production!H7</f>
        <v>99742.991424000007</v>
      </c>
      <c r="J126" s="6">
        <f>[1]Production!I5+[1]Production!I7</f>
        <v>102183.116687</v>
      </c>
      <c r="K126" s="6">
        <f>[1]Production!J5+[1]Production!J7</f>
        <v>104673.636824</v>
      </c>
      <c r="L126" s="6">
        <f>[1]Production!K5+[1]Production!K7</f>
        <v>107206.18858100001</v>
      </c>
      <c r="M126" s="6">
        <f>[1]Production!L5+[1]Production!L7</f>
        <v>109720.859184</v>
      </c>
      <c r="N126" s="6">
        <f>[1]Production!M5+[1]Production!M7</f>
        <v>111882.136918</v>
      </c>
      <c r="O126" s="6">
        <f>[1]Production!N5+[1]Production!N7</f>
        <v>113759.231659</v>
      </c>
      <c r="P126" s="6">
        <f>[1]Production!O5+[1]Production!O7</f>
        <v>115405.960326</v>
      </c>
      <c r="Q126" s="6">
        <f>[1]Production!P5+[1]Production!P7</f>
        <v>116890.79771099999</v>
      </c>
      <c r="R126" s="6">
        <f>[1]Production!Q5+[1]Production!Q7</f>
        <v>118282.356474</v>
      </c>
      <c r="S126" s="6">
        <f>[1]Production!R5+[1]Production!R7</f>
        <v>119681.56314500001</v>
      </c>
      <c r="T126" s="6">
        <f>[1]Production!S5+[1]Production!S7</f>
        <v>121166.866022</v>
      </c>
      <c r="U126" s="6">
        <f>[1]Production!T5+[1]Production!T7</f>
        <v>122795.012301</v>
      </c>
      <c r="V126" s="6">
        <f>[1]Production!U5+[1]Production!U7</f>
        <v>124598.02859300001</v>
      </c>
      <c r="W126" s="6">
        <f>[1]Production!V5+[1]Production!V7</f>
        <v>126573.27416</v>
      </c>
      <c r="X126" s="6">
        <f>[1]Production!W5+[1]Production!W7</f>
        <v>128777.33038</v>
      </c>
      <c r="Y126" s="6">
        <f>[1]Production!X5+[1]Production!X7</f>
        <v>131234.99586900001</v>
      </c>
      <c r="Z126" s="6">
        <f>[1]Production!Y5+[1]Production!Y7</f>
        <v>133961.12066300001</v>
      </c>
      <c r="AA126" s="6">
        <f>[1]Production!Z5+[1]Production!Z7</f>
        <v>136955.22863</v>
      </c>
      <c r="AB126" s="6">
        <f>[1]Production!AA5+[1]Production!AA7</f>
        <v>140134.92169700001</v>
      </c>
      <c r="AC126" s="6">
        <f>[1]Production!AB5+[1]Production!AB7</f>
        <v>143569.18157800002</v>
      </c>
      <c r="AD126" s="6">
        <f>[1]Production!AC5+[1]Production!AC7</f>
        <v>147279.709394</v>
      </c>
      <c r="AE126" s="6">
        <f>[1]Production!AD5+[1]Production!AD7</f>
        <v>151273.213208</v>
      </c>
      <c r="AF126" s="6">
        <f>[1]Production!AE5+[1]Production!AE7</f>
        <v>155520.92236</v>
      </c>
      <c r="AG126" s="6">
        <f>[1]Production!AF5+[1]Production!AF7</f>
        <v>159975.07798599999</v>
      </c>
      <c r="AH126" s="6">
        <f>[1]Production!AG5+[1]Production!AG7</f>
        <v>164590.35370399998</v>
      </c>
      <c r="AI126" s="6">
        <f>[1]Production!AH5+[1]Production!AH7</f>
        <v>169327.33348299999</v>
      </c>
      <c r="AJ126" s="6">
        <f>[1]Production!AI5+[1]Production!AI7</f>
        <v>174147.60361700002</v>
      </c>
      <c r="AK126" s="6">
        <f>[1]Production!AJ5+[1]Production!AJ7</f>
        <v>179012.45968899998</v>
      </c>
      <c r="AL126" s="6">
        <f>[1]Production!AK5+[1]Production!AK7</f>
        <v>183882.57617300001</v>
      </c>
    </row>
    <row r="127" spans="1:3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978962.87437699991</v>
      </c>
      <c r="D127" s="6">
        <f>[1]Production!C9+[1]Production!C11+[1]Production!C13+[1]Production!C15+[1]Production!C17+[1]Production!C19+[1]Production!C21+[1]Production!C23+[1]Production!C25+[1]Production!C27+[1]Production!C41</f>
        <v>1001281.7987089999</v>
      </c>
      <c r="E127" s="6">
        <f>[1]Production!D9+[1]Production!D11+[1]Production!D13+[1]Production!D15+[1]Production!D17+[1]Production!D19+[1]Production!D21+[1]Production!D23+[1]Production!D25+[1]Production!D27+[1]Production!D41</f>
        <v>1026244.2894240001</v>
      </c>
      <c r="F127" s="6">
        <f>[1]Production!E9+[1]Production!E11+[1]Production!E13+[1]Production!E15+[1]Production!E17+[1]Production!E19+[1]Production!E21+[1]Production!E23+[1]Production!E25+[1]Production!E27+[1]Production!E41</f>
        <v>1052992.1597499999</v>
      </c>
      <c r="G127" s="6">
        <f>[1]Production!F9+[1]Production!F11+[1]Production!F13+[1]Production!F15+[1]Production!F17+[1]Production!F19+[1]Production!F21+[1]Production!F23+[1]Production!F25+[1]Production!F27+[1]Production!F41</f>
        <v>1081320.988747</v>
      </c>
      <c r="H127" s="6">
        <f>[1]Production!G9+[1]Production!G11+[1]Production!G13+[1]Production!G15+[1]Production!G17+[1]Production!G19+[1]Production!G21+[1]Production!G23+[1]Production!G25+[1]Production!G27+[1]Production!G41</f>
        <v>1111072.320048</v>
      </c>
      <c r="I127" s="6">
        <f>[1]Production!H9+[1]Production!H11+[1]Production!H13+[1]Production!H15+[1]Production!H17+[1]Production!H19+[1]Production!H21+[1]Production!H23+[1]Production!H25+[1]Production!H27+[1]Production!H41</f>
        <v>1141534.874974</v>
      </c>
      <c r="J127" s="6">
        <f>[1]Production!I9+[1]Production!I11+[1]Production!I13+[1]Production!I15+[1]Production!I17+[1]Production!I19+[1]Production!I21+[1]Production!I23+[1]Production!I25+[1]Production!I27+[1]Production!I41</f>
        <v>1172552.3546570002</v>
      </c>
      <c r="K127" s="6">
        <f>[1]Production!J9+[1]Production!J11+[1]Production!J13+[1]Production!J15+[1]Production!J17+[1]Production!J19+[1]Production!J21+[1]Production!J23+[1]Production!J25+[1]Production!J27+[1]Production!J41</f>
        <v>1204149.3729199998</v>
      </c>
      <c r="L127" s="6">
        <f>[1]Production!K9+[1]Production!K11+[1]Production!K13+[1]Production!K15+[1]Production!K17+[1]Production!K19+[1]Production!K21+[1]Production!K23+[1]Production!K25+[1]Production!K27+[1]Production!K41</f>
        <v>1236433.101635</v>
      </c>
      <c r="M127" s="6">
        <f>[1]Production!L9+[1]Production!L11+[1]Production!L13+[1]Production!L15+[1]Production!L17+[1]Production!L19+[1]Production!L21+[1]Production!L23+[1]Production!L25+[1]Production!L27+[1]Production!L41</f>
        <v>1268506.8717439999</v>
      </c>
      <c r="N127" s="6">
        <f>[1]Production!M9+[1]Production!M11+[1]Production!M13+[1]Production!M15+[1]Production!M17+[1]Production!M19+[1]Production!M21+[1]Production!M23+[1]Production!M25+[1]Production!M27+[1]Production!M41</f>
        <v>1296079.2621299999</v>
      </c>
      <c r="O127" s="6">
        <f>[1]Production!N9+[1]Production!N11+[1]Production!N13+[1]Production!N15+[1]Production!N17+[1]Production!N19+[1]Production!N21+[1]Production!N23+[1]Production!N25+[1]Production!N27+[1]Production!N41</f>
        <v>1320656.7754180001</v>
      </c>
      <c r="P127" s="6">
        <f>[1]Production!O9+[1]Production!O11+[1]Production!O13+[1]Production!O15+[1]Production!O17+[1]Production!O19+[1]Production!O21+[1]Production!O23+[1]Production!O25+[1]Production!O27+[1]Production!O41</f>
        <v>1343246.4359250001</v>
      </c>
      <c r="Q127" s="6">
        <f>[1]Production!P9+[1]Production!P11+[1]Production!P13+[1]Production!P15+[1]Production!P17+[1]Production!P19+[1]Production!P21+[1]Production!P23+[1]Production!P25+[1]Production!P27+[1]Production!P41</f>
        <v>1364915.3882309999</v>
      </c>
      <c r="R127" s="6">
        <f>[1]Production!Q9+[1]Production!Q11+[1]Production!Q13+[1]Production!Q15+[1]Production!Q17+[1]Production!Q19+[1]Production!Q21+[1]Production!Q23+[1]Production!Q25+[1]Production!Q27+[1]Production!Q41</f>
        <v>1386573.146805</v>
      </c>
      <c r="S127" s="6">
        <f>[1]Production!R9+[1]Production!R11+[1]Production!R13+[1]Production!R15+[1]Production!R17+[1]Production!R19+[1]Production!R21+[1]Production!R23+[1]Production!R25+[1]Production!R27+[1]Production!R41</f>
        <v>1409394.863745</v>
      </c>
      <c r="T127" s="6">
        <f>[1]Production!S9+[1]Production!S11+[1]Production!S13+[1]Production!S15+[1]Production!S17+[1]Production!S19+[1]Production!S21+[1]Production!S23+[1]Production!S25+[1]Production!S27+[1]Production!S41</f>
        <v>1434219.280547</v>
      </c>
      <c r="U127" s="6">
        <f>[1]Production!T9+[1]Production!T11+[1]Production!T13+[1]Production!T15+[1]Production!T17+[1]Production!T19+[1]Production!T21+[1]Production!T23+[1]Production!T25+[1]Production!T27+[1]Production!T41</f>
        <v>1461567.7573250001</v>
      </c>
      <c r="V127" s="6">
        <f>[1]Production!U9+[1]Production!U11+[1]Production!U13+[1]Production!U15+[1]Production!U17+[1]Production!U19+[1]Production!U21+[1]Production!U23+[1]Production!U25+[1]Production!U27+[1]Production!U41</f>
        <v>1491666.325257</v>
      </c>
      <c r="W127" s="6">
        <f>[1]Production!V9+[1]Production!V11+[1]Production!V13+[1]Production!V15+[1]Production!V17+[1]Production!V19+[1]Production!V21+[1]Production!V23+[1]Production!V25+[1]Production!V27+[1]Production!V41</f>
        <v>1524441.9070860001</v>
      </c>
      <c r="X127" s="6">
        <f>[1]Production!W9+[1]Production!W11+[1]Production!W13+[1]Production!W15+[1]Production!W17+[1]Production!W19+[1]Production!W21+[1]Production!W23+[1]Production!W25+[1]Production!W27+[1]Production!W41</f>
        <v>1560356.4827680001</v>
      </c>
      <c r="Y127" s="6">
        <f>[1]Production!X9+[1]Production!X11+[1]Production!X13+[1]Production!X15+[1]Production!X17+[1]Production!X19+[1]Production!X21+[1]Production!X23+[1]Production!X25+[1]Production!X27+[1]Production!X41</f>
        <v>1599627.6246169999</v>
      </c>
      <c r="Z127" s="6">
        <f>[1]Production!Y9+[1]Production!Y11+[1]Production!Y13+[1]Production!Y15+[1]Production!Y17+[1]Production!Y19+[1]Production!Y21+[1]Production!Y23+[1]Production!Y25+[1]Production!Y27+[1]Production!Y41</f>
        <v>1642354.416647</v>
      </c>
      <c r="AA127" s="6">
        <f>[1]Production!Z9+[1]Production!Z11+[1]Production!Z13+[1]Production!Z15+[1]Production!Z17+[1]Production!Z19+[1]Production!Z21+[1]Production!Z23+[1]Production!Z25+[1]Production!Z27+[1]Production!Z41</f>
        <v>1688433.4762479998</v>
      </c>
      <c r="AB127" s="6">
        <f>[1]Production!AA9+[1]Production!AA11+[1]Production!AA13+[1]Production!AA15+[1]Production!AA17+[1]Production!AA19+[1]Production!AA21+[1]Production!AA23+[1]Production!AA25+[1]Production!AA27+[1]Production!AA41</f>
        <v>1737016.1123970002</v>
      </c>
      <c r="AC127" s="6">
        <f>[1]Production!AB9+[1]Production!AB11+[1]Production!AB13+[1]Production!AB15+[1]Production!AB17+[1]Production!AB19+[1]Production!AB21+[1]Production!AB23+[1]Production!AB25+[1]Production!AB27+[1]Production!AB41</f>
        <v>1788687.9023269999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1843640.0449939999</v>
      </c>
      <c r="AE127" s="6">
        <f>[1]Production!AD9+[1]Production!AD11+[1]Production!AD13+[1]Production!AD15+[1]Production!AD17+[1]Production!AD19+[1]Production!AD21+[1]Production!AD23+[1]Production!AD25+[1]Production!AD27+[1]Production!AD41</f>
        <v>1901884.3745869996</v>
      </c>
      <c r="AF127" s="6">
        <f>[1]Production!AE9+[1]Production!AE11+[1]Production!AE13+[1]Production!AE15+[1]Production!AE17+[1]Production!AE19+[1]Production!AE21+[1]Production!AE23+[1]Production!AE25+[1]Production!AE27+[1]Production!AE41</f>
        <v>1962948.1362119999</v>
      </c>
      <c r="AG127" s="6">
        <f>[1]Production!AF9+[1]Production!AF11+[1]Production!AF13+[1]Production!AF15+[1]Production!AF17+[1]Production!AF19+[1]Production!AF21+[1]Production!AF23+[1]Production!AF25+[1]Production!AF27+[1]Production!AF41</f>
        <v>2026173.0667699999</v>
      </c>
      <c r="AH127" s="6">
        <f>[1]Production!AG9+[1]Production!AG11+[1]Production!AG13+[1]Production!AG15+[1]Production!AG17+[1]Production!AG19+[1]Production!AG21+[1]Production!AG23+[1]Production!AG25+[1]Production!AG27+[1]Production!AG41</f>
        <v>2091029.8499080003</v>
      </c>
      <c r="AI127" s="6">
        <f>[1]Production!AH9+[1]Production!AH11+[1]Production!AH13+[1]Production!AH15+[1]Production!AH17+[1]Production!AH19+[1]Production!AH21+[1]Production!AH23+[1]Production!AH25+[1]Production!AH27+[1]Production!AH41</f>
        <v>2157139.9147050004</v>
      </c>
      <c r="AJ127" s="6">
        <f>[1]Production!AI9+[1]Production!AI11+[1]Production!AI13+[1]Production!AI15+[1]Production!AI17+[1]Production!AI19+[1]Production!AI21+[1]Production!AI23+[1]Production!AI25+[1]Production!AI27+[1]Production!AI41</f>
        <v>2224171.412366</v>
      </c>
      <c r="AK127" s="6">
        <f>[1]Production!AJ9+[1]Production!AJ11+[1]Production!AJ13+[1]Production!AJ15+[1]Production!AJ17+[1]Production!AJ19+[1]Production!AJ21+[1]Production!AJ23+[1]Production!AJ25+[1]Production!AJ27+[1]Production!AJ41</f>
        <v>2291801.1393850003</v>
      </c>
      <c r="AL127" s="6">
        <f>[1]Production!AK9+[1]Production!AK11+[1]Production!AK13+[1]Production!AK15+[1]Production!AK17+[1]Production!AK19+[1]Production!AK21+[1]Production!AK23+[1]Production!AK25+[1]Production!AK27+[1]Production!AK41</f>
        <v>2359696.2951650005</v>
      </c>
    </row>
    <row r="128" spans="1:38" x14ac:dyDescent="0.35">
      <c r="B128" t="s">
        <v>9</v>
      </c>
      <c r="C128" s="6">
        <f>[1]Production!B29+[1]Production!B31+[1]Production!B33+[1]Production!B35</f>
        <v>120923.387844</v>
      </c>
      <c r="D128" s="6">
        <f>[1]Production!C29+[1]Production!C31+[1]Production!C33+[1]Production!C35</f>
        <v>123477.92109399999</v>
      </c>
      <c r="E128" s="6">
        <f>[1]Production!D29+[1]Production!D31+[1]Production!D33+[1]Production!D35</f>
        <v>126219.53855399998</v>
      </c>
      <c r="F128" s="6">
        <f>[1]Production!E29+[1]Production!E31+[1]Production!E33+[1]Production!E35</f>
        <v>129090.273598</v>
      </c>
      <c r="G128" s="6">
        <f>[1]Production!F29+[1]Production!F31+[1]Production!F33+[1]Production!F35</f>
        <v>132129.70721200001</v>
      </c>
      <c r="H128" s="6">
        <f>[1]Production!G29+[1]Production!G31+[1]Production!G33+[1]Production!G35</f>
        <v>135343.42150900001</v>
      </c>
      <c r="I128" s="6">
        <f>[1]Production!H29+[1]Production!H31+[1]Production!H33+[1]Production!H35</f>
        <v>138637.03364000001</v>
      </c>
      <c r="J128" s="6">
        <f>[1]Production!I29+[1]Production!I31+[1]Production!I33+[1]Production!I35</f>
        <v>141978.20683400001</v>
      </c>
      <c r="K128" s="6">
        <f>[1]Production!J29+[1]Production!J31+[1]Production!J33+[1]Production!J35</f>
        <v>145352.03650700001</v>
      </c>
      <c r="L128" s="6">
        <f>[1]Production!K29+[1]Production!K31+[1]Production!K33+[1]Production!K35</f>
        <v>148757.77961199998</v>
      </c>
      <c r="M128" s="6">
        <f>[1]Production!L29+[1]Production!L31+[1]Production!L33+[1]Production!L35</f>
        <v>152085.69678299999</v>
      </c>
      <c r="N128" s="6">
        <f>[1]Production!M29+[1]Production!M31+[1]Production!M33+[1]Production!M35</f>
        <v>154789.795709</v>
      </c>
      <c r="O128" s="6">
        <f>[1]Production!N29+[1]Production!N31+[1]Production!N33+[1]Production!N35</f>
        <v>157070.33049399999</v>
      </c>
      <c r="P128" s="6">
        <f>[1]Production!O29+[1]Production!O31+[1]Production!O33+[1]Production!O35</f>
        <v>159048.99356999999</v>
      </c>
      <c r="Q128" s="6">
        <f>[1]Production!P29+[1]Production!P31+[1]Production!P33+[1]Production!P35</f>
        <v>160854.83063499999</v>
      </c>
      <c r="R128" s="6">
        <f>[1]Production!Q29+[1]Production!Q31+[1]Production!Q33+[1]Production!Q35</f>
        <v>162600.242811</v>
      </c>
      <c r="S128" s="6">
        <f>[1]Production!R29+[1]Production!R31+[1]Production!R33+[1]Production!R35</f>
        <v>164431.37982100001</v>
      </c>
      <c r="T128" s="6">
        <f>[1]Production!S29+[1]Production!S31+[1]Production!S33+[1]Production!S35</f>
        <v>166455.42952399998</v>
      </c>
      <c r="U128" s="6">
        <f>[1]Production!T29+[1]Production!T31+[1]Production!T33+[1]Production!T35</f>
        <v>168740.566968</v>
      </c>
      <c r="V128" s="6">
        <f>[1]Production!U29+[1]Production!U31+[1]Production!U33+[1]Production!U35</f>
        <v>171318.718869</v>
      </c>
      <c r="W128" s="6">
        <f>[1]Production!V29+[1]Production!V31+[1]Production!V33+[1]Production!V35</f>
        <v>174179.60901700001</v>
      </c>
      <c r="X128" s="6">
        <f>[1]Production!W29+[1]Production!W31+[1]Production!W33+[1]Production!W35</f>
        <v>177398.74372999999</v>
      </c>
      <c r="Y128" s="6">
        <f>[1]Production!X29+[1]Production!X31+[1]Production!X33+[1]Production!X35</f>
        <v>180996.389971</v>
      </c>
      <c r="Z128" s="6">
        <f>[1]Production!Y29+[1]Production!Y31+[1]Production!Y33+[1]Production!Y35</f>
        <v>184985.506085</v>
      </c>
      <c r="AA128" s="6">
        <f>[1]Production!Z29+[1]Production!Z31+[1]Production!Z33+[1]Production!Z35</f>
        <v>189355.88648000002</v>
      </c>
      <c r="AB128" s="6">
        <f>[1]Production!AA29+[1]Production!AA31+[1]Production!AA33+[1]Production!AA35</f>
        <v>193991.57406000001</v>
      </c>
      <c r="AC128" s="6">
        <f>[1]Production!AB29+[1]Production!AB31+[1]Production!AB33+[1]Production!AB35</f>
        <v>199003.16957000003</v>
      </c>
      <c r="AD128" s="6">
        <f>[1]Production!AC29+[1]Production!AC31+[1]Production!AC33+[1]Production!AC35</f>
        <v>204401.51024999999</v>
      </c>
      <c r="AE128" s="6">
        <f>[1]Production!AD29+[1]Production!AD31+[1]Production!AD33+[1]Production!AD35</f>
        <v>210184.11039000002</v>
      </c>
      <c r="AF128" s="6">
        <f>[1]Production!AE29+[1]Production!AE31+[1]Production!AE33+[1]Production!AE35</f>
        <v>216288.19521999999</v>
      </c>
      <c r="AG128" s="6">
        <f>[1]Production!AF29+[1]Production!AF31+[1]Production!AF33+[1]Production!AF35</f>
        <v>222627.66479000001</v>
      </c>
      <c r="AH128" s="6">
        <f>[1]Production!AG29+[1]Production!AG31+[1]Production!AG33+[1]Production!AG35</f>
        <v>229131.23685000002</v>
      </c>
      <c r="AI128" s="6">
        <f>[1]Production!AH29+[1]Production!AH31+[1]Production!AH33+[1]Production!AH35</f>
        <v>235745.07860999997</v>
      </c>
      <c r="AJ128" s="6">
        <f>[1]Production!AI29+[1]Production!AI31+[1]Production!AI33+[1]Production!AI35</f>
        <v>242420.95883000002</v>
      </c>
      <c r="AK128" s="6">
        <f>[1]Production!AJ29+[1]Production!AJ31+[1]Production!AJ33+[1]Production!AJ35</f>
        <v>249112.55862</v>
      </c>
      <c r="AL128" s="6">
        <f>[1]Production!AK29+[1]Production!AK31+[1]Production!AK33+[1]Production!AK35</f>
        <v>255773.96844</v>
      </c>
    </row>
    <row r="129" spans="1:38" x14ac:dyDescent="0.35">
      <c r="B129" t="s">
        <v>10</v>
      </c>
      <c r="C129" s="6">
        <f>[1]Production!B37+[1]Production!B39</f>
        <v>2557835.5054000001</v>
      </c>
      <c r="D129" s="6">
        <f>[1]Production!C37+[1]Production!C39</f>
        <v>2603467.4258000003</v>
      </c>
      <c r="E129" s="6">
        <f>[1]Production!D37+[1]Production!D39</f>
        <v>2656246.21</v>
      </c>
      <c r="F129" s="6">
        <f>[1]Production!E37+[1]Production!E39</f>
        <v>2714513.0022</v>
      </c>
      <c r="G129" s="6">
        <f>[1]Production!F37+[1]Production!F39</f>
        <v>2776955.7363</v>
      </c>
      <c r="H129" s="6">
        <f>[1]Production!G37+[1]Production!G39</f>
        <v>2843014.4835999999</v>
      </c>
      <c r="I129" s="6">
        <f>[1]Production!H37+[1]Production!H39</f>
        <v>2910283.3925000001</v>
      </c>
      <c r="J129" s="6">
        <f>[1]Production!I37+[1]Production!I39</f>
        <v>2978922.9972999999</v>
      </c>
      <c r="K129" s="6">
        <f>[1]Production!J37+[1]Production!J39</f>
        <v>3048811.5284000002</v>
      </c>
      <c r="L129" s="6">
        <f>[1]Production!K37+[1]Production!K39</f>
        <v>3120000.64</v>
      </c>
      <c r="M129" s="6">
        <f>[1]Production!L37+[1]Production!L39</f>
        <v>3192713.3024000004</v>
      </c>
      <c r="N129" s="6">
        <f>[1]Production!M37+[1]Production!M39</f>
        <v>3258021.7843999998</v>
      </c>
      <c r="O129" s="6">
        <f>[1]Production!N37+[1]Production!N39</f>
        <v>3317822.486</v>
      </c>
      <c r="P129" s="6">
        <f>[1]Production!O37+[1]Production!O39</f>
        <v>3373081.2991000004</v>
      </c>
      <c r="Q129" s="6">
        <f>[1]Production!P37+[1]Production!P39</f>
        <v>3425132.0151</v>
      </c>
      <c r="R129" s="6">
        <f>[1]Production!Q37+[1]Production!Q39</f>
        <v>3475383.1823</v>
      </c>
      <c r="S129" s="6">
        <f>[1]Production!R37+[1]Production!R39</f>
        <v>3526040.2777999998</v>
      </c>
      <c r="T129" s="6">
        <f>[1]Production!S37+[1]Production!S39</f>
        <v>3578723.2244000002</v>
      </c>
      <c r="U129" s="6">
        <f>[1]Production!T37+[1]Production!T39</f>
        <v>3634558.7989000003</v>
      </c>
      <c r="V129" s="6">
        <f>[1]Production!U37+[1]Production!U39</f>
        <v>3694251.3936999999</v>
      </c>
      <c r="W129" s="6">
        <f>[1]Production!V37+[1]Production!V39</f>
        <v>3756908.4752000002</v>
      </c>
      <c r="X129" s="6">
        <f>[1]Production!W37+[1]Production!W39</f>
        <v>3825522.7105</v>
      </c>
      <c r="Y129" s="6">
        <f>[1]Production!X37+[1]Production!X39</f>
        <v>3899940.7186000003</v>
      </c>
      <c r="Z129" s="6">
        <f>[1]Production!Y37+[1]Production!Y39</f>
        <v>3980569.1848000004</v>
      </c>
      <c r="AA129" s="6">
        <f>[1]Production!Z37+[1]Production!Z39</f>
        <v>4067491.4479</v>
      </c>
      <c r="AB129" s="6">
        <f>[1]Production!AA37+[1]Production!AA39</f>
        <v>4156364.9962999998</v>
      </c>
      <c r="AC129" s="6">
        <f>[1]Production!AB37+[1]Production!AB39</f>
        <v>4252372.6275999993</v>
      </c>
      <c r="AD129" s="6">
        <f>[1]Production!AC37+[1]Production!AC39</f>
        <v>4354835.7329000002</v>
      </c>
      <c r="AE129" s="6">
        <f>[1]Production!AD37+[1]Production!AD39</f>
        <v>4463966.932</v>
      </c>
      <c r="AF129" s="6">
        <f>[1]Production!AE37+[1]Production!AE39</f>
        <v>4579297.7623999994</v>
      </c>
      <c r="AG129" s="6">
        <f>[1]Production!AF37+[1]Production!AF39</f>
        <v>4699924.2410000004</v>
      </c>
      <c r="AH129" s="6">
        <f>[1]Production!AG37+[1]Production!AG39</f>
        <v>4824928.8810000001</v>
      </c>
      <c r="AI129" s="6">
        <f>[1]Production!AH37+[1]Production!AH39</f>
        <v>4953486.4110000003</v>
      </c>
      <c r="AJ129" s="6">
        <f>[1]Production!AI37+[1]Production!AI39</f>
        <v>5084784.6457000002</v>
      </c>
      <c r="AK129" s="6">
        <f>[1]Production!AJ37+[1]Production!AJ39</f>
        <v>5217999.5169000002</v>
      </c>
      <c r="AL129" s="6">
        <f>[1]Production!AK37+[1]Production!AK39</f>
        <v>5352284.2834999999</v>
      </c>
    </row>
    <row r="130" spans="1:38" x14ac:dyDescent="0.35">
      <c r="B130" t="s">
        <v>29</v>
      </c>
      <c r="C130" s="6">
        <f>[1]Production!B43+[1]Production!B47</f>
        <v>35749.017027300004</v>
      </c>
      <c r="D130" s="6">
        <f>[1]Production!C43+[1]Production!C47</f>
        <v>36071.168484999995</v>
      </c>
      <c r="E130" s="6">
        <f>[1]Production!D43+[1]Production!D47</f>
        <v>36402.919290799997</v>
      </c>
      <c r="F130" s="6">
        <f>[1]Production!E43+[1]Production!E47</f>
        <v>36759.835130700005</v>
      </c>
      <c r="G130" s="6">
        <f>[1]Production!F43+[1]Production!F47</f>
        <v>37229.877139099997</v>
      </c>
      <c r="H130" s="6">
        <f>[1]Production!G43+[1]Production!G47</f>
        <v>37800.717995200001</v>
      </c>
      <c r="I130" s="6">
        <f>[1]Production!H43+[1]Production!H47</f>
        <v>38422.259076600007</v>
      </c>
      <c r="J130" s="6">
        <f>[1]Production!I43+[1]Production!I47</f>
        <v>39062.850006300003</v>
      </c>
      <c r="K130" s="6">
        <f>[1]Production!J43+[1]Production!J47</f>
        <v>39712.118503899997</v>
      </c>
      <c r="L130" s="6">
        <f>[1]Production!K43+[1]Production!K47</f>
        <v>40367.032149300001</v>
      </c>
      <c r="M130" s="6">
        <f>[1]Production!L43+[1]Production!L47</f>
        <v>41006.785724399997</v>
      </c>
      <c r="N130" s="6">
        <f>[1]Production!M43+[1]Production!M47</f>
        <v>41536.422242400004</v>
      </c>
      <c r="O130" s="6">
        <f>[1]Production!N43+[1]Production!N47</f>
        <v>41980.6908969</v>
      </c>
      <c r="P130" s="6">
        <f>[1]Production!O43+[1]Production!O47</f>
        <v>42361.777188799999</v>
      </c>
      <c r="Q130" s="6">
        <f>[1]Production!P43+[1]Production!P47</f>
        <v>42702.819857800001</v>
      </c>
      <c r="R130" s="6">
        <f>[1]Production!Q43+[1]Production!Q47</f>
        <v>43023.893578199997</v>
      </c>
      <c r="S130" s="6">
        <f>[1]Production!R43+[1]Production!R47</f>
        <v>43365.946662200004</v>
      </c>
      <c r="T130" s="6">
        <f>[1]Production!S43+[1]Production!S47</f>
        <v>43753.1041836</v>
      </c>
      <c r="U130" s="6">
        <f>[1]Production!T43+[1]Production!T47</f>
        <v>44198.1373179</v>
      </c>
      <c r="V130" s="6">
        <f>[1]Production!U43+[1]Production!U47</f>
        <v>44704.251660800001</v>
      </c>
      <c r="W130" s="6">
        <f>[1]Production!V43+[1]Production!V47</f>
        <v>45267.936066499999</v>
      </c>
      <c r="X130" s="6">
        <f>[1]Production!W43+[1]Production!W47</f>
        <v>45897.087066299995</v>
      </c>
      <c r="Y130" s="6">
        <f>[1]Production!X43+[1]Production!X47</f>
        <v>46595.119952000001</v>
      </c>
      <c r="Z130" s="6">
        <f>[1]Production!Y43+[1]Production!Y47</f>
        <v>47364.3158129</v>
      </c>
      <c r="AA130" s="6">
        <f>[1]Production!Z43+[1]Production!Z47</f>
        <v>48203.808654499997</v>
      </c>
      <c r="AB130" s="6">
        <f>[1]Production!AA43+[1]Production!AA47</f>
        <v>49099.211312300002</v>
      </c>
      <c r="AC130" s="6">
        <f>[1]Production!AB43+[1]Production!AB47</f>
        <v>50064.910464699999</v>
      </c>
      <c r="AD130" s="6">
        <f>[1]Production!AC43+[1]Production!AC47</f>
        <v>51106.626834100003</v>
      </c>
      <c r="AE130" s="6">
        <f>[1]Production!AD43+[1]Production!AD47</f>
        <v>52225.7940456</v>
      </c>
      <c r="AF130" s="6">
        <f>[1]Production!AE43+[1]Production!AE47</f>
        <v>53412.818744299999</v>
      </c>
      <c r="AG130" s="6">
        <f>[1]Production!AF43+[1]Production!AF47</f>
        <v>54652.9530667</v>
      </c>
      <c r="AH130" s="6">
        <f>[1]Production!AG43+[1]Production!AG47</f>
        <v>55933.135023199997</v>
      </c>
      <c r="AI130" s="6">
        <f>[1]Production!AH43+[1]Production!AH47</f>
        <v>57242.734983900002</v>
      </c>
      <c r="AJ130" s="6">
        <f>[1]Production!AI43+[1]Production!AI47</f>
        <v>58571.714795300002</v>
      </c>
      <c r="AK130" s="6">
        <f>[1]Production!AJ43+[1]Production!AJ47</f>
        <v>59909.924726799996</v>
      </c>
      <c r="AL130" s="6">
        <f>[1]Production!AK43+[1]Production!AK47</f>
        <v>61246.7959892</v>
      </c>
    </row>
    <row r="131" spans="1:38" x14ac:dyDescent="0.35">
      <c r="B131" t="s">
        <v>36</v>
      </c>
      <c r="C131" s="6">
        <f>[1]Production!B45+[1]Production!B49</f>
        <v>4478.0093015000002</v>
      </c>
      <c r="D131" s="6">
        <f>[1]Production!C45+[1]Production!C49</f>
        <v>4498.6256979</v>
      </c>
      <c r="E131" s="6">
        <f>[1]Production!D45+[1]Production!D49</f>
        <v>4518.7887979000006</v>
      </c>
      <c r="F131" s="6">
        <f>[1]Production!E45+[1]Production!E49</f>
        <v>4543.3675622999999</v>
      </c>
      <c r="G131" s="6">
        <f>[1]Production!F45+[1]Production!F49</f>
        <v>4583.6992007999997</v>
      </c>
      <c r="H131" s="6">
        <f>[1]Production!G45+[1]Production!G49</f>
        <v>4637.6950635000003</v>
      </c>
      <c r="I131" s="6">
        <f>[1]Production!H45+[1]Production!H49</f>
        <v>4697.9631463000005</v>
      </c>
      <c r="J131" s="6">
        <f>[1]Production!I45+[1]Production!I49</f>
        <v>4761.0295344000006</v>
      </c>
      <c r="K131" s="6">
        <f>[1]Production!J45+[1]Production!J49</f>
        <v>4825.524453</v>
      </c>
      <c r="L131" s="6">
        <f>[1]Production!K45+[1]Production!K49</f>
        <v>4890.8400560999999</v>
      </c>
      <c r="M131" s="6">
        <f>[1]Production!L45+[1]Production!L49</f>
        <v>4955.6654753999992</v>
      </c>
      <c r="N131" s="6">
        <f>[1]Production!M45+[1]Production!M49</f>
        <v>5012.7957921999996</v>
      </c>
      <c r="O131" s="6">
        <f>[1]Production!N45+[1]Production!N49</f>
        <v>5063.0069463</v>
      </c>
      <c r="P131" s="6">
        <f>[1]Production!O45+[1]Production!O49</f>
        <v>5107.4183639000003</v>
      </c>
      <c r="Q131" s="6">
        <f>[1]Production!P45+[1]Production!P49</f>
        <v>5147.4406217000005</v>
      </c>
      <c r="R131" s="6">
        <f>[1]Production!Q45+[1]Production!Q49</f>
        <v>5184.4853419999999</v>
      </c>
      <c r="S131" s="6">
        <f>[1]Production!R45+[1]Production!R49</f>
        <v>5223.0386423</v>
      </c>
      <c r="T131" s="6">
        <f>[1]Production!S45+[1]Production!S49</f>
        <v>5264.9532830000007</v>
      </c>
      <c r="U131" s="6">
        <f>[1]Production!T45+[1]Production!T49</f>
        <v>5311.2725780999999</v>
      </c>
      <c r="V131" s="6">
        <f>[1]Production!U45+[1]Production!U49</f>
        <v>5362.3174864000002</v>
      </c>
      <c r="W131" s="6">
        <f>[1]Production!V45+[1]Production!V49</f>
        <v>5417.6925373000004</v>
      </c>
      <c r="X131" s="6">
        <f>[1]Production!W45+[1]Production!W49</f>
        <v>5478.2791649000001</v>
      </c>
      <c r="Y131" s="6">
        <f>[1]Production!X45+[1]Production!X49</f>
        <v>5544.4372707000002</v>
      </c>
      <c r="Z131" s="6">
        <f>[1]Production!Y45+[1]Production!Y49</f>
        <v>5616.4900656999998</v>
      </c>
      <c r="AA131" s="6">
        <f>[1]Production!Z45+[1]Production!Z49</f>
        <v>5694.5616382999997</v>
      </c>
      <c r="AB131" s="6">
        <f>[1]Production!AA45+[1]Production!AA49</f>
        <v>5777.1928702999994</v>
      </c>
      <c r="AC131" s="6">
        <f>[1]Production!AB45+[1]Production!AB49</f>
        <v>5865.8948997999996</v>
      </c>
      <c r="AD131" s="6">
        <f>[1]Production!AC45+[1]Production!AC49</f>
        <v>5961.1818258999992</v>
      </c>
      <c r="AE131" s="6">
        <f>[1]Production!AD45+[1]Production!AD49</f>
        <v>6063.2905392000002</v>
      </c>
      <c r="AF131" s="6">
        <f>[1]Production!AE45+[1]Production!AE49</f>
        <v>6171.6775645999996</v>
      </c>
      <c r="AG131" s="6">
        <f>[1]Production!AF45+[1]Production!AF49</f>
        <v>6285.3271629999999</v>
      </c>
      <c r="AH131" s="6">
        <f>[1]Production!AG45+[1]Production!AG49</f>
        <v>6403.1882243</v>
      </c>
      <c r="AI131" s="6">
        <f>[1]Production!AH45+[1]Production!AH49</f>
        <v>6524.2700241999992</v>
      </c>
      <c r="AJ131" s="6">
        <f>[1]Production!AI45+[1]Production!AI49</f>
        <v>6647.5638276999998</v>
      </c>
      <c r="AK131" s="6">
        <f>[1]Production!AJ45+[1]Production!AJ49</f>
        <v>6772.0097483</v>
      </c>
      <c r="AL131" s="6">
        <f>[1]Production!AK45+[1]Production!AK49</f>
        <v>6896.4932205999994</v>
      </c>
    </row>
    <row r="132" spans="1:3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67914.131361499996</v>
      </c>
      <c r="D132" s="6">
        <f>[1]Production!C51+[1]Production!C53+[1]Production!C55+[1]Production!C57+[1]Production!C59+[1]Production!C61+[1]Production!C63+[1]Production!C65+[1]Production!C67</f>
        <v>68934.637294499989</v>
      </c>
      <c r="E132" s="6">
        <f>[1]Production!D51+[1]Production!D53+[1]Production!D55+[1]Production!D57+[1]Production!D59+[1]Production!D61+[1]Production!D63+[1]Production!D65+[1]Production!D67</f>
        <v>69913.637278099995</v>
      </c>
      <c r="F132" s="6">
        <f>[1]Production!E51+[1]Production!E53+[1]Production!E55+[1]Production!E57+[1]Production!E59+[1]Production!E61+[1]Production!E63+[1]Production!E65+[1]Production!E67</f>
        <v>70977.871636800002</v>
      </c>
      <c r="G132" s="6">
        <f>[1]Production!F51+[1]Production!F53+[1]Production!F55+[1]Production!F57+[1]Production!F59+[1]Production!F61+[1]Production!F63+[1]Production!F65+[1]Production!F67</f>
        <v>71957.674352000002</v>
      </c>
      <c r="H132" s="6">
        <f>[1]Production!G51+[1]Production!G53+[1]Production!G55+[1]Production!G57+[1]Production!G59+[1]Production!G61+[1]Production!G63+[1]Production!G65+[1]Production!G67</f>
        <v>72960.101658700005</v>
      </c>
      <c r="I132" s="6">
        <f>[1]Production!H51+[1]Production!H53+[1]Production!H55+[1]Production!H57+[1]Production!H59+[1]Production!H61+[1]Production!H63+[1]Production!H65+[1]Production!H67</f>
        <v>74019.863756399995</v>
      </c>
      <c r="J132" s="6">
        <f>[1]Production!I51+[1]Production!I53+[1]Production!I55+[1]Production!I57+[1]Production!I59+[1]Production!I61+[1]Production!I63+[1]Production!I65+[1]Production!I67</f>
        <v>75139.265266999995</v>
      </c>
      <c r="K132" s="6">
        <f>[1]Production!J51+[1]Production!J53+[1]Production!J55+[1]Production!J57+[1]Production!J59+[1]Production!J61+[1]Production!J63+[1]Production!J65+[1]Production!J67</f>
        <v>76291.891408199997</v>
      </c>
      <c r="L132" s="6">
        <f>[1]Production!K51+[1]Production!K53+[1]Production!K55+[1]Production!K57+[1]Production!K59+[1]Production!K61+[1]Production!K63+[1]Production!K65+[1]Production!K67</f>
        <v>77462.477385699996</v>
      </c>
      <c r="M132" s="6">
        <f>[1]Production!L51+[1]Production!L53+[1]Production!L55+[1]Production!L57+[1]Production!L59+[1]Production!L61+[1]Production!L63+[1]Production!L65+[1]Production!L67</f>
        <v>78623.272409700017</v>
      </c>
      <c r="N132" s="6">
        <f>[1]Production!M51+[1]Production!M53+[1]Production!M55+[1]Production!M57+[1]Production!M59+[1]Production!M61+[1]Production!M63+[1]Production!M65+[1]Production!M67</f>
        <v>79560.906019700007</v>
      </c>
      <c r="O132" s="6">
        <f>[1]Production!N51+[1]Production!N53+[1]Production!N55+[1]Production!N57+[1]Production!N59+[1]Production!N61+[1]Production!N63+[1]Production!N65+[1]Production!N67</f>
        <v>80310.293476300008</v>
      </c>
      <c r="P132" s="6">
        <f>[1]Production!O51+[1]Production!O53+[1]Production!O55+[1]Production!O57+[1]Production!O59+[1]Production!O61+[1]Production!O63+[1]Production!O65+[1]Production!O67</f>
        <v>80917.013842899993</v>
      </c>
      <c r="Q132" s="6">
        <f>[1]Production!P51+[1]Production!P53+[1]Production!P55+[1]Production!P57+[1]Production!P59+[1]Production!P61+[1]Production!P63+[1]Production!P65+[1]Production!P67</f>
        <v>81434.731967400003</v>
      </c>
      <c r="R132" s="6">
        <f>[1]Production!Q51+[1]Production!Q53+[1]Production!Q55+[1]Production!Q57+[1]Production!Q59+[1]Production!Q61+[1]Production!Q63+[1]Production!Q65+[1]Production!Q67</f>
        <v>81914.258155699994</v>
      </c>
      <c r="S132" s="6">
        <f>[1]Production!R51+[1]Production!R53+[1]Production!R55+[1]Production!R57+[1]Production!R59+[1]Production!R61+[1]Production!R63+[1]Production!R65+[1]Production!R67</f>
        <v>82381.674109999993</v>
      </c>
      <c r="T132" s="6">
        <f>[1]Production!S51+[1]Production!S53+[1]Production!S55+[1]Production!S57+[1]Production!S59+[1]Production!S61+[1]Production!S63+[1]Production!S65+[1]Production!S67</f>
        <v>82891.449245200012</v>
      </c>
      <c r="U132" s="6">
        <f>[1]Production!T51+[1]Production!T53+[1]Production!T55+[1]Production!T57+[1]Production!T59+[1]Production!T61+[1]Production!T63+[1]Production!T65+[1]Production!T67</f>
        <v>83496.395728100004</v>
      </c>
      <c r="V132" s="6">
        <f>[1]Production!U51+[1]Production!U53+[1]Production!U55+[1]Production!U57+[1]Production!U59+[1]Production!U61+[1]Production!U63+[1]Production!U65+[1]Production!U67</f>
        <v>84223.201067300004</v>
      </c>
      <c r="W132" s="6">
        <f>[1]Production!V51+[1]Production!V53+[1]Production!V55+[1]Production!V57+[1]Production!V59+[1]Production!V61+[1]Production!V63+[1]Production!V65+[1]Production!V67</f>
        <v>85068.159562599991</v>
      </c>
      <c r="X132" s="6">
        <f>[1]Production!W51+[1]Production!W53+[1]Production!W55+[1]Production!W57+[1]Production!W59+[1]Production!W61+[1]Production!W63+[1]Production!W65+[1]Production!W67</f>
        <v>86078.224263000011</v>
      </c>
      <c r="Y132" s="6">
        <f>[1]Production!X51+[1]Production!X53+[1]Production!X55+[1]Production!X57+[1]Production!X59+[1]Production!X61+[1]Production!X63+[1]Production!X65+[1]Production!X67</f>
        <v>87261.834745399974</v>
      </c>
      <c r="Z132" s="6">
        <f>[1]Production!Y51+[1]Production!Y53+[1]Production!Y55+[1]Production!Y57+[1]Production!Y59+[1]Production!Y61+[1]Production!Y63+[1]Production!Y65+[1]Production!Y67</f>
        <v>88624.847211900007</v>
      </c>
      <c r="AA132" s="6">
        <f>[1]Production!Z51+[1]Production!Z53+[1]Production!Z55+[1]Production!Z57+[1]Production!Z59+[1]Production!Z61+[1]Production!Z63+[1]Production!Z65+[1]Production!Z67</f>
        <v>90167.556764700013</v>
      </c>
      <c r="AB132" s="6">
        <f>[1]Production!AA51+[1]Production!AA53+[1]Production!AA55+[1]Production!AA57+[1]Production!AA59+[1]Production!AA61+[1]Production!AA63+[1]Production!AA65+[1]Production!AA67</f>
        <v>91826.199179599993</v>
      </c>
      <c r="AC132" s="6">
        <f>[1]Production!AB51+[1]Production!AB53+[1]Production!AB55+[1]Production!AB57+[1]Production!AB59+[1]Production!AB61+[1]Production!AB63+[1]Production!AB65+[1]Production!AB67</f>
        <v>93666.438007899997</v>
      </c>
      <c r="AD132" s="6">
        <f>[1]Production!AC51+[1]Production!AC53+[1]Production!AC55+[1]Production!AC57+[1]Production!AC59+[1]Production!AC61+[1]Production!AC63+[1]Production!AC65+[1]Production!AC67</f>
        <v>95689.5660776</v>
      </c>
      <c r="AE132" s="6">
        <f>[1]Production!AD51+[1]Production!AD53+[1]Production!AD55+[1]Production!AD57+[1]Production!AD59+[1]Production!AD61+[1]Production!AD63+[1]Production!AD65+[1]Production!AD67</f>
        <v>97890.587804399984</v>
      </c>
      <c r="AF132" s="6">
        <f>[1]Production!AE51+[1]Production!AE53+[1]Production!AE55+[1]Production!AE57+[1]Production!AE59+[1]Production!AE61+[1]Production!AE63+[1]Production!AE65+[1]Production!AE67</f>
        <v>100242.21432269999</v>
      </c>
      <c r="AG132" s="6">
        <f>[1]Production!AF51+[1]Production!AF53+[1]Production!AF55+[1]Production!AF57+[1]Production!AF59+[1]Production!AF61+[1]Production!AF63+[1]Production!AF65+[1]Production!AF67</f>
        <v>102706.52966199999</v>
      </c>
      <c r="AH132" s="6">
        <f>[1]Production!AG51+[1]Production!AG53+[1]Production!AG55+[1]Production!AG57+[1]Production!AG59+[1]Production!AG61+[1]Production!AG63+[1]Production!AG65+[1]Production!AG67</f>
        <v>105248.35651609999</v>
      </c>
      <c r="AI132" s="6">
        <f>[1]Production!AH51+[1]Production!AH53+[1]Production!AH55+[1]Production!AH57+[1]Production!AH59+[1]Production!AH61+[1]Production!AH63+[1]Production!AH65+[1]Production!AH67</f>
        <v>107838.3388342</v>
      </c>
      <c r="AJ132" s="6">
        <f>[1]Production!AI51+[1]Production!AI53+[1]Production!AI55+[1]Production!AI57+[1]Production!AI59+[1]Production!AI61+[1]Production!AI63+[1]Production!AI65+[1]Production!AI67</f>
        <v>110450.289821</v>
      </c>
      <c r="AK132" s="6">
        <f>[1]Production!AJ51+[1]Production!AJ53+[1]Production!AJ55+[1]Production!AJ57+[1]Production!AJ59+[1]Production!AJ61+[1]Production!AJ63+[1]Production!AJ65+[1]Production!AJ67</f>
        <v>113059.9789488</v>
      </c>
      <c r="AL132" s="6">
        <f>[1]Production!AK51+[1]Production!AK53+[1]Production!AK55+[1]Production!AK57+[1]Production!AK59+[1]Production!AK61+[1]Production!AK63+[1]Production!AK65+[1]Production!AK67</f>
        <v>115644.69101329999</v>
      </c>
    </row>
    <row r="133" spans="1:3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spans="1:38" x14ac:dyDescent="0.35">
      <c r="C134" s="2"/>
    </row>
    <row r="135" spans="1:3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</row>
    <row r="136" spans="1:38" x14ac:dyDescent="0.35">
      <c r="A136" t="s">
        <v>39</v>
      </c>
      <c r="B136" t="s">
        <v>27</v>
      </c>
      <c r="C136" s="6">
        <f>[1]Production!B2</f>
        <v>3854147.423</v>
      </c>
      <c r="D136" s="6">
        <f>[1]Production!C2</f>
        <v>3927348.9470000002</v>
      </c>
      <c r="E136" s="6">
        <f>[1]Production!D2</f>
        <v>4010756.76</v>
      </c>
      <c r="F136" s="6">
        <f>[1]Production!E2</f>
        <v>4101925.0619999999</v>
      </c>
      <c r="G136" s="6">
        <f>[1]Production!F2</f>
        <v>4199290.4989999998</v>
      </c>
      <c r="H136" s="6">
        <f>[1]Production!G2</f>
        <v>4302202.5779999997</v>
      </c>
      <c r="I136" s="6">
        <f>[1]Production!H2</f>
        <v>4407338.3779999996</v>
      </c>
      <c r="J136" s="6">
        <f>[1]Production!I2</f>
        <v>4504470.5999999996</v>
      </c>
      <c r="K136" s="6">
        <f>[1]Production!J2</f>
        <v>4602524.6270000003</v>
      </c>
      <c r="L136" s="6">
        <f>[1]Production!K2</f>
        <v>4720869.5010000002</v>
      </c>
      <c r="M136" s="6">
        <f>[1]Production!L2</f>
        <v>4843171.4929999998</v>
      </c>
      <c r="N136" s="6">
        <f>[1]Production!M2</f>
        <v>4951526.8550000004</v>
      </c>
      <c r="O136" s="6">
        <f>[1]Production!N2</f>
        <v>5048622.4119999995</v>
      </c>
      <c r="P136" s="6">
        <f>[1]Production!O2</f>
        <v>5137472.6509999996</v>
      </c>
      <c r="Q136" s="6">
        <f>[1]Production!P2</f>
        <v>5222201.0860000001</v>
      </c>
      <c r="R136" s="6">
        <f>[1]Production!Q2</f>
        <v>5305614.8339999998</v>
      </c>
      <c r="S136" s="6">
        <f>[1]Production!R2</f>
        <v>5389632.5089999996</v>
      </c>
      <c r="T136" s="6">
        <f>[1]Production!S2</f>
        <v>5477225.1689999998</v>
      </c>
      <c r="U136" s="6">
        <f>[1]Production!T2</f>
        <v>5570517.3210000005</v>
      </c>
      <c r="V136" s="6">
        <f>[1]Production!U2</f>
        <v>5670974.6069999998</v>
      </c>
      <c r="W136" s="6">
        <f>[1]Production!V2</f>
        <v>5778043.6320000002</v>
      </c>
      <c r="X136" s="6">
        <f>[1]Production!W2</f>
        <v>5895824.7350000003</v>
      </c>
      <c r="Y136" s="6">
        <f>[1]Production!X2</f>
        <v>6024897.6459999997</v>
      </c>
      <c r="Z136" s="6">
        <f>[1]Production!Y2</f>
        <v>6166287.7419999996</v>
      </c>
      <c r="AA136" s="6">
        <f>[1]Production!Z2</f>
        <v>6320515.8689999999</v>
      </c>
      <c r="AB136" s="6">
        <f>[1]Production!AA2</f>
        <v>6482617.1380000003</v>
      </c>
      <c r="AC136" s="6">
        <f>[1]Production!AB2</f>
        <v>6659620.3990000002</v>
      </c>
      <c r="AD136" s="6">
        <f>[1]Production!AC2</f>
        <v>6851868.4869999997</v>
      </c>
      <c r="AE136" s="6">
        <f>[1]Production!AD2</f>
        <v>7060669.9060000004</v>
      </c>
      <c r="AF136" s="6">
        <f>[1]Production!AE2</f>
        <v>7286317.9210000001</v>
      </c>
      <c r="AG136" s="6">
        <f>[1]Production!AF2</f>
        <v>7528710.6299999999</v>
      </c>
      <c r="AH136" s="6">
        <f>[1]Production!AG2</f>
        <v>7788326.9469999997</v>
      </c>
      <c r="AI136" s="6">
        <f>[1]Production!AH2</f>
        <v>8066630.3360000001</v>
      </c>
      <c r="AJ136" s="6">
        <f>[1]Production!AI2</f>
        <v>8366202.8859999999</v>
      </c>
      <c r="AK136" s="6">
        <f>[1]Production!AJ2</f>
        <v>8691325.1400000006</v>
      </c>
      <c r="AL136" s="6">
        <f>[1]Production!AK2</f>
        <v>9049025.4440000001</v>
      </c>
    </row>
    <row r="137" spans="1:38" x14ac:dyDescent="0.35">
      <c r="B137" t="s">
        <v>7</v>
      </c>
      <c r="C137" s="6">
        <f>[1]Production!B4+[1]Production!B6</f>
        <v>88284.497585000005</v>
      </c>
      <c r="D137" s="6">
        <f>[1]Production!C4+[1]Production!C6</f>
        <v>89617.370384999987</v>
      </c>
      <c r="E137" s="6">
        <f>[1]Production!D4+[1]Production!D6</f>
        <v>91211.376429999989</v>
      </c>
      <c r="F137" s="6">
        <f>[1]Production!E4+[1]Production!E6</f>
        <v>93048.552284999998</v>
      </c>
      <c r="G137" s="6">
        <f>[1]Production!F4+[1]Production!F6</f>
        <v>95112.816611000002</v>
      </c>
      <c r="H137" s="6">
        <f>[1]Production!G4+[1]Production!G6</f>
        <v>97373.838026999991</v>
      </c>
      <c r="I137" s="6">
        <f>[1]Production!H4+[1]Production!H6</f>
        <v>99742.991425</v>
      </c>
      <c r="J137" s="6">
        <f>[1]Production!I4+[1]Production!I6</f>
        <v>101714.435182</v>
      </c>
      <c r="K137" s="6">
        <f>[1]Production!J4+[1]Production!J6</f>
        <v>103628.97722900001</v>
      </c>
      <c r="L137" s="6">
        <f>[1]Production!K4+[1]Production!K6</f>
        <v>105977.12693100001</v>
      </c>
      <c r="M137" s="6">
        <f>[1]Production!L4+[1]Production!L6</f>
        <v>108318.72524999999</v>
      </c>
      <c r="N137" s="6">
        <f>[1]Production!M4+[1]Production!M6</f>
        <v>110288.964257</v>
      </c>
      <c r="O137" s="6">
        <f>[1]Production!N4+[1]Production!N6</f>
        <v>111956.634586</v>
      </c>
      <c r="P137" s="6">
        <f>[1]Production!O4+[1]Production!O6</f>
        <v>113405.989552</v>
      </c>
      <c r="Q137" s="6">
        <f>[1]Production!P4+[1]Production!P6</f>
        <v>114738.018647</v>
      </c>
      <c r="R137" s="6">
        <f>[1]Production!Q4+[1]Production!Q6</f>
        <v>116017.46934899999</v>
      </c>
      <c r="S137" s="6">
        <f>[1]Production!R4+[1]Production!R6</f>
        <v>117305.35241199999</v>
      </c>
      <c r="T137" s="6">
        <f>[1]Production!S4+[1]Production!S6</f>
        <v>118651.624236</v>
      </c>
      <c r="U137" s="6">
        <f>[1]Production!T4+[1]Production!T6</f>
        <v>120107.17685799999</v>
      </c>
      <c r="V137" s="6">
        <f>[1]Production!U4+[1]Production!U6</f>
        <v>121709.40036499999</v>
      </c>
      <c r="W137" s="6">
        <f>[1]Production!V4+[1]Production!V6</f>
        <v>123463.97256200001</v>
      </c>
      <c r="X137" s="6">
        <f>[1]Production!W4+[1]Production!W6</f>
        <v>125434.89331299999</v>
      </c>
      <c r="Y137" s="6">
        <f>[1]Production!X4+[1]Production!X6</f>
        <v>127654.45028799999</v>
      </c>
      <c r="Z137" s="6">
        <f>[1]Production!Y4+[1]Production!Y6</f>
        <v>130144.947629</v>
      </c>
      <c r="AA137" s="6">
        <f>[1]Production!Z4+[1]Production!Z6</f>
        <v>132913.93527700001</v>
      </c>
      <c r="AB137" s="6">
        <f>[1]Production!AA4+[1]Production!AA6</f>
        <v>135886.593135</v>
      </c>
      <c r="AC137" s="6">
        <f>[1]Production!AB4+[1]Production!AB6</f>
        <v>139118.31021699999</v>
      </c>
      <c r="AD137" s="6">
        <f>[1]Production!AC4+[1]Production!AC6</f>
        <v>142658.391864</v>
      </c>
      <c r="AE137" s="6">
        <f>[1]Production!AD4+[1]Production!AD6</f>
        <v>146526.65365399999</v>
      </c>
      <c r="AF137" s="6">
        <f>[1]Production!AE4+[1]Production!AE6</f>
        <v>150710.037098</v>
      </c>
      <c r="AG137" s="6">
        <f>[1]Production!AF4+[1]Production!AF6</f>
        <v>155177.267433</v>
      </c>
      <c r="AH137" s="6">
        <f>[1]Production!AG4+[1]Production!AG6</f>
        <v>159899.724426</v>
      </c>
      <c r="AI137" s="6">
        <f>[1]Production!AH4+[1]Production!AH6</f>
        <v>164857.13316299999</v>
      </c>
      <c r="AJ137" s="6">
        <f>[1]Production!AI4+[1]Production!AI6</f>
        <v>170034.73058500001</v>
      </c>
      <c r="AK137" s="6">
        <f>[1]Production!AJ4+[1]Production!AJ6</f>
        <v>175425.04346099999</v>
      </c>
      <c r="AL137" s="6">
        <f>[1]Production!AK4+[1]Production!AK6</f>
        <v>181031.986038</v>
      </c>
    </row>
    <row r="138" spans="1:3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978962.87437899993</v>
      </c>
      <c r="D138" s="6">
        <f>[1]Production!C8+[1]Production!C10+[1]Production!C12+[1]Production!C14+[1]Production!C16+[1]Production!C18+[1]Production!C20+[1]Production!C22+[1]Production!C24+[1]Production!C26+[1]Production!C40</f>
        <v>1001281.7987099999</v>
      </c>
      <c r="E138" s="6">
        <f>[1]Production!D8+[1]Production!D10+[1]Production!D12+[1]Production!D14+[1]Production!D16+[1]Production!D18+[1]Production!D20+[1]Production!D22+[1]Production!D24+[1]Production!D26+[1]Production!D40</f>
        <v>1026244.289415</v>
      </c>
      <c r="F138" s="6">
        <f>[1]Production!E8+[1]Production!E10+[1]Production!E12+[1]Production!E14+[1]Production!E16+[1]Production!E18+[1]Production!E20+[1]Production!E22+[1]Production!E24+[1]Production!E26+[1]Production!E40</f>
        <v>1052992.1597109998</v>
      </c>
      <c r="G138" s="6">
        <f>[1]Production!F8+[1]Production!F10+[1]Production!F12+[1]Production!F14+[1]Production!F16+[1]Production!F18+[1]Production!F20+[1]Production!F22+[1]Production!F24+[1]Production!F26+[1]Production!F40</f>
        <v>1081320.9886469999</v>
      </c>
      <c r="H138" s="6">
        <f>[1]Production!G8+[1]Production!G10+[1]Production!G12+[1]Production!G14+[1]Production!G16+[1]Production!G18+[1]Production!G20+[1]Production!G22+[1]Production!G24+[1]Production!G26+[1]Production!G40</f>
        <v>1111072.3200390001</v>
      </c>
      <c r="I138" s="6">
        <f>[1]Production!H8+[1]Production!H10+[1]Production!H12+[1]Production!H14+[1]Production!H16+[1]Production!H18+[1]Production!H20+[1]Production!H22+[1]Production!H24+[1]Production!H26+[1]Production!H40</f>
        <v>1141534.874754</v>
      </c>
      <c r="J138" s="6">
        <f>[1]Production!I8+[1]Production!I10+[1]Production!I12+[1]Production!I14+[1]Production!I16+[1]Production!I18+[1]Production!I20+[1]Production!I22+[1]Production!I24+[1]Production!I26+[1]Production!I40</f>
        <v>1166645.454658</v>
      </c>
      <c r="K138" s="6">
        <f>[1]Production!J8+[1]Production!J10+[1]Production!J12+[1]Production!J14+[1]Production!J16+[1]Production!J18+[1]Production!J20+[1]Production!J22+[1]Production!J24+[1]Production!J26+[1]Production!J40</f>
        <v>1192016.4934059998</v>
      </c>
      <c r="L138" s="6">
        <f>[1]Production!K8+[1]Production!K10+[1]Production!K12+[1]Production!K14+[1]Production!K16+[1]Production!K18+[1]Production!K20+[1]Production!K22+[1]Production!K24+[1]Production!K26+[1]Production!K40</f>
        <v>1224904.5489459999</v>
      </c>
      <c r="M138" s="6">
        <f>[1]Production!L8+[1]Production!L10+[1]Production!L12+[1]Production!L14+[1]Production!L16+[1]Production!L18+[1]Production!L20+[1]Production!L22+[1]Production!L24+[1]Production!L26+[1]Production!L40</f>
        <v>1257891.940676</v>
      </c>
      <c r="N138" s="6">
        <f>[1]Production!M8+[1]Production!M10+[1]Production!M12+[1]Production!M14+[1]Production!M16+[1]Production!M18+[1]Production!M20+[1]Production!M22+[1]Production!M24+[1]Production!M26+[1]Production!M40</f>
        <v>1285993.110628</v>
      </c>
      <c r="O138" s="6">
        <f>[1]Production!N8+[1]Production!N10+[1]Production!N12+[1]Production!N14+[1]Production!N16+[1]Production!N18+[1]Production!N20+[1]Production!N22+[1]Production!N24+[1]Production!N26+[1]Production!N40</f>
        <v>1310300.01911</v>
      </c>
      <c r="P138" s="6">
        <f>[1]Production!O8+[1]Production!O10+[1]Production!O12+[1]Production!O14+[1]Production!O16+[1]Production!O18+[1]Production!O20+[1]Production!O22+[1]Production!O24+[1]Production!O26+[1]Production!O40</f>
        <v>1332268.320485</v>
      </c>
      <c r="Q138" s="6">
        <f>[1]Production!P8+[1]Production!P10+[1]Production!P12+[1]Production!P14+[1]Production!P16+[1]Production!P18+[1]Production!P20+[1]Production!P22+[1]Production!P24+[1]Production!P26+[1]Production!P40</f>
        <v>1353615.0378760002</v>
      </c>
      <c r="R138" s="6">
        <f>[1]Production!Q8+[1]Production!Q10+[1]Production!Q12+[1]Production!Q14+[1]Production!Q16+[1]Production!Q18+[1]Production!Q20+[1]Production!Q22+[1]Production!Q24+[1]Production!Q26+[1]Production!Q40</f>
        <v>1375354.2783770002</v>
      </c>
      <c r="S138" s="6">
        <f>[1]Production!R8+[1]Production!R10+[1]Production!R12+[1]Production!R14+[1]Production!R16+[1]Production!R18+[1]Production!R20+[1]Production!R22+[1]Production!R24+[1]Production!R26+[1]Production!R40</f>
        <v>1397858.3037729999</v>
      </c>
      <c r="T138" s="6">
        <f>[1]Production!S8+[1]Production!S10+[1]Production!S12+[1]Production!S14+[1]Production!S16+[1]Production!S18+[1]Production!S20+[1]Production!S22+[1]Production!S24+[1]Production!S26+[1]Production!S40</f>
        <v>1422136.5807719999</v>
      </c>
      <c r="U138" s="6">
        <f>[1]Production!T8+[1]Production!T10+[1]Production!T12+[1]Production!T14+[1]Production!T16+[1]Production!T18+[1]Production!T20+[1]Production!T22+[1]Production!T24+[1]Production!T26+[1]Production!T40</f>
        <v>1448811.8862970001</v>
      </c>
      <c r="V138" s="6">
        <f>[1]Production!U8+[1]Production!U10+[1]Production!U12+[1]Production!U14+[1]Production!U16+[1]Production!U18+[1]Production!U20+[1]Production!U22+[1]Production!U24+[1]Production!U26+[1]Production!U40</f>
        <v>1478236.7278769999</v>
      </c>
      <c r="W138" s="6">
        <f>[1]Production!V8+[1]Production!V10+[1]Production!V12+[1]Production!V14+[1]Production!V16+[1]Production!V18+[1]Production!V20+[1]Production!V22+[1]Production!V24+[1]Production!V26+[1]Production!V40</f>
        <v>1510464.8105899999</v>
      </c>
      <c r="X138" s="6">
        <f>[1]Production!W8+[1]Production!W10+[1]Production!W12+[1]Production!W14+[1]Production!W16+[1]Production!W18+[1]Production!W20+[1]Production!W22+[1]Production!W24+[1]Production!W26+[1]Production!W40</f>
        <v>1546091.458538</v>
      </c>
      <c r="Y138" s="6">
        <f>[1]Production!X8+[1]Production!X10+[1]Production!X12+[1]Production!X14+[1]Production!X16+[1]Production!X18+[1]Production!X20+[1]Production!X22+[1]Production!X24+[1]Production!X26+[1]Production!X40</f>
        <v>1585455.4928930001</v>
      </c>
      <c r="Z138" s="6">
        <f>[1]Production!Y8+[1]Production!Y10+[1]Production!Y12+[1]Production!Y14+[1]Production!Y16+[1]Production!Y18+[1]Production!Y20+[1]Production!Y22+[1]Production!Y24+[1]Production!Y26+[1]Production!Y40</f>
        <v>1628769.0808009999</v>
      </c>
      <c r="AA138" s="6">
        <f>[1]Production!Z8+[1]Production!Z10+[1]Production!Z12+[1]Production!Z14+[1]Production!Z16+[1]Production!Z18+[1]Production!Z20+[1]Production!Z22+[1]Production!Z24+[1]Production!Z26+[1]Production!Z40</f>
        <v>1676064.063234</v>
      </c>
      <c r="AB138" s="6">
        <f>[1]Production!AA8+[1]Production!AA10+[1]Production!AA12+[1]Production!AA14+[1]Production!AA16+[1]Production!AA18+[1]Production!AA20+[1]Production!AA22+[1]Production!AA24+[1]Production!AA26+[1]Production!AA40</f>
        <v>1726625.071515</v>
      </c>
      <c r="AC138" s="6">
        <f>[1]Production!AB8+[1]Production!AB10+[1]Production!AB12+[1]Production!AB14+[1]Production!AB16+[1]Production!AB18+[1]Production!AB20+[1]Production!AB22+[1]Production!AB24+[1]Production!AB26+[1]Production!AB40</f>
        <v>1781290.0852440002</v>
      </c>
      <c r="AD138" s="6">
        <f>[1]Production!AC8+[1]Production!AC10+[1]Production!AC12+[1]Production!AC14+[1]Production!AC16+[1]Production!AC18+[1]Production!AC20+[1]Production!AC22+[1]Production!AC24+[1]Production!AC26+[1]Production!AC40</f>
        <v>1840415.6110099999</v>
      </c>
      <c r="AE138" s="6">
        <f>[1]Production!AD8+[1]Production!AD10+[1]Production!AD12+[1]Production!AD14+[1]Production!AD16+[1]Production!AD18+[1]Production!AD20+[1]Production!AD22+[1]Production!AD24+[1]Production!AD26+[1]Production!AD40</f>
        <v>1904196.0091259999</v>
      </c>
      <c r="AF138" s="6">
        <f>[1]Production!AE8+[1]Production!AE10+[1]Production!AE12+[1]Production!AE14+[1]Production!AE16+[1]Production!AE18+[1]Production!AE20+[1]Production!AE22+[1]Production!AE24+[1]Production!AE26+[1]Production!AE40</f>
        <v>1972423.773729</v>
      </c>
      <c r="AG138" s="6">
        <f>[1]Production!AF8+[1]Production!AF10+[1]Production!AF12+[1]Production!AF14+[1]Production!AF16+[1]Production!AF18+[1]Production!AF20+[1]Production!AF22+[1]Production!AF24+[1]Production!AF26+[1]Production!AF40</f>
        <v>2044775.076046</v>
      </c>
      <c r="AH138" s="6">
        <f>[1]Production!AG8+[1]Production!AG10+[1]Production!AG12+[1]Production!AG14+[1]Production!AG16+[1]Production!AG18+[1]Production!AG20+[1]Production!AG22+[1]Production!AG24+[1]Production!AG26+[1]Production!AG40</f>
        <v>2121146.6371189998</v>
      </c>
      <c r="AI138" s="6">
        <f>[1]Production!AH8+[1]Production!AH10+[1]Production!AH12+[1]Production!AH14+[1]Production!AH16+[1]Production!AH18+[1]Production!AH20+[1]Production!AH22+[1]Production!AH24+[1]Production!AH26+[1]Production!AH40</f>
        <v>2201702.9731980003</v>
      </c>
      <c r="AJ138" s="6">
        <f>[1]Production!AI8+[1]Production!AI10+[1]Production!AI12+[1]Production!AI14+[1]Production!AI16+[1]Production!AI18+[1]Production!AI20+[1]Production!AI22+[1]Production!AI24+[1]Production!AI26+[1]Production!AI40</f>
        <v>2286810.445789</v>
      </c>
      <c r="AK138" s="6">
        <f>[1]Production!AJ8+[1]Production!AJ10+[1]Production!AJ12+[1]Production!AJ14+[1]Production!AJ16+[1]Production!AJ18+[1]Production!AJ20+[1]Production!AJ22+[1]Production!AJ24+[1]Production!AJ26+[1]Production!AJ40</f>
        <v>2377142.5914310003</v>
      </c>
      <c r="AL138" s="6">
        <f>[1]Production!AK8+[1]Production!AK10+[1]Production!AK12+[1]Production!AK14+[1]Production!AK16+[1]Production!AK18+[1]Production!AK20+[1]Production!AK22+[1]Production!AK24+[1]Production!AK26+[1]Production!AK40</f>
        <v>2473850.1782340002</v>
      </c>
    </row>
    <row r="139" spans="1:38" x14ac:dyDescent="0.35">
      <c r="B139" t="s">
        <v>9</v>
      </c>
      <c r="C139" s="6">
        <f>[1]Production!B28+[1]Production!B30+[1]Production!B32+[1]Production!B34</f>
        <v>120923.387844</v>
      </c>
      <c r="D139" s="6">
        <f>[1]Production!C28+[1]Production!C30+[1]Production!C32+[1]Production!C34</f>
        <v>123477.92109399999</v>
      </c>
      <c r="E139" s="6">
        <f>[1]Production!D28+[1]Production!D30+[1]Production!D32+[1]Production!D34</f>
        <v>126219.53855399998</v>
      </c>
      <c r="F139" s="6">
        <f>[1]Production!E28+[1]Production!E30+[1]Production!E32+[1]Production!E34</f>
        <v>129090.27360799999</v>
      </c>
      <c r="G139" s="6">
        <f>[1]Production!F28+[1]Production!F30+[1]Production!F32+[1]Production!F34</f>
        <v>132129.70721300002</v>
      </c>
      <c r="H139" s="6">
        <f>[1]Production!G28+[1]Production!G30+[1]Production!G32+[1]Production!G34</f>
        <v>135343.42150900001</v>
      </c>
      <c r="I139" s="6">
        <f>[1]Production!H28+[1]Production!H30+[1]Production!H32+[1]Production!H34</f>
        <v>138637.033631</v>
      </c>
      <c r="J139" s="6">
        <f>[1]Production!I28+[1]Production!I30+[1]Production!I32+[1]Production!I34</f>
        <v>141266.378673</v>
      </c>
      <c r="K139" s="6">
        <f>[1]Production!J28+[1]Production!J30+[1]Production!J32+[1]Production!J34</f>
        <v>143905.21786999999</v>
      </c>
      <c r="L139" s="6">
        <f>[1]Production!K28+[1]Production!K30+[1]Production!K32+[1]Production!K34</f>
        <v>147446.00802400001</v>
      </c>
      <c r="M139" s="6">
        <f>[1]Production!L28+[1]Production!L30+[1]Production!L32+[1]Production!L34</f>
        <v>151016.195848</v>
      </c>
      <c r="N139" s="6">
        <f>[1]Production!M28+[1]Production!M30+[1]Production!M32+[1]Production!M34</f>
        <v>153995.189996</v>
      </c>
      <c r="O139" s="6">
        <f>[1]Production!N28+[1]Production!N30+[1]Production!N32+[1]Production!N34</f>
        <v>156464.706228</v>
      </c>
      <c r="P139" s="6">
        <f>[1]Production!O28+[1]Production!O30+[1]Production!O32+[1]Production!O34</f>
        <v>158560.546688</v>
      </c>
      <c r="Q139" s="6">
        <f>[1]Production!P28+[1]Production!P30+[1]Production!P32+[1]Production!P34</f>
        <v>160465.58652499996</v>
      </c>
      <c r="R139" s="6">
        <f>[1]Production!Q28+[1]Production!Q30+[1]Production!Q32+[1]Production!Q34</f>
        <v>162289.24946799999</v>
      </c>
      <c r="S139" s="6">
        <f>[1]Production!R28+[1]Production!R30+[1]Production!R32+[1]Production!R34</f>
        <v>164112.31770300001</v>
      </c>
      <c r="T139" s="6">
        <f>[1]Production!S28+[1]Production!S30+[1]Production!S32+[1]Production!S34</f>
        <v>166050.964805</v>
      </c>
      <c r="U139" s="6">
        <f>[1]Production!T28+[1]Production!T30+[1]Production!T32+[1]Production!T34</f>
        <v>168198.10276000001</v>
      </c>
      <c r="V139" s="6">
        <f>[1]Production!U28+[1]Production!U30+[1]Production!U32+[1]Production!U34</f>
        <v>170607.77225499999</v>
      </c>
      <c r="W139" s="6">
        <f>[1]Production!V28+[1]Production!V30+[1]Production!V32+[1]Production!V34</f>
        <v>173289.71678800002</v>
      </c>
      <c r="X139" s="6">
        <f>[1]Production!W28+[1]Production!W30+[1]Production!W32+[1]Production!W34</f>
        <v>176343.34892999998</v>
      </c>
      <c r="Y139" s="6">
        <f>[1]Production!X28+[1]Production!X30+[1]Production!X32+[1]Production!X34</f>
        <v>179810.47396600002</v>
      </c>
      <c r="Z139" s="6">
        <f>[1]Production!Y28+[1]Production!Y30+[1]Production!Y32+[1]Production!Y34</f>
        <v>183709.04489799999</v>
      </c>
      <c r="AA139" s="6">
        <f>[1]Production!Z28+[1]Production!Z30+[1]Production!Z32+[1]Production!Z34</f>
        <v>188030.467405</v>
      </c>
      <c r="AB139" s="6">
        <f>[1]Production!AA28+[1]Production!AA30+[1]Production!AA32+[1]Production!AA34</f>
        <v>192663.32871999999</v>
      </c>
      <c r="AC139" s="6">
        <f>[1]Production!AB28+[1]Production!AB30+[1]Production!AB32+[1]Production!AB34</f>
        <v>197765.74874000001</v>
      </c>
      <c r="AD139" s="6">
        <f>[1]Production!AC28+[1]Production!AC30+[1]Production!AC32+[1]Production!AC34</f>
        <v>203407.68734999999</v>
      </c>
      <c r="AE139" s="6">
        <f>[1]Production!AD28+[1]Production!AD30+[1]Production!AD32+[1]Production!AD34</f>
        <v>209604.53642000002</v>
      </c>
      <c r="AF139" s="6">
        <f>[1]Production!AE28+[1]Production!AE30+[1]Production!AE32+[1]Production!AE34</f>
        <v>216304.49529000002</v>
      </c>
      <c r="AG139" s="6">
        <f>[1]Production!AF28+[1]Production!AF30+[1]Production!AF32+[1]Production!AF34</f>
        <v>223433.66940000001</v>
      </c>
      <c r="AH139" s="6">
        <f>[1]Production!AG28+[1]Production!AG30+[1]Production!AG32+[1]Production!AG34</f>
        <v>230957.1372</v>
      </c>
      <c r="AI139" s="6">
        <f>[1]Production!AH28+[1]Production!AH30+[1]Production!AH32+[1]Production!AH34</f>
        <v>238873.94847999999</v>
      </c>
      <c r="AJ139" s="6">
        <f>[1]Production!AI28+[1]Production!AI30+[1]Production!AI32+[1]Production!AI34</f>
        <v>247173.65822000001</v>
      </c>
      <c r="AK139" s="6">
        <f>[1]Production!AJ28+[1]Production!AJ30+[1]Production!AJ32+[1]Production!AJ34</f>
        <v>255850.56136000002</v>
      </c>
      <c r="AL139" s="6">
        <f>[1]Production!AK28+[1]Production!AK30+[1]Production!AK32+[1]Production!AK34</f>
        <v>264912.77499999997</v>
      </c>
    </row>
    <row r="140" spans="1:38" x14ac:dyDescent="0.35">
      <c r="B140" t="s">
        <v>10</v>
      </c>
      <c r="C140" s="6">
        <f>[1]Production!B36+[1]Production!B38</f>
        <v>2557835.5054000001</v>
      </c>
      <c r="D140" s="6">
        <f>[1]Production!C36+[1]Production!C38</f>
        <v>2603467.4258000003</v>
      </c>
      <c r="E140" s="6">
        <f>[1]Production!D36+[1]Production!D38</f>
        <v>2656246.21</v>
      </c>
      <c r="F140" s="6">
        <f>[1]Production!E36+[1]Production!E38</f>
        <v>2714513.0023000003</v>
      </c>
      <c r="G140" s="6">
        <f>[1]Production!F36+[1]Production!F38</f>
        <v>2776955.7363999998</v>
      </c>
      <c r="H140" s="6">
        <f>[1]Production!G36+[1]Production!G38</f>
        <v>2843014.4837000002</v>
      </c>
      <c r="I140" s="6">
        <f>[1]Production!H36+[1]Production!H38</f>
        <v>2910283.3925000001</v>
      </c>
      <c r="J140" s="6">
        <f>[1]Production!I36+[1]Production!I38</f>
        <v>2973562.5296</v>
      </c>
      <c r="K140" s="6">
        <f>[1]Production!J36+[1]Production!J38</f>
        <v>3037180.9234999996</v>
      </c>
      <c r="L140" s="6">
        <f>[1]Production!K36+[1]Production!K38</f>
        <v>3111666.1455000001</v>
      </c>
      <c r="M140" s="6">
        <f>[1]Production!L36+[1]Production!L38</f>
        <v>3189897.0778000001</v>
      </c>
      <c r="N140" s="6">
        <f>[1]Production!M36+[1]Production!M38</f>
        <v>3260509.2623000001</v>
      </c>
      <c r="O140" s="6">
        <f>[1]Production!N36+[1]Production!N38</f>
        <v>3324741.7977</v>
      </c>
      <c r="P140" s="6">
        <f>[1]Production!O36+[1]Production!O38</f>
        <v>3383718.8925000001</v>
      </c>
      <c r="Q140" s="6">
        <f>[1]Production!P36+[1]Production!P38</f>
        <v>3439358.4599000001</v>
      </c>
      <c r="R140" s="6">
        <f>[1]Production!Q36+[1]Production!Q38</f>
        <v>3493141.5959999999</v>
      </c>
      <c r="S140" s="6">
        <f>[1]Production!R36+[1]Production!R38</f>
        <v>3546429.3343000002</v>
      </c>
      <c r="T140" s="6">
        <f>[1]Production!S36+[1]Production!S38</f>
        <v>3600848.6494000005</v>
      </c>
      <c r="U140" s="6">
        <f>[1]Production!T36+[1]Production!T38</f>
        <v>3657666.2237</v>
      </c>
      <c r="V140" s="6">
        <f>[1]Production!U36+[1]Production!U38</f>
        <v>3717797.5248000002</v>
      </c>
      <c r="W140" s="6">
        <f>[1]Production!V36+[1]Production!V38</f>
        <v>3780527.2394000003</v>
      </c>
      <c r="X140" s="6">
        <f>[1]Production!W36+[1]Production!W38</f>
        <v>3848985.0617000004</v>
      </c>
      <c r="Y140" s="6">
        <f>[1]Production!X36+[1]Production!X38</f>
        <v>3923151.2527999999</v>
      </c>
      <c r="Z140" s="6">
        <f>[1]Production!Y36+[1]Production!Y38</f>
        <v>4003596.6334000002</v>
      </c>
      <c r="AA140" s="6">
        <f>[1]Production!Z36+[1]Production!Z38</f>
        <v>4090587.6557</v>
      </c>
      <c r="AB140" s="6">
        <f>[1]Production!AA36+[1]Production!AA38</f>
        <v>4179921.4265000001</v>
      </c>
      <c r="AC140" s="6">
        <f>[1]Production!AB36+[1]Production!AB38</f>
        <v>4277041.4188000001</v>
      </c>
      <c r="AD140" s="6">
        <f>[1]Production!AC36+[1]Production!AC38</f>
        <v>4381362.5361000001</v>
      </c>
      <c r="AE140" s="6">
        <f>[1]Production!AD36+[1]Production!AD38</f>
        <v>4493404.4210999999</v>
      </c>
      <c r="AF140" s="6">
        <f>[1]Production!AE36+[1]Production!AE38</f>
        <v>4613085.9910000004</v>
      </c>
      <c r="AG140" s="6">
        <f>[1]Production!AF36+[1]Production!AF38</f>
        <v>4739918</v>
      </c>
      <c r="AH140" s="6">
        <f>[1]Production!AG36+[1]Production!AG38</f>
        <v>4873414.4302000003</v>
      </c>
      <c r="AI140" s="6">
        <f>[1]Production!AH36+[1]Production!AH38</f>
        <v>5013291.7329000002</v>
      </c>
      <c r="AJ140" s="6">
        <f>[1]Production!AI36+[1]Production!AI38</f>
        <v>5159519.3257999998</v>
      </c>
      <c r="AK140" s="6">
        <f>[1]Production!AJ36+[1]Production!AJ38</f>
        <v>5312385.1569999997</v>
      </c>
      <c r="AL140" s="6">
        <f>[1]Production!AK36+[1]Production!AK38</f>
        <v>5472668.2433000002</v>
      </c>
    </row>
    <row r="141" spans="1:38" x14ac:dyDescent="0.35">
      <c r="B141" t="s">
        <v>29</v>
      </c>
      <c r="C141" s="6">
        <f>[1]Production!B42+[1]Production!B46</f>
        <v>35749.017159999996</v>
      </c>
      <c r="D141" s="6">
        <f>[1]Production!C42+[1]Production!C46</f>
        <v>36071.168606800005</v>
      </c>
      <c r="E141" s="6">
        <f>[1]Production!D42+[1]Production!D46</f>
        <v>36402.919411800001</v>
      </c>
      <c r="F141" s="6">
        <f>[1]Production!E42+[1]Production!E46</f>
        <v>36759.835250800003</v>
      </c>
      <c r="G141" s="6">
        <f>[1]Production!F42+[1]Production!F46</f>
        <v>37229.877258699998</v>
      </c>
      <c r="H141" s="6">
        <f>[1]Production!G42+[1]Production!G46</f>
        <v>37800.718114700001</v>
      </c>
      <c r="I141" s="6">
        <f>[1]Production!H42+[1]Production!H46</f>
        <v>38422.259196300001</v>
      </c>
      <c r="J141" s="6">
        <f>[1]Production!I42+[1]Production!I46</f>
        <v>38119.4153496</v>
      </c>
      <c r="K141" s="6">
        <f>[1]Production!J42+[1]Production!J46</f>
        <v>37784.452556100005</v>
      </c>
      <c r="L141" s="6">
        <f>[1]Production!K42+[1]Production!K46</f>
        <v>37574.931930500003</v>
      </c>
      <c r="M141" s="6">
        <f>[1]Production!L42+[1]Production!L46</f>
        <v>37336.529954099999</v>
      </c>
      <c r="N141" s="6">
        <f>[1]Production!M42+[1]Production!M46</f>
        <v>37003.830905499999</v>
      </c>
      <c r="O141" s="6">
        <f>[1]Production!N42+[1]Production!N46</f>
        <v>36591.254185900005</v>
      </c>
      <c r="P141" s="6">
        <f>[1]Production!O42+[1]Production!O46</f>
        <v>36124.954022400001</v>
      </c>
      <c r="Q141" s="6">
        <f>[1]Production!P42+[1]Production!P46</f>
        <v>35635.322101199999</v>
      </c>
      <c r="R141" s="6">
        <f>[1]Production!Q42+[1]Production!Q46</f>
        <v>35136.9701317</v>
      </c>
      <c r="S141" s="6">
        <f>[1]Production!R42+[1]Production!R46</f>
        <v>34588.566488000004</v>
      </c>
      <c r="T141" s="6">
        <f>[1]Production!S42+[1]Production!S46</f>
        <v>34038.436816299996</v>
      </c>
      <c r="U141" s="6">
        <f>[1]Production!T42+[1]Production!T46</f>
        <v>33497.240307799999</v>
      </c>
      <c r="V141" s="6">
        <f>[1]Production!U42+[1]Production!U46</f>
        <v>32969.544214699999</v>
      </c>
      <c r="W141" s="6">
        <f>[1]Production!V42+[1]Production!V46</f>
        <v>32454.831082199998</v>
      </c>
      <c r="X141" s="6">
        <f>[1]Production!W42+[1]Production!W46</f>
        <v>31960.281144100001</v>
      </c>
      <c r="Y141" s="6">
        <f>[1]Production!X42+[1]Production!X46</f>
        <v>31488.424380500001</v>
      </c>
      <c r="Z141" s="6">
        <f>[1]Production!Y42+[1]Production!Y46</f>
        <v>31038.348130000002</v>
      </c>
      <c r="AA141" s="6">
        <f>[1]Production!Z42+[1]Production!Z46</f>
        <v>30605.645473500001</v>
      </c>
      <c r="AB141" s="6">
        <f>[1]Production!AA42+[1]Production!AA46</f>
        <v>30177.102944899998</v>
      </c>
      <c r="AC141" s="6">
        <f>[1]Production!AB42+[1]Production!AB46</f>
        <v>29773.360383200001</v>
      </c>
      <c r="AD141" s="6">
        <f>[1]Production!AC42+[1]Production!AC46</f>
        <v>29384.460722</v>
      </c>
      <c r="AE141" s="6">
        <f>[1]Production!AD42+[1]Production!AD46</f>
        <v>29006.425053999999</v>
      </c>
      <c r="AF141" s="6">
        <f>[1]Production!AE42+[1]Production!AE46</f>
        <v>28626.6613812</v>
      </c>
      <c r="AG141" s="6">
        <f>[1]Production!AF42+[1]Production!AF46</f>
        <v>28229.691633900002</v>
      </c>
      <c r="AH141" s="6">
        <f>[1]Production!AG42+[1]Production!AG46</f>
        <v>27803.232534159997</v>
      </c>
      <c r="AI141" s="6">
        <f>[1]Production!AH42+[1]Production!AH46</f>
        <v>27338.211233260001</v>
      </c>
      <c r="AJ141" s="6">
        <f>[1]Production!AI42+[1]Production!AI46</f>
        <v>26825.965846810002</v>
      </c>
      <c r="AK141" s="6">
        <f>[1]Production!AJ42+[1]Production!AJ46</f>
        <v>26258.617052199999</v>
      </c>
      <c r="AL141" s="6">
        <f>[1]Production!AK42+[1]Production!AK46</f>
        <v>25629.789569290002</v>
      </c>
    </row>
    <row r="142" spans="1:38" x14ac:dyDescent="0.35">
      <c r="B142" t="s">
        <v>36</v>
      </c>
      <c r="C142" s="6">
        <f>+[1]Production!B44+[1]Production!B48</f>
        <v>4478.0091768000002</v>
      </c>
      <c r="D142" s="6">
        <f>+[1]Production!C44+[1]Production!C48</f>
        <v>4498.6255710000005</v>
      </c>
      <c r="E142" s="6">
        <f>+[1]Production!D44+[1]Production!D48</f>
        <v>4518.7886697000004</v>
      </c>
      <c r="F142" s="6">
        <f>+[1]Production!E44+[1]Production!E48</f>
        <v>4543.3674317999994</v>
      </c>
      <c r="G142" s="6">
        <f>+[1]Production!F44+[1]Production!F48</f>
        <v>4583.6990678000002</v>
      </c>
      <c r="H142" s="6">
        <f>+[1]Production!G44+[1]Production!G48</f>
        <v>4637.6949279999999</v>
      </c>
      <c r="I142" s="6">
        <f>+[1]Production!H44+[1]Production!H48</f>
        <v>4697.9630101000002</v>
      </c>
      <c r="J142" s="6">
        <f>+[1]Production!I44+[1]Production!I48</f>
        <v>5707.7320958999999</v>
      </c>
      <c r="K142" s="6">
        <f>+[1]Production!J44+[1]Production!J48</f>
        <v>6749.9749436000002</v>
      </c>
      <c r="L142" s="6">
        <f>+[1]Production!K44+[1]Production!K48</f>
        <v>7839.7098599999999</v>
      </c>
      <c r="M142" s="6">
        <f>+[1]Production!L44+[1]Production!L48</f>
        <v>8971.3068363000002</v>
      </c>
      <c r="N142" s="6">
        <f>+[1]Production!M44+[1]Production!M48</f>
        <v>10143.187155</v>
      </c>
      <c r="O142" s="6">
        <f>+[1]Production!N44+[1]Production!N48</f>
        <v>11353.038922</v>
      </c>
      <c r="P142" s="6">
        <f>+[1]Production!O44+[1]Production!O48</f>
        <v>12600.787071999999</v>
      </c>
      <c r="Q142" s="6">
        <f>+[1]Production!P44+[1]Production!P48</f>
        <v>13888.884951</v>
      </c>
      <c r="R142" s="6">
        <f>+[1]Production!Q44+[1]Production!Q48</f>
        <v>15219.65474</v>
      </c>
      <c r="S142" s="6">
        <f>+[1]Production!R44+[1]Production!R48</f>
        <v>16590.841165999998</v>
      </c>
      <c r="T142" s="6">
        <f>+[1]Production!S44+[1]Production!S48</f>
        <v>18008.886654999998</v>
      </c>
      <c r="U142" s="6">
        <f>+[1]Production!T44+[1]Production!T48</f>
        <v>19481.332569999999</v>
      </c>
      <c r="V142" s="6">
        <f>+[1]Production!U44+[1]Production!U48</f>
        <v>21015.587771000002</v>
      </c>
      <c r="W142" s="6">
        <f>+[1]Production!V44+[1]Production!V48</f>
        <v>22617.531066000003</v>
      </c>
      <c r="X142" s="6">
        <f>+[1]Production!W44+[1]Production!W48</f>
        <v>24298.462739999999</v>
      </c>
      <c r="Y142" s="6">
        <f>+[1]Production!X44+[1]Production!X48</f>
        <v>26068.932853000002</v>
      </c>
      <c r="Z142" s="6">
        <f>+[1]Production!Y44+[1]Production!Y48</f>
        <v>27939.636017999997</v>
      </c>
      <c r="AA142" s="6">
        <f>+[1]Production!Z44+[1]Production!Z48</f>
        <v>29921.173816000002</v>
      </c>
      <c r="AB142" s="6">
        <f>+[1]Production!AA44+[1]Production!AA48</f>
        <v>32017.475049000001</v>
      </c>
      <c r="AC142" s="6">
        <f>+[1]Production!AB44+[1]Production!AB48</f>
        <v>34249.066416000001</v>
      </c>
      <c r="AD142" s="6">
        <f>+[1]Production!AC44+[1]Production!AC48</f>
        <v>36636.370562999997</v>
      </c>
      <c r="AE142" s="6">
        <f>+[1]Production!AD44+[1]Production!AD48</f>
        <v>39199.240083999997</v>
      </c>
      <c r="AF142" s="6">
        <f>+[1]Production!AE44+[1]Production!AE48</f>
        <v>41955.499142000001</v>
      </c>
      <c r="AG142" s="6">
        <f>+[1]Production!AF44+[1]Production!AF48</f>
        <v>44923.084439999999</v>
      </c>
      <c r="AH142" s="6">
        <f>+[1]Production!AG44+[1]Production!AG48</f>
        <v>48125.001901000003</v>
      </c>
      <c r="AI142" s="6">
        <f>+[1]Production!AH44+[1]Production!AH48</f>
        <v>51592.109119000001</v>
      </c>
      <c r="AJ142" s="6">
        <f>+[1]Production!AI44+[1]Production!AI48</f>
        <v>55364.004633999997</v>
      </c>
      <c r="AK142" s="6">
        <f>+[1]Production!AJ44+[1]Production!AJ48</f>
        <v>59495.299359000004</v>
      </c>
      <c r="AL142" s="6">
        <f>+[1]Production!AK44+[1]Production!AK48</f>
        <v>64067.064338000004</v>
      </c>
    </row>
    <row r="143" spans="1:3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67914.131372699994</v>
      </c>
      <c r="D143" s="6">
        <f>[1]Production!C50+[1]Production!C52+[1]Production!C54+[1]Production!C56+[1]Production!C58+[1]Production!C60+[1]Production!C62+[1]Production!C64+[1]Production!C66</f>
        <v>68934.637302799994</v>
      </c>
      <c r="E143" s="6">
        <f>[1]Production!D50+[1]Production!D52+[1]Production!D54+[1]Production!D56+[1]Production!D58+[1]Production!D60+[1]Production!D62+[1]Production!D64+[1]Production!D66</f>
        <v>69913.637281599993</v>
      </c>
      <c r="F143" s="6">
        <f>[1]Production!E50+[1]Production!E52+[1]Production!E54+[1]Production!E56+[1]Production!E58+[1]Production!E60+[1]Production!E62+[1]Production!E64+[1]Production!E66</f>
        <v>70977.871638400014</v>
      </c>
      <c r="G143" s="6">
        <f>[1]Production!F50+[1]Production!F52+[1]Production!F54+[1]Production!F56+[1]Production!F58+[1]Production!F60+[1]Production!F62+[1]Production!F64+[1]Production!F66</f>
        <v>71957.674350600006</v>
      </c>
      <c r="H143" s="6">
        <f>[1]Production!G50+[1]Production!G52+[1]Production!G54+[1]Production!G56+[1]Production!G58+[1]Production!G60+[1]Production!G62+[1]Production!G64+[1]Production!G66</f>
        <v>72960.101651100005</v>
      </c>
      <c r="I143" s="6">
        <f>[1]Production!H50+[1]Production!H52+[1]Production!H54+[1]Production!H56+[1]Production!H58+[1]Production!H60+[1]Production!H62+[1]Production!H64+[1]Production!H66</f>
        <v>74019.8637476</v>
      </c>
      <c r="J143" s="6">
        <f>[1]Production!I50+[1]Production!I52+[1]Production!I54+[1]Production!I56+[1]Production!I58+[1]Production!I60+[1]Production!I62+[1]Production!I64+[1]Production!I66</f>
        <v>77454.654615799998</v>
      </c>
      <c r="K143" s="6">
        <f>[1]Production!J50+[1]Production!J52+[1]Production!J54+[1]Production!J56+[1]Production!J58+[1]Production!J60+[1]Production!J62+[1]Production!J64+[1]Production!J66</f>
        <v>81258.587469000006</v>
      </c>
      <c r="L143" s="6">
        <f>[1]Production!K50+[1]Production!K52+[1]Production!K54+[1]Production!K56+[1]Production!K58+[1]Production!K60+[1]Production!K62+[1]Production!K64+[1]Production!K66</f>
        <v>85461.029748299989</v>
      </c>
      <c r="M143" s="6">
        <f>[1]Production!L50+[1]Production!L52+[1]Production!L54+[1]Production!L56+[1]Production!L58+[1]Production!L60+[1]Production!L62+[1]Production!L64+[1]Production!L66</f>
        <v>89739.716513999985</v>
      </c>
      <c r="N143" s="6">
        <f>[1]Production!M50+[1]Production!M52+[1]Production!M54+[1]Production!M56+[1]Production!M58+[1]Production!M60+[1]Production!M62+[1]Production!M64+[1]Production!M66</f>
        <v>93593.310597400006</v>
      </c>
      <c r="O143" s="6">
        <f>[1]Production!N50+[1]Production!N52+[1]Production!N54+[1]Production!N56+[1]Production!N58+[1]Production!N60+[1]Production!N62+[1]Production!N64+[1]Production!N66</f>
        <v>97214.961282400021</v>
      </c>
      <c r="P143" s="6">
        <f>[1]Production!O50+[1]Production!O52+[1]Production!O54+[1]Production!O56+[1]Production!O58+[1]Production!O60+[1]Production!O62+[1]Production!O64+[1]Production!O66</f>
        <v>100793.16133789999</v>
      </c>
      <c r="Q143" s="6">
        <f>[1]Production!P50+[1]Production!P52+[1]Production!P54+[1]Production!P56+[1]Production!P58+[1]Production!P60+[1]Production!P62+[1]Production!P64+[1]Production!P66</f>
        <v>104499.77618449998</v>
      </c>
      <c r="R143" s="6">
        <f>[1]Production!Q50+[1]Production!Q52+[1]Production!Q54+[1]Production!Q56+[1]Production!Q58+[1]Production!Q60+[1]Production!Q62+[1]Production!Q64+[1]Production!Q66</f>
        <v>108455.615611</v>
      </c>
      <c r="S143" s="6">
        <f>[1]Production!R50+[1]Production!R52+[1]Production!R54+[1]Production!R56+[1]Production!R58+[1]Production!R60+[1]Production!R62+[1]Production!R64+[1]Production!R66</f>
        <v>112747.7931038</v>
      </c>
      <c r="T143" s="6">
        <f>[1]Production!S50+[1]Production!S52+[1]Production!S54+[1]Production!S56+[1]Production!S58+[1]Production!S60+[1]Production!S62+[1]Production!S64+[1]Production!S66</f>
        <v>117490.0264569</v>
      </c>
      <c r="U143" s="6">
        <f>[1]Production!T50+[1]Production!T52+[1]Production!T54+[1]Production!T56+[1]Production!T58+[1]Production!T60+[1]Production!T62+[1]Production!T64+[1]Production!T66</f>
        <v>122755.35885410001</v>
      </c>
      <c r="V143" s="6">
        <f>[1]Production!U50+[1]Production!U52+[1]Production!U54+[1]Production!U56+[1]Production!U58+[1]Production!U60+[1]Production!U62+[1]Production!U64+[1]Production!U66</f>
        <v>128638.05000379999</v>
      </c>
      <c r="W143" s="6">
        <f>[1]Production!V50+[1]Production!V52+[1]Production!V54+[1]Production!V56+[1]Production!V58+[1]Production!V60+[1]Production!V62+[1]Production!V64+[1]Production!V66</f>
        <v>135225.531185</v>
      </c>
      <c r="X143" s="6">
        <f>[1]Production!W50+[1]Production!W52+[1]Production!W54+[1]Production!W56+[1]Production!W58+[1]Production!W60+[1]Production!W62+[1]Production!W64+[1]Production!W66</f>
        <v>142711.22904160002</v>
      </c>
      <c r="Y143" s="6">
        <f>[1]Production!X50+[1]Production!X52+[1]Production!X54+[1]Production!X56+[1]Production!X58+[1]Production!X60+[1]Production!X62+[1]Production!X64+[1]Production!X66</f>
        <v>151268.61894010002</v>
      </c>
      <c r="Z143" s="6">
        <f>[1]Production!Y50+[1]Production!Y52+[1]Production!Y54+[1]Production!Y56+[1]Production!Y58+[1]Production!Y60+[1]Production!Y62+[1]Production!Y64+[1]Production!Y66</f>
        <v>161090.05132520001</v>
      </c>
      <c r="AA143" s="6">
        <f>[1]Production!Z50+[1]Production!Z52+[1]Production!Z54+[1]Production!Z56+[1]Production!Z58+[1]Production!Z60+[1]Production!Z62+[1]Production!Z64+[1]Production!Z66</f>
        <v>172392.9274556</v>
      </c>
      <c r="AB143" s="6">
        <f>[1]Production!AA50+[1]Production!AA52+[1]Production!AA54+[1]Production!AA56+[1]Production!AA58+[1]Production!AA60+[1]Production!AA62+[1]Production!AA64+[1]Production!AA66</f>
        <v>185326.13985029995</v>
      </c>
      <c r="AC143" s="6">
        <f>[1]Production!AB50+[1]Production!AB52+[1]Production!AB54+[1]Production!AB56+[1]Production!AB58+[1]Production!AB60+[1]Production!AB62+[1]Production!AB64+[1]Production!AB66</f>
        <v>200382.40901430004</v>
      </c>
      <c r="AD143" s="6">
        <f>[1]Production!AC50+[1]Production!AC52+[1]Production!AC54+[1]Production!AC56+[1]Production!AC58+[1]Production!AC60+[1]Production!AC62+[1]Production!AC64+[1]Production!AC66</f>
        <v>218003.42970190002</v>
      </c>
      <c r="AE143" s="6">
        <f>[1]Production!AD50+[1]Production!AD52+[1]Production!AD54+[1]Production!AD56+[1]Production!AD58+[1]Production!AD60+[1]Production!AD62+[1]Production!AD64+[1]Production!AD66</f>
        <v>238732.62105839999</v>
      </c>
      <c r="AF143" s="6">
        <f>[1]Production!AE50+[1]Production!AE52+[1]Production!AE54+[1]Production!AE56+[1]Production!AE58+[1]Production!AE60+[1]Production!AE62+[1]Production!AE64+[1]Production!AE66</f>
        <v>263211.46361929999</v>
      </c>
      <c r="AG143" s="6">
        <f>[1]Production!AF50+[1]Production!AF52+[1]Production!AF54+[1]Production!AF56+[1]Production!AF58+[1]Production!AF60+[1]Production!AF62+[1]Production!AF64+[1]Production!AF66</f>
        <v>292253.8404405</v>
      </c>
      <c r="AH143" s="6">
        <f>[1]Production!AG50+[1]Production!AG52+[1]Production!AG54+[1]Production!AG56+[1]Production!AG58+[1]Production!AG60+[1]Production!AG62+[1]Production!AG64+[1]Production!AG66</f>
        <v>326980.78389969998</v>
      </c>
      <c r="AI143" s="6">
        <f>[1]Production!AH50+[1]Production!AH52+[1]Production!AH54+[1]Production!AH56+[1]Production!AH58+[1]Production!AH60+[1]Production!AH62+[1]Production!AH64+[1]Production!AH66</f>
        <v>368974.22776470002</v>
      </c>
      <c r="AJ143" s="6">
        <f>[1]Production!AI50+[1]Production!AI52+[1]Production!AI54+[1]Production!AI56+[1]Production!AI58+[1]Production!AI60+[1]Production!AI62+[1]Production!AI64+[1]Production!AI66</f>
        <v>420474.75480699999</v>
      </c>
      <c r="AK143" s="6">
        <f>[1]Production!AJ50+[1]Production!AJ52+[1]Production!AJ54+[1]Production!AJ56+[1]Production!AJ58+[1]Production!AJ60+[1]Production!AJ62+[1]Production!AJ64+[1]Production!AJ66</f>
        <v>484767.87038790004</v>
      </c>
      <c r="AL143" s="6">
        <f>[1]Production!AK50+[1]Production!AK52+[1]Production!AK54+[1]Production!AK56+[1]Production!AK58+[1]Production!AK60+[1]Production!AK62+[1]Production!AK64+[1]Production!AK66</f>
        <v>566865.40715400001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13">(R136-R125)/R125</f>
        <v>6.1925861961027564E-3</v>
      </c>
      <c r="D146" s="4">
        <f t="shared" ref="D146:D153" si="14">(S135-S124)/S124</f>
        <v>0</v>
      </c>
      <c r="E146" s="4">
        <f t="shared" ref="E146:E153" si="15">(AL136-AL125)/AL125</f>
        <v>8.5610551613398617E-2</v>
      </c>
    </row>
    <row r="147" spans="1:5" x14ac:dyDescent="0.35">
      <c r="B147" t="s">
        <v>7</v>
      </c>
      <c r="C147" s="4">
        <f t="shared" si="13"/>
        <v>-1.9148140031331386E-2</v>
      </c>
      <c r="D147" s="4">
        <f t="shared" si="14"/>
        <v>7.3102752969254276E-3</v>
      </c>
      <c r="E147" s="4">
        <f t="shared" si="15"/>
        <v>-1.5502230794929258E-2</v>
      </c>
    </row>
    <row r="148" spans="1:5" x14ac:dyDescent="0.35">
      <c r="B148" t="s">
        <v>30</v>
      </c>
      <c r="C148" s="4">
        <f t="shared" si="13"/>
        <v>-8.0910757963622553E-3</v>
      </c>
      <c r="D148" s="4">
        <f t="shared" si="14"/>
        <v>-1.9854442660655426E-2</v>
      </c>
      <c r="E148" s="4">
        <f t="shared" si="15"/>
        <v>4.837651493664679E-2</v>
      </c>
    </row>
    <row r="149" spans="1:5" x14ac:dyDescent="0.35">
      <c r="B149" t="s">
        <v>9</v>
      </c>
      <c r="C149" s="4">
        <f t="shared" si="13"/>
        <v>-1.9126253296035687E-3</v>
      </c>
      <c r="D149" s="4">
        <f t="shared" si="14"/>
        <v>-8.185470423345725E-3</v>
      </c>
      <c r="E149" s="4">
        <f t="shared" si="15"/>
        <v>3.5730010429672672E-2</v>
      </c>
    </row>
    <row r="150" spans="1:5" x14ac:dyDescent="0.35">
      <c r="B150" t="s">
        <v>10</v>
      </c>
      <c r="C150" s="4">
        <f t="shared" si="13"/>
        <v>5.1097714319511215E-3</v>
      </c>
      <c r="D150" s="4">
        <f t="shared" si="14"/>
        <v>-1.9403967682283798E-3</v>
      </c>
      <c r="E150" s="4">
        <f t="shared" si="15"/>
        <v>2.2492071314507617E-2</v>
      </c>
    </row>
    <row r="151" spans="1:5" x14ac:dyDescent="0.35">
      <c r="B151" t="s">
        <v>29</v>
      </c>
      <c r="C151" s="4">
        <f t="shared" si="13"/>
        <v>-0.18331496270008124</v>
      </c>
      <c r="D151" s="4">
        <f t="shared" si="14"/>
        <v>5.7824230279983485E-3</v>
      </c>
      <c r="E151" s="4">
        <f t="shared" si="15"/>
        <v>-0.5815325658209215</v>
      </c>
    </row>
    <row r="152" spans="1:5" x14ac:dyDescent="0.35">
      <c r="B152" t="s">
        <v>36</v>
      </c>
      <c r="C152" s="4">
        <f t="shared" si="13"/>
        <v>1.935615347719118</v>
      </c>
      <c r="D152" s="4">
        <f t="shared" si="14"/>
        <v>-0.20240259581029318</v>
      </c>
      <c r="E152" s="4">
        <f t="shared" si="15"/>
        <v>8.289803134530759</v>
      </c>
    </row>
    <row r="153" spans="1:5" x14ac:dyDescent="0.35">
      <c r="B153" t="s">
        <v>33</v>
      </c>
      <c r="C153" s="4">
        <f t="shared" si="13"/>
        <v>0.32401389029063837</v>
      </c>
      <c r="D153" s="4">
        <f t="shared" si="14"/>
        <v>2.1764729886612728</v>
      </c>
      <c r="E153" s="4">
        <f t="shared" si="15"/>
        <v>3.9017849603559087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-1.9148140031331362E-2</v>
      </c>
      <c r="D156" s="4">
        <f>AB137/AB126-1</f>
        <v>-3.0315987696384106E-2</v>
      </c>
      <c r="E156" s="4">
        <f>AL137/AL126-1</f>
        <v>-1.5502230794929295E-2</v>
      </c>
    </row>
    <row r="157" spans="1:5" x14ac:dyDescent="0.35">
      <c r="B157" t="s">
        <v>8</v>
      </c>
      <c r="C157" s="4">
        <f>R138/R127-1</f>
        <v>-8.091075796362257E-3</v>
      </c>
      <c r="D157" s="4">
        <f>AB138/AB127-1</f>
        <v>-5.9821211834708565E-3</v>
      </c>
      <c r="E157" s="4">
        <f>AL138/AL127-1</f>
        <v>4.8376514936646853E-2</v>
      </c>
    </row>
    <row r="158" spans="1:5" x14ac:dyDescent="0.35">
      <c r="B158" t="s">
        <v>9</v>
      </c>
      <c r="C158" s="4">
        <f>R139/R128-1</f>
        <v>-1.9126253296035678E-3</v>
      </c>
      <c r="D158" s="4">
        <f>AB139/AB128-1</f>
        <v>-6.846922844129355E-3</v>
      </c>
      <c r="E158" s="4">
        <f>AL139/AL128-1</f>
        <v>3.5730010429672721E-2</v>
      </c>
    </row>
    <row r="159" spans="1:5" x14ac:dyDescent="0.35">
      <c r="B159" t="s">
        <v>10</v>
      </c>
      <c r="C159" s="4">
        <f>R140/R129-1</f>
        <v>5.1097714319510157E-3</v>
      </c>
      <c r="D159" s="4">
        <f>AB140/AB129-1</f>
        <v>5.6675557177894298E-3</v>
      </c>
      <c r="E159" s="4">
        <f>AL140/AL129-1</f>
        <v>2.2492071314507589E-2</v>
      </c>
    </row>
    <row r="160" spans="1:5" x14ac:dyDescent="0.35">
      <c r="B160" t="s">
        <v>12</v>
      </c>
      <c r="C160" s="4">
        <f>R141/R130-1</f>
        <v>-0.18331496270008119</v>
      </c>
      <c r="D160" s="4">
        <f>AB141/AB130-1</f>
        <v>-0.38538517955093432</v>
      </c>
      <c r="E160" s="4">
        <f>AL141/AL130-1</f>
        <v>-0.58153256582092139</v>
      </c>
    </row>
    <row r="161" spans="1:38" x14ac:dyDescent="0.35">
      <c r="B161" t="s">
        <v>11</v>
      </c>
      <c r="C161" s="4">
        <f>R143/R132-1</f>
        <v>0.32401389029063843</v>
      </c>
      <c r="D161" s="4">
        <f>AB143/AB132-1</f>
        <v>1.0182272761592404</v>
      </c>
      <c r="E161" s="4">
        <f>AL143/AL132-1</f>
        <v>3.9017849603559087</v>
      </c>
    </row>
    <row r="162" spans="1:38" x14ac:dyDescent="0.35">
      <c r="C162" s="4"/>
      <c r="D162" s="4"/>
      <c r="E162" s="4"/>
    </row>
    <row r="163" spans="1:38" x14ac:dyDescent="0.35">
      <c r="A163" s="12" t="s">
        <v>41</v>
      </c>
      <c r="C163" s="4"/>
      <c r="D163" s="4"/>
      <c r="E163" s="4"/>
    </row>
    <row r="164" spans="1:38" x14ac:dyDescent="0.35">
      <c r="A164" t="s">
        <v>38</v>
      </c>
      <c r="B164" t="s">
        <v>40</v>
      </c>
      <c r="C164" s="6">
        <f>[1]Capital!B3</f>
        <v>5223867.193</v>
      </c>
      <c r="D164" s="6">
        <f>[1]Capital!C3</f>
        <v>5286915.8090000004</v>
      </c>
      <c r="E164" s="6">
        <f>[1]Capital!D3</f>
        <v>5355141.608</v>
      </c>
      <c r="F164" s="6">
        <f>[1]Capital!E3</f>
        <v>5429604.4040000001</v>
      </c>
      <c r="G164" s="6">
        <f>[1]Capital!F3</f>
        <v>5511077.7400000002</v>
      </c>
      <c r="H164" s="6">
        <f>[1]Capital!G3</f>
        <v>5600095.3949999996</v>
      </c>
      <c r="I164" s="6">
        <f>[1]Capital!H3</f>
        <v>5696796.7609999999</v>
      </c>
      <c r="J164" s="6">
        <f>[1]Capital!I3</f>
        <v>5801193.1299999999</v>
      </c>
      <c r="K164" s="6">
        <f>[1]Capital!J3</f>
        <v>5913292.0930000003</v>
      </c>
      <c r="L164" s="6">
        <f>[1]Capital!K3</f>
        <v>6033149.0899999999</v>
      </c>
      <c r="M164" s="6">
        <f>[1]Capital!L3</f>
        <v>6160773.9819999998</v>
      </c>
      <c r="N164" s="6">
        <f>[1]Capital!M3</f>
        <v>6295066.5449999999</v>
      </c>
      <c r="O164" s="6">
        <f>[1]Capital!N3</f>
        <v>6434889.2570000002</v>
      </c>
      <c r="P164" s="6">
        <f>[1]Capital!O3</f>
        <v>6579317.0010000002</v>
      </c>
      <c r="Q164" s="6">
        <f>[1]Capital!P3</f>
        <v>6727722.3119999999</v>
      </c>
      <c r="R164" s="6">
        <f>[1]Capital!Q3</f>
        <v>6879772.3449999997</v>
      </c>
      <c r="S164" s="6">
        <f>[1]Capital!R3</f>
        <v>7035571.4579999996</v>
      </c>
      <c r="T164" s="6">
        <f>[1]Capital!S3</f>
        <v>7195557.4239999996</v>
      </c>
      <c r="U164" s="6">
        <f>[1]Capital!T3</f>
        <v>7360363.6660000002</v>
      </c>
      <c r="V164" s="6">
        <f>[1]Capital!U3</f>
        <v>7530697.7829999998</v>
      </c>
      <c r="W164" s="6">
        <f>[1]Capital!V3</f>
        <v>7707142.9129999997</v>
      </c>
      <c r="X164" s="6">
        <f>[1]Capital!W3</f>
        <v>7890457.2860000003</v>
      </c>
      <c r="Y164" s="6">
        <f>[1]Capital!X3</f>
        <v>8081433.7910000002</v>
      </c>
      <c r="Z164" s="6">
        <f>[1]Capital!Y3</f>
        <v>8280869.1119999997</v>
      </c>
      <c r="AA164" s="6">
        <f>[1]Capital!Z3</f>
        <v>8489501.1980000008</v>
      </c>
      <c r="AB164" s="6">
        <f>[1]Capital!AA3</f>
        <v>8707551.1789999995</v>
      </c>
      <c r="AC164" s="6">
        <f>[1]Capital!AB3</f>
        <v>8935484.7070000004</v>
      </c>
      <c r="AD164" s="6">
        <f>[1]Capital!AC3</f>
        <v>9173835.3479999993</v>
      </c>
      <c r="AE164" s="6">
        <f>[1]Capital!AD3</f>
        <v>9423178.4580000006</v>
      </c>
      <c r="AF164" s="6">
        <f>[1]Capital!AE3</f>
        <v>9684034.4220000003</v>
      </c>
      <c r="AG164" s="6">
        <f>[1]Capital!AF3</f>
        <v>9956782.6909999996</v>
      </c>
      <c r="AH164" s="6">
        <f>[1]Capital!AG3</f>
        <v>10241651.58</v>
      </c>
      <c r="AI164" s="6">
        <f>[1]Capital!AH3</f>
        <v>10538741.789999999</v>
      </c>
      <c r="AJ164" s="6">
        <f>[1]Capital!AI3</f>
        <v>10848038.880000001</v>
      </c>
      <c r="AK164" s="6">
        <f>[1]Capital!AJ3</f>
        <v>11169413.67</v>
      </c>
      <c r="AL164" s="6">
        <f>[1]Capital!AK3</f>
        <v>11502614.529999999</v>
      </c>
    </row>
    <row r="165" spans="1:38" x14ac:dyDescent="0.35">
      <c r="B165" t="s">
        <v>7</v>
      </c>
      <c r="C165" s="5">
        <f>[1]Capital!B5+[1]Capital!B7</f>
        <v>49062.307435000002</v>
      </c>
      <c r="D165" s="5">
        <f>[1]Capital!C5+[1]Capital!C7</f>
        <v>49656.257100000003</v>
      </c>
      <c r="E165" s="5">
        <f>[1]Capital!D5+[1]Capital!D7</f>
        <v>50295.022741999994</v>
      </c>
      <c r="F165" s="5">
        <f>[1]Capital!E5+[1]Capital!E7</f>
        <v>50992.864928000003</v>
      </c>
      <c r="G165" s="5">
        <f>[1]Capital!F5+[1]Capital!F7</f>
        <v>51756.935171000005</v>
      </c>
      <c r="H165" s="5">
        <f>[1]Capital!G5+[1]Capital!G7</f>
        <v>52592.439050999994</v>
      </c>
      <c r="I165" s="5">
        <f>[1]Capital!H5+[1]Capital!H7</f>
        <v>53501.984004999998</v>
      </c>
      <c r="J165" s="5">
        <f>[1]Capital!I5+[1]Capital!I7</f>
        <v>54486.884725000004</v>
      </c>
      <c r="K165" s="5">
        <f>[1]Capital!J5+[1]Capital!J7</f>
        <v>55547.577527000001</v>
      </c>
      <c r="L165" s="5">
        <f>[1]Capital!K5+[1]Capital!K7</f>
        <v>56684.202699999994</v>
      </c>
      <c r="M165" s="5">
        <f>[1]Capital!L5+[1]Capital!L7</f>
        <v>57894.829363999997</v>
      </c>
      <c r="N165" s="5">
        <f>[1]Capital!M5+[1]Capital!M7</f>
        <v>59165.179370999998</v>
      </c>
      <c r="O165" s="5">
        <f>[1]Capital!N5+[1]Capital!N7</f>
        <v>60480.319495000003</v>
      </c>
      <c r="P165" s="5">
        <f>[1]Capital!O5+[1]Capital!O7</f>
        <v>61827.669864000003</v>
      </c>
      <c r="Q165" s="5">
        <f>[1]Capital!P5+[1]Capital!P7</f>
        <v>63198.069155999998</v>
      </c>
      <c r="R165" s="5">
        <f>[1]Capital!Q5+[1]Capital!Q7</f>
        <v>64585.892159999996</v>
      </c>
      <c r="S165" s="5">
        <f>[1]Capital!R5+[1]Capital!R7</f>
        <v>65989.262864000004</v>
      </c>
      <c r="T165" s="5">
        <f>[1]Capital!S5+[1]Capital!S7</f>
        <v>67410.121092999994</v>
      </c>
      <c r="U165" s="5">
        <f>[1]Capital!T5+[1]Capital!T7</f>
        <v>68853.096281000006</v>
      </c>
      <c r="V165" s="5">
        <f>[1]Capital!U5+[1]Capital!U7</f>
        <v>70324.247501000005</v>
      </c>
      <c r="W165" s="5">
        <f>[1]Capital!V5+[1]Capital!V7</f>
        <v>71829.342970999991</v>
      </c>
      <c r="X165" s="5">
        <f>[1]Capital!W5+[1]Capital!W7</f>
        <v>73375.798210000008</v>
      </c>
      <c r="Y165" s="5">
        <f>[1]Capital!X5+[1]Capital!X7</f>
        <v>74972.051928000001</v>
      </c>
      <c r="Z165" s="5">
        <f>[1]Capital!Y5+[1]Capital!Y7</f>
        <v>76626.907896999997</v>
      </c>
      <c r="AA165" s="5">
        <f>[1]Capital!Z5+[1]Capital!Z7</f>
        <v>78348.642861</v>
      </c>
      <c r="AB165" s="5">
        <f>[1]Capital!AA5+[1]Capital!AA7</f>
        <v>80141.441025000007</v>
      </c>
      <c r="AC165" s="5">
        <f>[1]Capital!AB5+[1]Capital!AB7</f>
        <v>82010.647800999999</v>
      </c>
      <c r="AD165" s="5">
        <f>[1]Capital!AC5+[1]Capital!AC7</f>
        <v>83962.749832999994</v>
      </c>
      <c r="AE165" s="5">
        <f>[1]Capital!AD5+[1]Capital!AD7</f>
        <v>86004.786317999999</v>
      </c>
      <c r="AF165" s="5">
        <f>[1]Capital!AE5+[1]Capital!AE7</f>
        <v>88142.998342999999</v>
      </c>
      <c r="AG165" s="5">
        <f>[1]Capital!AF5+[1]Capital!AF7</f>
        <v>90381.69608899999</v>
      </c>
      <c r="AH165" s="5">
        <f>[1]Capital!AG5+[1]Capital!AG7</f>
        <v>92723.093386000008</v>
      </c>
      <c r="AI165" s="5">
        <f>[1]Capital!AH5+[1]Capital!AH7</f>
        <v>95167.557182999997</v>
      </c>
      <c r="AJ165" s="5">
        <f>[1]Capital!AI5+[1]Capital!AI7</f>
        <v>97713.75052300001</v>
      </c>
      <c r="AK165" s="5">
        <f>[1]Capital!AJ5+[1]Capital!AJ7</f>
        <v>100358.681352</v>
      </c>
      <c r="AL165" s="5">
        <f>[1]Capital!AK5+[1]Capital!AK7</f>
        <v>103097.70526</v>
      </c>
    </row>
    <row r="166" spans="1:3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2595513.2715759999</v>
      </c>
      <c r="D166" s="5">
        <f>[1]Capital!C9+[1]Capital!C11+[1]Capital!C13+[1]Capital!C15+[1]Capital!C17+[1]Capital!C19+[1]Capital!C21+[1]Capital!C23+[1]Capital!C25+[1]Capital!C27+[1]Capital!C41</f>
        <v>2627040.1020550001</v>
      </c>
      <c r="E166" s="5">
        <f>[1]Capital!D9+[1]Capital!D11+[1]Capital!D13+[1]Capital!D15+[1]Capital!D17+[1]Capital!D19+[1]Capital!D21+[1]Capital!D23+[1]Capital!D25+[1]Capital!D27+[1]Capital!D41</f>
        <v>2661451.3860559999</v>
      </c>
      <c r="F166" s="5">
        <f>[1]Capital!E9+[1]Capital!E11+[1]Capital!E13+[1]Capital!E15+[1]Capital!E17+[1]Capital!E19+[1]Capital!E21+[1]Capital!E23+[1]Capital!E25+[1]Capital!E27+[1]Capital!E41</f>
        <v>2699318.9225149998</v>
      </c>
      <c r="G166" s="5">
        <f>[1]Capital!F9+[1]Capital!F11+[1]Capital!F13+[1]Capital!F15+[1]Capital!F17+[1]Capital!F19+[1]Capital!F21+[1]Capital!F23+[1]Capital!F25+[1]Capital!F27+[1]Capital!F41</f>
        <v>2741048.257032</v>
      </c>
      <c r="H166" s="5">
        <f>[1]Capital!G9+[1]Capital!G11+[1]Capital!G13+[1]Capital!G15+[1]Capital!G17+[1]Capital!G19+[1]Capital!G21+[1]Capital!G23+[1]Capital!G25+[1]Capital!G27+[1]Capital!G41</f>
        <v>2786930.7012880002</v>
      </c>
      <c r="I166" s="5">
        <f>[1]Capital!H9+[1]Capital!H11+[1]Capital!H13+[1]Capital!H15+[1]Capital!H17+[1]Capital!H19+[1]Capital!H21+[1]Capital!H23+[1]Capital!H25+[1]Capital!H27+[1]Capital!H41</f>
        <v>2837092.4189780001</v>
      </c>
      <c r="J166" s="5">
        <f>[1]Capital!I9+[1]Capital!I11+[1]Capital!I13+[1]Capital!I15+[1]Capital!I17+[1]Capital!I19+[1]Capital!I21+[1]Capital!I23+[1]Capital!I25+[1]Capital!I27+[1]Capital!I41</f>
        <v>2891588.0943109998</v>
      </c>
      <c r="K166" s="5">
        <f>[1]Capital!J9+[1]Capital!J11+[1]Capital!J13+[1]Capital!J15+[1]Capital!J17+[1]Capital!J19+[1]Capital!J21+[1]Capital!J23+[1]Capital!J25+[1]Capital!J27+[1]Capital!J41</f>
        <v>2950472.1070010001</v>
      </c>
      <c r="L166" s="5">
        <f>[1]Capital!K9+[1]Capital!K11+[1]Capital!K13+[1]Capital!K15+[1]Capital!K17+[1]Capital!K19+[1]Capital!K21+[1]Capital!K23+[1]Capital!K25+[1]Capital!K27+[1]Capital!K41</f>
        <v>3013829.8813370001</v>
      </c>
      <c r="M166" s="5">
        <f>[1]Capital!L9+[1]Capital!L11+[1]Capital!L13+[1]Capital!L15+[1]Capital!L17+[1]Capital!L19+[1]Capital!L21+[1]Capital!L23+[1]Capital!L25+[1]Capital!L27+[1]Capital!L41</f>
        <v>3081687.7757040001</v>
      </c>
      <c r="N166" s="5">
        <f>[1]Capital!M9+[1]Capital!M11+[1]Capital!M13+[1]Capital!M15+[1]Capital!M17+[1]Capital!M19+[1]Capital!M21+[1]Capital!M23+[1]Capital!M25+[1]Capital!M27+[1]Capital!M41</f>
        <v>3153522.9720620001</v>
      </c>
      <c r="O166" s="5">
        <f>[1]Capital!N9+[1]Capital!N11+[1]Capital!N13+[1]Capital!N15+[1]Capital!N17+[1]Capital!N19+[1]Capital!N21+[1]Capital!N23+[1]Capital!N25+[1]Capital!N27+[1]Capital!N41</f>
        <v>3228792.4187540002</v>
      </c>
      <c r="P166" s="5">
        <f>[1]Capital!O9+[1]Capital!O11+[1]Capital!O13+[1]Capital!O15+[1]Capital!O17+[1]Capital!O19+[1]Capital!O21+[1]Capital!O23+[1]Capital!O25+[1]Capital!O27+[1]Capital!O41</f>
        <v>3307072.5819710004</v>
      </c>
      <c r="Q166" s="5">
        <f>[1]Capital!P9+[1]Capital!P11+[1]Capital!P13+[1]Capital!P15+[1]Capital!P17+[1]Capital!P19+[1]Capital!P21+[1]Capital!P23+[1]Capital!P25+[1]Capital!P27+[1]Capital!P41</f>
        <v>3388106.7783750002</v>
      </c>
      <c r="R166" s="5">
        <f>[1]Capital!Q9+[1]Capital!Q11+[1]Capital!Q13+[1]Capital!Q15+[1]Capital!Q17+[1]Capital!Q19+[1]Capital!Q21+[1]Capital!Q23+[1]Capital!Q25+[1]Capital!Q27+[1]Capital!Q41</f>
        <v>3471798.2917180001</v>
      </c>
      <c r="S166" s="5">
        <f>[1]Capital!R9+[1]Capital!R11+[1]Capital!R13+[1]Capital!R15+[1]Capital!R17+[1]Capital!R19+[1]Capital!R21+[1]Capital!R23+[1]Capital!R25+[1]Capital!R27+[1]Capital!R41</f>
        <v>3558268.523875</v>
      </c>
      <c r="T166" s="5">
        <f>[1]Capital!S9+[1]Capital!S11+[1]Capital!S13+[1]Capital!S15+[1]Capital!S17+[1]Capital!S19+[1]Capital!S21+[1]Capital!S23+[1]Capital!S25+[1]Capital!S27+[1]Capital!S41</f>
        <v>3647814.6230850001</v>
      </c>
      <c r="U166" s="5">
        <f>[1]Capital!T9+[1]Capital!T11+[1]Capital!T13+[1]Capital!T15+[1]Capital!T17+[1]Capital!T19+[1]Capital!T21+[1]Capital!T23+[1]Capital!T25+[1]Capital!T27+[1]Capital!T41</f>
        <v>3740837.8220320004</v>
      </c>
      <c r="V166" s="5">
        <f>[1]Capital!U9+[1]Capital!U11+[1]Capital!U13+[1]Capital!U15+[1]Capital!U17+[1]Capital!U19+[1]Capital!U21+[1]Capital!U23+[1]Capital!U25+[1]Capital!U27+[1]Capital!U41</f>
        <v>3837775.8432549997</v>
      </c>
      <c r="W166" s="5">
        <f>[1]Capital!V9+[1]Capital!V11+[1]Capital!V13+[1]Capital!V15+[1]Capital!V17+[1]Capital!V19+[1]Capital!V21+[1]Capital!V23+[1]Capital!V25+[1]Capital!V27+[1]Capital!V41</f>
        <v>3939020.480246</v>
      </c>
      <c r="X166" s="5">
        <f>[1]Capital!W9+[1]Capital!W11+[1]Capital!W13+[1]Capital!W15+[1]Capital!W17+[1]Capital!W19+[1]Capital!W21+[1]Capital!W23+[1]Capital!W25+[1]Capital!W27+[1]Capital!W41</f>
        <v>4045002.9015000002</v>
      </c>
      <c r="Y166" s="5">
        <f>[1]Capital!X9+[1]Capital!X11+[1]Capital!X13+[1]Capital!X15+[1]Capital!X17+[1]Capital!X19+[1]Capital!X21+[1]Capital!X23+[1]Capital!X25+[1]Capital!X27+[1]Capital!X41</f>
        <v>4156173.966546</v>
      </c>
      <c r="Z166" s="5">
        <f>[1]Capital!Y9+[1]Capital!Y11+[1]Capital!Y13+[1]Capital!Y15+[1]Capital!Y17+[1]Capital!Y19+[1]Capital!Y21+[1]Capital!Y23+[1]Capital!Y25+[1]Capital!Y27+[1]Capital!Y41</f>
        <v>4272982.901690999</v>
      </c>
      <c r="AA166" s="5">
        <f>[1]Capital!Z9+[1]Capital!Z11+[1]Capital!Z13+[1]Capital!Z15+[1]Capital!Z17+[1]Capital!Z19+[1]Capital!Z21+[1]Capital!Z23+[1]Capital!Z25+[1]Capital!Z27+[1]Capital!Z41</f>
        <v>4395841.0435199998</v>
      </c>
      <c r="AB166" s="5">
        <f>[1]Capital!AA9+[1]Capital!AA11+[1]Capital!AA13+[1]Capital!AA15+[1]Capital!AA17+[1]Capital!AA19+[1]Capital!AA21+[1]Capital!AA23+[1]Capital!AA25+[1]Capital!AA27+[1]Capital!AA41</f>
        <v>4524952.0992110008</v>
      </c>
      <c r="AC166" s="5">
        <f>[1]Capital!AB9+[1]Capital!AB11+[1]Capital!AB13+[1]Capital!AB15+[1]Capital!AB17+[1]Capital!AB19+[1]Capital!AB21+[1]Capital!AB23+[1]Capital!AB25+[1]Capital!AB27+[1]Capital!AB41</f>
        <v>4660544.9223650005</v>
      </c>
      <c r="AD166" s="5">
        <f>[1]Capital!AC9+[1]Capital!AC11+[1]Capital!AC13+[1]Capital!AC15+[1]Capital!AC17+[1]Capital!AC19+[1]Capital!AC21+[1]Capital!AC23+[1]Capital!AC25+[1]Capital!AC27+[1]Capital!AC41</f>
        <v>4802880.8274919996</v>
      </c>
      <c r="AE166" s="5">
        <f>[1]Capital!AD9+[1]Capital!AD11+[1]Capital!AD13+[1]Capital!AD15+[1]Capital!AD17+[1]Capital!AD19+[1]Capital!AD21+[1]Capital!AD23+[1]Capital!AD25+[1]Capital!AD27+[1]Capital!AD41</f>
        <v>4952239.0333469994</v>
      </c>
      <c r="AF166" s="5">
        <f>[1]Capital!AE9+[1]Capital!AE11+[1]Capital!AE13+[1]Capital!AE15+[1]Capital!AE17+[1]Capital!AE19+[1]Capital!AE21+[1]Capital!AE23+[1]Capital!AE25+[1]Capital!AE27+[1]Capital!AE41</f>
        <v>5108862.1096730009</v>
      </c>
      <c r="AG166" s="5">
        <f>[1]Capital!AF9+[1]Capital!AF11+[1]Capital!AF13+[1]Capital!AF15+[1]Capital!AF17+[1]Capital!AF19+[1]Capital!AF21+[1]Capital!AF23+[1]Capital!AF25+[1]Capital!AF27+[1]Capital!AF41</f>
        <v>5272912.5357229998</v>
      </c>
      <c r="AH166" s="5">
        <f>[1]Capital!AG9+[1]Capital!AG11+[1]Capital!AG13+[1]Capital!AG15+[1]Capital!AG17+[1]Capital!AG19+[1]Capital!AG21+[1]Capital!AG23+[1]Capital!AG25+[1]Capital!AG27+[1]Capital!AG41</f>
        <v>5444472.5688930005</v>
      </c>
      <c r="AI166" s="5">
        <f>[1]Capital!AH9+[1]Capital!AH11+[1]Capital!AH13+[1]Capital!AH15+[1]Capital!AH17+[1]Capital!AH19+[1]Capital!AH21+[1]Capital!AH23+[1]Capital!AH25+[1]Capital!AH27+[1]Capital!AH41</f>
        <v>5623561.9357789997</v>
      </c>
      <c r="AJ166" s="5">
        <f>[1]Capital!AI9+[1]Capital!AI11+[1]Capital!AI13+[1]Capital!AI15+[1]Capital!AI17+[1]Capital!AI19+[1]Capital!AI21+[1]Capital!AI23+[1]Capital!AI25+[1]Capital!AI27+[1]Capital!AI41</f>
        <v>5810147.4460900007</v>
      </c>
      <c r="AK166" s="5">
        <f>[1]Capital!AJ9+[1]Capital!AJ11+[1]Capital!AJ13+[1]Capital!AJ15+[1]Capital!AJ17+[1]Capital!AJ19+[1]Capital!AJ21+[1]Capital!AJ23+[1]Capital!AJ25+[1]Capital!AJ27+[1]Capital!AJ41</f>
        <v>6004144.0276000006</v>
      </c>
      <c r="AL166" s="5">
        <f>[1]Capital!AK9+[1]Capital!AK11+[1]Capital!AK13+[1]Capital!AK15+[1]Capital!AK17+[1]Capital!AK19+[1]Capital!AK21+[1]Capital!AK23+[1]Capital!AK25+[1]Capital!AK27+[1]Capital!AK41</f>
        <v>6205409.6973899994</v>
      </c>
    </row>
    <row r="167" spans="1:38" x14ac:dyDescent="0.35">
      <c r="B167" t="s">
        <v>9</v>
      </c>
      <c r="C167" s="5">
        <f>[1]Capital!B29+[1]Capital!B31+[1]Capital!B33+[1]Capital!B35</f>
        <v>88549.631506999998</v>
      </c>
      <c r="D167" s="5">
        <f>[1]Capital!C29+[1]Capital!C31+[1]Capital!C33+[1]Capital!C35</f>
        <v>89648.063282999996</v>
      </c>
      <c r="E167" s="5">
        <f>[1]Capital!D29+[1]Capital!D31+[1]Capital!D33+[1]Capital!D35</f>
        <v>90865.331243000008</v>
      </c>
      <c r="F167" s="5">
        <f>[1]Capital!E29+[1]Capital!E31+[1]Capital!E33+[1]Capital!E35</f>
        <v>92211.998424999998</v>
      </c>
      <c r="G167" s="5">
        <f>[1]Capital!F29+[1]Capital!F31+[1]Capital!F33+[1]Capital!F35</f>
        <v>93692.911194</v>
      </c>
      <c r="H167" s="5">
        <f>[1]Capital!G29+[1]Capital!G31+[1]Capital!G33+[1]Capital!G35</f>
        <v>95311.690963999994</v>
      </c>
      <c r="I167" s="5">
        <f>[1]Capital!H29+[1]Capital!H31+[1]Capital!H33+[1]Capital!H35</f>
        <v>97067.698634</v>
      </c>
      <c r="J167" s="5">
        <f>[1]Capital!I29+[1]Capital!I31+[1]Capital!I33+[1]Capital!I35</f>
        <v>98958.482084999996</v>
      </c>
      <c r="K167" s="5">
        <f>[1]Capital!J29+[1]Capital!J31+[1]Capital!J33+[1]Capital!J35</f>
        <v>100980.923635</v>
      </c>
      <c r="L167" s="5">
        <f>[1]Capital!K29+[1]Capital!K31+[1]Capital!K33+[1]Capital!K35</f>
        <v>103132.167736</v>
      </c>
      <c r="M167" s="5">
        <f>[1]Capital!L29+[1]Capital!L31+[1]Capital!L33+[1]Capital!L35</f>
        <v>105402.28479800001</v>
      </c>
      <c r="N167" s="5">
        <f>[1]Capital!M29+[1]Capital!M31+[1]Capital!M33+[1]Capital!M35</f>
        <v>107749.577269</v>
      </c>
      <c r="O167" s="5">
        <f>[1]Capital!N29+[1]Capital!N31+[1]Capital!N33+[1]Capital!N35</f>
        <v>110136.90734400001</v>
      </c>
      <c r="P167" s="5">
        <f>[1]Capital!O29+[1]Capital!O31+[1]Capital!O33+[1]Capital!O35</f>
        <v>112537.68894899999</v>
      </c>
      <c r="Q167" s="5">
        <f>[1]Capital!P29+[1]Capital!P31+[1]Capital!P33+[1]Capital!P35</f>
        <v>114936.95740499999</v>
      </c>
      <c r="R167" s="5">
        <f>[1]Capital!Q29+[1]Capital!Q31+[1]Capital!Q33+[1]Capital!Q35</f>
        <v>117329.823091</v>
      </c>
      <c r="S167" s="5">
        <f>[1]Capital!R29+[1]Capital!R31+[1]Capital!R33+[1]Capital!R35</f>
        <v>119721.987694</v>
      </c>
      <c r="T167" s="5">
        <f>[1]Capital!S29+[1]Capital!S31+[1]Capital!S33+[1]Capital!S35</f>
        <v>122127.107489</v>
      </c>
      <c r="U167" s="5">
        <f>[1]Capital!T29+[1]Capital!T31+[1]Capital!T33+[1]Capital!T35</f>
        <v>124563.686888</v>
      </c>
      <c r="V167" s="5">
        <f>[1]Capital!U29+[1]Capital!U31+[1]Capital!U33+[1]Capital!U35</f>
        <v>127051.89238600002</v>
      </c>
      <c r="W167" s="5">
        <f>[1]Capital!V29+[1]Capital!V31+[1]Capital!V33+[1]Capital!V35</f>
        <v>129610.88105700001</v>
      </c>
      <c r="X167" s="5">
        <f>[1]Capital!W29+[1]Capital!W31+[1]Capital!W33+[1]Capital!W35</f>
        <v>132261.493625</v>
      </c>
      <c r="Y167" s="5">
        <f>[1]Capital!X29+[1]Capital!X31+[1]Capital!X33+[1]Capital!X35</f>
        <v>135025.277153</v>
      </c>
      <c r="Z167" s="5">
        <f>[1]Capital!Y29+[1]Capital!Y31+[1]Capital!Y33+[1]Capital!Y35</f>
        <v>137923.44695099999</v>
      </c>
      <c r="AA167" s="5">
        <f>[1]Capital!Z29+[1]Capital!Z31+[1]Capital!Z33+[1]Capital!Z35</f>
        <v>140975.10561999999</v>
      </c>
      <c r="AB167" s="5">
        <f>[1]Capital!AA29+[1]Capital!AA31+[1]Capital!AA33+[1]Capital!AA35</f>
        <v>144192.63472199999</v>
      </c>
      <c r="AC167" s="5">
        <f>[1]Capital!AB29+[1]Capital!AB31+[1]Capital!AB33+[1]Capital!AB35</f>
        <v>147590.18255999999</v>
      </c>
      <c r="AD167" s="5">
        <f>[1]Capital!AC29+[1]Capital!AC31+[1]Capital!AC33+[1]Capital!AC35</f>
        <v>151183.05417399999</v>
      </c>
      <c r="AE167" s="5">
        <f>[1]Capital!AD29+[1]Capital!AD31+[1]Capital!AD33+[1]Capital!AD35</f>
        <v>154986.320156</v>
      </c>
      <c r="AF167" s="5">
        <f>[1]Capital!AE29+[1]Capital!AE31+[1]Capital!AE33+[1]Capital!AE35</f>
        <v>159010.92815300002</v>
      </c>
      <c r="AG167" s="5">
        <f>[1]Capital!AF29+[1]Capital!AF31+[1]Capital!AF33+[1]Capital!AF35</f>
        <v>163261.368433</v>
      </c>
      <c r="AH167" s="5">
        <f>[1]Capital!AG29+[1]Capital!AG31+[1]Capital!AG33+[1]Capital!AG35</f>
        <v>167736.352939</v>
      </c>
      <c r="AI167" s="5">
        <f>[1]Capital!AH29+[1]Capital!AH31+[1]Capital!AH33+[1]Capital!AH35</f>
        <v>172430.43391200001</v>
      </c>
      <c r="AJ167" s="5">
        <f>[1]Capital!AI29+[1]Capital!AI31+[1]Capital!AI33+[1]Capital!AI35</f>
        <v>177334.97976999998</v>
      </c>
      <c r="AK167" s="5">
        <f>[1]Capital!AJ29+[1]Capital!AJ31+[1]Capital!AJ33+[1]Capital!AJ35</f>
        <v>182438.64055499999</v>
      </c>
      <c r="AL167" s="5">
        <f>[1]Capital!AK29+[1]Capital!AK31+[1]Capital!AK33+[1]Capital!AK35</f>
        <v>187727.524722</v>
      </c>
    </row>
    <row r="168" spans="1:38" x14ac:dyDescent="0.35">
      <c r="B168" t="s">
        <v>10</v>
      </c>
      <c r="C168" s="5">
        <f>[1]Capital!B37+[1]Capital!B39</f>
        <v>2425571.3405999998</v>
      </c>
      <c r="D168" s="5">
        <f>[1]Capital!C37+[1]Capital!C39</f>
        <v>2454645.1167000001</v>
      </c>
      <c r="E168" s="5">
        <f>[1]Capital!D37+[1]Capital!D39</f>
        <v>2485835.2653999999</v>
      </c>
      <c r="F168" s="5">
        <f>[1]Capital!E37+[1]Capital!E39</f>
        <v>2519601.4178999998</v>
      </c>
      <c r="G168" s="5">
        <f>[1]Capital!F37+[1]Capital!F39</f>
        <v>2556297.2227000003</v>
      </c>
      <c r="H168" s="5">
        <f>[1]Capital!G37+[1]Capital!G39</f>
        <v>2596151.057</v>
      </c>
      <c r="I168" s="5">
        <f>[1]Capital!H37+[1]Capital!H39</f>
        <v>2639169.1795999999</v>
      </c>
      <c r="J168" s="5">
        <f>[1]Capital!I37+[1]Capital!I39</f>
        <v>2685305.8103999998</v>
      </c>
      <c r="K168" s="5">
        <f>[1]Capital!J37+[1]Capital!J39</f>
        <v>2734515.3070999999</v>
      </c>
      <c r="L168" s="5">
        <f>[1]Capital!K37+[1]Capital!K39</f>
        <v>2786770.2412</v>
      </c>
      <c r="M168" s="5">
        <f>[1]Capital!L37+[1]Capital!L39</f>
        <v>2842068.1930999998</v>
      </c>
      <c r="N168" s="5">
        <f>[1]Capital!M37+[1]Capital!M39</f>
        <v>2899902.7932000002</v>
      </c>
      <c r="O168" s="5">
        <f>[1]Capital!N37+[1]Capital!N39</f>
        <v>2959748.1088</v>
      </c>
      <c r="P168" s="5">
        <f>[1]Capital!O37+[1]Capital!O39</f>
        <v>3021155.4934</v>
      </c>
      <c r="Q168" s="5">
        <f>[1]Capital!P37+[1]Capital!P39</f>
        <v>3083787.8152999999</v>
      </c>
      <c r="R168" s="5">
        <f>[1]Capital!Q37+[1]Capital!Q39</f>
        <v>3147424.5904999999</v>
      </c>
      <c r="S168" s="5">
        <f>[1]Capital!R37+[1]Capital!R39</f>
        <v>3212045.6787999999</v>
      </c>
      <c r="T168" s="5">
        <f>[1]Capital!S37+[1]Capital!S39</f>
        <v>3277772.3228000002</v>
      </c>
      <c r="U168" s="5">
        <f>[1]Capital!T37+[1]Capital!T39</f>
        <v>3344805.9082999998</v>
      </c>
      <c r="V168" s="5">
        <f>[1]Capital!U37+[1]Capital!U39</f>
        <v>3413380.2398000001</v>
      </c>
      <c r="W168" s="5">
        <f>[1]Capital!V37+[1]Capital!V39</f>
        <v>3483651.7637</v>
      </c>
      <c r="X168" s="5">
        <f>[1]Capital!W37+[1]Capital!W39</f>
        <v>3555907.4177000001</v>
      </c>
      <c r="Y168" s="5">
        <f>[1]Capital!X37+[1]Capital!X39</f>
        <v>3630446.6306999996</v>
      </c>
      <c r="Z168" s="5">
        <f>[1]Capital!Y37+[1]Capital!Y39</f>
        <v>3707574.0255</v>
      </c>
      <c r="AA168" s="5">
        <f>[1]Capital!Z37+[1]Capital!Z39</f>
        <v>3787576.341</v>
      </c>
      <c r="AB168" s="5">
        <f>[1]Capital!AA37+[1]Capital!AA39</f>
        <v>3870445.4106000001</v>
      </c>
      <c r="AC168" s="5">
        <f>[1]Capital!AB37+[1]Capital!AB39</f>
        <v>3956387.7850000001</v>
      </c>
      <c r="AD168" s="5">
        <f>[1]Capital!AC37+[1]Capital!AC39</f>
        <v>4045642.6052999999</v>
      </c>
      <c r="AE168" s="5">
        <f>[1]Capital!AD37+[1]Capital!AD39</f>
        <v>4138472.8489999999</v>
      </c>
      <c r="AF168" s="5">
        <f>[1]Capital!AE37+[1]Capital!AE39</f>
        <v>4235129.9158000005</v>
      </c>
      <c r="AG168" s="5">
        <f>[1]Capital!AF37+[1]Capital!AF39</f>
        <v>4335815.6557999998</v>
      </c>
      <c r="AH168" s="5">
        <f>[1]Capital!AG37+[1]Capital!AG39</f>
        <v>4440671.8892999999</v>
      </c>
      <c r="AI168" s="5">
        <f>[1]Capital!AH37+[1]Capital!AH39</f>
        <v>4549784.051</v>
      </c>
      <c r="AJ168" s="5">
        <f>[1]Capital!AI37+[1]Capital!AI39</f>
        <v>4663182.6091999998</v>
      </c>
      <c r="AK168" s="5">
        <f>[1]Capital!AJ37+[1]Capital!AJ39</f>
        <v>4780841.7434999999</v>
      </c>
      <c r="AL168" s="5">
        <f>[1]Capital!AK37+[1]Capital!AK39</f>
        <v>4902676.3528000005</v>
      </c>
    </row>
    <row r="169" spans="1:38" x14ac:dyDescent="0.35">
      <c r="B169" t="s">
        <v>29</v>
      </c>
      <c r="C169" s="5">
        <f>[1]Capital!B43+[1]Capital!B47</f>
        <v>22925.318520599998</v>
      </c>
      <c r="D169" s="5">
        <f>[1]Capital!C43+[1]Capital!C47</f>
        <v>23181.484163900001</v>
      </c>
      <c r="E169" s="5">
        <f>[1]Capital!D43+[1]Capital!D47</f>
        <v>23435.940766799999</v>
      </c>
      <c r="F169" s="5">
        <f>[1]Capital!E43+[1]Capital!E47</f>
        <v>23689.626947299999</v>
      </c>
      <c r="G169" s="5">
        <f>[1]Capital!F43+[1]Capital!F47</f>
        <v>23947.410326300003</v>
      </c>
      <c r="H169" s="5">
        <f>[1]Capital!G43+[1]Capital!G47</f>
        <v>24214.726552100001</v>
      </c>
      <c r="I169" s="5">
        <f>[1]Capital!H43+[1]Capital!H47</f>
        <v>24494.906887500001</v>
      </c>
      <c r="J169" s="5">
        <f>[1]Capital!I43+[1]Capital!I47</f>
        <v>24789.284100699999</v>
      </c>
      <c r="K169" s="5">
        <f>[1]Capital!J43+[1]Capital!J47</f>
        <v>25098.137996599999</v>
      </c>
      <c r="L169" s="5">
        <f>[1]Capital!K43+[1]Capital!K47</f>
        <v>25421.298915300002</v>
      </c>
      <c r="M169" s="5">
        <f>[1]Capital!L43+[1]Capital!L47</f>
        <v>25757.620181400001</v>
      </c>
      <c r="N169" s="5">
        <f>[1]Capital!M43+[1]Capital!M47</f>
        <v>26101.8153709</v>
      </c>
      <c r="O169" s="5">
        <f>[1]Capital!N43+[1]Capital!N47</f>
        <v>26448.403051600002</v>
      </c>
      <c r="P169" s="5">
        <f>[1]Capital!O43+[1]Capital!O47</f>
        <v>26792.8987853</v>
      </c>
      <c r="Q169" s="5">
        <f>[1]Capital!P43+[1]Capital!P47</f>
        <v>27132.188143800002</v>
      </c>
      <c r="R169" s="5">
        <f>[1]Capital!Q43+[1]Capital!Q47</f>
        <v>27464.486261900001</v>
      </c>
      <c r="S169" s="5">
        <f>[1]Capital!R43+[1]Capital!R47</f>
        <v>27790.198460799998</v>
      </c>
      <c r="T169" s="5">
        <f>[1]Capital!S43+[1]Capital!S47</f>
        <v>28111.372187000001</v>
      </c>
      <c r="U169" s="5">
        <f>[1]Capital!T43+[1]Capital!T47</f>
        <v>28431.023106499997</v>
      </c>
      <c r="V169" s="5">
        <f>[1]Capital!U43+[1]Capital!U47</f>
        <v>28752.512640500001</v>
      </c>
      <c r="W169" s="5">
        <f>[1]Capital!V43+[1]Capital!V47</f>
        <v>29079.071660099999</v>
      </c>
      <c r="X169" s="5">
        <f>[1]Capital!W43+[1]Capital!W47</f>
        <v>29414.124443999997</v>
      </c>
      <c r="Y169" s="5">
        <f>[1]Capital!X43+[1]Capital!X47</f>
        <v>29761.201467899999</v>
      </c>
      <c r="Z169" s="5">
        <f>[1]Capital!Y43+[1]Capital!Y47</f>
        <v>30123.859316399998</v>
      </c>
      <c r="AA169" s="5">
        <f>[1]Capital!Z43+[1]Capital!Z47</f>
        <v>30505.526214199999</v>
      </c>
      <c r="AB169" s="5">
        <f>[1]Capital!AA43+[1]Capital!AA47</f>
        <v>30908.903348600001</v>
      </c>
      <c r="AC169" s="5">
        <f>[1]Capital!AB43+[1]Capital!AB47</f>
        <v>31336.970299799999</v>
      </c>
      <c r="AD169" s="5">
        <f>[1]Capital!AC43+[1]Capital!AC47</f>
        <v>31792.946063700001</v>
      </c>
      <c r="AE169" s="5">
        <f>[1]Capital!AD43+[1]Capital!AD47</f>
        <v>32280.091329699997</v>
      </c>
      <c r="AF169" s="5">
        <f>[1]Capital!AE43+[1]Capital!AE47</f>
        <v>32801.198814900003</v>
      </c>
      <c r="AG169" s="5">
        <f>[1]Capital!AF43+[1]Capital!AF47</f>
        <v>33358.229976900002</v>
      </c>
      <c r="AH169" s="5">
        <f>[1]Capital!AG43+[1]Capital!AG47</f>
        <v>33952.284732599997</v>
      </c>
      <c r="AI169" s="5">
        <f>[1]Capital!AH43+[1]Capital!AH47</f>
        <v>34583.7069672</v>
      </c>
      <c r="AJ169" s="5">
        <f>[1]Capital!AI43+[1]Capital!AI47</f>
        <v>35252.154101</v>
      </c>
      <c r="AK169" s="5">
        <f>[1]Capital!AJ43+[1]Capital!AJ47</f>
        <v>35956.624042200005</v>
      </c>
      <c r="AL169" s="5">
        <f>[1]Capital!AK43+[1]Capital!AK47</f>
        <v>36695.455757700001</v>
      </c>
    </row>
    <row r="170" spans="1:38" x14ac:dyDescent="0.35">
      <c r="B170" t="s">
        <v>36</v>
      </c>
      <c r="C170" s="5">
        <f>[1]Capital!B45+[1]Capital!B49</f>
        <v>1941.7266724000001</v>
      </c>
      <c r="D170" s="5">
        <f>[1]Capital!C45+[1]Capital!C49</f>
        <v>1962.8767437000001</v>
      </c>
      <c r="E170" s="5">
        <f>[1]Capital!D45+[1]Capital!D49</f>
        <v>1983.1687598000001</v>
      </c>
      <c r="F170" s="5">
        <f>[1]Capital!E45+[1]Capital!E49</f>
        <v>2002.6661835</v>
      </c>
      <c r="G170" s="5">
        <f>[1]Capital!F45+[1]Capital!F49</f>
        <v>2021.8554534</v>
      </c>
      <c r="H170" s="5">
        <f>[1]Capital!G45+[1]Capital!G49</f>
        <v>2041.2678295999999</v>
      </c>
      <c r="I170" s="5">
        <f>[1]Capital!H45+[1]Capital!H49</f>
        <v>2061.1957933999997</v>
      </c>
      <c r="J170" s="5">
        <f>[1]Capital!I45+[1]Capital!I49</f>
        <v>2081.7674304000002</v>
      </c>
      <c r="K170" s="5">
        <f>[1]Capital!J45+[1]Capital!J49</f>
        <v>2103.0313585000004</v>
      </c>
      <c r="L170" s="5">
        <f>[1]Capital!K45+[1]Capital!K49</f>
        <v>2125.0002446999997</v>
      </c>
      <c r="M170" s="5">
        <f>[1]Capital!L45+[1]Capital!L49</f>
        <v>2147.6423261</v>
      </c>
      <c r="N170" s="5">
        <f>[1]Capital!M45+[1]Capital!M49</f>
        <v>2170.7128499</v>
      </c>
      <c r="O170" s="5">
        <f>[1]Capital!N45+[1]Capital!N49</f>
        <v>2193.9338870000001</v>
      </c>
      <c r="P170" s="5">
        <f>[1]Capital!O45+[1]Capital!O49</f>
        <v>2217.0604478999999</v>
      </c>
      <c r="Q170" s="5">
        <f>[1]Capital!P45+[1]Capital!P49</f>
        <v>2239.9047986</v>
      </c>
      <c r="R170" s="5">
        <f>[1]Capital!Q45+[1]Capital!Q49</f>
        <v>2262.3407030999997</v>
      </c>
      <c r="S170" s="5">
        <f>[1]Capital!R45+[1]Capital!R49</f>
        <v>2284.4075072999999</v>
      </c>
      <c r="T170" s="5">
        <f>[1]Capital!S45+[1]Capital!S49</f>
        <v>2306.2351748999999</v>
      </c>
      <c r="U170" s="5">
        <f>[1]Capital!T45+[1]Capital!T49</f>
        <v>2327.9995235000001</v>
      </c>
      <c r="V170" s="5">
        <f>[1]Capital!U45+[1]Capital!U49</f>
        <v>2349.8887351000003</v>
      </c>
      <c r="W170" s="5">
        <f>[1]Capital!V45+[1]Capital!V49</f>
        <v>2372.0738243999999</v>
      </c>
      <c r="X170" s="5">
        <f>[1]Capital!W45+[1]Capital!W49</f>
        <v>2394.7376810000001</v>
      </c>
      <c r="Y170" s="5">
        <f>[1]Capital!X45+[1]Capital!X49</f>
        <v>2418.0691975</v>
      </c>
      <c r="Z170" s="5">
        <f>[1]Capital!Y45+[1]Capital!Y49</f>
        <v>2442.2604007</v>
      </c>
      <c r="AA170" s="5">
        <f>[1]Capital!Z45+[1]Capital!Z49</f>
        <v>2467.4999540000003</v>
      </c>
      <c r="AB170" s="5">
        <f>[1]Capital!AA45+[1]Capital!AA49</f>
        <v>2493.9270861</v>
      </c>
      <c r="AC170" s="5">
        <f>[1]Capital!AB45+[1]Capital!AB49</f>
        <v>2521.7039789999999</v>
      </c>
      <c r="AD170" s="5">
        <f>[1]Capital!AC45+[1]Capital!AC49</f>
        <v>2551.0099028</v>
      </c>
      <c r="AE170" s="5">
        <f>[1]Capital!AD45+[1]Capital!AD49</f>
        <v>2582.0311659999998</v>
      </c>
      <c r="AF170" s="5">
        <f>[1]Capital!AE45+[1]Capital!AE49</f>
        <v>2614.9371276000002</v>
      </c>
      <c r="AG170" s="5">
        <f>[1]Capital!AF45+[1]Capital!AF49</f>
        <v>2649.8600532</v>
      </c>
      <c r="AH170" s="5">
        <f>[1]Capital!AG45+[1]Capital!AG49</f>
        <v>2686.8890100999997</v>
      </c>
      <c r="AI170" s="5">
        <f>[1]Capital!AH45+[1]Capital!AH49</f>
        <v>2726.0706916999998</v>
      </c>
      <c r="AJ170" s="5">
        <f>[1]Capital!AI45+[1]Capital!AI49</f>
        <v>2767.4100263</v>
      </c>
      <c r="AK170" s="5">
        <f>[1]Capital!AJ45+[1]Capital!AJ49</f>
        <v>2810.8696208000001</v>
      </c>
      <c r="AL170" s="5">
        <f>[1]Capital!AK45+[1]Capital!AK49</f>
        <v>2856.3686706999997</v>
      </c>
    </row>
    <row r="171" spans="1:38" x14ac:dyDescent="0.35">
      <c r="B171" t="s">
        <v>33</v>
      </c>
      <c r="C171" s="5">
        <f>[1]Capital!B51+[1]Capital!B53+[1]Capital!B55+[1]Capital!B57+[1]Capital!B59+[1]Capital!B61+[1]Capital!B63+[1]Capital!B65+[1]Capital!B67</f>
        <v>40303.597149320005</v>
      </c>
      <c r="D171" s="5">
        <f>[1]Capital!C51+[1]Capital!C53+[1]Capital!C55+[1]Capital!C57+[1]Capital!C59+[1]Capital!C61+[1]Capital!C63+[1]Capital!C65+[1]Capital!C67</f>
        <v>40781.909622079998</v>
      </c>
      <c r="E171" s="5">
        <f>[1]Capital!D51+[1]Capital!D53+[1]Capital!D55+[1]Capital!D57+[1]Capital!D59+[1]Capital!D61+[1]Capital!D63+[1]Capital!D65+[1]Capital!D67</f>
        <v>41275.493872010004</v>
      </c>
      <c r="F171" s="5">
        <f>[1]Capital!E51+[1]Capital!E53+[1]Capital!E55+[1]Capital!E57+[1]Capital!E59+[1]Capital!E61+[1]Capital!E63+[1]Capital!E65+[1]Capital!E67</f>
        <v>41786.907249889999</v>
      </c>
      <c r="G171" s="5">
        <f>[1]Capital!F51+[1]Capital!F53+[1]Capital!F55+[1]Capital!F57+[1]Capital!F59+[1]Capital!F61+[1]Capital!F63+[1]Capital!F65+[1]Capital!F67</f>
        <v>42313.148052179997</v>
      </c>
      <c r="H171" s="5">
        <f>[1]Capital!G51+[1]Capital!G53+[1]Capital!G55+[1]Capital!G57+[1]Capital!G59+[1]Capital!G61+[1]Capital!G63+[1]Capital!G65+[1]Capital!G67</f>
        <v>42853.512415289995</v>
      </c>
      <c r="I171" s="5">
        <f>[1]Capital!H51+[1]Capital!H53+[1]Capital!H55+[1]Capital!H57+[1]Capital!H59+[1]Capital!H61+[1]Capital!H63+[1]Capital!H65+[1]Capital!H67</f>
        <v>43409.377499689996</v>
      </c>
      <c r="J171" s="5">
        <f>[1]Capital!I51+[1]Capital!I53+[1]Capital!I55+[1]Capital!I57+[1]Capital!I59+[1]Capital!I61+[1]Capital!I63+[1]Capital!I65+[1]Capital!I67</f>
        <v>43982.806292769994</v>
      </c>
      <c r="K171" s="5">
        <f>[1]Capital!J51+[1]Capital!J53+[1]Capital!J55+[1]Capital!J57+[1]Capital!J59+[1]Capital!J61+[1]Capital!J63+[1]Capital!J65+[1]Capital!J67</f>
        <v>44575.008055860009</v>
      </c>
      <c r="L171" s="5">
        <f>[1]Capital!K51+[1]Capital!K53+[1]Capital!K55+[1]Capital!K57+[1]Capital!K59+[1]Capital!K61+[1]Capital!K63+[1]Capital!K65+[1]Capital!K67</f>
        <v>45186.297097360002</v>
      </c>
      <c r="M171" s="5">
        <f>[1]Capital!L51+[1]Capital!L53+[1]Capital!L55+[1]Capital!L57+[1]Capital!L59+[1]Capital!L61+[1]Capital!L63+[1]Capital!L65+[1]Capital!L67</f>
        <v>45815.636264199988</v>
      </c>
      <c r="N171" s="5">
        <f>[1]Capital!M51+[1]Capital!M53+[1]Capital!M55+[1]Capital!M57+[1]Capital!M59+[1]Capital!M61+[1]Capital!M63+[1]Capital!M65+[1]Capital!M67</f>
        <v>46453.494739020003</v>
      </c>
      <c r="O171" s="5">
        <f>[1]Capital!N51+[1]Capital!N53+[1]Capital!N55+[1]Capital!N57+[1]Capital!N59+[1]Capital!N61+[1]Capital!N63+[1]Capital!N65+[1]Capital!N67</f>
        <v>47089.16509902</v>
      </c>
      <c r="P171" s="5">
        <f>[1]Capital!O51+[1]Capital!O53+[1]Capital!O55+[1]Capital!O57+[1]Capital!O59+[1]Capital!O61+[1]Capital!O63+[1]Capital!O65+[1]Capital!O67</f>
        <v>47713.607863359997</v>
      </c>
      <c r="Q171" s="5">
        <f>[1]Capital!P51+[1]Capital!P53+[1]Capital!P55+[1]Capital!P57+[1]Capital!P59+[1]Capital!P61+[1]Capital!P63+[1]Capital!P65+[1]Capital!P67</f>
        <v>48320.599310390004</v>
      </c>
      <c r="R171" s="5">
        <f>[1]Capital!Q51+[1]Capital!Q53+[1]Capital!Q55+[1]Capital!Q57+[1]Capital!Q59+[1]Capital!Q61+[1]Capital!Q63+[1]Capital!Q65+[1]Capital!Q67</f>
        <v>48906.920034359995</v>
      </c>
      <c r="S171" s="5">
        <f>[1]Capital!R51+[1]Capital!R53+[1]Capital!R55+[1]Capital!R57+[1]Capital!R59+[1]Capital!R61+[1]Capital!R63+[1]Capital!R65+[1]Capital!R67</f>
        <v>49471.39889437001</v>
      </c>
      <c r="T171" s="5">
        <f>[1]Capital!S51+[1]Capital!S53+[1]Capital!S55+[1]Capital!S57+[1]Capital!S59+[1]Capital!S61+[1]Capital!S63+[1]Capital!S65+[1]Capital!S67</f>
        <v>50015.64239482001</v>
      </c>
      <c r="U171" s="5">
        <f>[1]Capital!T51+[1]Capital!T53+[1]Capital!T55+[1]Capital!T57+[1]Capital!T59+[1]Capital!T61+[1]Capital!T63+[1]Capital!T65+[1]Capital!T67</f>
        <v>50544.130051810003</v>
      </c>
      <c r="V171" s="5">
        <f>[1]Capital!U51+[1]Capital!U53+[1]Capital!U55+[1]Capital!U57+[1]Capital!U59+[1]Capital!U61+[1]Capital!U63+[1]Capital!U65+[1]Capital!U67</f>
        <v>51063.159003580004</v>
      </c>
      <c r="W171" s="5">
        <f>[1]Capital!V51+[1]Capital!V53+[1]Capital!V55+[1]Capital!V57+[1]Capital!V59+[1]Capital!V61+[1]Capital!V63+[1]Capital!V65+[1]Capital!V67</f>
        <v>51579.299889810005</v>
      </c>
      <c r="X171" s="5">
        <f>[1]Capital!W51+[1]Capital!W53+[1]Capital!W55+[1]Capital!W57+[1]Capital!W59+[1]Capital!W61+[1]Capital!W63+[1]Capital!W65+[1]Capital!W67</f>
        <v>52100.813386690003</v>
      </c>
      <c r="Y171" s="5">
        <f>[1]Capital!X51+[1]Capital!X53+[1]Capital!X55+[1]Capital!X57+[1]Capital!X59+[1]Capital!X61+[1]Capital!X63+[1]Capital!X65+[1]Capital!X67</f>
        <v>52636.59476136999</v>
      </c>
      <c r="Z171" s="5">
        <f>[1]Capital!Y51+[1]Capital!Y53+[1]Capital!Y55+[1]Capital!Y57+[1]Capital!Y59+[1]Capital!Y61+[1]Capital!Y63+[1]Capital!Y65+[1]Capital!Y67</f>
        <v>53195.710127519997</v>
      </c>
      <c r="AA171" s="5">
        <f>[1]Capital!Z51+[1]Capital!Z53+[1]Capital!Z55+[1]Capital!Z57+[1]Capital!Z59+[1]Capital!Z61+[1]Capital!Z63+[1]Capital!Z65+[1]Capital!Z67</f>
        <v>53787.039335799993</v>
      </c>
      <c r="AB171" s="5">
        <f>[1]Capital!AA51+[1]Capital!AA53+[1]Capital!AA55+[1]Capital!AA57+[1]Capital!AA59+[1]Capital!AA61+[1]Capital!AA63+[1]Capital!AA65+[1]Capital!AA67</f>
        <v>54416.763481740003</v>
      </c>
      <c r="AC171" s="5">
        <f>[1]Capital!AB51+[1]Capital!AB53+[1]Capital!AB55+[1]Capital!AB57+[1]Capital!AB59+[1]Capital!AB61+[1]Capital!AB63+[1]Capital!AB65+[1]Capital!AB67</f>
        <v>55092.495158040001</v>
      </c>
      <c r="AD171" s="5">
        <f>[1]Capital!AC51+[1]Capital!AC53+[1]Capital!AC55+[1]Capital!AC57+[1]Capital!AC59+[1]Capital!AC61+[1]Capital!AC63+[1]Capital!AC65+[1]Capital!AC67</f>
        <v>55822.155401290009</v>
      </c>
      <c r="AE171" s="5">
        <f>[1]Capital!AD51+[1]Capital!AD53+[1]Capital!AD55+[1]Capital!AD57+[1]Capital!AD59+[1]Capital!AD61+[1]Capital!AD63+[1]Capital!AD65+[1]Capital!AD67</f>
        <v>56613.346875850002</v>
      </c>
      <c r="AF171" s="5">
        <f>[1]Capital!AE51+[1]Capital!AE53+[1]Capital!AE55+[1]Capital!AE57+[1]Capital!AE59+[1]Capital!AE61+[1]Capital!AE63+[1]Capital!AE65+[1]Capital!AE67</f>
        <v>57472.333516709994</v>
      </c>
      <c r="AG171" s="5">
        <f>[1]Capital!AF51+[1]Capital!AF53+[1]Capital!AF55+[1]Capital!AF57+[1]Capital!AF59+[1]Capital!AF61+[1]Capital!AF63+[1]Capital!AF65+[1]Capital!AF67</f>
        <v>58403.344963169999</v>
      </c>
      <c r="AH171" s="5">
        <f>[1]Capital!AG51+[1]Capital!AG53+[1]Capital!AG55+[1]Capital!AG57+[1]Capital!AG59+[1]Capital!AG61+[1]Capital!AG63+[1]Capital!AG65+[1]Capital!AG67</f>
        <v>59408.499046750003</v>
      </c>
      <c r="AI171" s="5">
        <f>[1]Capital!AH51+[1]Capital!AH53+[1]Capital!AH55+[1]Capital!AH57+[1]Capital!AH59+[1]Capital!AH61+[1]Capital!AH63+[1]Capital!AH65+[1]Capital!AH67</f>
        <v>60488.034354359988</v>
      </c>
      <c r="AJ171" s="5">
        <f>[1]Capital!AI51+[1]Capital!AI53+[1]Capital!AI55+[1]Capital!AI57+[1]Capital!AI59+[1]Capital!AI61+[1]Capital!AI63+[1]Capital!AI65+[1]Capital!AI67</f>
        <v>61640.532516699997</v>
      </c>
      <c r="AK171" s="5">
        <f>[1]Capital!AJ51+[1]Capital!AJ53+[1]Capital!AJ55+[1]Capital!AJ57+[1]Capital!AJ59+[1]Capital!AJ61+[1]Capital!AJ63+[1]Capital!AJ65+[1]Capital!AJ67</f>
        <v>62863.085146099991</v>
      </c>
      <c r="AL171" s="5">
        <f>[1]Capital!AK51+[1]Capital!AK53+[1]Capital!AK55+[1]Capital!AK57+[1]Capital!AK59+[1]Capital!AK61+[1]Capital!AK63+[1]Capital!AK65+[1]Capital!AK67</f>
        <v>64151.424821999994</v>
      </c>
    </row>
    <row r="172" spans="1:3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 spans="1:3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 spans="1:38" x14ac:dyDescent="0.35">
      <c r="A174" t="s">
        <v>39</v>
      </c>
      <c r="B174" t="s">
        <v>40</v>
      </c>
      <c r="C174" s="5">
        <f>[1]Capital!B2</f>
        <v>5223867.193</v>
      </c>
      <c r="D174" s="5">
        <f>[1]Capital!C2</f>
        <v>5286915.8090000004</v>
      </c>
      <c r="E174" s="5">
        <f>[1]Capital!D2</f>
        <v>5355141.608</v>
      </c>
      <c r="F174" s="5">
        <f>[1]Capital!E2</f>
        <v>5429604.4040000001</v>
      </c>
      <c r="G174" s="5">
        <f>[1]Capital!F2</f>
        <v>5511077.7400000002</v>
      </c>
      <c r="H174" s="5">
        <f>[1]Capital!G2</f>
        <v>5600095.3949999996</v>
      </c>
      <c r="I174" s="5">
        <f>[1]Capital!H2</f>
        <v>5696796.7609999999</v>
      </c>
      <c r="J174" s="5">
        <f>[1]Capital!I2</f>
        <v>5799835.5669999998</v>
      </c>
      <c r="K174" s="5">
        <f>[1]Capital!J2</f>
        <v>5908886.7079999996</v>
      </c>
      <c r="L174" s="5">
        <f>[1]Capital!K2</f>
        <v>6025554.1399999997</v>
      </c>
      <c r="M174" s="5">
        <f>[1]Capital!L2</f>
        <v>6150699.2300000004</v>
      </c>
      <c r="N174" s="5">
        <f>[1]Capital!M2</f>
        <v>6283675.8739999998</v>
      </c>
      <c r="O174" s="5">
        <f>[1]Capital!N2</f>
        <v>6423491.0590000004</v>
      </c>
      <c r="P174" s="5">
        <f>[1]Capital!O2</f>
        <v>6569285.5190000003</v>
      </c>
      <c r="Q174" s="5">
        <f>[1]Capital!P2</f>
        <v>6720576.9689999996</v>
      </c>
      <c r="R174" s="5">
        <f>[1]Capital!Q2</f>
        <v>6877218.8300000001</v>
      </c>
      <c r="S174" s="5">
        <f>[1]Capital!R2</f>
        <v>7039235.7450000001</v>
      </c>
      <c r="T174" s="5">
        <f>[1]Capital!S2</f>
        <v>7206986.8959999997</v>
      </c>
      <c r="U174" s="5">
        <f>[1]Capital!T2</f>
        <v>7381098.3470000001</v>
      </c>
      <c r="V174" s="5">
        <f>[1]Capital!U2</f>
        <v>7562363.1090000002</v>
      </c>
      <c r="W174" s="5">
        <f>[1]Capital!V2</f>
        <v>7751537.25</v>
      </c>
      <c r="X174" s="5">
        <f>[1]Capital!W2</f>
        <v>7949623.8370000003</v>
      </c>
      <c r="Y174" s="5">
        <f>[1]Capital!X2</f>
        <v>8157725.3269999996</v>
      </c>
      <c r="Z174" s="5">
        <f>[1]Capital!Y2</f>
        <v>8377022.4299999997</v>
      </c>
      <c r="AA174" s="5">
        <f>[1]Capital!Z2</f>
        <v>8608717.0779999997</v>
      </c>
      <c r="AB174" s="5">
        <f>[1]Capital!AA2</f>
        <v>8853558.557</v>
      </c>
      <c r="AC174" s="5">
        <f>[1]Capital!AB2</f>
        <v>9112629.4350000005</v>
      </c>
      <c r="AD174" s="5">
        <f>[1]Capital!AC2</f>
        <v>9387109.6190000009</v>
      </c>
      <c r="AE174" s="5">
        <f>[1]Capital!AD2</f>
        <v>9678327.5399999991</v>
      </c>
      <c r="AF174" s="5">
        <f>[1]Capital!AE2</f>
        <v>9987716.6459999997</v>
      </c>
      <c r="AG174" s="5">
        <f>[1]Capital!AF2</f>
        <v>10316775.67</v>
      </c>
      <c r="AH174" s="5">
        <f>[1]Capital!AG2</f>
        <v>10667103.82</v>
      </c>
      <c r="AI174" s="5">
        <f>[1]Capital!AH2</f>
        <v>11040515.220000001</v>
      </c>
      <c r="AJ174" s="5">
        <f>[1]Capital!AI2</f>
        <v>11439225.82</v>
      </c>
      <c r="AK174" s="5">
        <f>[1]Capital!AJ2</f>
        <v>11866108.060000001</v>
      </c>
      <c r="AL174" s="5">
        <f>[1]Capital!AK2</f>
        <v>12325083.060000001</v>
      </c>
    </row>
    <row r="175" spans="1:38" x14ac:dyDescent="0.35">
      <c r="B175" t="s">
        <v>7</v>
      </c>
      <c r="C175" s="5">
        <f>[1]Capital!B4+[1]Capital!B6</f>
        <v>49062.307435000002</v>
      </c>
      <c r="D175" s="5">
        <f>[1]Capital!C4+[1]Capital!C6</f>
        <v>49656.257100000003</v>
      </c>
      <c r="E175" s="5">
        <f>[1]Capital!D4+[1]Capital!D6</f>
        <v>50295.022741999994</v>
      </c>
      <c r="F175" s="5">
        <f>[1]Capital!E4+[1]Capital!E6</f>
        <v>50992.864928000003</v>
      </c>
      <c r="G175" s="5">
        <f>[1]Capital!F4+[1]Capital!F6</f>
        <v>51756.935171000005</v>
      </c>
      <c r="H175" s="5">
        <f>[1]Capital!G4+[1]Capital!G6</f>
        <v>52592.439050999994</v>
      </c>
      <c r="I175" s="5">
        <f>[1]Capital!H4+[1]Capital!H6</f>
        <v>53501.984004999998</v>
      </c>
      <c r="J175" s="5">
        <f>[1]Capital!I4+[1]Capital!I6</f>
        <v>54488.985200999996</v>
      </c>
      <c r="K175" s="5">
        <f>[1]Capital!J4+[1]Capital!J6</f>
        <v>55554.984338999995</v>
      </c>
      <c r="L175" s="5">
        <f>[1]Capital!K4+[1]Capital!K6</f>
        <v>56720.027274</v>
      </c>
      <c r="M175" s="5">
        <f>[1]Capital!L4+[1]Capital!L6</f>
        <v>57992.496687999999</v>
      </c>
      <c r="N175" s="5">
        <f>[1]Capital!M4+[1]Capital!M6</f>
        <v>59356.483271999998</v>
      </c>
      <c r="O175" s="5">
        <f>[1]Capital!N4+[1]Capital!N6</f>
        <v>60793.596433999999</v>
      </c>
      <c r="P175" s="5">
        <f>[1]Capital!O4+[1]Capital!O6</f>
        <v>62288.138659000004</v>
      </c>
      <c r="Q175" s="5">
        <f>[1]Capital!P4+[1]Capital!P6</f>
        <v>63829.214916999998</v>
      </c>
      <c r="R175" s="5">
        <f>[1]Capital!Q4+[1]Capital!Q6</f>
        <v>65409.921256000001</v>
      </c>
      <c r="S175" s="5">
        <f>[1]Capital!R4+[1]Capital!R6</f>
        <v>67029.829836000004</v>
      </c>
      <c r="T175" s="5">
        <f>[1]Capital!S4+[1]Capital!S6</f>
        <v>68690.464896999998</v>
      </c>
      <c r="U175" s="5">
        <f>[1]Capital!T4+[1]Capital!T6</f>
        <v>70395.287498000005</v>
      </c>
      <c r="V175" s="5">
        <f>[1]Capital!U4+[1]Capital!U6</f>
        <v>72148.956567999994</v>
      </c>
      <c r="W175" s="5">
        <f>[1]Capital!V4+[1]Capital!V6</f>
        <v>73955.622517999989</v>
      </c>
      <c r="X175" s="5">
        <f>[1]Capital!W4+[1]Capital!W6</f>
        <v>75820.863259999998</v>
      </c>
      <c r="Y175" s="5">
        <f>[1]Capital!X4+[1]Capital!X6</f>
        <v>77751.015451999992</v>
      </c>
      <c r="Z175" s="5">
        <f>[1]Capital!Y4+[1]Capital!Y6</f>
        <v>79752.635957000006</v>
      </c>
      <c r="AA175" s="5">
        <f>[1]Capital!Z4+[1]Capital!Z6</f>
        <v>81831.517162000004</v>
      </c>
      <c r="AB175" s="5">
        <f>[1]Capital!AA4+[1]Capital!AA6</f>
        <v>83988.590041000003</v>
      </c>
      <c r="AC175" s="5">
        <f>[1]Capital!AB4+[1]Capital!AB6</f>
        <v>86224.026736</v>
      </c>
      <c r="AD175" s="5">
        <f>[1]Capital!AC4+[1]Capital!AC6</f>
        <v>88538.876703999995</v>
      </c>
      <c r="AE175" s="5">
        <f>[1]Capital!AD4+[1]Capital!AD6</f>
        <v>90934.872769000009</v>
      </c>
      <c r="AF175" s="5">
        <f>[1]Capital!AE4+[1]Capital!AE6</f>
        <v>93413.015261000008</v>
      </c>
      <c r="AG175" s="5">
        <f>[1]Capital!AF4+[1]Capital!AF6</f>
        <v>95972.195144000012</v>
      </c>
      <c r="AH175" s="5">
        <f>[1]Capital!AG4+[1]Capital!AG6</f>
        <v>98608.607450999989</v>
      </c>
      <c r="AI175" s="5">
        <f>[1]Capital!AH4+[1]Capital!AH6</f>
        <v>101315.880147</v>
      </c>
      <c r="AJ175" s="5">
        <f>[1]Capital!AI4+[1]Capital!AI6</f>
        <v>104085.52725699999</v>
      </c>
      <c r="AK175" s="5">
        <f>[1]Capital!AJ4+[1]Capital!AJ6</f>
        <v>106907.137394</v>
      </c>
      <c r="AL175" s="5">
        <f>[1]Capital!AK4+[1]Capital!AK6</f>
        <v>109768.49866500001</v>
      </c>
    </row>
    <row r="176" spans="1:3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2595513.2715759999</v>
      </c>
      <c r="D176" s="5">
        <f>[1]Capital!C8+[1]Capital!C10+[1]Capital!C13+[1]Capital!C14+[1]Capital!C16+[1]Capital!C18+[1]Capital!C20+[1]Capital!C22+[1]Capital!C24+[1]Capital!C26+[1]Capital!C40</f>
        <v>2627040.1020650002</v>
      </c>
      <c r="E176" s="5">
        <f>[1]Capital!D8+[1]Capital!D10+[1]Capital!D13+[1]Capital!D14+[1]Capital!D16+[1]Capital!D18+[1]Capital!D20+[1]Capital!D22+[1]Capital!D24+[1]Capital!D26+[1]Capital!D40</f>
        <v>2661451.3860669998</v>
      </c>
      <c r="F176" s="5">
        <f>[1]Capital!E8+[1]Capital!E10+[1]Capital!E13+[1]Capital!E14+[1]Capital!E16+[1]Capital!E18+[1]Capital!E20+[1]Capital!E22+[1]Capital!E24+[1]Capital!E26+[1]Capital!E40</f>
        <v>2699318.9225459998</v>
      </c>
      <c r="G176" s="5">
        <f>[1]Capital!F8+[1]Capital!F10+[1]Capital!F13+[1]Capital!F14+[1]Capital!F16+[1]Capital!F18+[1]Capital!F20+[1]Capital!F22+[1]Capital!F24+[1]Capital!F26+[1]Capital!F40</f>
        <v>2741048.2570530004</v>
      </c>
      <c r="H176" s="5">
        <f>[1]Capital!G8+[1]Capital!G10+[1]Capital!G13+[1]Capital!G14+[1]Capital!G16+[1]Capital!G18+[1]Capital!G20+[1]Capital!G22+[1]Capital!G24+[1]Capital!G26+[1]Capital!G40</f>
        <v>2786930.7014280003</v>
      </c>
      <c r="I176" s="5">
        <f>[1]Capital!H8+[1]Capital!H10+[1]Capital!H13+[1]Capital!H14+[1]Capital!H16+[1]Capital!H18+[1]Capital!H20+[1]Capital!H22+[1]Capital!H24+[1]Capital!H26+[1]Capital!H40</f>
        <v>2837092.4190290002</v>
      </c>
      <c r="J176" s="5">
        <f>[1]Capital!I8+[1]Capital!I10+[1]Capital!I13+[1]Capital!I14+[1]Capital!I16+[1]Capital!I18+[1]Capital!I20+[1]Capital!I22+[1]Capital!I24+[1]Capital!I26+[1]Capital!I40</f>
        <v>2890800.8258399996</v>
      </c>
      <c r="K176" s="5">
        <f>[1]Capital!J8+[1]Capital!J10+[1]Capital!J13+[1]Capital!J14+[1]Capital!J16+[1]Capital!J18+[1]Capital!J20+[1]Capital!J22+[1]Capital!J24+[1]Capital!J26+[1]Capital!J40</f>
        <v>2947867.6256490001</v>
      </c>
      <c r="L176" s="5">
        <f>[1]Capital!K8+[1]Capital!K10+[1]Capital!K13+[1]Capital!K14+[1]Capital!K16+[1]Capital!K18+[1]Capital!K20+[1]Capital!K22+[1]Capital!K24+[1]Capital!K26+[1]Capital!K40</f>
        <v>3009194.8252920001</v>
      </c>
      <c r="M176" s="5">
        <f>[1]Capital!L8+[1]Capital!L10+[1]Capital!L13+[1]Capital!L14+[1]Capital!L16+[1]Capital!L18+[1]Capital!L20+[1]Capital!L22+[1]Capital!L24+[1]Capital!L26+[1]Capital!L40</f>
        <v>3075229.9509170004</v>
      </c>
      <c r="N176" s="5">
        <f>[1]Capital!M8+[1]Capital!M10+[1]Capital!M13+[1]Capital!M14+[1]Capital!M16+[1]Capital!M18+[1]Capital!M20+[1]Capital!M22+[1]Capital!M24+[1]Capital!M26+[1]Capital!M40</f>
        <v>3145676.3220540001</v>
      </c>
      <c r="O176" s="5">
        <f>[1]Capital!N8+[1]Capital!N10+[1]Capital!N13+[1]Capital!N14+[1]Capital!N16+[1]Capital!N18+[1]Capital!N20+[1]Capital!N22+[1]Capital!N24+[1]Capital!N26+[1]Capital!N40</f>
        <v>3220069.786421</v>
      </c>
      <c r="P176" s="5">
        <f>[1]Capital!O8+[1]Capital!O10+[1]Capital!O13+[1]Capital!O14+[1]Capital!O16+[1]Capital!O18+[1]Capital!O20+[1]Capital!O22+[1]Capital!O24+[1]Capital!O26+[1]Capital!O40</f>
        <v>3298043.4678770006</v>
      </c>
      <c r="Q176" s="5">
        <f>[1]Capital!P8+[1]Capital!P10+[1]Capital!P13+[1]Capital!P14+[1]Capital!P16+[1]Capital!P18+[1]Capital!P20+[1]Capital!P22+[1]Capital!P24+[1]Capital!P26+[1]Capital!P40</f>
        <v>3379459.4475469999</v>
      </c>
      <c r="R176" s="5">
        <f>[1]Capital!Q8+[1]Capital!Q10+[1]Capital!Q13+[1]Capital!Q14+[1]Capital!Q16+[1]Capital!Q18+[1]Capital!Q20+[1]Capital!Q22+[1]Capital!Q24+[1]Capital!Q26+[1]Capital!Q40</f>
        <v>3464374.361356</v>
      </c>
      <c r="S176" s="5">
        <f>[1]Capital!R8+[1]Capital!R10+[1]Capital!R13+[1]Capital!R14+[1]Capital!R16+[1]Capital!R18+[1]Capital!R20+[1]Capital!R22+[1]Capital!R24+[1]Capital!R26+[1]Capital!R40</f>
        <v>3552906.1560870004</v>
      </c>
      <c r="T176" s="5">
        <f>[1]Capital!S8+[1]Capital!S10+[1]Capital!S13+[1]Capital!S14+[1]Capital!S16+[1]Capital!S18+[1]Capital!S20+[1]Capital!S22+[1]Capital!S24+[1]Capital!S26+[1]Capital!S40</f>
        <v>3645353.4571850006</v>
      </c>
      <c r="U176" s="5">
        <f>[1]Capital!T8+[1]Capital!T10+[1]Capital!T13+[1]Capital!T14+[1]Capital!T16+[1]Capital!T18+[1]Capital!T20+[1]Capital!T22+[1]Capital!T24+[1]Capital!T26+[1]Capital!T40</f>
        <v>3742158.3496379997</v>
      </c>
      <c r="V176" s="5">
        <f>[1]Capital!U8+[1]Capital!U10+[1]Capital!U13+[1]Capital!U14+[1]Capital!U16+[1]Capital!U18+[1]Capital!U20+[1]Capital!U22+[1]Capital!U24+[1]Capital!U26+[1]Capital!U40</f>
        <v>3843851.3705180003</v>
      </c>
      <c r="W176" s="5">
        <f>[1]Capital!V8+[1]Capital!V10+[1]Capital!V13+[1]Capital!V14+[1]Capital!V16+[1]Capital!V18+[1]Capital!V20+[1]Capital!V22+[1]Capital!V24+[1]Capital!V26+[1]Capital!V40</f>
        <v>3950969.7619980001</v>
      </c>
      <c r="X176" s="5">
        <f>[1]Capital!W8+[1]Capital!W10+[1]Capital!W13+[1]Capital!W14+[1]Capital!W16+[1]Capital!W18+[1]Capital!W20+[1]Capital!W22+[1]Capital!W24+[1]Capital!W26+[1]Capital!W40</f>
        <v>4064136.6886399998</v>
      </c>
      <c r="Y176" s="5">
        <f>[1]Capital!X8+[1]Capital!X10+[1]Capital!X13+[1]Capital!X14+[1]Capital!X16+[1]Capital!X18+[1]Capital!X20+[1]Capital!X22+[1]Capital!X24+[1]Capital!X26+[1]Capital!X40</f>
        <v>4184037.7665850003</v>
      </c>
      <c r="Z176" s="5">
        <f>[1]Capital!Y8+[1]Capital!Y10+[1]Capital!Y13+[1]Capital!Y14+[1]Capital!Y16+[1]Capital!Y18+[1]Capital!Y20+[1]Capital!Y22+[1]Capital!Y24+[1]Capital!Y26+[1]Capital!Y40</f>
        <v>4311404.7796259997</v>
      </c>
      <c r="AA176" s="5">
        <f>[1]Capital!Z8+[1]Capital!Z10+[1]Capital!Z13+[1]Capital!Z14+[1]Capital!Z16+[1]Capital!Z18+[1]Capital!Z20+[1]Capital!Z22+[1]Capital!Z24+[1]Capital!Z26+[1]Capital!Z40</f>
        <v>4446984.507336</v>
      </c>
      <c r="AB176" s="5">
        <f>[1]Capital!AA8+[1]Capital!AA10+[1]Capital!AA13+[1]Capital!AA14+[1]Capital!AA16+[1]Capital!AA18+[1]Capital!AA20+[1]Capital!AA22+[1]Capital!AA24+[1]Capital!AA26+[1]Capital!AA40</f>
        <v>4591364.2334620003</v>
      </c>
      <c r="AC176" s="5">
        <f>[1]Capital!AB8+[1]Capital!AB10+[1]Capital!AB13+[1]Capital!AB14+[1]Capital!AB16+[1]Capital!AB18+[1]Capital!AB20+[1]Capital!AB22+[1]Capital!AB24+[1]Capital!AB26+[1]Capital!AB40</f>
        <v>4745224.5648490004</v>
      </c>
      <c r="AD176" s="5">
        <f>[1]Capital!AC8+[1]Capital!AC10+[1]Capital!AC13+[1]Capital!AC14+[1]Capital!AC16+[1]Capital!AC18+[1]Capital!AC20+[1]Capital!AC22+[1]Capital!AC24+[1]Capital!AC26+[1]Capital!AC40</f>
        <v>4909293.6708690003</v>
      </c>
      <c r="AE176" s="5">
        <f>[1]Capital!AD8+[1]Capital!AD10+[1]Capital!AD13+[1]Capital!AD14+[1]Capital!AD16+[1]Capital!AD18+[1]Capital!AD20+[1]Capital!AD22+[1]Capital!AD24+[1]Capital!AD26+[1]Capital!AD40</f>
        <v>5084372.3847249998</v>
      </c>
      <c r="AF176" s="5">
        <f>[1]Capital!AE8+[1]Capital!AE10+[1]Capital!AE13+[1]Capital!AE14+[1]Capital!AE16+[1]Capital!AE18+[1]Capital!AE20+[1]Capital!AE22+[1]Capital!AE24+[1]Capital!AE26+[1]Capital!AE40</f>
        <v>5271313.9735099999</v>
      </c>
      <c r="AG176" s="5">
        <f>[1]Capital!AF8+[1]Capital!AF10+[1]Capital!AF13+[1]Capital!AF14+[1]Capital!AF16+[1]Capital!AF18+[1]Capital!AF20+[1]Capital!AF22+[1]Capital!AF24+[1]Capital!AF26+[1]Capital!AF40</f>
        <v>5471012.0580250006</v>
      </c>
      <c r="AH176" s="5">
        <f>[1]Capital!AG8+[1]Capital!AG10+[1]Capital!AG13+[1]Capital!AG14+[1]Capital!AG16+[1]Capital!AG18+[1]Capital!AG20+[1]Capital!AG22+[1]Capital!AG24+[1]Capital!AG26+[1]Capital!AG40</f>
        <v>5684429.4402839998</v>
      </c>
      <c r="AI176" s="5">
        <f>[1]Capital!AH8+[1]Capital!AH10+[1]Capital!AH13+[1]Capital!AH14+[1]Capital!AH16+[1]Capital!AH18+[1]Capital!AH20+[1]Capital!AH22+[1]Capital!AH24+[1]Capital!AH26+[1]Capital!AH40</f>
        <v>5912665.2454189993</v>
      </c>
      <c r="AJ176" s="5">
        <f>[1]Capital!AI8+[1]Capital!AI10+[1]Capital!AI13+[1]Capital!AI14+[1]Capital!AI16+[1]Capital!AI18+[1]Capital!AI20+[1]Capital!AI22+[1]Capital!AI24+[1]Capital!AI26+[1]Capital!AI40</f>
        <v>6157059.106985</v>
      </c>
      <c r="AK176" s="5">
        <f>[1]Capital!AJ8+[1]Capital!AJ10+[1]Capital!AJ13+[1]Capital!AJ14+[1]Capital!AJ16+[1]Capital!AJ18+[1]Capital!AJ20+[1]Capital!AJ22+[1]Capital!AJ24+[1]Capital!AJ26+[1]Capital!AJ40</f>
        <v>6419334.4099599998</v>
      </c>
      <c r="AL176" s="5">
        <f>[1]Capital!AK8+[1]Capital!AK10+[1]Capital!AK13+[1]Capital!AK14+[1]Capital!AK16+[1]Capital!AK18+[1]Capital!AK20+[1]Capital!AK22+[1]Capital!AK24+[1]Capital!AK26+[1]Capital!AK40</f>
        <v>6701815.057027</v>
      </c>
    </row>
    <row r="177" spans="1:38" x14ac:dyDescent="0.35">
      <c r="B177" t="s">
        <v>9</v>
      </c>
      <c r="C177" s="5">
        <f>[1]Capital!B28+[1]Capital!B30+[1]Capital!B32+[1]Capital!B34</f>
        <v>88549.631506999998</v>
      </c>
      <c r="D177" s="5">
        <f>[1]Capital!C28+[1]Capital!C30+[1]Capital!C32+[1]Capital!C34</f>
        <v>89648.063282999996</v>
      </c>
      <c r="E177" s="5">
        <f>[1]Capital!D28+[1]Capital!D30+[1]Capital!D32+[1]Capital!D34</f>
        <v>90865.331243000008</v>
      </c>
      <c r="F177" s="5">
        <f>[1]Capital!E28+[1]Capital!E30+[1]Capital!E32+[1]Capital!E34</f>
        <v>92211.998424999998</v>
      </c>
      <c r="G177" s="5">
        <f>[1]Capital!F28+[1]Capital!F30+[1]Capital!F32+[1]Capital!F34</f>
        <v>93692.911183999997</v>
      </c>
      <c r="H177" s="5">
        <f>[1]Capital!G28+[1]Capital!G30+[1]Capital!G32+[1]Capital!G34</f>
        <v>95311.690963999994</v>
      </c>
      <c r="I177" s="5">
        <f>[1]Capital!H28+[1]Capital!H30+[1]Capital!H32+[1]Capital!H34</f>
        <v>97067.698624000011</v>
      </c>
      <c r="J177" s="5">
        <f>[1]Capital!I28+[1]Capital!I30+[1]Capital!I32+[1]Capital!I34</f>
        <v>98931.284017999991</v>
      </c>
      <c r="K177" s="5">
        <f>[1]Capital!J28+[1]Capital!J30+[1]Capital!J32+[1]Capital!J34</f>
        <v>100903.224118</v>
      </c>
      <c r="L177" s="5">
        <f>[1]Capital!K28+[1]Capital!K30+[1]Capital!K32+[1]Capital!K34</f>
        <v>103044.54798800001</v>
      </c>
      <c r="M177" s="5">
        <f>[1]Capital!L28+[1]Capital!L30+[1]Capital!L32+[1]Capital!L34</f>
        <v>105378.24959899999</v>
      </c>
      <c r="N177" s="5">
        <f>[1]Capital!M28+[1]Capital!M30+[1]Capital!M32+[1]Capital!M34</f>
        <v>107873.23210699999</v>
      </c>
      <c r="O177" s="5">
        <f>[1]Capital!N28+[1]Capital!N30+[1]Capital!N32+[1]Capital!N34</f>
        <v>110485.454654</v>
      </c>
      <c r="P177" s="5">
        <f>[1]Capital!O28+[1]Capital!O30+[1]Capital!O32+[1]Capital!O34</f>
        <v>113175.65458</v>
      </c>
      <c r="Q177" s="5">
        <f>[1]Capital!P28+[1]Capital!P30+[1]Capital!P32+[1]Capital!P34</f>
        <v>115918.12013499999</v>
      </c>
      <c r="R177" s="5">
        <f>[1]Capital!Q28+[1]Capital!Q30+[1]Capital!Q32+[1]Capital!Q34</f>
        <v>118698.253341</v>
      </c>
      <c r="S177" s="5">
        <f>[1]Capital!R28+[1]Capital!R30+[1]Capital!R32+[1]Capital!R34</f>
        <v>121513.740328</v>
      </c>
      <c r="T177" s="5">
        <f>[1]Capital!S28+[1]Capital!S30+[1]Capital!S32+[1]Capital!S34</f>
        <v>124371.797743</v>
      </c>
      <c r="U177" s="5">
        <f>[1]Capital!T28+[1]Capital!T30+[1]Capital!T32+[1]Capital!T34</f>
        <v>127287.256804</v>
      </c>
      <c r="V177" s="5">
        <f>[1]Capital!U28+[1]Capital!U30+[1]Capital!U32+[1]Capital!U34</f>
        <v>130278.76603699999</v>
      </c>
      <c r="W177" s="5">
        <f>[1]Capital!V28+[1]Capital!V30+[1]Capital!V32+[1]Capital!V34</f>
        <v>133365.46881400002</v>
      </c>
      <c r="X177" s="5">
        <f>[1]Capital!W28+[1]Capital!W30+[1]Capital!W32+[1]Capital!W34</f>
        <v>136569.98440099999</v>
      </c>
      <c r="Y177" s="5">
        <f>[1]Capital!X28+[1]Capital!X30+[1]Capital!X32+[1]Capital!X34</f>
        <v>139917.290232</v>
      </c>
      <c r="Z177" s="5">
        <f>[1]Capital!Y28+[1]Capital!Y30+[1]Capital!Y32+[1]Capital!Y34</f>
        <v>143432.032531</v>
      </c>
      <c r="AA177" s="5">
        <f>[1]Capital!Z28+[1]Capital!Z30+[1]Capital!Z32+[1]Capital!Z34</f>
        <v>147135.54917300001</v>
      </c>
      <c r="AB177" s="5">
        <f>[1]Capital!AA28+[1]Capital!AA30+[1]Capital!AA32+[1]Capital!AA34</f>
        <v>151040.708098</v>
      </c>
      <c r="AC177" s="5">
        <f>[1]Capital!AB28+[1]Capital!AB30+[1]Capital!AB32+[1]Capital!AB34</f>
        <v>155164.36790099999</v>
      </c>
      <c r="AD177" s="5">
        <f>[1]Capital!AC28+[1]Capital!AC30+[1]Capital!AC32+[1]Capital!AC34</f>
        <v>159529.44451700003</v>
      </c>
      <c r="AE177" s="5">
        <f>[1]Capital!AD28+[1]Capital!AD30+[1]Capital!AD32+[1]Capital!AD34</f>
        <v>164160.193807</v>
      </c>
      <c r="AF177" s="5">
        <f>[1]Capital!AE28+[1]Capital!AE30+[1]Capital!AE32+[1]Capital!AE34</f>
        <v>169075.69384399999</v>
      </c>
      <c r="AG177" s="5">
        <f>[1]Capital!AF28+[1]Capital!AF30+[1]Capital!AF32+[1]Capital!AF34</f>
        <v>174286.40387700003</v>
      </c>
      <c r="AH177" s="5">
        <f>[1]Capital!AG28+[1]Capital!AG30+[1]Capital!AG32+[1]Capital!AG34</f>
        <v>179796.681729</v>
      </c>
      <c r="AI177" s="5">
        <f>[1]Capital!AH28+[1]Capital!AH30+[1]Capital!AH32+[1]Capital!AH34</f>
        <v>185608.494168</v>
      </c>
      <c r="AJ177" s="5">
        <f>[1]Capital!AI28+[1]Capital!AI30+[1]Capital!AI32+[1]Capital!AI34</f>
        <v>191721.22820299998</v>
      </c>
      <c r="AK177" s="5">
        <f>[1]Capital!AJ28+[1]Capital!AJ30+[1]Capital!AJ32+[1]Capital!AJ34</f>
        <v>198131.11896300002</v>
      </c>
      <c r="AL177" s="5">
        <f>[1]Capital!AK28+[1]Capital!AK30+[1]Capital!AK32+[1]Capital!AK34</f>
        <v>204831.07185099999</v>
      </c>
    </row>
    <row r="178" spans="1:38" x14ac:dyDescent="0.35">
      <c r="B178" t="s">
        <v>10</v>
      </c>
      <c r="C178" s="5">
        <f>[1]Capital!B36+[1]Capital!B38</f>
        <v>2425571.3405999998</v>
      </c>
      <c r="D178" s="5">
        <f>[1]Capital!C36+[1]Capital!C38</f>
        <v>2454645.1167000001</v>
      </c>
      <c r="E178" s="5">
        <f>[1]Capital!D36+[1]Capital!D38</f>
        <v>2485835.2653999999</v>
      </c>
      <c r="F178" s="5">
        <f>[1]Capital!E36+[1]Capital!E38</f>
        <v>2519601.4178999998</v>
      </c>
      <c r="G178" s="5">
        <f>[1]Capital!F36+[1]Capital!F38</f>
        <v>2556297.2227000003</v>
      </c>
      <c r="H178" s="5">
        <f>[1]Capital!G36+[1]Capital!G38</f>
        <v>2596151.057</v>
      </c>
      <c r="I178" s="5">
        <f>[1]Capital!H36+[1]Capital!H38</f>
        <v>2639169.1795999999</v>
      </c>
      <c r="J178" s="5">
        <f>[1]Capital!I36+[1]Capital!I38</f>
        <v>2684691.4677999998</v>
      </c>
      <c r="K178" s="5">
        <f>[1]Capital!J36+[1]Capital!J38</f>
        <v>2732542.2718000002</v>
      </c>
      <c r="L178" s="5">
        <f>[1]Capital!K36+[1]Capital!K38</f>
        <v>2783302.6361999996</v>
      </c>
      <c r="M178" s="5">
        <f>[1]Capital!L36+[1]Capital!L38</f>
        <v>2837336.7167000002</v>
      </c>
      <c r="N178" s="5">
        <f>[1]Capital!M36+[1]Capital!M38</f>
        <v>2894354.3202</v>
      </c>
      <c r="O178" s="5">
        <f>[1]Capital!N36+[1]Capital!N38</f>
        <v>2953902.2212999999</v>
      </c>
      <c r="P178" s="5">
        <f>[1]Capital!O36+[1]Capital!O38</f>
        <v>3015547.7023</v>
      </c>
      <c r="Q178" s="5">
        <f>[1]Capital!P36+[1]Capital!P38</f>
        <v>3078976.6825000001</v>
      </c>
      <c r="R178" s="5">
        <f>[1]Capital!Q36+[1]Capital!Q38</f>
        <v>3143992.4170999997</v>
      </c>
      <c r="S178" s="5">
        <f>[1]Capital!R36+[1]Capital!R38</f>
        <v>3210483.9787999997</v>
      </c>
      <c r="T178" s="5">
        <f>[1]Capital!S36+[1]Capital!S38</f>
        <v>3278476.3221</v>
      </c>
      <c r="U178" s="5">
        <f>[1]Capital!T36+[1]Capital!T38</f>
        <v>3348102.8301999997</v>
      </c>
      <c r="V178" s="5">
        <f>[1]Capital!U36+[1]Capital!U38</f>
        <v>3419564.4701</v>
      </c>
      <c r="W178" s="5">
        <f>[1]Capital!V36+[1]Capital!V38</f>
        <v>3493012.9644999998</v>
      </c>
      <c r="X178" s="5">
        <f>[1]Capital!W36+[1]Capital!W38</f>
        <v>3568745.4558000001</v>
      </c>
      <c r="Y178" s="5">
        <f>[1]Capital!X36+[1]Capital!X38</f>
        <v>3647081.2736</v>
      </c>
      <c r="Z178" s="5">
        <f>[1]Capital!Y36+[1]Capital!Y38</f>
        <v>3728359.0800999999</v>
      </c>
      <c r="AA178" s="5">
        <f>[1]Capital!Z36+[1]Capital!Z38</f>
        <v>3812913.2982000001</v>
      </c>
      <c r="AB178" s="5">
        <f>[1]Capital!AA36+[1]Capital!AA38</f>
        <v>3900787.0718</v>
      </c>
      <c r="AC178" s="5">
        <f>[1]Capital!AB36+[1]Capital!AB38</f>
        <v>3992231.8090000004</v>
      </c>
      <c r="AD178" s="5">
        <f>[1]Capital!AC36+[1]Capital!AC38</f>
        <v>4087509.2049000002</v>
      </c>
      <c r="AE178" s="5">
        <f>[1]Capital!AD36+[1]Capital!AD38</f>
        <v>4186915.0669999998</v>
      </c>
      <c r="AF178" s="5">
        <f>[1]Capital!AE36+[1]Capital!AE38</f>
        <v>4290755.8272000002</v>
      </c>
      <c r="AG178" s="5">
        <f>[1]Capital!AF36+[1]Capital!AF38</f>
        <v>4399312.7241000002</v>
      </c>
      <c r="AH178" s="5">
        <f>[1]Capital!AG36+[1]Capital!AG38</f>
        <v>4512823.3888999997</v>
      </c>
      <c r="AI178" s="5">
        <f>[1]Capital!AH36+[1]Capital!AH38</f>
        <v>4631489.2462999998</v>
      </c>
      <c r="AJ178" s="5">
        <f>[1]Capital!AI36+[1]Capital!AI38</f>
        <v>4755504.2286</v>
      </c>
      <c r="AK178" s="5">
        <f>[1]Capital!AJ36+[1]Capital!AJ38</f>
        <v>4885081.4726</v>
      </c>
      <c r="AL178" s="5">
        <f>[1]Capital!AK36+[1]Capital!AK38</f>
        <v>5020487.6458000001</v>
      </c>
    </row>
    <row r="179" spans="1:38" x14ac:dyDescent="0.35">
      <c r="B179" t="s">
        <v>29</v>
      </c>
      <c r="C179" s="5">
        <f>[1]Capital!B42+[1]Capital!B46</f>
        <v>22925.318532499998</v>
      </c>
      <c r="D179" s="5">
        <f>[1]Capital!C42+[1]Capital!C46</f>
        <v>23181.4841782</v>
      </c>
      <c r="E179" s="5">
        <f>[1]Capital!D42+[1]Capital!D46</f>
        <v>23435.940793499998</v>
      </c>
      <c r="F179" s="5">
        <f>[1]Capital!E42+[1]Capital!E46</f>
        <v>23689.626976300002</v>
      </c>
      <c r="G179" s="5">
        <f>[1]Capital!F42+[1]Capital!F46</f>
        <v>23947.4103674</v>
      </c>
      <c r="H179" s="5">
        <f>[1]Capital!G42+[1]Capital!G46</f>
        <v>24214.726595199998</v>
      </c>
      <c r="I179" s="5">
        <f>[1]Capital!H42+[1]Capital!H46</f>
        <v>24494.906932499998</v>
      </c>
      <c r="J179" s="5">
        <f>[1]Capital!I42+[1]Capital!I46</f>
        <v>24750.2999728</v>
      </c>
      <c r="K179" s="5">
        <f>[1]Capital!J42+[1]Capital!J46</f>
        <v>24968.304993599999</v>
      </c>
      <c r="L179" s="5">
        <f>[1]Capital!K42+[1]Capital!K46</f>
        <v>25151.406886100001</v>
      </c>
      <c r="M179" s="5">
        <f>[1]Capital!L42+[1]Capital!L46</f>
        <v>25300.349852699997</v>
      </c>
      <c r="N179" s="5">
        <f>[1]Capital!M42+[1]Capital!M46</f>
        <v>25412.698792499999</v>
      </c>
      <c r="O179" s="5">
        <f>[1]Capital!N42+[1]Capital!N46</f>
        <v>25485.767815200001</v>
      </c>
      <c r="P179" s="5">
        <f>[1]Capital!O42+[1]Capital!O46</f>
        <v>25518.040517699999</v>
      </c>
      <c r="Q179" s="5">
        <f>[1]Capital!P42+[1]Capital!P46</f>
        <v>25509.718172099998</v>
      </c>
      <c r="R179" s="5">
        <f>[1]Capital!Q42+[1]Capital!Q46</f>
        <v>25462.181560200002</v>
      </c>
      <c r="S179" s="5">
        <f>[1]Capital!R42+[1]Capital!R46</f>
        <v>25375.579767700001</v>
      </c>
      <c r="T179" s="5">
        <f>[1]Capital!S42+[1]Capital!S46</f>
        <v>25251.645802300001</v>
      </c>
      <c r="U179" s="5">
        <f>[1]Capital!T42+[1]Capital!T46</f>
        <v>25093.019433700003</v>
      </c>
      <c r="V179" s="5">
        <f>[1]Capital!U42+[1]Capital!U46</f>
        <v>24902.738721000002</v>
      </c>
      <c r="W179" s="5">
        <f>[1]Capital!V42+[1]Capital!V46</f>
        <v>24683.867303200001</v>
      </c>
      <c r="X179" s="5">
        <f>[1]Capital!W42+[1]Capital!W46</f>
        <v>24439.667416200002</v>
      </c>
      <c r="Y179" s="5">
        <f>[1]Capital!X42+[1]Capital!X46</f>
        <v>24173.454449000001</v>
      </c>
      <c r="Z179" s="5">
        <f>[1]Capital!Y42+[1]Capital!Y46</f>
        <v>23888.411178899998</v>
      </c>
      <c r="AA179" s="5">
        <f>[1]Capital!Z42+[1]Capital!Z46</f>
        <v>23587.401026899999</v>
      </c>
      <c r="AB179" s="5">
        <f>[1]Capital!AA42+[1]Capital!AA46</f>
        <v>23272.5991024</v>
      </c>
      <c r="AC179" s="5">
        <f>[1]Capital!AB42+[1]Capital!AB46</f>
        <v>22946.635161900002</v>
      </c>
      <c r="AD179" s="5">
        <f>[1]Capital!AC42+[1]Capital!AC46</f>
        <v>22611.8103778</v>
      </c>
      <c r="AE179" s="5">
        <f>[1]Capital!AD42+[1]Capital!AD46</f>
        <v>22270.082374400001</v>
      </c>
      <c r="AF179" s="5">
        <f>[1]Capital!AE42+[1]Capital!AE46</f>
        <v>21922.777237900002</v>
      </c>
      <c r="AG179" s="5">
        <f>[1]Capital!AF42+[1]Capital!AF46</f>
        <v>21570.432734200003</v>
      </c>
      <c r="AH179" s="5">
        <f>[1]Capital!AG42+[1]Capital!AG46</f>
        <v>21212.901268400001</v>
      </c>
      <c r="AI179" s="5">
        <f>[1]Capital!AH42+[1]Capital!AH46</f>
        <v>20849.525162599999</v>
      </c>
      <c r="AJ179" s="5">
        <f>[1]Capital!AI42+[1]Capital!AI46</f>
        <v>20479.2300521</v>
      </c>
      <c r="AK179" s="5">
        <f>[1]Capital!AJ42+[1]Capital!AJ46</f>
        <v>20100.6026719</v>
      </c>
      <c r="AL179" s="5">
        <f>[1]Capital!AK42+[1]Capital!AK46</f>
        <v>19711.986426699998</v>
      </c>
    </row>
    <row r="180" spans="1:38" x14ac:dyDescent="0.35">
      <c r="B180" t="s">
        <v>36</v>
      </c>
      <c r="C180" s="5">
        <f>[1]Capital!B44+[1]Capital!B48</f>
        <v>1941.7266677</v>
      </c>
      <c r="D180" s="5">
        <f>[1]Capital!C44+[1]Capital!C48</f>
        <v>1962.8767329000002</v>
      </c>
      <c r="E180" s="5">
        <f>[1]Capital!D44+[1]Capital!D48</f>
        <v>1983.1687425</v>
      </c>
      <c r="F180" s="5">
        <f>[1]Capital!E44+[1]Capital!E48</f>
        <v>2002.6661597000002</v>
      </c>
      <c r="G180" s="5">
        <f>[1]Capital!F44+[1]Capital!F48</f>
        <v>2021.8554233</v>
      </c>
      <c r="H180" s="5">
        <f>[1]Capital!G44+[1]Capital!G48</f>
        <v>2041.2677931999999</v>
      </c>
      <c r="I180" s="5">
        <f>[1]Capital!H44+[1]Capital!H48</f>
        <v>2061.1957509999997</v>
      </c>
      <c r="J180" s="5">
        <f>[1]Capital!I44+[1]Capital!I48</f>
        <v>2106.3309012999998</v>
      </c>
      <c r="K180" s="5">
        <f>[1]Capital!J44+[1]Capital!J48</f>
        <v>2185.3191271000001</v>
      </c>
      <c r="L180" s="5">
        <f>[1]Capital!K44+[1]Capital!K48</f>
        <v>2302.1236303000001</v>
      </c>
      <c r="M180" s="5">
        <f>[1]Capital!L44+[1]Capital!L48</f>
        <v>2459.0968788</v>
      </c>
      <c r="N180" s="5">
        <f>[1]Capital!M44+[1]Capital!M48</f>
        <v>2658.0816030999999</v>
      </c>
      <c r="O180" s="5">
        <f>[1]Capital!N44+[1]Capital!N48</f>
        <v>2900.6823677000002</v>
      </c>
      <c r="P180" s="5">
        <f>[1]Capital!O44+[1]Capital!O48</f>
        <v>3188.3822172999999</v>
      </c>
      <c r="Q180" s="5">
        <f>[1]Capital!P44+[1]Capital!P48</f>
        <v>3522.6150108000002</v>
      </c>
      <c r="R180" s="5">
        <f>[1]Capital!Q44+[1]Capital!Q48</f>
        <v>3904.7527454999999</v>
      </c>
      <c r="S180" s="5">
        <f>[1]Capital!R44+[1]Capital!R48</f>
        <v>4335.9368014000001</v>
      </c>
      <c r="T180" s="5">
        <f>[1]Capital!S44+[1]Capital!S48</f>
        <v>4817.2661360999991</v>
      </c>
      <c r="U180" s="5">
        <f>[1]Capital!T44+[1]Capital!T48</f>
        <v>5349.8960707000006</v>
      </c>
      <c r="V180" s="5">
        <f>[1]Capital!U44+[1]Capital!U48</f>
        <v>5935.0679662999992</v>
      </c>
      <c r="W180" s="5">
        <f>[1]Capital!V44+[1]Capital!V48</f>
        <v>6574.0666062999999</v>
      </c>
      <c r="X180" s="5">
        <f>[1]Capital!W44+[1]Capital!W48</f>
        <v>7268.4003090999995</v>
      </c>
      <c r="Y180" s="5">
        <f>[1]Capital!X44+[1]Capital!X48</f>
        <v>8019.8420441999997</v>
      </c>
      <c r="Z180" s="5">
        <f>[1]Capital!Y44+[1]Capital!Y48</f>
        <v>8830.4537180999996</v>
      </c>
      <c r="AA180" s="5">
        <f>[1]Capital!Z44+[1]Capital!Z48</f>
        <v>9702.5893150000011</v>
      </c>
      <c r="AB180" s="5">
        <f>[1]Capital!AA44+[1]Capital!AA48</f>
        <v>10638.637608000001</v>
      </c>
      <c r="AC180" s="5">
        <f>[1]Capital!AB44+[1]Capital!AB48</f>
        <v>11641.559261</v>
      </c>
      <c r="AD180" s="5">
        <f>[1]Capital!AC44+[1]Capital!AC48</f>
        <v>12715.067678000001</v>
      </c>
      <c r="AE180" s="5">
        <f>[1]Capital!AD44+[1]Capital!AD48</f>
        <v>13863.670979999999</v>
      </c>
      <c r="AF180" s="5">
        <f>[1]Capital!AE44+[1]Capital!AE48</f>
        <v>15092.595756000001</v>
      </c>
      <c r="AG180" s="5">
        <f>[1]Capital!AF44+[1]Capital!AF48</f>
        <v>16407.746716000001</v>
      </c>
      <c r="AH180" s="5">
        <f>[1]Capital!AG44+[1]Capital!AG48</f>
        <v>17815.869901999999</v>
      </c>
      <c r="AI180" s="5">
        <f>[1]Capital!AH44+[1]Capital!AH48</f>
        <v>19324.898451000001</v>
      </c>
      <c r="AJ180" s="5">
        <f>[1]Capital!AI44+[1]Capital!AI48</f>
        <v>20944.398970999999</v>
      </c>
      <c r="AK180" s="5">
        <f>[1]Capital!AJ44+[1]Capital!AJ48</f>
        <v>22686.285767999998</v>
      </c>
      <c r="AL180" s="5">
        <f>[1]Capital!AK44+[1]Capital!AK48</f>
        <v>24566.072619999999</v>
      </c>
    </row>
    <row r="181" spans="1:38" x14ac:dyDescent="0.35">
      <c r="B181" t="s">
        <v>33</v>
      </c>
      <c r="C181" s="5">
        <f>[1]Capital!B50+[1]Capital!B52+[1]Capital!B54+[1]Capital!B56+[1]Capital!B58+[1]Capital!B60+[1]Capital!B62+[1]Capital!B64+[1]Capital!B66</f>
        <v>40303.597149320005</v>
      </c>
      <c r="D181" s="5">
        <f>[1]Capital!C50+[1]Capital!C52+[1]Capital!C54+[1]Capital!C56+[1]Capital!C58+[1]Capital!C60+[1]Capital!C62+[1]Capital!C64+[1]Capital!C66</f>
        <v>40781.909632179995</v>
      </c>
      <c r="E181" s="5">
        <f>[1]Capital!D50+[1]Capital!D52+[1]Capital!D54+[1]Capital!D56+[1]Capital!D58+[1]Capital!D60+[1]Capital!D62+[1]Capital!D64+[1]Capital!D66</f>
        <v>41275.493872109997</v>
      </c>
      <c r="F181" s="5">
        <f>[1]Capital!E50+[1]Capital!E52+[1]Capital!E54+[1]Capital!E56+[1]Capital!E58+[1]Capital!E60+[1]Capital!E62+[1]Capital!E64+[1]Capital!E66</f>
        <v>41786.90724909</v>
      </c>
      <c r="G181" s="5">
        <f>[1]Capital!F50+[1]Capital!F52+[1]Capital!F54+[1]Capital!F56+[1]Capital!F58+[1]Capital!F60+[1]Capital!F62+[1]Capital!F64+[1]Capital!F66</f>
        <v>42313.148052179997</v>
      </c>
      <c r="H181" s="5">
        <f>[1]Capital!G50+[1]Capital!G52+[1]Capital!G54+[1]Capital!G56+[1]Capital!G58+[1]Capital!G60+[1]Capital!G62+[1]Capital!G64+[1]Capital!G66</f>
        <v>42853.51241358999</v>
      </c>
      <c r="I181" s="5">
        <f>[1]Capital!H50+[1]Capital!H52+[1]Capital!H54+[1]Capital!H56+[1]Capital!H58+[1]Capital!H60+[1]Capital!H62+[1]Capital!H64+[1]Capital!H66</f>
        <v>43409.377497900001</v>
      </c>
      <c r="J181" s="5">
        <f>[1]Capital!I50+[1]Capital!I52+[1]Capital!I54+[1]Capital!I56+[1]Capital!I58+[1]Capital!I60+[1]Capital!I62+[1]Capital!I64+[1]Capital!I66</f>
        <v>44067.007962989999</v>
      </c>
      <c r="K181" s="5">
        <f>[1]Capital!J50+[1]Capital!J52+[1]Capital!J54+[1]Capital!J56+[1]Capital!J58+[1]Capital!J60+[1]Capital!J62+[1]Capital!J64+[1]Capital!J66</f>
        <v>44868.247657250002</v>
      </c>
      <c r="L181" s="5">
        <f>[1]Capital!K50+[1]Capital!K52+[1]Capital!K54+[1]Capital!K56+[1]Capital!K58+[1]Capital!K60+[1]Capital!K62+[1]Capital!K64+[1]Capital!K66</f>
        <v>45841.913985060011</v>
      </c>
      <c r="M181" s="5">
        <f>[1]Capital!L50+[1]Capital!L52+[1]Capital!L54+[1]Capital!L56+[1]Capital!L58+[1]Capital!L60+[1]Capital!L62+[1]Capital!L64+[1]Capital!L66</f>
        <v>47000.499434469995</v>
      </c>
      <c r="N181" s="5">
        <f>[1]Capital!M50+[1]Capital!M52+[1]Capital!M54+[1]Capital!M56+[1]Capital!M58+[1]Capital!M60+[1]Capital!M62+[1]Capital!M64+[1]Capital!M66</f>
        <v>48332.165195049995</v>
      </c>
      <c r="O181" s="5">
        <f>[1]Capital!N50+[1]Capital!N52+[1]Capital!N54+[1]Capital!N56+[1]Capital!N58+[1]Capital!N60+[1]Capital!N62+[1]Capital!N64+[1]Capital!N66</f>
        <v>49824.382201300003</v>
      </c>
      <c r="P181" s="5">
        <f>[1]Capital!O50+[1]Capital!O52+[1]Capital!O54+[1]Capital!O56+[1]Capital!O58+[1]Capital!O60+[1]Capital!O62+[1]Capital!O64+[1]Capital!O66</f>
        <v>51471.767678579992</v>
      </c>
      <c r="Q181" s="5">
        <f>[1]Capital!P50+[1]Capital!P52+[1]Capital!P54+[1]Capital!P56+[1]Capital!P58+[1]Capital!P60+[1]Capital!P62+[1]Capital!P64+[1]Capital!P66</f>
        <v>53277.880742050009</v>
      </c>
      <c r="R181" s="5">
        <f>[1]Capital!Q50+[1]Capital!Q52+[1]Capital!Q54+[1]Capital!Q56+[1]Capital!Q58+[1]Capital!Q60+[1]Capital!Q62+[1]Capital!Q64+[1]Capital!Q66</f>
        <v>55253.76027203002</v>
      </c>
      <c r="S181" s="5">
        <f>[1]Capital!R50+[1]Capital!R52+[1]Capital!R54+[1]Capital!R56+[1]Capital!R58+[1]Capital!R60+[1]Capital!R62+[1]Capital!R64+[1]Capital!R66</f>
        <v>57416.082939969994</v>
      </c>
      <c r="T181" s="5">
        <f>[1]Capital!S50+[1]Capital!S52+[1]Capital!S54+[1]Capital!S56+[1]Capital!S58+[1]Capital!S60+[1]Capital!S62+[1]Capital!S64+[1]Capital!S66</f>
        <v>59787.727320440004</v>
      </c>
      <c r="U181" s="5">
        <f>[1]Capital!T50+[1]Capital!T52+[1]Capital!T54+[1]Capital!T56+[1]Capital!T58+[1]Capital!T60+[1]Capital!T62+[1]Capital!T64+[1]Capital!T66</f>
        <v>62396.373723789999</v>
      </c>
      <c r="V181" s="5">
        <f>[1]Capital!U50+[1]Capital!U52+[1]Capital!U54+[1]Capital!U56+[1]Capital!U58+[1]Capital!U60+[1]Capital!U62+[1]Capital!U64+[1]Capital!U66</f>
        <v>65275.004010739991</v>
      </c>
      <c r="W181" s="5">
        <f>[1]Capital!V50+[1]Capital!V52+[1]Capital!V54+[1]Capital!V56+[1]Capital!V58+[1]Capital!V60+[1]Capital!V62+[1]Capital!V64+[1]Capital!V66</f>
        <v>68461.901845609988</v>
      </c>
      <c r="X181" s="5">
        <f>[1]Capital!W50+[1]Capital!W52+[1]Capital!W54+[1]Capital!W56+[1]Capital!W58+[1]Capital!W60+[1]Capital!W62+[1]Capital!W64+[1]Capital!W66</f>
        <v>72005.399318080003</v>
      </c>
      <c r="Y181" s="5">
        <f>[1]Capital!X50+[1]Capital!X52+[1]Capital!X54+[1]Capital!X56+[1]Capital!X58+[1]Capital!X60+[1]Capital!X62+[1]Capital!X64+[1]Capital!X66</f>
        <v>75964.879614389996</v>
      </c>
      <c r="Z181" s="5">
        <f>[1]Capital!Y50+[1]Capital!Y52+[1]Capital!Y54+[1]Capital!Y56+[1]Capital!Y58+[1]Capital!Y60+[1]Capital!Y62+[1]Capital!Y64+[1]Capital!Y66</f>
        <v>80412.169681590007</v>
      </c>
      <c r="AA181" s="5">
        <f>[1]Capital!Z50+[1]Capital!Z52+[1]Capital!Z54+[1]Capital!Z56+[1]Capital!Z58+[1]Capital!Z60+[1]Capital!Z62+[1]Capital!Z64+[1]Capital!Z66</f>
        <v>85433.42963844999</v>
      </c>
      <c r="AB181" s="5">
        <f>[1]Capital!AA50+[1]Capital!AA52+[1]Capital!AA54+[1]Capital!AA56+[1]Capital!AA58+[1]Capital!AA60+[1]Capital!AA62+[1]Capital!AA64+[1]Capital!AA66</f>
        <v>91126.902311890008</v>
      </c>
      <c r="AC181" s="5">
        <f>[1]Capital!AB50+[1]Capital!AB52+[1]Capital!AB54+[1]Capital!AB56+[1]Capital!AB58+[1]Capital!AB60+[1]Capital!AB62+[1]Capital!AB64+[1]Capital!AB66</f>
        <v>97618.707206039981</v>
      </c>
      <c r="AD181" s="5">
        <f>[1]Capital!AC50+[1]Capital!AC52+[1]Capital!AC54+[1]Capital!AC56+[1]Capital!AC58+[1]Capital!AC60+[1]Capital!AC62+[1]Capital!AC64+[1]Capital!AC66</f>
        <v>105066.74376776</v>
      </c>
      <c r="AE181" s="5">
        <f>[1]Capital!AD50+[1]Capital!AD52+[1]Capital!AD54+[1]Capital!AD56+[1]Capital!AD58+[1]Capital!AD60+[1]Capital!AD62+[1]Capital!AD64+[1]Capital!AD66</f>
        <v>113667.74605520001</v>
      </c>
      <c r="AF181" s="5">
        <f>[1]Capital!AE50+[1]Capital!AE52+[1]Capital!AE54+[1]Capital!AE56+[1]Capital!AE58+[1]Capital!AE60+[1]Capital!AE62+[1]Capital!AE64+[1]Capital!AE66</f>
        <v>123665.69280999999</v>
      </c>
      <c r="AG181" s="5">
        <f>[1]Capital!AF50+[1]Capital!AF52+[1]Capital!AF54+[1]Capital!AF56+[1]Capital!AF58+[1]Capital!AF60+[1]Capital!AF62+[1]Capital!AF64+[1]Capital!AF66</f>
        <v>135364.8624066</v>
      </c>
      <c r="AH181" s="5">
        <f>[1]Capital!AG50+[1]Capital!AG52+[1]Capital!AG54+[1]Capital!AG56+[1]Capital!AG58+[1]Capital!AG60+[1]Capital!AG62+[1]Capital!AG64+[1]Capital!AG66</f>
        <v>149152.26840440003</v>
      </c>
      <c r="AI181" s="5">
        <f>[1]Capital!AH50+[1]Capital!AH52+[1]Capital!AH54+[1]Capital!AH56+[1]Capital!AH58+[1]Capital!AH60+[1]Capital!AH62+[1]Capital!AH64+[1]Capital!AH66</f>
        <v>165532.89010670001</v>
      </c>
      <c r="AJ181" s="5">
        <f>[1]Capital!AI50+[1]Capital!AI52+[1]Capital!AI54+[1]Capital!AI56+[1]Capital!AI58+[1]Capital!AI60+[1]Capital!AI62+[1]Capital!AI64+[1]Capital!AI66</f>
        <v>185182.25107260002</v>
      </c>
      <c r="AK181" s="5">
        <f>[1]Capital!AJ50+[1]Capital!AJ52+[1]Capital!AJ54+[1]Capital!AJ56+[1]Capital!AJ58+[1]Capital!AJ60+[1]Capital!AJ62+[1]Capital!AJ64+[1]Capital!AJ66</f>
        <v>209029.87275199997</v>
      </c>
      <c r="AL181" s="5">
        <f>[1]Capital!AK50+[1]Capital!AK52+[1]Capital!AK54+[1]Capital!AK56+[1]Capital!AK58+[1]Capital!AK60+[1]Capital!AK62+[1]Capital!AK64+[1]Capital!AK66</f>
        <v>238397.85033070002</v>
      </c>
    </row>
    <row r="182" spans="1:3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</row>
    <row r="184" spans="1:38" x14ac:dyDescent="0.35">
      <c r="A184" s="12" t="s">
        <v>42</v>
      </c>
      <c r="B184" t="s">
        <v>40</v>
      </c>
      <c r="C184" s="9">
        <f t="shared" ref="C184:AL184" si="16">C174/C136/(C164/C125)-1</f>
        <v>-2.5946067516713356E-10</v>
      </c>
      <c r="D184" s="9">
        <f t="shared" si="16"/>
        <v>0</v>
      </c>
      <c r="E184" s="9">
        <f t="shared" si="16"/>
        <v>0</v>
      </c>
      <c r="F184" s="9">
        <f t="shared" si="16"/>
        <v>0</v>
      </c>
      <c r="G184" s="9">
        <f t="shared" si="16"/>
        <v>0</v>
      </c>
      <c r="H184" s="9">
        <f t="shared" si="16"/>
        <v>0</v>
      </c>
      <c r="I184" s="9">
        <f t="shared" si="16"/>
        <v>0</v>
      </c>
      <c r="J184" s="9">
        <f t="shared" si="16"/>
        <v>2.0141630897654306E-3</v>
      </c>
      <c r="K184" s="9">
        <f t="shared" si="16"/>
        <v>3.8776007114516009E-3</v>
      </c>
      <c r="L184" s="9">
        <f t="shared" si="16"/>
        <v>1.7555368216108924E-3</v>
      </c>
      <c r="M184" s="9">
        <f t="shared" si="16"/>
        <v>-7.1985264060114851E-4</v>
      </c>
      <c r="N184" s="9">
        <f t="shared" si="16"/>
        <v>-2.745605428551845E-3</v>
      </c>
      <c r="O184" s="9">
        <f t="shared" si="16"/>
        <v>-4.1359994286661594E-3</v>
      </c>
      <c r="P184" s="9">
        <f t="shared" si="16"/>
        <v>-5.0820606833333892E-3</v>
      </c>
      <c r="Q184" s="9">
        <f t="shared" si="16"/>
        <v>-5.8677837317407944E-3</v>
      </c>
      <c r="R184" s="9">
        <f t="shared" si="16"/>
        <v>-6.5233524911082474E-3</v>
      </c>
      <c r="S184" s="9">
        <f t="shared" si="16"/>
        <v>-6.740179788730094E-3</v>
      </c>
      <c r="T184" s="9">
        <f t="shared" si="16"/>
        <v>-6.5949238918704411E-3</v>
      </c>
      <c r="U184" s="9">
        <f t="shared" si="16"/>
        <v>-6.1569247504968949E-3</v>
      </c>
      <c r="V184" s="9">
        <f t="shared" si="16"/>
        <v>-5.5079609865854584E-3</v>
      </c>
      <c r="W184" s="9">
        <f t="shared" si="16"/>
        <v>-4.7162737805137578E-3</v>
      </c>
      <c r="X184" s="9">
        <f t="shared" si="16"/>
        <v>-3.8337870582343392E-3</v>
      </c>
      <c r="Y184" s="9">
        <f t="shared" si="16"/>
        <v>-2.9071238665623333E-3</v>
      </c>
      <c r="Z184" s="9">
        <f t="shared" si="16"/>
        <v>-1.9742147438545077E-3</v>
      </c>
      <c r="AA184" s="9">
        <f t="shared" si="16"/>
        <v>-1.0726256170292547E-3</v>
      </c>
      <c r="AB184" s="9">
        <f t="shared" si="16"/>
        <v>-2.3521183360553088E-4</v>
      </c>
      <c r="AC184" s="9">
        <f t="shared" si="16"/>
        <v>4.7001097327603603E-4</v>
      </c>
      <c r="AD184" s="9">
        <f t="shared" si="16"/>
        <v>1.0035116902409325E-3</v>
      </c>
      <c r="AE184" s="9">
        <f t="shared" si="16"/>
        <v>1.3031219939931837E-3</v>
      </c>
      <c r="AF184" s="9">
        <f t="shared" si="16"/>
        <v>1.2892784948077551E-3</v>
      </c>
      <c r="AG184" s="9">
        <f t="shared" si="16"/>
        <v>8.7264293665212378E-4</v>
      </c>
      <c r="AH184" s="9">
        <f t="shared" si="16"/>
        <v>-5.7279609116500652E-5</v>
      </c>
      <c r="AI184" s="9">
        <f t="shared" si="16"/>
        <v>-1.6507820874361867E-3</v>
      </c>
      <c r="AJ184" s="9">
        <f t="shared" si="16"/>
        <v>-4.1137327693386849E-3</v>
      </c>
      <c r="AK184" s="9">
        <f t="shared" si="16"/>
        <v>-7.7452433595501802E-3</v>
      </c>
      <c r="AL184" s="9">
        <f t="shared" si="16"/>
        <v>-1.2995272719323547E-2</v>
      </c>
    </row>
    <row r="185" spans="1:38" x14ac:dyDescent="0.35">
      <c r="A185" t="s">
        <v>85</v>
      </c>
      <c r="B185" t="s">
        <v>7</v>
      </c>
      <c r="C185" s="9">
        <f t="shared" ref="C185:AL185" si="17">C175/C137/(C165/C126)-1</f>
        <v>0</v>
      </c>
      <c r="D185" s="9">
        <f t="shared" si="17"/>
        <v>0</v>
      </c>
      <c r="E185" s="9">
        <f t="shared" si="17"/>
        <v>-1.0963452368173421E-11</v>
      </c>
      <c r="F185" s="9">
        <f t="shared" si="17"/>
        <v>-1.0746958878371515E-11</v>
      </c>
      <c r="G185" s="9">
        <f t="shared" si="17"/>
        <v>0</v>
      </c>
      <c r="H185" s="9">
        <f t="shared" si="17"/>
        <v>0</v>
      </c>
      <c r="I185" s="9">
        <f t="shared" si="17"/>
        <v>-1.0025758001575014E-11</v>
      </c>
      <c r="J185" s="9">
        <f t="shared" si="17"/>
        <v>4.6465447669106208E-3</v>
      </c>
      <c r="K185" s="9">
        <f t="shared" si="17"/>
        <v>1.0215453155435705E-2</v>
      </c>
      <c r="L185" s="9">
        <f t="shared" si="17"/>
        <v>1.2236756150691974E-2</v>
      </c>
      <c r="M185" s="9">
        <f t="shared" si="17"/>
        <v>1.4653335744724716E-2</v>
      </c>
      <c r="N185" s="9">
        <f t="shared" si="17"/>
        <v>1.7725534751564131E-2</v>
      </c>
      <c r="O185" s="9">
        <f t="shared" si="17"/>
        <v>2.1364066483895661E-2</v>
      </c>
      <c r="P185" s="9">
        <f t="shared" si="17"/>
        <v>2.5214454354452576E-2</v>
      </c>
      <c r="Q185" s="9">
        <f t="shared" si="17"/>
        <v>2.893672731440522E-2</v>
      </c>
      <c r="R185" s="9">
        <f t="shared" si="17"/>
        <v>3.252967754342273E-2</v>
      </c>
      <c r="S185" s="9">
        <f t="shared" si="17"/>
        <v>3.6344779563348251E-2</v>
      </c>
      <c r="T185" s="9">
        <f t="shared" si="17"/>
        <v>4.0594522976823422E-2</v>
      </c>
      <c r="U185" s="9">
        <f t="shared" si="17"/>
        <v>4.5278168768567939E-2</v>
      </c>
      <c r="V185" s="9">
        <f t="shared" si="17"/>
        <v>5.0296719596534922E-2</v>
      </c>
      <c r="W185" s="9">
        <f t="shared" si="17"/>
        <v>5.5531190211554282E-2</v>
      </c>
      <c r="X185" s="9">
        <f t="shared" si="17"/>
        <v>6.0857226261342046E-2</v>
      </c>
      <c r="Y185" s="9">
        <f t="shared" si="17"/>
        <v>6.6155065286433778E-2</v>
      </c>
      <c r="Z185" s="9">
        <f t="shared" si="17"/>
        <v>7.1310111996401249E-2</v>
      </c>
      <c r="AA185" s="9">
        <f t="shared" si="17"/>
        <v>7.6210501681493792E-2</v>
      </c>
      <c r="AB185" s="9">
        <f t="shared" si="17"/>
        <v>8.0769072036865674E-2</v>
      </c>
      <c r="AC185" s="9">
        <f t="shared" si="17"/>
        <v>8.5013118898551898E-2</v>
      </c>
      <c r="AD185" s="9">
        <f t="shared" si="17"/>
        <v>8.8661710892513179E-2</v>
      </c>
      <c r="AE185" s="9">
        <f t="shared" si="17"/>
        <v>9.1574150994301107E-2</v>
      </c>
      <c r="AF185" s="9">
        <f t="shared" si="17"/>
        <v>9.361943006976281E-2</v>
      </c>
      <c r="AG185" s="9">
        <f t="shared" si="17"/>
        <v>9.4685012219103637E-2</v>
      </c>
      <c r="AH185" s="9">
        <f t="shared" si="17"/>
        <v>9.4670909639390066E-2</v>
      </c>
      <c r="AI185" s="9">
        <f t="shared" si="17"/>
        <v>9.3472652388335131E-2</v>
      </c>
      <c r="AJ185" s="9">
        <f t="shared" si="17"/>
        <v>9.0974321289666982E-2</v>
      </c>
      <c r="AK185" s="9">
        <f t="shared" si="17"/>
        <v>8.7034734748886011E-2</v>
      </c>
      <c r="AL185" s="9">
        <f t="shared" si="17"/>
        <v>8.1468785726010795E-2</v>
      </c>
    </row>
    <row r="186" spans="1:38" x14ac:dyDescent="0.35">
      <c r="B186" t="s">
        <v>30</v>
      </c>
      <c r="C186" s="9">
        <f t="shared" ref="C186:AL186" si="18">C176/C138/(C166/C127)-1</f>
        <v>-2.0430324099152131E-12</v>
      </c>
      <c r="D186" s="9">
        <f t="shared" si="18"/>
        <v>2.8077540292770209E-12</v>
      </c>
      <c r="E186" s="9">
        <f t="shared" si="18"/>
        <v>1.2902789947588644E-11</v>
      </c>
      <c r="F186" s="9">
        <f t="shared" si="18"/>
        <v>4.8521853202032617E-11</v>
      </c>
      <c r="G186" s="9">
        <f t="shared" si="18"/>
        <v>1.0014100659816449E-10</v>
      </c>
      <c r="H186" s="9">
        <f t="shared" si="18"/>
        <v>5.8334670427484525E-11</v>
      </c>
      <c r="I186" s="9">
        <f t="shared" si="18"/>
        <v>2.1069923583638683E-10</v>
      </c>
      <c r="J186" s="9">
        <f t="shared" si="18"/>
        <v>4.7895090733713896E-3</v>
      </c>
      <c r="K186" s="9">
        <f t="shared" si="18"/>
        <v>9.2867307335668947E-3</v>
      </c>
      <c r="L186" s="9">
        <f t="shared" si="18"/>
        <v>7.8593932150377022E-3</v>
      </c>
      <c r="M186" s="9">
        <f t="shared" si="18"/>
        <v>6.3254352129167302E-3</v>
      </c>
      <c r="N186" s="9">
        <f t="shared" si="18"/>
        <v>5.3353511542018062E-3</v>
      </c>
      <c r="O186" s="9">
        <f t="shared" si="18"/>
        <v>5.1812421864740887E-3</v>
      </c>
      <c r="P186" s="9">
        <f t="shared" si="18"/>
        <v>5.4874271223253057E-3</v>
      </c>
      <c r="Q186" s="9">
        <f t="shared" si="18"/>
        <v>5.7747074424567835E-3</v>
      </c>
      <c r="R186" s="9">
        <f t="shared" si="18"/>
        <v>6.0012795843329414E-3</v>
      </c>
      <c r="S186" s="9">
        <f t="shared" si="18"/>
        <v>6.7335718228858088E-3</v>
      </c>
      <c r="T186" s="9">
        <f t="shared" si="18"/>
        <v>7.8157315741043121E-3</v>
      </c>
      <c r="U186" s="9">
        <f t="shared" si="18"/>
        <v>9.1604777705178719E-3</v>
      </c>
      <c r="V186" s="9">
        <f t="shared" si="18"/>
        <v>1.0682343634264013E-2</v>
      </c>
      <c r="W186" s="9">
        <f t="shared" si="18"/>
        <v>1.2315144797090172E-2</v>
      </c>
      <c r="X186" s="9">
        <f t="shared" si="18"/>
        <v>1.4000379137256047E-2</v>
      </c>
      <c r="Y186" s="9">
        <f t="shared" si="18"/>
        <v>1.5702961763444545E-2</v>
      </c>
      <c r="Z186" s="9">
        <f t="shared" si="18"/>
        <v>1.7407676530897698E-2</v>
      </c>
      <c r="AA186" s="9">
        <f t="shared" si="18"/>
        <v>1.9100410694084413E-2</v>
      </c>
      <c r="AB186" s="9">
        <f t="shared" si="18"/>
        <v>2.0783319638298492E-2</v>
      </c>
      <c r="AC186" s="9">
        <f t="shared" si="18"/>
        <v>2.2397998475318426E-2</v>
      </c>
      <c r="AD186" s="9">
        <f t="shared" si="18"/>
        <v>2.3946876662167771E-2</v>
      </c>
      <c r="AE186" s="9">
        <f t="shared" si="18"/>
        <v>2.5435178128713654E-2</v>
      </c>
      <c r="AF186" s="9">
        <f t="shared" si="18"/>
        <v>2.6841234834527494E-2</v>
      </c>
      <c r="AG186" s="9">
        <f t="shared" si="18"/>
        <v>2.8130160957984041E-2</v>
      </c>
      <c r="AH186" s="9">
        <f t="shared" si="18"/>
        <v>2.9249360267558977E-2</v>
      </c>
      <c r="AI186" s="9">
        <f t="shared" si="18"/>
        <v>3.0128481150837771E-2</v>
      </c>
      <c r="AJ186" s="9">
        <f t="shared" si="18"/>
        <v>3.0680966573636503E-2</v>
      </c>
      <c r="AK186" s="9">
        <f t="shared" si="18"/>
        <v>3.0767214470367898E-2</v>
      </c>
      <c r="AL186" s="9">
        <f t="shared" si="18"/>
        <v>3.0160029824634949E-2</v>
      </c>
    </row>
    <row r="187" spans="1:38" x14ac:dyDescent="0.35">
      <c r="B187" t="s">
        <v>9</v>
      </c>
      <c r="C187" s="9">
        <f t="shared" ref="C187:AL187" si="19">C177/C139/(C167/C128)-1</f>
        <v>0</v>
      </c>
      <c r="D187" s="9">
        <f t="shared" si="19"/>
        <v>0</v>
      </c>
      <c r="E187" s="9">
        <f t="shared" si="19"/>
        <v>0</v>
      </c>
      <c r="F187" s="9">
        <f t="shared" si="19"/>
        <v>-7.7465145409405523E-11</v>
      </c>
      <c r="G187" s="9">
        <f t="shared" si="19"/>
        <v>-1.143000138981165E-10</v>
      </c>
      <c r="H187" s="9">
        <f t="shared" si="19"/>
        <v>0</v>
      </c>
      <c r="I187" s="9">
        <f t="shared" si="19"/>
        <v>-3.8103076249740297E-11</v>
      </c>
      <c r="J187" s="9">
        <f t="shared" si="19"/>
        <v>4.7626789970942607E-3</v>
      </c>
      <c r="K187" s="9">
        <f t="shared" si="19"/>
        <v>9.2767857821394184E-3</v>
      </c>
      <c r="L187" s="9">
        <f t="shared" si="19"/>
        <v>8.0394778373944487E-3</v>
      </c>
      <c r="M187" s="9">
        <f t="shared" si="19"/>
        <v>6.8523801158988373E-3</v>
      </c>
      <c r="N187" s="9">
        <f t="shared" si="19"/>
        <v>6.3134733429073275E-3</v>
      </c>
      <c r="O187" s="9">
        <f t="shared" si="19"/>
        <v>7.0475990731351246E-3</v>
      </c>
      <c r="P187" s="9">
        <f t="shared" si="19"/>
        <v>8.766876608984342E-3</v>
      </c>
      <c r="Q187" s="9">
        <f t="shared" si="19"/>
        <v>1.0982953781919935E-2</v>
      </c>
      <c r="R187" s="9">
        <f t="shared" si="19"/>
        <v>1.3601747111431362E-2</v>
      </c>
      <c r="S187" s="9">
        <f t="shared" si="19"/>
        <v>1.6939210146577066E-2</v>
      </c>
      <c r="T187" s="9">
        <f t="shared" si="19"/>
        <v>2.0860507284133689E-2</v>
      </c>
      <c r="U187" s="9">
        <f t="shared" si="19"/>
        <v>2.5160546896929814E-2</v>
      </c>
      <c r="V187" s="9">
        <f t="shared" si="19"/>
        <v>2.9671054446215983E-2</v>
      </c>
      <c r="W187" s="9">
        <f t="shared" si="19"/>
        <v>3.4252197998075662E-2</v>
      </c>
      <c r="X187" s="9">
        <f t="shared" si="19"/>
        <v>3.8755395784797697E-2</v>
      </c>
      <c r="Y187" s="9">
        <f t="shared" si="19"/>
        <v>4.3064669317256277E-2</v>
      </c>
      <c r="Z187" s="9">
        <f t="shared" si="19"/>
        <v>4.7165229000563302E-2</v>
      </c>
      <c r="AA187" s="9">
        <f t="shared" si="19"/>
        <v>5.1055794497731899E-2</v>
      </c>
      <c r="AB187" s="9">
        <f t="shared" si="19"/>
        <v>5.4714078314227477E-2</v>
      </c>
      <c r="AC187" s="9">
        <f t="shared" si="19"/>
        <v>5.7897138322628772E-2</v>
      </c>
      <c r="AD187" s="9">
        <f t="shared" si="19"/>
        <v>6.0362783618379323E-2</v>
      </c>
      <c r="AE187" s="9">
        <f t="shared" si="19"/>
        <v>6.212025826331935E-2</v>
      </c>
      <c r="AF187" s="9">
        <f t="shared" si="19"/>
        <v>6.321593591838548E-2</v>
      </c>
      <c r="AG187" s="9">
        <f t="shared" si="19"/>
        <v>6.3679011010497222E-2</v>
      </c>
      <c r="AH187" s="9">
        <f t="shared" si="19"/>
        <v>6.3426278518672108E-2</v>
      </c>
      <c r="AI187" s="9">
        <f t="shared" si="19"/>
        <v>6.2325907987548446E-2</v>
      </c>
      <c r="AJ187" s="9">
        <f t="shared" si="19"/>
        <v>6.0336648288302541E-2</v>
      </c>
      <c r="AK187" s="9">
        <f t="shared" si="19"/>
        <v>5.7414138555057059E-2</v>
      </c>
      <c r="AL187" s="9">
        <f t="shared" si="19"/>
        <v>5.3467940688908699E-2</v>
      </c>
    </row>
    <row r="188" spans="1:38" x14ac:dyDescent="0.35">
      <c r="B188" t="s">
        <v>10</v>
      </c>
      <c r="C188" s="9">
        <f t="shared" ref="C188:AL188" si="20">C178/C140/(C168/C129)-1</f>
        <v>0</v>
      </c>
      <c r="D188" s="9">
        <f t="shared" si="20"/>
        <v>0</v>
      </c>
      <c r="E188" s="9">
        <f t="shared" si="20"/>
        <v>0</v>
      </c>
      <c r="F188" s="9">
        <f t="shared" si="20"/>
        <v>-3.6839087336204557E-11</v>
      </c>
      <c r="G188" s="9">
        <f t="shared" si="20"/>
        <v>-3.6010527892926802E-11</v>
      </c>
      <c r="H188" s="9">
        <f t="shared" si="20"/>
        <v>-3.517408586617421E-11</v>
      </c>
      <c r="I188" s="9">
        <f t="shared" si="20"/>
        <v>0</v>
      </c>
      <c r="J188" s="9">
        <f t="shared" si="20"/>
        <v>1.5735171180273344E-3</v>
      </c>
      <c r="K188" s="9">
        <f t="shared" si="20"/>
        <v>3.1051147860183814E-3</v>
      </c>
      <c r="L188" s="9">
        <f t="shared" si="20"/>
        <v>1.4308243568834644E-3</v>
      </c>
      <c r="M188" s="9">
        <f t="shared" si="20"/>
        <v>-7.8341271644921662E-4</v>
      </c>
      <c r="N188" s="9">
        <f t="shared" si="20"/>
        <v>-2.6747818372614418E-3</v>
      </c>
      <c r="O188" s="9">
        <f t="shared" si="20"/>
        <v>-4.0521771285567665E-3</v>
      </c>
      <c r="P188" s="9">
        <f t="shared" si="20"/>
        <v>-4.9940969280327652E-3</v>
      </c>
      <c r="Q188" s="9">
        <f t="shared" si="20"/>
        <v>-5.690049958776866E-3</v>
      </c>
      <c r="R188" s="9">
        <f t="shared" si="20"/>
        <v>-6.1687210923376812E-3</v>
      </c>
      <c r="S188" s="9">
        <f t="shared" si="20"/>
        <v>-6.2325846427396803E-3</v>
      </c>
      <c r="T188" s="9">
        <f t="shared" si="20"/>
        <v>-5.9310428189279785E-3</v>
      </c>
      <c r="U188" s="9">
        <f t="shared" si="20"/>
        <v>-5.3380754003954367E-3</v>
      </c>
      <c r="V188" s="9">
        <f t="shared" si="20"/>
        <v>-4.5330680851037863E-3</v>
      </c>
      <c r="W188" s="9">
        <f t="shared" si="20"/>
        <v>-3.5770865965552012E-3</v>
      </c>
      <c r="X188" s="9">
        <f t="shared" si="20"/>
        <v>-2.5073908622259555E-3</v>
      </c>
      <c r="Y188" s="9">
        <f t="shared" si="20"/>
        <v>-1.3614244680809628E-3</v>
      </c>
      <c r="Z188" s="9">
        <f t="shared" si="20"/>
        <v>-1.7782862413651124E-4</v>
      </c>
      <c r="AA188" s="9">
        <f t="shared" si="20"/>
        <v>1.0055374158715047E-3</v>
      </c>
      <c r="AB188" s="9">
        <f t="shared" si="20"/>
        <v>2.1595253320800811E-3</v>
      </c>
      <c r="AC188" s="9">
        <f t="shared" si="20"/>
        <v>3.2398077495598976E-3</v>
      </c>
      <c r="AD188" s="9">
        <f t="shared" si="20"/>
        <v>4.231446665639238E-3</v>
      </c>
      <c r="AE188" s="9">
        <f t="shared" si="20"/>
        <v>5.0773855606442986E-3</v>
      </c>
      <c r="AF188" s="9">
        <f t="shared" si="20"/>
        <v>5.7137722394784429E-3</v>
      </c>
      <c r="AG188" s="9">
        <f t="shared" si="20"/>
        <v>6.0835650713668699E-3</v>
      </c>
      <c r="AH188" s="9">
        <f t="shared" si="20"/>
        <v>6.137239493984703E-3</v>
      </c>
      <c r="AI188" s="9">
        <f t="shared" si="20"/>
        <v>5.8144583064201338E-3</v>
      </c>
      <c r="AJ188" s="9">
        <f t="shared" si="20"/>
        <v>5.0264004186415523E-3</v>
      </c>
      <c r="AK188" s="9">
        <f t="shared" si="20"/>
        <v>3.649155138914173E-3</v>
      </c>
      <c r="AL188" s="9">
        <f t="shared" si="20"/>
        <v>1.5040944557305203E-3</v>
      </c>
    </row>
    <row r="189" spans="1:38" x14ac:dyDescent="0.35">
      <c r="B189" t="s">
        <v>29</v>
      </c>
      <c r="C189" s="9">
        <f t="shared" ref="C189:AL189" si="21">(C179+C180)/(C141+C142)/((C169+C170)/(C130+C131))-1</f>
        <v>9.0668805796667584E-11</v>
      </c>
      <c r="D189" s="9">
        <f t="shared" si="21"/>
        <v>2.6490543092450025E-10</v>
      </c>
      <c r="E189" s="9">
        <f t="shared" si="21"/>
        <v>5.457461149660503E-10</v>
      </c>
      <c r="F189" s="9">
        <f t="shared" si="21"/>
        <v>4.5419201732954662E-10</v>
      </c>
      <c r="G189" s="9">
        <f t="shared" si="21"/>
        <v>7.4404749028644801E-10</v>
      </c>
      <c r="H189" s="9">
        <f t="shared" si="21"/>
        <v>6.3219673940295706E-10</v>
      </c>
      <c r="I189" s="9">
        <f t="shared" si="21"/>
        <v>4.8055714962913498E-10</v>
      </c>
      <c r="J189" s="9">
        <f t="shared" si="21"/>
        <v>-6.1118490070921627E-4</v>
      </c>
      <c r="K189" s="9">
        <f t="shared" si="21"/>
        <v>-1.6758360101075676E-3</v>
      </c>
      <c r="L189" s="9">
        <f t="shared" si="21"/>
        <v>-6.8080712733685766E-3</v>
      </c>
      <c r="M189" s="9">
        <f t="shared" si="21"/>
        <v>-1.2644882450411843E-2</v>
      </c>
      <c r="N189" s="9">
        <f t="shared" si="21"/>
        <v>-1.9724834292532245E-2</v>
      </c>
      <c r="O189" s="9">
        <f t="shared" si="21"/>
        <v>-2.7550250483794225E-2</v>
      </c>
      <c r="P189" s="9">
        <f t="shared" si="21"/>
        <v>-3.5981482461100667E-2</v>
      </c>
      <c r="Q189" s="9">
        <f t="shared" si="21"/>
        <v>-4.4977021467977107E-2</v>
      </c>
      <c r="R189" s="9">
        <f t="shared" si="21"/>
        <v>-5.4250826550407805E-2</v>
      </c>
      <c r="S189" s="9">
        <f t="shared" si="21"/>
        <v>-6.2076432376887869E-2</v>
      </c>
      <c r="T189" s="9">
        <f t="shared" si="21"/>
        <v>-6.8998545822546054E-2</v>
      </c>
      <c r="U189" s="9">
        <f t="shared" si="21"/>
        <v>-7.5086314695593903E-2</v>
      </c>
      <c r="V189" s="9">
        <f t="shared" si="21"/>
        <v>-8.0475670651514175E-2</v>
      </c>
      <c r="W189" s="9">
        <f t="shared" si="21"/>
        <v>-8.5307888786021246E-2</v>
      </c>
      <c r="X189" s="9">
        <f t="shared" si="21"/>
        <v>-8.9695807368421976E-2</v>
      </c>
      <c r="Y189" s="9">
        <f t="shared" si="21"/>
        <v>-9.373387601198091E-2</v>
      </c>
      <c r="Z189" s="9">
        <f t="shared" si="21"/>
        <v>-9.7471657883811291E-2</v>
      </c>
      <c r="AA189" s="9">
        <f t="shared" si="21"/>
        <v>-0.10095248798978695</v>
      </c>
      <c r="AB189" s="9">
        <f t="shared" si="21"/>
        <v>-0.10423625632569544</v>
      </c>
      <c r="AC189" s="9">
        <f t="shared" si="21"/>
        <v>-0.10756440750674312</v>
      </c>
      <c r="AD189" s="9">
        <f t="shared" si="21"/>
        <v>-0.11087023605191315</v>
      </c>
      <c r="AE189" s="9">
        <f t="shared" si="21"/>
        <v>-0.11421965839337589</v>
      </c>
      <c r="AF189" s="9">
        <f t="shared" si="21"/>
        <v>-0.11769390683028191</v>
      </c>
      <c r="AG189" s="9">
        <f t="shared" si="21"/>
        <v>-0.12139546971230697</v>
      </c>
      <c r="AH189" s="9">
        <f t="shared" si="21"/>
        <v>-0.12546521582723047</v>
      </c>
      <c r="AI189" s="9">
        <f t="shared" si="21"/>
        <v>-0.13008033615404224</v>
      </c>
      <c r="AJ189" s="9">
        <f t="shared" si="21"/>
        <v>-0.13543395213517062</v>
      </c>
      <c r="AK189" s="9">
        <f t="shared" si="21"/>
        <v>-0.1417828141397145</v>
      </c>
      <c r="AL189" s="9">
        <f t="shared" si="21"/>
        <v>-0.14951249797219102</v>
      </c>
    </row>
    <row r="190" spans="1:38" x14ac:dyDescent="0.35">
      <c r="B190" t="s">
        <v>33</v>
      </c>
      <c r="C190" s="9">
        <f t="shared" ref="C190:AL190" si="22">C181/C143/(C171/C132)-1</f>
        <v>-1.6491408239005523E-10</v>
      </c>
      <c r="D190" s="9">
        <f t="shared" si="22"/>
        <v>1.2725465126095514E-10</v>
      </c>
      <c r="E190" s="9">
        <f t="shared" si="22"/>
        <v>-4.7639225897455617E-11</v>
      </c>
      <c r="F190" s="9">
        <f t="shared" si="22"/>
        <v>-4.168720924013769E-11</v>
      </c>
      <c r="G190" s="9">
        <f t="shared" si="22"/>
        <v>1.9455770328136168E-11</v>
      </c>
      <c r="H190" s="9">
        <f t="shared" si="22"/>
        <v>6.4496408214154144E-11</v>
      </c>
      <c r="I190" s="9">
        <f t="shared" si="22"/>
        <v>7.7651662877542549E-11</v>
      </c>
      <c r="J190" s="9">
        <f t="shared" si="22"/>
        <v>-2.8036288663792486E-2</v>
      </c>
      <c r="K190" s="9">
        <f t="shared" si="22"/>
        <v>-5.4945637256656132E-2</v>
      </c>
      <c r="L190" s="9">
        <f t="shared" si="22"/>
        <v>-8.0441740942347684E-2</v>
      </c>
      <c r="M190" s="9">
        <f t="shared" si="22"/>
        <v>-0.10121632991413587</v>
      </c>
      <c r="N190" s="9">
        <f t="shared" si="22"/>
        <v>-0.11555105159710455</v>
      </c>
      <c r="O190" s="9">
        <f t="shared" si="22"/>
        <v>-0.12590419212594106</v>
      </c>
      <c r="P190" s="9">
        <f t="shared" si="22"/>
        <v>-0.13396467551922342</v>
      </c>
      <c r="Q190" s="9">
        <f t="shared" si="22"/>
        <v>-0.14077097286929585</v>
      </c>
      <c r="R190" s="9">
        <f t="shared" si="22"/>
        <v>-0.14670542555070165</v>
      </c>
      <c r="S190" s="9">
        <f t="shared" si="22"/>
        <v>-0.15198812693166797</v>
      </c>
      <c r="T190" s="9">
        <f t="shared" si="22"/>
        <v>-0.15663625947048587</v>
      </c>
      <c r="U190" s="9">
        <f t="shared" si="22"/>
        <v>-0.16031597043946855</v>
      </c>
      <c r="V190" s="9">
        <f t="shared" si="22"/>
        <v>-0.16304612595944179</v>
      </c>
      <c r="W190" s="9">
        <f t="shared" si="22"/>
        <v>-0.16500887882095783</v>
      </c>
      <c r="X190" s="9">
        <f t="shared" si="22"/>
        <v>-0.16640382613263738</v>
      </c>
      <c r="Y190" s="9">
        <f t="shared" si="22"/>
        <v>-0.16746870704384775</v>
      </c>
      <c r="Z190" s="9">
        <f t="shared" si="22"/>
        <v>-0.16836655006595513</v>
      </c>
      <c r="AA190" s="9">
        <f t="shared" si="22"/>
        <v>-0.16922951510144724</v>
      </c>
      <c r="AB190" s="9">
        <f t="shared" si="22"/>
        <v>-0.17025655859707156</v>
      </c>
      <c r="AC190" s="9">
        <f t="shared" si="22"/>
        <v>-0.17174317877720535</v>
      </c>
      <c r="AD190" s="9">
        <f t="shared" si="22"/>
        <v>-0.1738480534937149</v>
      </c>
      <c r="AE190" s="9">
        <f t="shared" si="22"/>
        <v>-0.17671995649767347</v>
      </c>
      <c r="AF190" s="9">
        <f t="shared" si="22"/>
        <v>-0.18052396892427636</v>
      </c>
      <c r="AG190" s="9">
        <f t="shared" si="22"/>
        <v>-0.18547193437735032</v>
      </c>
      <c r="AH190" s="9">
        <f t="shared" si="22"/>
        <v>-0.19188275432132029</v>
      </c>
      <c r="AI190" s="9">
        <f t="shared" si="22"/>
        <v>-0.20018051014818028</v>
      </c>
      <c r="AJ190" s="9">
        <f t="shared" si="22"/>
        <v>-0.21084936391029563</v>
      </c>
      <c r="AK190" s="9">
        <f t="shared" si="22"/>
        <v>-0.22448940149010455</v>
      </c>
      <c r="AL190" s="9">
        <f t="shared" si="22"/>
        <v>-0.2418733326116308</v>
      </c>
    </row>
    <row r="192" spans="1:38" x14ac:dyDescent="0.35">
      <c r="A192" s="12" t="s">
        <v>86</v>
      </c>
      <c r="B192" t="s">
        <v>27</v>
      </c>
      <c r="C192" s="5">
        <f>[1]Results!F1434</f>
        <v>27379.147679999998</v>
      </c>
      <c r="D192" s="5">
        <f>[1]Results!G1434</f>
        <v>27521.360140000001</v>
      </c>
      <c r="E192" s="5">
        <f>[1]Results!H1434</f>
        <v>27744.390429999999</v>
      </c>
      <c r="F192" s="5">
        <f>[1]Results!I1434</f>
        <v>28034.212780000002</v>
      </c>
      <c r="G192" s="5">
        <f>[1]Results!J1434</f>
        <v>28370.477999999999</v>
      </c>
      <c r="H192" s="5">
        <f>[1]Results!K1434</f>
        <v>28739.915270000001</v>
      </c>
      <c r="I192" s="5">
        <f>[1]Results!L1434</f>
        <v>29121.913359999999</v>
      </c>
      <c r="J192" s="5">
        <f>[1]Results!M1434</f>
        <v>29485.463370000001</v>
      </c>
      <c r="K192" s="5">
        <f>[1]Results!N1434</f>
        <v>29832.195599999999</v>
      </c>
      <c r="L192" s="5">
        <f>[1]Results!O1434</f>
        <v>30225.367989999999</v>
      </c>
      <c r="M192" s="5">
        <f>[1]Results!P1434</f>
        <v>30649.87126</v>
      </c>
      <c r="N192" s="5">
        <f>[1]Results!Q1434</f>
        <v>31026.629860000001</v>
      </c>
      <c r="O192" s="5">
        <f>[1]Results!R1434</f>
        <v>31325.400379999999</v>
      </c>
      <c r="P192" s="5">
        <f>[1]Results!S1434</f>
        <v>31542.360560000001</v>
      </c>
      <c r="Q192" s="5">
        <f>[1]Results!T1434</f>
        <v>31691.581839999999</v>
      </c>
      <c r="R192" s="5">
        <f>[1]Results!U1434</f>
        <v>31792.124</v>
      </c>
      <c r="S192" s="5">
        <f>[1]Results!V1434</f>
        <v>31863.734260000001</v>
      </c>
      <c r="T192" s="5">
        <f>[1]Results!W1434</f>
        <v>31925.534339999998</v>
      </c>
      <c r="U192" s="5">
        <f>[1]Results!X1434</f>
        <v>31993.49941</v>
      </c>
      <c r="V192" s="5">
        <f>[1]Results!Y1434</f>
        <v>32079.592189999999</v>
      </c>
      <c r="W192" s="5">
        <f>[1]Results!Z1434</f>
        <v>32185.223969999999</v>
      </c>
      <c r="X192" s="5">
        <f>[1]Results!AA1434</f>
        <v>32325.787540000001</v>
      </c>
      <c r="Y192" s="5">
        <f>[1]Results!AB1434</f>
        <v>32507.49785</v>
      </c>
      <c r="Z192" s="5">
        <f>[1]Results!AC1434</f>
        <v>32734.53469</v>
      </c>
      <c r="AA192" s="5">
        <f>[1]Results!AD1434</f>
        <v>33008.519139999997</v>
      </c>
      <c r="AB192" s="5">
        <f>[1]Results!AE1434</f>
        <v>33309.112059999999</v>
      </c>
      <c r="AC192" s="5">
        <f>[1]Results!AF1434</f>
        <v>33650.91822</v>
      </c>
      <c r="AD192" s="5">
        <f>[1]Results!AG1434</f>
        <v>34038.030740000002</v>
      </c>
      <c r="AE192" s="5">
        <f>[1]Results!AH1434</f>
        <v>34473.302309999999</v>
      </c>
      <c r="AF192" s="5">
        <f>[1]Results!AI1434</f>
        <v>34955.841220000002</v>
      </c>
      <c r="AG192" s="5">
        <f>[1]Results!AJ1434</f>
        <v>35481.309959999999</v>
      </c>
      <c r="AH192" s="5">
        <f>[1]Results!AK1434</f>
        <v>36044.514380000001</v>
      </c>
      <c r="AI192" s="5">
        <f>[1]Results!AL1434</f>
        <v>36641.575420000001</v>
      </c>
      <c r="AJ192" s="5">
        <f>[1]Results!AM1434</f>
        <v>37270.894269999997</v>
      </c>
      <c r="AK192" s="5">
        <f>[1]Results!AN1434</f>
        <v>37934.306989999997</v>
      </c>
      <c r="AL192" s="5">
        <f>[1]Results!AO1434</f>
        <v>38638.903250000003</v>
      </c>
    </row>
    <row r="193" spans="1:38" x14ac:dyDescent="0.35">
      <c r="A193" t="s">
        <v>39</v>
      </c>
      <c r="B193" t="s">
        <v>7</v>
      </c>
      <c r="C193" s="5">
        <f>[1]Results!F1435</f>
        <v>760.78110530000004</v>
      </c>
      <c r="D193" s="5">
        <f>[1]Results!G1435</f>
        <v>763.93099919999997</v>
      </c>
      <c r="E193" s="5">
        <f>[1]Results!H1435</f>
        <v>769.18953750000003</v>
      </c>
      <c r="F193" s="5">
        <f>[1]Results!I1435</f>
        <v>776.66910700000005</v>
      </c>
      <c r="G193" s="5">
        <f>[1]Results!J1435</f>
        <v>785.97597780000001</v>
      </c>
      <c r="H193" s="5">
        <f>[1]Results!K1435</f>
        <v>796.76434489999997</v>
      </c>
      <c r="I193" s="5">
        <f>[1]Results!L1435</f>
        <v>808.43451579999999</v>
      </c>
      <c r="J193" s="5">
        <f>[1]Results!M1435</f>
        <v>819.12098860000003</v>
      </c>
      <c r="K193" s="5">
        <f>[1]Results!N1435</f>
        <v>828.87920880000001</v>
      </c>
      <c r="L193" s="5">
        <f>[1]Results!O1435</f>
        <v>840.08350050000001</v>
      </c>
      <c r="M193" s="5">
        <f>[1]Results!P1435</f>
        <v>851.76660549999997</v>
      </c>
      <c r="N193" s="5">
        <f>[1]Results!Q1435</f>
        <v>861.339157</v>
      </c>
      <c r="O193" s="5">
        <f>[1]Results!R1435</f>
        <v>867.86223440000003</v>
      </c>
      <c r="P193" s="5">
        <f>[1]Results!S1435</f>
        <v>871.3831265</v>
      </c>
      <c r="Q193" s="5">
        <f>[1]Results!T1435</f>
        <v>872.53625820000002</v>
      </c>
      <c r="R193" s="5">
        <f>[1]Results!U1435</f>
        <v>872.05421409999997</v>
      </c>
      <c r="S193" s="5">
        <f>[1]Results!V1435</f>
        <v>870.76537719999999</v>
      </c>
      <c r="T193" s="5">
        <f>[1]Results!W1435</f>
        <v>869.27518559999999</v>
      </c>
      <c r="U193" s="5">
        <f>[1]Results!X1435</f>
        <v>868.08195769999998</v>
      </c>
      <c r="V193" s="5">
        <f>[1]Results!Y1435</f>
        <v>867.55760780000003</v>
      </c>
      <c r="W193" s="5">
        <f>[1]Results!Z1435</f>
        <v>867.86517049999998</v>
      </c>
      <c r="X193" s="5">
        <f>[1]Results!AA1435</f>
        <v>869.3040373</v>
      </c>
      <c r="Y193" s="5">
        <f>[1]Results!AB1435</f>
        <v>872.10342539999999</v>
      </c>
      <c r="Z193" s="5">
        <f>[1]Results!AC1435</f>
        <v>876.40582080000001</v>
      </c>
      <c r="AA193" s="5">
        <f>[1]Results!AD1435</f>
        <v>882.2464903</v>
      </c>
      <c r="AB193" s="5">
        <f>[1]Results!AE1435</f>
        <v>889.2854145</v>
      </c>
      <c r="AC193" s="5">
        <f>[1]Results!AF1435</f>
        <v>897.50863619999996</v>
      </c>
      <c r="AD193" s="5">
        <f>[1]Results!AG1435</f>
        <v>907.06404439999994</v>
      </c>
      <c r="AE193" s="5">
        <f>[1]Results!AH1435</f>
        <v>918.04111760000001</v>
      </c>
      <c r="AF193" s="5">
        <f>[1]Results!AI1435</f>
        <v>930.36264589999996</v>
      </c>
      <c r="AG193" s="5">
        <f>[1]Results!AJ1435</f>
        <v>943.79819399999997</v>
      </c>
      <c r="AH193" s="5">
        <f>[1]Results!AK1435</f>
        <v>958.05941589999998</v>
      </c>
      <c r="AI193" s="5">
        <f>[1]Results!AL1435</f>
        <v>972.8699924</v>
      </c>
      <c r="AJ193" s="5">
        <f>[1]Results!AM1435</f>
        <v>987.98297639999998</v>
      </c>
      <c r="AK193" s="5">
        <f>[1]Results!AN1435</f>
        <v>1003.1936930000001</v>
      </c>
      <c r="AL193" s="5">
        <f>[1]Results!AO1435</f>
        <v>1018.356737</v>
      </c>
    </row>
    <row r="194" spans="1:38" x14ac:dyDescent="0.35">
      <c r="B194" t="s">
        <v>8</v>
      </c>
      <c r="C194" s="5">
        <f>[1]Results!F1438</f>
        <v>4368.3707029999996</v>
      </c>
      <c r="D194" s="5">
        <f>[1]Results!G1438</f>
        <v>4397.8096649999998</v>
      </c>
      <c r="E194" s="5">
        <f>[1]Results!H1438</f>
        <v>4444.1747960000002</v>
      </c>
      <c r="F194" s="5">
        <f>[1]Results!I1438</f>
        <v>4503.7755909999996</v>
      </c>
      <c r="G194" s="5">
        <f>[1]Results!J1438</f>
        <v>4572.302936</v>
      </c>
      <c r="H194" s="5">
        <f>[1]Results!K1438</f>
        <v>4647.2753430000002</v>
      </c>
      <c r="I194" s="5">
        <f>[1]Results!L1438</f>
        <v>4726.0133029999997</v>
      </c>
      <c r="J194" s="5">
        <f>[1]Results!M1438</f>
        <v>4800.3066920000001</v>
      </c>
      <c r="K194" s="5">
        <f>[1]Results!N1438</f>
        <v>4871.9228220000005</v>
      </c>
      <c r="L194" s="5">
        <f>[1]Results!O1438</f>
        <v>4955.8857820000003</v>
      </c>
      <c r="M194" s="5">
        <f>[1]Results!P1438</f>
        <v>5046.0149879999999</v>
      </c>
      <c r="N194" s="5">
        <f>[1]Results!Q1438</f>
        <v>5126.4789140000003</v>
      </c>
      <c r="O194" s="5">
        <f>[1]Results!R1438</f>
        <v>5190.8425200000001</v>
      </c>
      <c r="P194" s="5">
        <f>[1]Results!S1438</f>
        <v>5239.078082</v>
      </c>
      <c r="Q194" s="5">
        <f>[1]Results!T1438</f>
        <v>5275.2069380000003</v>
      </c>
      <c r="R194" s="5">
        <f>[1]Results!U1438</f>
        <v>5303.9438280000004</v>
      </c>
      <c r="S194" s="5">
        <f>[1]Results!V1438</f>
        <v>5329.4201860000003</v>
      </c>
      <c r="T194" s="5">
        <f>[1]Results!W1438</f>
        <v>5355.6527660000002</v>
      </c>
      <c r="U194" s="5">
        <f>[1]Results!X1438</f>
        <v>5385.8780360000001</v>
      </c>
      <c r="V194" s="5">
        <f>[1]Results!Y1438</f>
        <v>5422.411024</v>
      </c>
      <c r="W194" s="5">
        <f>[1]Results!Z1438</f>
        <v>5466.3386110000001</v>
      </c>
      <c r="X194" s="5">
        <f>[1]Results!AA1438</f>
        <v>5519.3879180000004</v>
      </c>
      <c r="Y194" s="5">
        <f>[1]Results!AB1438</f>
        <v>5582.9303289999998</v>
      </c>
      <c r="Z194" s="5">
        <f>[1]Results!AC1438</f>
        <v>5657.867201</v>
      </c>
      <c r="AA194" s="5">
        <f>[1]Results!AD1438</f>
        <v>5744.5372440000001</v>
      </c>
      <c r="AB194" s="5">
        <f>[1]Results!AE1438</f>
        <v>5841.3043950000001</v>
      </c>
      <c r="AC194" s="5">
        <f>[1]Results!AF1438</f>
        <v>5948.803116</v>
      </c>
      <c r="AD194" s="5">
        <f>[1]Results!AG1438</f>
        <v>6068.0138800000004</v>
      </c>
      <c r="AE194" s="5">
        <f>[1]Results!AH1438</f>
        <v>6199.5939980000003</v>
      </c>
      <c r="AF194" s="5">
        <f>[1]Results!AI1438</f>
        <v>6343.3390529999997</v>
      </c>
      <c r="AG194" s="5">
        <f>[1]Results!AJ1438</f>
        <v>6498.4086539999998</v>
      </c>
      <c r="AH194" s="5">
        <f>[1]Results!AK1438</f>
        <v>6664.0606420000004</v>
      </c>
      <c r="AI194" s="5">
        <f>[1]Results!AL1438</f>
        <v>6840.1433809999999</v>
      </c>
      <c r="AJ194" s="5">
        <f>[1]Results!AM1438</f>
        <v>7027.2264219999997</v>
      </c>
      <c r="AK194" s="5">
        <f>[1]Results!AN1438</f>
        <v>7226.9364599999999</v>
      </c>
      <c r="AL194" s="5">
        <f>[1]Results!AO1438</f>
        <v>7442.5347000000002</v>
      </c>
    </row>
    <row r="195" spans="1:38" x14ac:dyDescent="0.35">
      <c r="B195" t="s">
        <v>28</v>
      </c>
      <c r="C195" s="5">
        <f>[1]Results!F1450</f>
        <v>868.27520900000002</v>
      </c>
      <c r="D195" s="5">
        <f>[1]Results!G1450</f>
        <v>872.68667340000002</v>
      </c>
      <c r="E195" s="5">
        <f>[1]Results!H1450</f>
        <v>879.36153960000001</v>
      </c>
      <c r="F195" s="5">
        <f>[1]Results!I1450</f>
        <v>887.64261710000005</v>
      </c>
      <c r="G195" s="5">
        <f>[1]Results!J1450</f>
        <v>897.10188949999997</v>
      </c>
      <c r="H195" s="5">
        <f>[1]Results!K1450</f>
        <v>907.47537069999998</v>
      </c>
      <c r="I195" s="5">
        <f>[1]Results!L1450</f>
        <v>918.18323729999997</v>
      </c>
      <c r="J195" s="5">
        <f>[1]Results!M1450</f>
        <v>926.54987640000002</v>
      </c>
      <c r="K195" s="5">
        <f>[1]Results!N1450</f>
        <v>933.10245540000005</v>
      </c>
      <c r="L195" s="5">
        <f>[1]Results!O1450</f>
        <v>940.92127949999997</v>
      </c>
      <c r="M195" s="5">
        <f>[1]Results!P1450</f>
        <v>949.14568310000004</v>
      </c>
      <c r="N195" s="5">
        <f>[1]Results!Q1450</f>
        <v>955.33931459999997</v>
      </c>
      <c r="O195" s="5">
        <f>[1]Results!R1450</f>
        <v>958.66824980000001</v>
      </c>
      <c r="P195" s="5">
        <f>[1]Results!S1450</f>
        <v>959.25138140000001</v>
      </c>
      <c r="Q195" s="5">
        <f>[1]Results!T1450</f>
        <v>957.80119560000003</v>
      </c>
      <c r="R195" s="5">
        <f>[1]Results!U1450</f>
        <v>955.09413830000005</v>
      </c>
      <c r="S195" s="5">
        <f>[1]Results!V1450</f>
        <v>951.77111070000001</v>
      </c>
      <c r="T195" s="5">
        <f>[1]Results!W1450</f>
        <v>948.46008400000005</v>
      </c>
      <c r="U195" s="5">
        <f>[1]Results!X1450</f>
        <v>945.70873289999997</v>
      </c>
      <c r="V195" s="5">
        <f>[1]Results!Y1450</f>
        <v>943.9119316</v>
      </c>
      <c r="W195" s="5">
        <f>[1]Results!Z1450</f>
        <v>943.20932349999998</v>
      </c>
      <c r="X195" s="5">
        <f>[1]Results!AA1450</f>
        <v>943.94339200000002</v>
      </c>
      <c r="Y195" s="5">
        <f>[1]Results!AB1450</f>
        <v>946.31167219999998</v>
      </c>
      <c r="Z195" s="5">
        <f>[1]Results!AC1450</f>
        <v>950.41705019999995</v>
      </c>
      <c r="AA195" s="5">
        <f>[1]Results!AD1450</f>
        <v>956.25482650000004</v>
      </c>
      <c r="AB195" s="5">
        <f>[1]Results!AE1450</f>
        <v>963.39098339999998</v>
      </c>
      <c r="AC195" s="5">
        <f>[1]Results!AF1450</f>
        <v>972.02733020000005</v>
      </c>
      <c r="AD195" s="5">
        <f>[1]Results!AG1450</f>
        <v>982.29380739999999</v>
      </c>
      <c r="AE195" s="5">
        <f>[1]Results!AH1450</f>
        <v>994.24202190000005</v>
      </c>
      <c r="AF195" s="5">
        <f>[1]Results!AI1450</f>
        <v>1007.742441</v>
      </c>
      <c r="AG195" s="5">
        <f>[1]Results!AJ1450</f>
        <v>1022.519737</v>
      </c>
      <c r="AH195" s="5">
        <f>[1]Results!AK1450</f>
        <v>1038.2818380000001</v>
      </c>
      <c r="AI195" s="5">
        <f>[1]Results!AL1450</f>
        <v>1054.7966329999999</v>
      </c>
      <c r="AJ195" s="5">
        <f>[1]Results!AM1450</f>
        <v>1071.885518</v>
      </c>
      <c r="AK195" s="5">
        <f>[1]Results!AN1450</f>
        <v>1089.432243</v>
      </c>
      <c r="AL195" s="5">
        <f>[1]Results!AO1450</f>
        <v>1107.4053200000001</v>
      </c>
    </row>
    <row r="196" spans="1:38" x14ac:dyDescent="0.35">
      <c r="B196" t="s">
        <v>10</v>
      </c>
      <c r="C196" s="5">
        <f>[1]Results!F1455</f>
        <v>21276.68795</v>
      </c>
      <c r="D196" s="5">
        <f>[1]Results!G1455</f>
        <v>21381.621920000001</v>
      </c>
      <c r="E196" s="5">
        <f>[1]Results!H1455</f>
        <v>21546.088489999998</v>
      </c>
      <c r="F196" s="5">
        <f>[1]Results!I1455</f>
        <v>21760.233540000001</v>
      </c>
      <c r="G196" s="5">
        <f>[1]Results!J1455</f>
        <v>22008.909790000002</v>
      </c>
      <c r="H196" s="5">
        <f>[1]Results!K1455</f>
        <v>22281.898990000002</v>
      </c>
      <c r="I196" s="5">
        <f>[1]Results!L1455</f>
        <v>22562.427159999999</v>
      </c>
      <c r="J196" s="5">
        <f>[1]Results!M1455</f>
        <v>22829.993480000001</v>
      </c>
      <c r="K196" s="5">
        <f>[1]Results!N1455</f>
        <v>23084.717260000001</v>
      </c>
      <c r="L196" s="5">
        <f>[1]Results!O1455</f>
        <v>23369.7392</v>
      </c>
      <c r="M196" s="5">
        <f>[1]Results!P1455</f>
        <v>23678.48964</v>
      </c>
      <c r="N196" s="5">
        <f>[1]Results!Q1455</f>
        <v>23953.456010000002</v>
      </c>
      <c r="O196" s="5">
        <f>[1]Results!R1455</f>
        <v>24172.867490000001</v>
      </c>
      <c r="P196" s="5">
        <f>[1]Results!S1455</f>
        <v>24332.753189999999</v>
      </c>
      <c r="Q196" s="5">
        <f>[1]Results!T1455</f>
        <v>24441.65955</v>
      </c>
      <c r="R196" s="5">
        <f>[1]Results!U1455</f>
        <v>24512.233800000002</v>
      </c>
      <c r="S196" s="5">
        <f>[1]Results!V1455</f>
        <v>24558.46413</v>
      </c>
      <c r="T196" s="5">
        <f>[1]Results!W1455</f>
        <v>24594.056140000001</v>
      </c>
      <c r="U196" s="5">
        <f>[1]Results!X1455</f>
        <v>24630.573130000001</v>
      </c>
      <c r="V196" s="5">
        <f>[1]Results!Y1455</f>
        <v>24676.78054</v>
      </c>
      <c r="W196" s="5">
        <f>[1]Results!Z1455</f>
        <v>24732.604309999999</v>
      </c>
      <c r="X196" s="5">
        <f>[1]Results!AA1455</f>
        <v>24810.917949999999</v>
      </c>
      <c r="Y196" s="5">
        <f>[1]Results!AB1455</f>
        <v>24915.980250000001</v>
      </c>
      <c r="Z196" s="5">
        <f>[1]Results!AC1455</f>
        <v>25050.659090000001</v>
      </c>
      <c r="AA196" s="5">
        <f>[1]Results!AD1455</f>
        <v>25216.031139999999</v>
      </c>
      <c r="AB196" s="5">
        <f>[1]Results!AE1455</f>
        <v>25394.039789999999</v>
      </c>
      <c r="AC196" s="5">
        <f>[1]Results!AF1455</f>
        <v>25598.162369999998</v>
      </c>
      <c r="AD196" s="5">
        <f>[1]Results!AG1455</f>
        <v>25830.882320000001</v>
      </c>
      <c r="AE196" s="5">
        <f>[1]Results!AH1455</f>
        <v>26093.840199999999</v>
      </c>
      <c r="AF196" s="5">
        <f>[1]Results!AI1455</f>
        <v>26386.078969999999</v>
      </c>
      <c r="AG196" s="5">
        <f>[1]Results!AJ1455</f>
        <v>26704.030549999999</v>
      </c>
      <c r="AH196" s="5">
        <f>[1]Results!AK1455</f>
        <v>27043.059020000001</v>
      </c>
      <c r="AI196" s="5">
        <f>[1]Results!AL1455</f>
        <v>27398.878079999999</v>
      </c>
      <c r="AJ196" s="5">
        <f>[1]Results!AM1455</f>
        <v>27768.232120000001</v>
      </c>
      <c r="AK196" s="5">
        <f>[1]Results!AN1455</f>
        <v>28149.449079999999</v>
      </c>
      <c r="AL196" s="5">
        <f>[1]Results!AO1455</f>
        <v>28543.220130000002</v>
      </c>
    </row>
    <row r="197" spans="1:38" x14ac:dyDescent="0.35">
      <c r="B197" t="s">
        <v>29</v>
      </c>
      <c r="C197" s="5">
        <f>C202-C198</f>
        <v>10.5730635677</v>
      </c>
      <c r="D197" s="5">
        <f t="shared" ref="D197:AL197" si="23">D202-D198</f>
        <v>10.559485062899999</v>
      </c>
      <c r="E197" s="5">
        <f t="shared" si="23"/>
        <v>10.540657062599998</v>
      </c>
      <c r="F197" s="5">
        <f t="shared" si="23"/>
        <v>10.522682692100002</v>
      </c>
      <c r="G197" s="5">
        <f t="shared" si="23"/>
        <v>10.524867839699999</v>
      </c>
      <c r="H197" s="5">
        <f t="shared" si="23"/>
        <v>10.553352218700001</v>
      </c>
      <c r="I197" s="5">
        <f t="shared" si="23"/>
        <v>10.598095120700002</v>
      </c>
      <c r="J197" s="5">
        <f t="shared" si="23"/>
        <v>10.469776471600001</v>
      </c>
      <c r="K197" s="5">
        <f t="shared" si="23"/>
        <v>10.251925424899998</v>
      </c>
      <c r="L197" s="5">
        <f t="shared" si="23"/>
        <v>10.018175505</v>
      </c>
      <c r="M197" s="5">
        <f t="shared" si="23"/>
        <v>9.7806778339999987</v>
      </c>
      <c r="N197" s="5">
        <f t="shared" si="23"/>
        <v>9.533809905</v>
      </c>
      <c r="O197" s="5">
        <f t="shared" si="23"/>
        <v>9.2757622690000012</v>
      </c>
      <c r="P197" s="5">
        <f t="shared" si="23"/>
        <v>9.0093159939999978</v>
      </c>
      <c r="Q197" s="5">
        <f t="shared" si="23"/>
        <v>8.7402491799999993</v>
      </c>
      <c r="R197" s="5">
        <f t="shared" si="23"/>
        <v>8.4733115740000002</v>
      </c>
      <c r="S197" s="5">
        <f t="shared" si="23"/>
        <v>8.2056641899999967</v>
      </c>
      <c r="T197" s="5">
        <f t="shared" si="23"/>
        <v>7.9417754330000037</v>
      </c>
      <c r="U197" s="5">
        <f t="shared" si="23"/>
        <v>7.6848192799999957</v>
      </c>
      <c r="V197" s="5">
        <f t="shared" si="23"/>
        <v>7.4364789960000017</v>
      </c>
      <c r="W197" s="5">
        <f t="shared" si="23"/>
        <v>7.1970022640000018</v>
      </c>
      <c r="X197" s="5">
        <f t="shared" si="23"/>
        <v>6.9671149559999961</v>
      </c>
      <c r="Y197" s="5">
        <f t="shared" si="23"/>
        <v>6.7470861250000027</v>
      </c>
      <c r="Z197" s="5">
        <f t="shared" si="23"/>
        <v>6.5365554269999961</v>
      </c>
      <c r="AA197" s="5">
        <f t="shared" si="23"/>
        <v>6.3344742479999994</v>
      </c>
      <c r="AB197" s="5">
        <f t="shared" si="23"/>
        <v>6.1384090599999936</v>
      </c>
      <c r="AC197" s="5">
        <f t="shared" si="23"/>
        <v>5.9495207340000036</v>
      </c>
      <c r="AD197" s="5">
        <f t="shared" si="23"/>
        <v>5.7671006330000054</v>
      </c>
      <c r="AE197" s="5">
        <f t="shared" si="23"/>
        <v>5.5901448020000046</v>
      </c>
      <c r="AF197" s="5">
        <f t="shared" si="23"/>
        <v>5.4165751469999961</v>
      </c>
      <c r="AG197" s="5">
        <f t="shared" si="23"/>
        <v>5.2435875859999967</v>
      </c>
      <c r="AH197" s="5">
        <f t="shared" si="23"/>
        <v>5.0685375189999959</v>
      </c>
      <c r="AI197" s="5">
        <f t="shared" si="23"/>
        <v>4.8893394269999959</v>
      </c>
      <c r="AJ197" s="5">
        <f t="shared" si="23"/>
        <v>4.7042950149999996</v>
      </c>
      <c r="AK197" s="5">
        <f t="shared" si="23"/>
        <v>4.5120031559999916</v>
      </c>
      <c r="AL197" s="5">
        <f t="shared" si="23"/>
        <v>4.3112969900000024</v>
      </c>
    </row>
    <row r="198" spans="1:38" x14ac:dyDescent="0.35">
      <c r="B198" t="s">
        <v>36</v>
      </c>
      <c r="C198" s="5">
        <f>C200+C201</f>
        <v>7.3981974023000001</v>
      </c>
      <c r="D198" s="5">
        <f t="shared" ref="D198:AL198" si="24">D200+D201</f>
        <v>7.3711066571000003</v>
      </c>
      <c r="E198" s="5">
        <f t="shared" si="24"/>
        <v>7.3290224573999998</v>
      </c>
      <c r="F198" s="5">
        <f t="shared" si="24"/>
        <v>7.2849249078999998</v>
      </c>
      <c r="G198" s="5">
        <f t="shared" si="24"/>
        <v>7.2552541602999998</v>
      </c>
      <c r="H198" s="5">
        <f t="shared" si="24"/>
        <v>7.2457365412999994</v>
      </c>
      <c r="I198" s="5">
        <f t="shared" si="24"/>
        <v>7.2517281493000008</v>
      </c>
      <c r="J198" s="5">
        <f t="shared" si="24"/>
        <v>8.1111949984000002</v>
      </c>
      <c r="K198" s="5">
        <f t="shared" si="24"/>
        <v>9.4342587251000012</v>
      </c>
      <c r="L198" s="5">
        <f t="shared" si="24"/>
        <v>11.035503395000001</v>
      </c>
      <c r="M198" s="5">
        <f t="shared" si="24"/>
        <v>12.788245916000001</v>
      </c>
      <c r="N198" s="5">
        <f t="shared" si="24"/>
        <v>14.604834654999999</v>
      </c>
      <c r="O198" s="5">
        <f t="shared" si="24"/>
        <v>16.428892371</v>
      </c>
      <c r="P198" s="5">
        <f t="shared" si="24"/>
        <v>18.230622906000001</v>
      </c>
      <c r="Q198" s="5">
        <f t="shared" si="24"/>
        <v>20.000656429999999</v>
      </c>
      <c r="R198" s="5">
        <f t="shared" si="24"/>
        <v>21.741459446</v>
      </c>
      <c r="S198" s="5">
        <f t="shared" si="24"/>
        <v>23.456961730000003</v>
      </c>
      <c r="T198" s="5">
        <f t="shared" si="24"/>
        <v>25.158187916999999</v>
      </c>
      <c r="U198" s="5">
        <f t="shared" si="24"/>
        <v>26.859455520000001</v>
      </c>
      <c r="V198" s="5">
        <f t="shared" si="24"/>
        <v>28.575221664000001</v>
      </c>
      <c r="W198" s="5">
        <f t="shared" si="24"/>
        <v>30.317398076</v>
      </c>
      <c r="X198" s="5">
        <f t="shared" si="24"/>
        <v>32.099712734000001</v>
      </c>
      <c r="Y198" s="5">
        <f t="shared" si="24"/>
        <v>33.935331054999999</v>
      </c>
      <c r="Z198" s="5">
        <f t="shared" si="24"/>
        <v>35.836335303000006</v>
      </c>
      <c r="AA198" s="5">
        <f t="shared" si="24"/>
        <v>37.813401161999998</v>
      </c>
      <c r="AB198" s="5">
        <f t="shared" si="24"/>
        <v>39.871017460000004</v>
      </c>
      <c r="AC198" s="5">
        <f t="shared" si="24"/>
        <v>42.022168076</v>
      </c>
      <c r="AD198" s="5">
        <f t="shared" si="24"/>
        <v>44.283562106999995</v>
      </c>
      <c r="AE198" s="5">
        <f t="shared" si="24"/>
        <v>46.672466217999997</v>
      </c>
      <c r="AF198" s="5">
        <f t="shared" si="24"/>
        <v>49.204010613000001</v>
      </c>
      <c r="AG198" s="5">
        <f t="shared" si="24"/>
        <v>51.891382184000001</v>
      </c>
      <c r="AH198" s="5">
        <f t="shared" si="24"/>
        <v>54.749431081000004</v>
      </c>
      <c r="AI198" s="5">
        <f t="shared" si="24"/>
        <v>57.798278203000002</v>
      </c>
      <c r="AJ198" s="5">
        <f t="shared" si="24"/>
        <v>61.065276394999998</v>
      </c>
      <c r="AK198" s="5">
        <f t="shared" si="24"/>
        <v>64.589588144000004</v>
      </c>
      <c r="AL198" s="5">
        <f t="shared" si="24"/>
        <v>68.431193559999997</v>
      </c>
    </row>
    <row r="199" spans="1:38" x14ac:dyDescent="0.35">
      <c r="B199" t="s">
        <v>11</v>
      </c>
      <c r="C199" s="5">
        <f>[1]Results!F1463</f>
        <v>87.061451820000002</v>
      </c>
      <c r="D199" s="5">
        <f>[1]Results!G1463</f>
        <v>87.380289059999996</v>
      </c>
      <c r="E199" s="5">
        <f>[1]Results!H1463</f>
        <v>87.706389299999998</v>
      </c>
      <c r="F199" s="5">
        <f>[1]Results!I1463</f>
        <v>88.084313320000007</v>
      </c>
      <c r="G199" s="5">
        <f>[1]Results!J1463</f>
        <v>88.407287289999999</v>
      </c>
      <c r="H199" s="5">
        <f>[1]Results!K1463</f>
        <v>88.702129720000002</v>
      </c>
      <c r="I199" s="5">
        <f>[1]Results!L1463</f>
        <v>89.005328210000002</v>
      </c>
      <c r="J199" s="5">
        <f>[1]Results!M1463</f>
        <v>90.911363219999998</v>
      </c>
      <c r="K199" s="5">
        <f>[1]Results!N1463</f>
        <v>93.887669990000006</v>
      </c>
      <c r="L199" s="5">
        <f>[1]Results!O1463</f>
        <v>97.684554500000004</v>
      </c>
      <c r="M199" s="5">
        <f>[1]Results!P1463</f>
        <v>101.8854216</v>
      </c>
      <c r="N199" s="5">
        <f>[1]Results!Q1463</f>
        <v>105.8778191</v>
      </c>
      <c r="O199" s="5">
        <f>[1]Results!R1463</f>
        <v>109.4552408</v>
      </c>
      <c r="P199" s="5">
        <f>[1]Results!S1463</f>
        <v>112.65483260000001</v>
      </c>
      <c r="Q199" s="5">
        <f>[1]Results!T1463</f>
        <v>115.636995</v>
      </c>
      <c r="R199" s="5">
        <f>[1]Results!U1463</f>
        <v>118.5832407</v>
      </c>
      <c r="S199" s="5">
        <f>[1]Results!V1463</f>
        <v>121.65083</v>
      </c>
      <c r="T199" s="5">
        <f>[1]Results!W1463</f>
        <v>124.9901959</v>
      </c>
      <c r="U199" s="5">
        <f>[1]Results!X1463</f>
        <v>128.71328320000001</v>
      </c>
      <c r="V199" s="5">
        <f>[1]Results!Y1463</f>
        <v>132.91938709999999</v>
      </c>
      <c r="W199" s="5">
        <f>[1]Results!Z1463</f>
        <v>137.6921524</v>
      </c>
      <c r="X199" s="5">
        <f>[1]Results!AA1463</f>
        <v>143.16742149999999</v>
      </c>
      <c r="Y199" s="5">
        <f>[1]Results!AB1463</f>
        <v>149.48975229999999</v>
      </c>
      <c r="Z199" s="5">
        <f>[1]Results!AC1463</f>
        <v>156.81264089999999</v>
      </c>
      <c r="AA199" s="5">
        <f>[1]Results!AD1463</f>
        <v>165.3015637</v>
      </c>
      <c r="AB199" s="5">
        <f>[1]Results!AE1463</f>
        <v>175.08204119999999</v>
      </c>
      <c r="AC199" s="5">
        <f>[1]Results!AF1463</f>
        <v>186.4450846</v>
      </c>
      <c r="AD199" s="5">
        <f>[1]Results!AG1463</f>
        <v>199.726023</v>
      </c>
      <c r="AE199" s="5">
        <f>[1]Results!AH1463</f>
        <v>215.3223582</v>
      </c>
      <c r="AF199" s="5">
        <f>[1]Results!AI1463</f>
        <v>233.6975285</v>
      </c>
      <c r="AG199" s="5">
        <f>[1]Results!AJ1463</f>
        <v>255.41785759999999</v>
      </c>
      <c r="AH199" s="5">
        <f>[1]Results!AK1463</f>
        <v>281.23549370000001</v>
      </c>
      <c r="AI199" s="5">
        <f>[1]Results!AL1463</f>
        <v>312.19971859999998</v>
      </c>
      <c r="AJ199" s="5">
        <f>[1]Results!AM1463</f>
        <v>349.79766189999998</v>
      </c>
      <c r="AK199" s="5">
        <f>[1]Results!AN1463</f>
        <v>396.19392829999998</v>
      </c>
      <c r="AL199" s="5">
        <f>[1]Results!AO1463</f>
        <v>454.6438799</v>
      </c>
    </row>
    <row r="200" spans="1:38" x14ac:dyDescent="0.35">
      <c r="B200" t="s">
        <v>35</v>
      </c>
      <c r="C200" s="5">
        <f>[1]Results!F1460</f>
        <v>6.6796781279999999</v>
      </c>
      <c r="D200" s="5">
        <f>[1]Results!G1460</f>
        <v>6.6547599990000004</v>
      </c>
      <c r="E200" s="5">
        <f>[1]Results!H1460</f>
        <v>6.6151605550000001</v>
      </c>
      <c r="F200" s="5">
        <f>[1]Results!I1460</f>
        <v>6.5738810599999997</v>
      </c>
      <c r="G200" s="5">
        <f>[1]Results!J1460</f>
        <v>6.5453010950000001</v>
      </c>
      <c r="H200" s="5">
        <f>[1]Results!K1460</f>
        <v>6.5347262439999998</v>
      </c>
      <c r="I200" s="5">
        <f>[1]Results!L1460</f>
        <v>6.5397531430000004</v>
      </c>
      <c r="J200" s="5">
        <f>[1]Results!M1460</f>
        <v>7.3441920950000004</v>
      </c>
      <c r="K200" s="5">
        <f>[1]Results!N1460</f>
        <v>8.5871516850000003</v>
      </c>
      <c r="L200" s="5">
        <f>[1]Results!O1460</f>
        <v>10.095385</v>
      </c>
      <c r="M200" s="5">
        <f>[1]Results!P1460</f>
        <v>11.75071471</v>
      </c>
      <c r="N200" s="5">
        <f>[1]Results!Q1460</f>
        <v>13.47143009</v>
      </c>
      <c r="O200" s="5">
        <f>[1]Results!R1460</f>
        <v>15.204954519999999</v>
      </c>
      <c r="P200" s="5">
        <f>[1]Results!S1460</f>
        <v>16.923055399999999</v>
      </c>
      <c r="Q200" s="5">
        <f>[1]Results!T1460</f>
        <v>18.616148899999999</v>
      </c>
      <c r="R200" s="5">
        <f>[1]Results!U1460</f>
        <v>20.28565343</v>
      </c>
      <c r="S200" s="5">
        <f>[1]Results!V1460</f>
        <v>21.933358040000002</v>
      </c>
      <c r="T200" s="5">
        <f>[1]Results!W1460</f>
        <v>23.5686532</v>
      </c>
      <c r="U200" s="5">
        <f>[1]Results!X1460</f>
        <v>25.204576190000001</v>
      </c>
      <c r="V200" s="5">
        <f>[1]Results!Y1460</f>
        <v>26.85458174</v>
      </c>
      <c r="W200" s="5">
        <f>[1]Results!Z1460</f>
        <v>28.529940839999998</v>
      </c>
      <c r="X200" s="5">
        <f>[1]Results!AA1460</f>
        <v>30.243354180000001</v>
      </c>
      <c r="Y200" s="5">
        <f>[1]Results!AB1460</f>
        <v>32.007105809999999</v>
      </c>
      <c r="Z200" s="5">
        <f>[1]Results!AC1460</f>
        <v>33.832531510000003</v>
      </c>
      <c r="AA200" s="5">
        <f>[1]Results!AD1460</f>
        <v>35.72970179</v>
      </c>
      <c r="AB200" s="5">
        <f>[1]Results!AE1460</f>
        <v>37.703253310000001</v>
      </c>
      <c r="AC200" s="5">
        <f>[1]Results!AF1460</f>
        <v>39.76511592</v>
      </c>
      <c r="AD200" s="5">
        <f>[1]Results!AG1460</f>
        <v>41.930730169999997</v>
      </c>
      <c r="AE200" s="5">
        <f>[1]Results!AH1460</f>
        <v>44.216230979999999</v>
      </c>
      <c r="AF200" s="5">
        <f>[1]Results!AI1460</f>
        <v>46.636004069999998</v>
      </c>
      <c r="AG200" s="5">
        <f>[1]Results!AJ1460</f>
        <v>49.202778049999999</v>
      </c>
      <c r="AH200" s="5">
        <f>[1]Results!AK1460</f>
        <v>51.930813880000002</v>
      </c>
      <c r="AI200" s="5">
        <f>[1]Results!AL1460</f>
        <v>54.839173000000002</v>
      </c>
      <c r="AJ200" s="5">
        <f>[1]Results!AM1460</f>
        <v>57.953547950000001</v>
      </c>
      <c r="AK200" s="5">
        <f>[1]Results!AN1460</f>
        <v>61.310538960000002</v>
      </c>
      <c r="AL200" s="5">
        <f>[1]Results!AO1460</f>
        <v>64.966170129999995</v>
      </c>
    </row>
    <row r="201" spans="1:38" x14ac:dyDescent="0.35">
      <c r="B201" t="s">
        <v>34</v>
      </c>
      <c r="C201" s="5">
        <f>[1]Results!F1462</f>
        <v>0.71851927429999995</v>
      </c>
      <c r="D201" s="5">
        <f>[1]Results!G1462</f>
        <v>0.71634665809999998</v>
      </c>
      <c r="E201" s="5">
        <f>[1]Results!H1462</f>
        <v>0.71386190240000003</v>
      </c>
      <c r="F201" s="5">
        <f>[1]Results!I1462</f>
        <v>0.71104384789999997</v>
      </c>
      <c r="G201" s="5">
        <f>[1]Results!J1462</f>
        <v>0.70995306530000002</v>
      </c>
      <c r="H201" s="5">
        <f>[1]Results!K1462</f>
        <v>0.71101029729999998</v>
      </c>
      <c r="I201" s="5">
        <f>[1]Results!L1462</f>
        <v>0.71197500629999999</v>
      </c>
      <c r="J201" s="5">
        <f>[1]Results!M1462</f>
        <v>0.76700290339999999</v>
      </c>
      <c r="K201" s="5">
        <f>[1]Results!N1462</f>
        <v>0.84710704010000004</v>
      </c>
      <c r="L201" s="5">
        <f>[1]Results!O1462</f>
        <v>0.94011839500000005</v>
      </c>
      <c r="M201" s="5">
        <f>[1]Results!P1462</f>
        <v>1.0375312059999999</v>
      </c>
      <c r="N201" s="5">
        <f>[1]Results!Q1462</f>
        <v>1.133404565</v>
      </c>
      <c r="O201" s="5">
        <f>[1]Results!R1462</f>
        <v>1.2239378510000001</v>
      </c>
      <c r="P201" s="5">
        <f>[1]Results!S1462</f>
        <v>1.307567506</v>
      </c>
      <c r="Q201" s="5">
        <f>[1]Results!T1462</f>
        <v>1.38450753</v>
      </c>
      <c r="R201" s="5">
        <f>[1]Results!U1462</f>
        <v>1.4558060159999999</v>
      </c>
      <c r="S201" s="5">
        <f>[1]Results!V1462</f>
        <v>1.5236036900000001</v>
      </c>
      <c r="T201" s="5">
        <f>[1]Results!W1462</f>
        <v>1.589534717</v>
      </c>
      <c r="U201" s="5">
        <f>[1]Results!X1462</f>
        <v>1.65487933</v>
      </c>
      <c r="V201" s="5">
        <f>[1]Results!Y1462</f>
        <v>1.7206399240000001</v>
      </c>
      <c r="W201" s="5">
        <f>[1]Results!Z1462</f>
        <v>1.7874572360000001</v>
      </c>
      <c r="X201" s="5">
        <f>[1]Results!AA1462</f>
        <v>1.856358554</v>
      </c>
      <c r="Y201" s="5">
        <f>[1]Results!AB1462</f>
        <v>1.9282252449999999</v>
      </c>
      <c r="Z201" s="5">
        <f>[1]Results!AC1462</f>
        <v>2.0038037929999999</v>
      </c>
      <c r="AA201" s="5">
        <f>[1]Results!AD1462</f>
        <v>2.0836993719999999</v>
      </c>
      <c r="AB201" s="5">
        <f>[1]Results!AE1462</f>
        <v>2.16776415</v>
      </c>
      <c r="AC201" s="5">
        <f>[1]Results!AF1462</f>
        <v>2.2570521559999999</v>
      </c>
      <c r="AD201" s="5">
        <f>[1]Results!AG1462</f>
        <v>2.3528319369999999</v>
      </c>
      <c r="AE201" s="5">
        <f>[1]Results!AH1462</f>
        <v>2.4562352380000001</v>
      </c>
      <c r="AF201" s="5">
        <f>[1]Results!AI1462</f>
        <v>2.5680065430000001</v>
      </c>
      <c r="AG201" s="5">
        <f>[1]Results!AJ1462</f>
        <v>2.6886041340000002</v>
      </c>
      <c r="AH201" s="5">
        <f>[1]Results!AK1462</f>
        <v>2.8186172009999999</v>
      </c>
      <c r="AI201" s="5">
        <f>[1]Results!AL1462</f>
        <v>2.959105203</v>
      </c>
      <c r="AJ201" s="5">
        <f>[1]Results!AM1462</f>
        <v>3.1117284449999998</v>
      </c>
      <c r="AK201" s="5">
        <f>[1]Results!AN1462</f>
        <v>3.2790491839999998</v>
      </c>
      <c r="AL201" s="5">
        <f>[1]Results!AO1462</f>
        <v>3.46502343</v>
      </c>
    </row>
    <row r="202" spans="1:38" x14ac:dyDescent="0.35">
      <c r="B202" t="s">
        <v>37</v>
      </c>
      <c r="C202" s="5">
        <f>[1]Results!F1458</f>
        <v>17.971260969999999</v>
      </c>
      <c r="D202" s="5">
        <f>[1]Results!G1458</f>
        <v>17.930591719999999</v>
      </c>
      <c r="E202" s="5">
        <f>[1]Results!H1458</f>
        <v>17.869679519999998</v>
      </c>
      <c r="F202" s="5">
        <f>[1]Results!I1458</f>
        <v>17.807607600000001</v>
      </c>
      <c r="G202" s="5">
        <f>[1]Results!J1458</f>
        <v>17.780121999999999</v>
      </c>
      <c r="H202" s="5">
        <f>[1]Results!K1458</f>
        <v>17.79908876</v>
      </c>
      <c r="I202" s="5">
        <f>[1]Results!L1458</f>
        <v>17.849823270000002</v>
      </c>
      <c r="J202" s="5">
        <f>[1]Results!M1458</f>
        <v>18.580971470000001</v>
      </c>
      <c r="K202" s="5">
        <f>[1]Results!N1458</f>
        <v>19.686184149999999</v>
      </c>
      <c r="L202" s="5">
        <f>[1]Results!O1458</f>
        <v>21.053678900000001</v>
      </c>
      <c r="M202" s="5">
        <f>[1]Results!P1458</f>
        <v>22.56892375</v>
      </c>
      <c r="N202" s="5">
        <f>[1]Results!Q1458</f>
        <v>24.138644559999999</v>
      </c>
      <c r="O202" s="5">
        <f>[1]Results!R1458</f>
        <v>25.704654640000001</v>
      </c>
      <c r="P202" s="5">
        <f>[1]Results!S1458</f>
        <v>27.239938899999999</v>
      </c>
      <c r="Q202" s="5">
        <f>[1]Results!T1458</f>
        <v>28.740905609999999</v>
      </c>
      <c r="R202" s="5">
        <f>[1]Results!U1458</f>
        <v>30.214771020000001</v>
      </c>
      <c r="S202" s="5">
        <f>[1]Results!V1458</f>
        <v>31.66262592</v>
      </c>
      <c r="T202" s="5">
        <f>[1]Results!W1458</f>
        <v>33.099963350000003</v>
      </c>
      <c r="U202" s="5">
        <f>[1]Results!X1458</f>
        <v>34.544274799999997</v>
      </c>
      <c r="V202" s="5">
        <f>[1]Results!Y1458</f>
        <v>36.011700660000002</v>
      </c>
      <c r="W202" s="5">
        <f>[1]Results!Z1458</f>
        <v>37.514400340000002</v>
      </c>
      <c r="X202" s="5">
        <f>[1]Results!AA1458</f>
        <v>39.066827689999997</v>
      </c>
      <c r="Y202" s="5">
        <f>[1]Results!AB1458</f>
        <v>40.682417180000002</v>
      </c>
      <c r="Z202" s="5">
        <f>[1]Results!AC1458</f>
        <v>42.372890730000002</v>
      </c>
      <c r="AA202" s="5">
        <f>[1]Results!AD1458</f>
        <v>44.147875409999997</v>
      </c>
      <c r="AB202" s="5">
        <f>[1]Results!AE1458</f>
        <v>46.009426519999998</v>
      </c>
      <c r="AC202" s="5">
        <f>[1]Results!AF1458</f>
        <v>47.971688810000003</v>
      </c>
      <c r="AD202" s="5">
        <f>[1]Results!AG1458</f>
        <v>50.05066274</v>
      </c>
      <c r="AE202" s="5">
        <f>[1]Results!AH1458</f>
        <v>52.262611020000001</v>
      </c>
      <c r="AF202" s="5">
        <f>[1]Results!AI1458</f>
        <v>54.620585759999997</v>
      </c>
      <c r="AG202" s="5">
        <f>[1]Results!AJ1458</f>
        <v>57.134969769999998</v>
      </c>
      <c r="AH202" s="5">
        <f>[1]Results!AK1458</f>
        <v>59.8179686</v>
      </c>
      <c r="AI202" s="5">
        <f>[1]Results!AL1458</f>
        <v>62.687617629999998</v>
      </c>
      <c r="AJ202" s="5">
        <f>[1]Results!AM1458</f>
        <v>65.769571409999998</v>
      </c>
      <c r="AK202" s="5">
        <f>[1]Results!AN1458</f>
        <v>69.101591299999995</v>
      </c>
      <c r="AL202" s="5">
        <f>[1]Results!AO1458</f>
        <v>72.742490549999999</v>
      </c>
    </row>
    <row r="203" spans="1:3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 x14ac:dyDescent="0.35">
      <c r="A204" s="12" t="s">
        <v>86</v>
      </c>
      <c r="B204" t="s">
        <v>27</v>
      </c>
      <c r="C204" s="3">
        <f>[1]Results!F1473</f>
        <v>27379.147679999998</v>
      </c>
      <c r="D204" s="3">
        <f>[1]Results!G1473</f>
        <v>27521.360140000001</v>
      </c>
      <c r="E204" s="3">
        <f>[1]Results!H1473</f>
        <v>27744.390429999999</v>
      </c>
      <c r="F204" s="3">
        <f>[1]Results!I1473</f>
        <v>28034.212780000002</v>
      </c>
      <c r="G204" s="3">
        <f>[1]Results!J1473</f>
        <v>28370.477999999999</v>
      </c>
      <c r="H204" s="3">
        <f>[1]Results!K1473</f>
        <v>28739.915260000002</v>
      </c>
      <c r="I204" s="3">
        <f>[1]Results!L1473</f>
        <v>29121.913359999999</v>
      </c>
      <c r="J204" s="3">
        <f>[1]Results!M1473</f>
        <v>29506.967659999998</v>
      </c>
      <c r="K204" s="3">
        <f>[1]Results!N1473</f>
        <v>29889.421770000001</v>
      </c>
      <c r="L204" s="3">
        <f>[1]Results!O1473</f>
        <v>30266.770990000001</v>
      </c>
      <c r="M204" s="3">
        <f>[1]Results!P1473</f>
        <v>30638.412820000001</v>
      </c>
      <c r="N204" s="3">
        <f>[1]Results!Q1473</f>
        <v>30951.66433</v>
      </c>
      <c r="O204" s="3">
        <f>[1]Results!R1473</f>
        <v>31193.242719999998</v>
      </c>
      <c r="P204" s="3">
        <f>[1]Results!S1473</f>
        <v>31364.97248</v>
      </c>
      <c r="Q204" s="3">
        <f>[1]Results!T1473</f>
        <v>31478.35845</v>
      </c>
      <c r="R204" s="3">
        <f>[1]Results!U1473</f>
        <v>31549.39171</v>
      </c>
      <c r="S204" s="3">
        <f>[1]Results!V1473</f>
        <v>31598.019079999998</v>
      </c>
      <c r="T204" s="3">
        <f>[1]Results!W1473</f>
        <v>31643.42426</v>
      </c>
      <c r="U204" s="3">
        <f>[1]Results!X1473</f>
        <v>31701.198619999999</v>
      </c>
      <c r="V204" s="3">
        <f>[1]Results!Y1473</f>
        <v>31782.181830000001</v>
      </c>
      <c r="W204" s="3">
        <f>[1]Results!Z1473</f>
        <v>31886.284790000002</v>
      </c>
      <c r="X204" s="3">
        <f>[1]Results!AA1473</f>
        <v>32027.108929999999</v>
      </c>
      <c r="Y204" s="3">
        <f>[1]Results!AB1473</f>
        <v>32209.000929999998</v>
      </c>
      <c r="Z204" s="3">
        <f>[1]Results!AC1473</f>
        <v>32434.279210000001</v>
      </c>
      <c r="AA204" s="3">
        <f>[1]Results!AD1473</f>
        <v>32702.63509</v>
      </c>
      <c r="AB204" s="3">
        <f>[1]Results!AE1473</f>
        <v>32991.957869999998</v>
      </c>
      <c r="AC204" s="3">
        <f>[1]Results!AF1473</f>
        <v>33314.19354</v>
      </c>
      <c r="AD204" s="3">
        <f>[1]Results!AG1473</f>
        <v>33670.640209999998</v>
      </c>
      <c r="AE204" s="3">
        <f>[1]Results!AH1473</f>
        <v>34061.138189999998</v>
      </c>
      <c r="AF204" s="3">
        <f>[1]Results!AI1473</f>
        <v>34481.350469999998</v>
      </c>
      <c r="AG204" s="3">
        <f>[1]Results!AJ1473</f>
        <v>34923.046049999997</v>
      </c>
      <c r="AH204" s="3">
        <f>[1]Results!AK1473</f>
        <v>35376.470390000002</v>
      </c>
      <c r="AI204" s="3">
        <f>[1]Results!AL1473</f>
        <v>35832.098290000002</v>
      </c>
      <c r="AJ204" s="3">
        <f>[1]Results!AM1473</f>
        <v>36281.085529999997</v>
      </c>
      <c r="AK204" s="3">
        <f>[1]Results!AN1473</f>
        <v>36715.329180000001</v>
      </c>
      <c r="AL204" s="3">
        <f>[1]Results!AO1473</f>
        <v>37127.462699999996</v>
      </c>
    </row>
    <row r="205" spans="1:38" x14ac:dyDescent="0.35">
      <c r="A205" t="s">
        <v>38</v>
      </c>
      <c r="B205" t="s">
        <v>7</v>
      </c>
      <c r="C205" s="3">
        <f>[1]Results!F1474</f>
        <v>760.78110530000004</v>
      </c>
      <c r="D205" s="3">
        <f>[1]Results!G1474</f>
        <v>763.93099910000001</v>
      </c>
      <c r="E205" s="3">
        <f>[1]Results!H1474</f>
        <v>769.18953750000003</v>
      </c>
      <c r="F205" s="3">
        <f>[1]Results!I1474</f>
        <v>776.66910689999997</v>
      </c>
      <c r="G205" s="3">
        <f>[1]Results!J1474</f>
        <v>785.97597770000004</v>
      </c>
      <c r="H205" s="3">
        <f>[1]Results!K1474</f>
        <v>796.7643448</v>
      </c>
      <c r="I205" s="3">
        <f>[1]Results!L1474</f>
        <v>808.43451570000002</v>
      </c>
      <c r="J205" s="3">
        <f>[1]Results!M1474</f>
        <v>820.50923360000002</v>
      </c>
      <c r="K205" s="3">
        <f>[1]Results!N1474</f>
        <v>832.64410009999995</v>
      </c>
      <c r="L205" s="3">
        <f>[1]Results!O1474</f>
        <v>844.63158250000004</v>
      </c>
      <c r="M205" s="3">
        <f>[1]Results!P1474</f>
        <v>856.08796229999996</v>
      </c>
      <c r="N205" s="3">
        <f>[1]Results!Q1474</f>
        <v>865.25269160000005</v>
      </c>
      <c r="O205" s="3">
        <f>[1]Results!R1474</f>
        <v>871.61475640000003</v>
      </c>
      <c r="P205" s="3">
        <f>[1]Results!S1474</f>
        <v>875.2670607</v>
      </c>
      <c r="Q205" s="3">
        <f>[1]Results!T1474</f>
        <v>876.67562029999999</v>
      </c>
      <c r="R205" s="3">
        <f>[1]Results!U1474</f>
        <v>876.47043940000003</v>
      </c>
      <c r="S205" s="3">
        <f>[1]Results!V1474</f>
        <v>875.41937170000006</v>
      </c>
      <c r="T205" s="3">
        <f>[1]Results!W1474</f>
        <v>874.26371730000005</v>
      </c>
      <c r="U205" s="3">
        <f>[1]Results!X1474</f>
        <v>873.60728170000004</v>
      </c>
      <c r="V205" s="3">
        <f>[1]Results!Y1474</f>
        <v>873.86015129999998</v>
      </c>
      <c r="W205" s="3">
        <f>[1]Results!Z1474</f>
        <v>875.17503380000005</v>
      </c>
      <c r="X205" s="3">
        <f>[1]Results!AA1474</f>
        <v>877.81239189999997</v>
      </c>
      <c r="Y205" s="3">
        <f>[1]Results!AB1474</f>
        <v>881.95002580000005</v>
      </c>
      <c r="Z205" s="3">
        <f>[1]Results!AC1474</f>
        <v>887.6768045</v>
      </c>
      <c r="AA205" s="3">
        <f>[1]Results!AD1474</f>
        <v>894.97374590000004</v>
      </c>
      <c r="AB205" s="3">
        <f>[1]Results!AE1474</f>
        <v>903.45389660000001</v>
      </c>
      <c r="AC205" s="3">
        <f>[1]Results!AF1474</f>
        <v>913.13710209999999</v>
      </c>
      <c r="AD205" s="3">
        <f>[1]Results!AG1474</f>
        <v>924.0705074</v>
      </c>
      <c r="AE205" s="3">
        <f>[1]Results!AH1474</f>
        <v>936.25227240000004</v>
      </c>
      <c r="AF205" s="3">
        <f>[1]Results!AI1474</f>
        <v>949.51772000000005</v>
      </c>
      <c r="AG205" s="3">
        <f>[1]Results!AJ1474</f>
        <v>963.55437640000002</v>
      </c>
      <c r="AH205" s="3">
        <f>[1]Results!AK1474</f>
        <v>977.99714489999997</v>
      </c>
      <c r="AI205" s="3">
        <f>[1]Results!AL1474</f>
        <v>992.49337890000004</v>
      </c>
      <c r="AJ205" s="3">
        <f>[1]Results!AM1474</f>
        <v>1006.716915</v>
      </c>
      <c r="AK205" s="3">
        <f>[1]Results!AN1474</f>
        <v>1020.369386</v>
      </c>
      <c r="AL205" s="3">
        <f>[1]Results!AO1474</f>
        <v>1033.180206</v>
      </c>
    </row>
    <row r="206" spans="1:38" x14ac:dyDescent="0.35">
      <c r="B206" t="s">
        <v>30</v>
      </c>
      <c r="C206" s="3">
        <f>[1]Results!F1477</f>
        <v>4368.3707029999996</v>
      </c>
      <c r="D206" s="3">
        <f>[1]Results!G1477</f>
        <v>4397.8096640000003</v>
      </c>
      <c r="E206" s="3">
        <f>[1]Results!H1477</f>
        <v>4444.1747960000002</v>
      </c>
      <c r="F206" s="3">
        <f>[1]Results!I1477</f>
        <v>4503.7755900000002</v>
      </c>
      <c r="G206" s="3">
        <f>[1]Results!J1477</f>
        <v>4572.302936</v>
      </c>
      <c r="H206" s="3">
        <f>[1]Results!K1477</f>
        <v>4647.2753419999999</v>
      </c>
      <c r="I206" s="3">
        <f>[1]Results!L1477</f>
        <v>4726.0133020000003</v>
      </c>
      <c r="J206" s="3">
        <f>[1]Results!M1477</f>
        <v>4806.6854670000002</v>
      </c>
      <c r="K206" s="3">
        <f>[1]Results!N1477</f>
        <v>4888.1484499999997</v>
      </c>
      <c r="L206" s="3">
        <f>[1]Results!O1477</f>
        <v>4969.8754239999998</v>
      </c>
      <c r="M206" s="3">
        <f>[1]Results!P1477</f>
        <v>5049.9726289999999</v>
      </c>
      <c r="N206" s="3">
        <f>[1]Results!Q1477</f>
        <v>5118.5753940000004</v>
      </c>
      <c r="O206" s="3">
        <f>[1]Results!R1477</f>
        <v>5173.0926120000004</v>
      </c>
      <c r="P206" s="3">
        <f>[1]Results!S1477</f>
        <v>5214.3448479999997</v>
      </c>
      <c r="Q206" s="3">
        <f>[1]Results!T1477</f>
        <v>5245.2026169999999</v>
      </c>
      <c r="R206" s="3">
        <f>[1]Results!U1477</f>
        <v>5269.2922090000002</v>
      </c>
      <c r="S206" s="3">
        <f>[1]Results!V1477</f>
        <v>5290.5570429999998</v>
      </c>
      <c r="T206" s="3">
        <f>[1]Results!W1477</f>
        <v>5312.8419309999999</v>
      </c>
      <c r="U206" s="3">
        <f>[1]Results!X1477</f>
        <v>5339.3155980000001</v>
      </c>
      <c r="V206" s="3">
        <f>[1]Results!Y1477</f>
        <v>5372.1403520000003</v>
      </c>
      <c r="W206" s="3">
        <f>[1]Results!Z1477</f>
        <v>5412.1335509999999</v>
      </c>
      <c r="X206" s="3">
        <f>[1]Results!AA1477</f>
        <v>5460.598062</v>
      </c>
      <c r="Y206" s="3">
        <f>[1]Results!AB1477</f>
        <v>5518.4111359999997</v>
      </c>
      <c r="Z206" s="3">
        <f>[1]Results!AC1477</f>
        <v>5585.9906879999999</v>
      </c>
      <c r="AA206" s="3">
        <f>[1]Results!AD1477</f>
        <v>5663.1622170000001</v>
      </c>
      <c r="AB206" s="3">
        <f>[1]Results!AE1477</f>
        <v>5747.7734879999998</v>
      </c>
      <c r="AC206" s="3">
        <f>[1]Results!AF1477</f>
        <v>5839.6960150000004</v>
      </c>
      <c r="AD206" s="3">
        <f>[1]Results!AG1477</f>
        <v>5938.9296420000001</v>
      </c>
      <c r="AE206" s="3">
        <f>[1]Results!AH1477</f>
        <v>6045.2341690000003</v>
      </c>
      <c r="AF206" s="3">
        <f>[1]Results!AI1477</f>
        <v>6157.4317540000002</v>
      </c>
      <c r="AG206" s="3">
        <f>[1]Results!AJ1477</f>
        <v>6273.5367290000004</v>
      </c>
      <c r="AH206" s="3">
        <f>[1]Results!AK1477</f>
        <v>6391.3455739999999</v>
      </c>
      <c r="AI206" s="3">
        <f>[1]Results!AL1477</f>
        <v>6508.8252590000002</v>
      </c>
      <c r="AJ206" s="3">
        <f>[1]Results!AM1477</f>
        <v>6624.1729180000002</v>
      </c>
      <c r="AK206" s="3">
        <f>[1]Results!AN1477</f>
        <v>6735.787061</v>
      </c>
      <c r="AL206" s="3">
        <f>[1]Results!AO1477</f>
        <v>6842.2317789999997</v>
      </c>
    </row>
    <row r="207" spans="1:38" x14ac:dyDescent="0.35">
      <c r="B207" t="s">
        <v>28</v>
      </c>
      <c r="C207" s="3">
        <f>[1]Results!F1489</f>
        <v>868.27520900000002</v>
      </c>
      <c r="D207" s="3">
        <f>[1]Results!G1489</f>
        <v>872.68667330000005</v>
      </c>
      <c r="E207" s="3">
        <f>[1]Results!H1489</f>
        <v>879.36153960000001</v>
      </c>
      <c r="F207" s="3">
        <f>[1]Results!I1489</f>
        <v>887.64261710000005</v>
      </c>
      <c r="G207" s="3">
        <f>[1]Results!J1489</f>
        <v>897.10188949999997</v>
      </c>
      <c r="H207" s="3">
        <f>[1]Results!K1489</f>
        <v>907.47537060000002</v>
      </c>
      <c r="I207" s="3">
        <f>[1]Results!L1489</f>
        <v>918.18323720000001</v>
      </c>
      <c r="J207" s="3">
        <f>[1]Results!M1489</f>
        <v>928.82347990000005</v>
      </c>
      <c r="K207" s="3">
        <f>[1]Results!N1489</f>
        <v>939.15780770000003</v>
      </c>
      <c r="L207" s="3">
        <f>[1]Results!O1489</f>
        <v>949.08653289999995</v>
      </c>
      <c r="M207" s="3">
        <f>[1]Results!P1489</f>
        <v>958.32734900000003</v>
      </c>
      <c r="N207" s="3">
        <f>[1]Results!Q1489</f>
        <v>965.01462560000004</v>
      </c>
      <c r="O207" s="3">
        <f>[1]Results!R1489</f>
        <v>968.79348110000001</v>
      </c>
      <c r="P207" s="3">
        <f>[1]Results!S1489</f>
        <v>969.93444999999997</v>
      </c>
      <c r="Q207" s="3">
        <f>[1]Results!T1489</f>
        <v>969.04988649999996</v>
      </c>
      <c r="R207" s="3">
        <f>[1]Results!U1489</f>
        <v>966.85788560000003</v>
      </c>
      <c r="S207" s="3">
        <f>[1]Results!V1489</f>
        <v>964.21094970000001</v>
      </c>
      <c r="T207" s="3">
        <f>[1]Results!W1489</f>
        <v>961.86559220000004</v>
      </c>
      <c r="U207" s="3">
        <f>[1]Results!X1489</f>
        <v>960.3776699</v>
      </c>
      <c r="V207" s="3">
        <f>[1]Results!Y1489</f>
        <v>960.07801180000001</v>
      </c>
      <c r="W207" s="3">
        <f>[1]Results!Z1489</f>
        <v>961.01207339999996</v>
      </c>
      <c r="X207" s="3">
        <f>[1]Results!AA1489</f>
        <v>963.42028259999995</v>
      </c>
      <c r="Y207" s="3">
        <f>[1]Results!AB1489</f>
        <v>967.40355369999997</v>
      </c>
      <c r="Z207" s="3">
        <f>[1]Results!AC1489</f>
        <v>972.98938180000005</v>
      </c>
      <c r="AA207" s="3">
        <f>[1]Results!AD1489</f>
        <v>980.11094019999996</v>
      </c>
      <c r="AB207" s="3">
        <f>[1]Results!AE1489</f>
        <v>988.27629460000003</v>
      </c>
      <c r="AC207" s="3">
        <f>[1]Results!AF1489</f>
        <v>997.59363450000001</v>
      </c>
      <c r="AD207" s="3">
        <f>[1]Results!AG1489</f>
        <v>1008.081498</v>
      </c>
      <c r="AE207" s="3">
        <f>[1]Results!AH1489</f>
        <v>1019.700449</v>
      </c>
      <c r="AF207" s="3">
        <f>[1]Results!AI1489</f>
        <v>1032.238347</v>
      </c>
      <c r="AG207" s="3">
        <f>[1]Results!AJ1489</f>
        <v>1045.339739</v>
      </c>
      <c r="AH207" s="3">
        <f>[1]Results!AK1489</f>
        <v>1058.616845</v>
      </c>
      <c r="AI207" s="3">
        <f>[1]Results!AL1489</f>
        <v>1071.719644</v>
      </c>
      <c r="AJ207" s="3">
        <f>[1]Results!AM1489</f>
        <v>1084.3454670000001</v>
      </c>
      <c r="AK207" s="3">
        <f>[1]Results!AN1489</f>
        <v>1096.2338299999999</v>
      </c>
      <c r="AL207" s="3">
        <f>[1]Results!AO1489</f>
        <v>1107.1606059999999</v>
      </c>
    </row>
    <row r="208" spans="1:38" x14ac:dyDescent="0.35">
      <c r="B208" t="s">
        <v>10</v>
      </c>
      <c r="C208" s="3">
        <f>[1]Results!F1494</f>
        <v>21276.68795</v>
      </c>
      <c r="D208" s="3">
        <f>[1]Results!G1494</f>
        <v>21381.621920000001</v>
      </c>
      <c r="E208" s="3">
        <f>[1]Results!H1494</f>
        <v>21546.088489999998</v>
      </c>
      <c r="F208" s="3">
        <f>[1]Results!I1494</f>
        <v>21760.233540000001</v>
      </c>
      <c r="G208" s="3">
        <f>[1]Results!J1494</f>
        <v>22008.909790000002</v>
      </c>
      <c r="H208" s="3">
        <f>[1]Results!K1494</f>
        <v>22281.898990000002</v>
      </c>
      <c r="I208" s="3">
        <f>[1]Results!L1494</f>
        <v>22562.42715</v>
      </c>
      <c r="J208" s="3">
        <f>[1]Results!M1494</f>
        <v>22843.697029999999</v>
      </c>
      <c r="K208" s="3">
        <f>[1]Results!N1494</f>
        <v>23121.79869</v>
      </c>
      <c r="L208" s="3">
        <f>[1]Results!O1494</f>
        <v>23395.083630000001</v>
      </c>
      <c r="M208" s="3">
        <f>[1]Results!P1494</f>
        <v>23665.54336</v>
      </c>
      <c r="N208" s="3">
        <f>[1]Results!Q1494</f>
        <v>23894.168720000001</v>
      </c>
      <c r="O208" s="3">
        <f>[1]Results!R1494</f>
        <v>24071.19052</v>
      </c>
      <c r="P208" s="3">
        <f>[1]Results!S1494</f>
        <v>24197.23186</v>
      </c>
      <c r="Q208" s="3">
        <f>[1]Results!T1494</f>
        <v>24279.79019</v>
      </c>
      <c r="R208" s="3">
        <f>[1]Results!U1494</f>
        <v>24329.80933</v>
      </c>
      <c r="S208" s="3">
        <f>[1]Results!V1494</f>
        <v>24361.605909999998</v>
      </c>
      <c r="T208" s="3">
        <f>[1]Results!W1494</f>
        <v>24388.950110000002</v>
      </c>
      <c r="U208" s="3">
        <f>[1]Results!X1494</f>
        <v>24423.038039999999</v>
      </c>
      <c r="V208" s="3">
        <f>[1]Results!Y1494</f>
        <v>24471.762060000001</v>
      </c>
      <c r="W208" s="3">
        <f>[1]Results!Z1494</f>
        <v>24534.006410000002</v>
      </c>
      <c r="X208" s="3">
        <f>[1]Results!AA1494</f>
        <v>24621.540389999998</v>
      </c>
      <c r="Y208" s="3">
        <f>[1]Results!AB1494</f>
        <v>24737.542399999998</v>
      </c>
      <c r="Z208" s="3">
        <f>[1]Results!AC1494</f>
        <v>24883.79393</v>
      </c>
      <c r="AA208" s="3">
        <f>[1]Results!AD1494</f>
        <v>25060.252250000001</v>
      </c>
      <c r="AB208" s="3">
        <f>[1]Results!AE1494</f>
        <v>25247.886299999998</v>
      </c>
      <c r="AC208" s="3">
        <f>[1]Results!AF1494</f>
        <v>25458.631109999998</v>
      </c>
      <c r="AD208" s="3">
        <f>[1]Results!AG1494</f>
        <v>25693.71615</v>
      </c>
      <c r="AE208" s="3">
        <f>[1]Results!AH1494</f>
        <v>25953.26874</v>
      </c>
      <c r="AF208" s="3">
        <f>[1]Results!AI1494</f>
        <v>26234.530159999998</v>
      </c>
      <c r="AG208" s="3">
        <f>[1]Results!AJ1494</f>
        <v>26531.96125</v>
      </c>
      <c r="AH208" s="3">
        <f>[1]Results!AK1494</f>
        <v>26838.805990000001</v>
      </c>
      <c r="AI208" s="3">
        <f>[1]Results!AL1494</f>
        <v>27148.313569999998</v>
      </c>
      <c r="AJ208" s="3">
        <f>[1]Results!AM1494</f>
        <v>27454.105019999999</v>
      </c>
      <c r="AK208" s="3">
        <f>[1]Results!AN1494</f>
        <v>27750.266360000001</v>
      </c>
      <c r="AL208" s="3">
        <f>[1]Results!AO1494</f>
        <v>28031.385859999999</v>
      </c>
    </row>
    <row r="209" spans="1:38" x14ac:dyDescent="0.35">
      <c r="B209" t="s">
        <v>29</v>
      </c>
      <c r="C209" s="3">
        <f>C214-C210</f>
        <v>10.573063502599998</v>
      </c>
      <c r="D209" s="3">
        <f t="shared" ref="D209:AL209" si="25">D214-D210</f>
        <v>10.5594849691</v>
      </c>
      <c r="E209" s="3">
        <f t="shared" si="25"/>
        <v>10.5406569572</v>
      </c>
      <c r="F209" s="3">
        <f t="shared" si="25"/>
        <v>10.522682577599998</v>
      </c>
      <c r="G209" s="3">
        <f t="shared" si="25"/>
        <v>10.524867742900001</v>
      </c>
      <c r="H209" s="3">
        <f t="shared" si="25"/>
        <v>10.5533521221</v>
      </c>
      <c r="I209" s="3">
        <f t="shared" si="25"/>
        <v>10.5980950158</v>
      </c>
      <c r="J209" s="3">
        <f t="shared" si="25"/>
        <v>10.649413476699998</v>
      </c>
      <c r="K209" s="3">
        <f t="shared" si="25"/>
        <v>10.701386099200001</v>
      </c>
      <c r="L209" s="3">
        <f t="shared" si="25"/>
        <v>10.751034934900002</v>
      </c>
      <c r="M209" s="3">
        <f t="shared" si="25"/>
        <v>10.794062695800001</v>
      </c>
      <c r="N209" s="3">
        <f t="shared" si="25"/>
        <v>10.813501247800001</v>
      </c>
      <c r="O209" s="3">
        <f t="shared" si="25"/>
        <v>10.805560081899998</v>
      </c>
      <c r="P209" s="3">
        <f t="shared" si="25"/>
        <v>10.773004554799998</v>
      </c>
      <c r="Q209" s="3">
        <f t="shared" si="25"/>
        <v>10.721802815</v>
      </c>
      <c r="R209" s="3">
        <f t="shared" si="25"/>
        <v>10.6586545812</v>
      </c>
      <c r="S209" s="3">
        <f t="shared" si="25"/>
        <v>10.5948271181</v>
      </c>
      <c r="T209" s="3">
        <f t="shared" si="25"/>
        <v>10.538324444300001</v>
      </c>
      <c r="U209" s="3">
        <f t="shared" si="25"/>
        <v>10.494044688799999</v>
      </c>
      <c r="V209" s="3">
        <f t="shared" si="25"/>
        <v>10.463982119000001</v>
      </c>
      <c r="W209" s="3">
        <f t="shared" si="25"/>
        <v>10.447741978299998</v>
      </c>
      <c r="X209" s="3">
        <f t="shared" si="25"/>
        <v>10.4456379946</v>
      </c>
      <c r="Y209" s="3">
        <f t="shared" si="25"/>
        <v>10.457653666200001</v>
      </c>
      <c r="Z209" s="3">
        <f t="shared" si="25"/>
        <v>10.483515789000002</v>
      </c>
      <c r="AA209" s="3">
        <f t="shared" si="25"/>
        <v>10.5224469213</v>
      </c>
      <c r="AB209" s="3">
        <f t="shared" si="25"/>
        <v>10.571546352799999</v>
      </c>
      <c r="AC209" s="3">
        <f t="shared" si="25"/>
        <v>10.631057718500003</v>
      </c>
      <c r="AD209" s="3">
        <f t="shared" si="25"/>
        <v>10.701439493200002</v>
      </c>
      <c r="AE209" s="3">
        <f t="shared" si="25"/>
        <v>10.782683283000001</v>
      </c>
      <c r="AF209" s="3">
        <f t="shared" si="25"/>
        <v>10.873154382200001</v>
      </c>
      <c r="AG209" s="3">
        <f t="shared" si="25"/>
        <v>10.969825947900002</v>
      </c>
      <c r="AH209" s="3">
        <f t="shared" si="25"/>
        <v>11.069312699699999</v>
      </c>
      <c r="AI209" s="3">
        <f t="shared" si="25"/>
        <v>11.168504332800001</v>
      </c>
      <c r="AJ209" s="3">
        <f t="shared" si="25"/>
        <v>11.264648514899999</v>
      </c>
      <c r="AK209" s="3">
        <f t="shared" si="25"/>
        <v>11.355285002400002</v>
      </c>
      <c r="AL209" s="3">
        <f t="shared" si="25"/>
        <v>11.438179416199999</v>
      </c>
    </row>
    <row r="210" spans="1:38" x14ac:dyDescent="0.35">
      <c r="B210" t="s">
        <v>36</v>
      </c>
      <c r="C210" s="3">
        <f>C212+C213</f>
        <v>7.3981974974</v>
      </c>
      <c r="D210" s="3">
        <f t="shared" ref="D210:AL210" si="26">D212+D213</f>
        <v>7.3711068008999998</v>
      </c>
      <c r="E210" s="3">
        <f t="shared" si="26"/>
        <v>7.3290226228000002</v>
      </c>
      <c r="F210" s="3">
        <f t="shared" si="26"/>
        <v>7.2849250824000009</v>
      </c>
      <c r="G210" s="3">
        <f t="shared" si="26"/>
        <v>7.2552543371000002</v>
      </c>
      <c r="H210" s="3">
        <f t="shared" si="26"/>
        <v>7.2457367178999998</v>
      </c>
      <c r="I210" s="3">
        <f t="shared" si="26"/>
        <v>7.2517283242000001</v>
      </c>
      <c r="J210" s="3">
        <f t="shared" si="26"/>
        <v>7.2667420233</v>
      </c>
      <c r="K210" s="3">
        <f t="shared" si="26"/>
        <v>7.2857870507999998</v>
      </c>
      <c r="L210" s="3">
        <f t="shared" si="26"/>
        <v>7.3056493251000001</v>
      </c>
      <c r="M210" s="3">
        <f t="shared" si="26"/>
        <v>7.3235909142000004</v>
      </c>
      <c r="N210" s="3">
        <f t="shared" si="26"/>
        <v>7.3321759921999998</v>
      </c>
      <c r="O210" s="3">
        <f t="shared" si="26"/>
        <v>7.3286158581</v>
      </c>
      <c r="P210" s="3">
        <f t="shared" si="26"/>
        <v>7.3129070352000003</v>
      </c>
      <c r="Q210" s="3">
        <f t="shared" si="26"/>
        <v>7.2866726650000002</v>
      </c>
      <c r="R210" s="3">
        <f t="shared" si="26"/>
        <v>7.2522485388</v>
      </c>
      <c r="S210" s="3">
        <f t="shared" si="26"/>
        <v>7.2144052318999998</v>
      </c>
      <c r="T210" s="3">
        <f t="shared" si="26"/>
        <v>7.1771703857000002</v>
      </c>
      <c r="U210" s="3">
        <f t="shared" si="26"/>
        <v>7.1432909112000003</v>
      </c>
      <c r="V210" s="3">
        <f t="shared" si="26"/>
        <v>7.1141758309999998</v>
      </c>
      <c r="W210" s="3">
        <f t="shared" si="26"/>
        <v>7.0899534417000005</v>
      </c>
      <c r="X210" s="3">
        <f t="shared" si="26"/>
        <v>7.0710917254000005</v>
      </c>
      <c r="Y210" s="3">
        <f t="shared" si="26"/>
        <v>7.0578513637999993</v>
      </c>
      <c r="Z210" s="3">
        <f t="shared" si="26"/>
        <v>7.0503671510000006</v>
      </c>
      <c r="AA210" s="3">
        <f t="shared" si="26"/>
        <v>7.0485684787</v>
      </c>
      <c r="AB210" s="3">
        <f t="shared" si="26"/>
        <v>7.0511720271999998</v>
      </c>
      <c r="AC210" s="3">
        <f t="shared" si="26"/>
        <v>7.0584250914999993</v>
      </c>
      <c r="AD210" s="3">
        <f t="shared" si="26"/>
        <v>7.0706423367999998</v>
      </c>
      <c r="AE210" s="3">
        <f t="shared" si="26"/>
        <v>7.0879573170000008</v>
      </c>
      <c r="AF210" s="3">
        <f t="shared" si="26"/>
        <v>7.1098632278</v>
      </c>
      <c r="AG210" s="3">
        <f t="shared" si="26"/>
        <v>7.1352305720999993</v>
      </c>
      <c r="AH210" s="3">
        <f t="shared" si="26"/>
        <v>7.1626450902999999</v>
      </c>
      <c r="AI210" s="3">
        <f t="shared" si="26"/>
        <v>7.1906604971999997</v>
      </c>
      <c r="AJ210" s="3">
        <f t="shared" si="26"/>
        <v>7.2178663051000003</v>
      </c>
      <c r="AK210" s="3">
        <f t="shared" si="26"/>
        <v>7.2428982375999995</v>
      </c>
      <c r="AL210" s="3">
        <f t="shared" si="26"/>
        <v>7.2644517438000005</v>
      </c>
    </row>
    <row r="211" spans="1:38" x14ac:dyDescent="0.35">
      <c r="B211" t="s">
        <v>33</v>
      </c>
      <c r="C211" s="3">
        <f>[1]Results!F1502</f>
        <v>87.061451820000002</v>
      </c>
      <c r="D211" s="3">
        <f>[1]Results!G1502</f>
        <v>87.380289050000002</v>
      </c>
      <c r="E211" s="3">
        <f>[1]Results!H1502</f>
        <v>87.706389299999998</v>
      </c>
      <c r="F211" s="3">
        <f>[1]Results!I1502</f>
        <v>88.084313309999999</v>
      </c>
      <c r="G211" s="3">
        <f>[1]Results!J1502</f>
        <v>88.407287289999999</v>
      </c>
      <c r="H211" s="3">
        <f>[1]Results!K1502</f>
        <v>88.702129729999996</v>
      </c>
      <c r="I211" s="3">
        <f>[1]Results!L1502</f>
        <v>89.005328219999996</v>
      </c>
      <c r="J211" s="3">
        <f>[1]Results!M1502</f>
        <v>89.336289739999998</v>
      </c>
      <c r="K211" s="3">
        <f>[1]Results!N1502</f>
        <v>89.685546090000003</v>
      </c>
      <c r="L211" s="3">
        <f>[1]Results!O1502</f>
        <v>90.037138459999994</v>
      </c>
      <c r="M211" s="3">
        <f>[1]Results!P1502</f>
        <v>90.363870329999997</v>
      </c>
      <c r="N211" s="3">
        <f>[1]Results!Q1502</f>
        <v>90.507220040000007</v>
      </c>
      <c r="O211" s="3">
        <f>[1]Results!R1502</f>
        <v>90.417176789999999</v>
      </c>
      <c r="P211" s="3">
        <f>[1]Results!S1502</f>
        <v>90.108343610000006</v>
      </c>
      <c r="Q211" s="3">
        <f>[1]Results!T1502</f>
        <v>89.631668300000001</v>
      </c>
      <c r="R211" s="3">
        <f>[1]Results!U1502</f>
        <v>89.050945049999996</v>
      </c>
      <c r="S211" s="3">
        <f>[1]Results!V1502</f>
        <v>88.416569460000005</v>
      </c>
      <c r="T211" s="3">
        <f>[1]Results!W1502</f>
        <v>87.787409780000004</v>
      </c>
      <c r="U211" s="3">
        <f>[1]Results!X1502</f>
        <v>87.222690749999998</v>
      </c>
      <c r="V211" s="3">
        <f>[1]Results!Y1502</f>
        <v>86.763097020000004</v>
      </c>
      <c r="W211" s="3">
        <f>[1]Results!Z1502</f>
        <v>86.420024069999997</v>
      </c>
      <c r="X211" s="3">
        <f>[1]Results!AA1502</f>
        <v>86.221069510000007</v>
      </c>
      <c r="Y211" s="3">
        <f>[1]Results!AB1502</f>
        <v>86.178307989999993</v>
      </c>
      <c r="Z211" s="3">
        <f>[1]Results!AC1502</f>
        <v>86.294527070000001</v>
      </c>
      <c r="AA211" s="3">
        <f>[1]Results!AD1502</f>
        <v>86.564925770000002</v>
      </c>
      <c r="AB211" s="3">
        <f>[1]Results!AE1502</f>
        <v>86.945174109999996</v>
      </c>
      <c r="AC211" s="3">
        <f>[1]Results!AF1502</f>
        <v>87.446198890000005</v>
      </c>
      <c r="AD211" s="3">
        <f>[1]Results!AG1502</f>
        <v>88.070332129999997</v>
      </c>
      <c r="AE211" s="3">
        <f>[1]Results!AH1502</f>
        <v>88.811913129999994</v>
      </c>
      <c r="AF211" s="3">
        <f>[1]Results!AI1502</f>
        <v>89.649465789999994</v>
      </c>
      <c r="AG211" s="3">
        <f>[1]Results!AJ1502</f>
        <v>90.548901749999999</v>
      </c>
      <c r="AH211" s="3">
        <f>[1]Results!AK1502</f>
        <v>91.472881560000005</v>
      </c>
      <c r="AI211" s="3">
        <f>[1]Results!AL1502</f>
        <v>92.387275819999999</v>
      </c>
      <c r="AJ211" s="3">
        <f>[1]Results!AM1502</f>
        <v>93.262701149999998</v>
      </c>
      <c r="AK211" s="3">
        <f>[1]Results!AN1502</f>
        <v>94.074359020000003</v>
      </c>
      <c r="AL211" s="3">
        <f>[1]Results!AO1502</f>
        <v>94.801618439999999</v>
      </c>
    </row>
    <row r="212" spans="1:38" x14ac:dyDescent="0.35">
      <c r="B212" t="s">
        <v>35</v>
      </c>
      <c r="C212" s="3">
        <f>[1]Results!F1499</f>
        <v>6.6796781269999999</v>
      </c>
      <c r="D212" s="3">
        <f>[1]Results!G1499</f>
        <v>6.6547599980000003</v>
      </c>
      <c r="E212" s="3">
        <f>[1]Results!H1499</f>
        <v>6.6151605529999999</v>
      </c>
      <c r="F212" s="3">
        <f>[1]Results!I1499</f>
        <v>6.5738810580000004</v>
      </c>
      <c r="G212" s="3">
        <f>[1]Results!J1499</f>
        <v>6.545301093</v>
      </c>
      <c r="H212" s="3">
        <f>[1]Results!K1499</f>
        <v>6.5347262419999996</v>
      </c>
      <c r="I212" s="3">
        <f>[1]Results!L1499</f>
        <v>6.5397531410000003</v>
      </c>
      <c r="J212" s="3">
        <f>[1]Results!M1499</f>
        <v>6.554684129</v>
      </c>
      <c r="K212" s="3">
        <f>[1]Results!N1499</f>
        <v>6.574555524</v>
      </c>
      <c r="L212" s="3">
        <f>[1]Results!O1499</f>
        <v>6.5959459049999998</v>
      </c>
      <c r="M212" s="3">
        <f>[1]Results!P1499</f>
        <v>6.6160499939999999</v>
      </c>
      <c r="N212" s="3">
        <f>[1]Results!Q1499</f>
        <v>6.6284744209999999</v>
      </c>
      <c r="O212" s="3">
        <f>[1]Results!R1499</f>
        <v>6.6306049869999999</v>
      </c>
      <c r="P212" s="3">
        <f>[1]Results!S1499</f>
        <v>6.622154095</v>
      </c>
      <c r="Q212" s="3">
        <f>[1]Results!T1499</f>
        <v>6.60425357</v>
      </c>
      <c r="R212" s="3">
        <f>[1]Results!U1499</f>
        <v>6.5787161469999997</v>
      </c>
      <c r="S212" s="3">
        <f>[1]Results!V1499</f>
        <v>6.5487610119999999</v>
      </c>
      <c r="T212" s="3">
        <f>[1]Results!W1499</f>
        <v>6.517925838</v>
      </c>
      <c r="U212" s="3">
        <f>[1]Results!X1499</f>
        <v>6.4888502360000002</v>
      </c>
      <c r="V212" s="3">
        <f>[1]Results!Y1499</f>
        <v>6.4630254989999996</v>
      </c>
      <c r="W212" s="3">
        <f>[1]Results!Z1499</f>
        <v>6.440794211</v>
      </c>
      <c r="X212" s="3">
        <f>[1]Results!AA1499</f>
        <v>6.4226678850000001</v>
      </c>
      <c r="Y212" s="3">
        <f>[1]Results!AB1499</f>
        <v>6.4089612029999996</v>
      </c>
      <c r="Z212" s="3">
        <f>[1]Results!AC1499</f>
        <v>6.3998633370000002</v>
      </c>
      <c r="AA212" s="3">
        <f>[1]Results!AD1499</f>
        <v>6.3953781589999998</v>
      </c>
      <c r="AB212" s="3">
        <f>[1]Results!AE1499</f>
        <v>6.3945082280000003</v>
      </c>
      <c r="AC212" s="3">
        <f>[1]Results!AF1499</f>
        <v>6.3974444769999996</v>
      </c>
      <c r="AD212" s="3">
        <f>[1]Results!AG1499</f>
        <v>6.4044683359999999</v>
      </c>
      <c r="AE212" s="3">
        <f>[1]Results!AH1499</f>
        <v>6.4157276010000004</v>
      </c>
      <c r="AF212" s="3">
        <f>[1]Results!AI1499</f>
        <v>6.4308468520000002</v>
      </c>
      <c r="AG212" s="3">
        <f>[1]Results!AJ1499</f>
        <v>6.4489289779999996</v>
      </c>
      <c r="AH212" s="3">
        <f>[1]Results!AK1499</f>
        <v>6.4688220699999999</v>
      </c>
      <c r="AI212" s="3">
        <f>[1]Results!AL1499</f>
        <v>6.489326953</v>
      </c>
      <c r="AJ212" s="3">
        <f>[1]Results!AM1499</f>
        <v>6.5092510030000001</v>
      </c>
      <c r="AK212" s="3">
        <f>[1]Results!AN1499</f>
        <v>6.5274199619999997</v>
      </c>
      <c r="AL212" s="3">
        <f>[1]Results!AO1499</f>
        <v>6.5426954290000001</v>
      </c>
    </row>
    <row r="213" spans="1:38" x14ac:dyDescent="0.35">
      <c r="B213" t="s">
        <v>34</v>
      </c>
      <c r="C213" s="3">
        <f>[1]Results!F1501</f>
        <v>0.71851937040000002</v>
      </c>
      <c r="D213" s="3">
        <f>[1]Results!G1501</f>
        <v>0.71634680289999997</v>
      </c>
      <c r="E213" s="3">
        <f>[1]Results!H1501</f>
        <v>0.7138620698</v>
      </c>
      <c r="F213" s="3">
        <f>[1]Results!I1501</f>
        <v>0.71104402440000003</v>
      </c>
      <c r="G213" s="3">
        <f>[1]Results!J1501</f>
        <v>0.70995324410000005</v>
      </c>
      <c r="H213" s="3">
        <f>[1]Results!K1501</f>
        <v>0.71101047589999999</v>
      </c>
      <c r="I213" s="3">
        <f>[1]Results!L1501</f>
        <v>0.71197518319999997</v>
      </c>
      <c r="J213" s="3">
        <f>[1]Results!M1501</f>
        <v>0.71205789429999999</v>
      </c>
      <c r="K213" s="3">
        <f>[1]Results!N1501</f>
        <v>0.71123152680000001</v>
      </c>
      <c r="L213" s="3">
        <f>[1]Results!O1501</f>
        <v>0.70970342009999998</v>
      </c>
      <c r="M213" s="3">
        <f>[1]Results!P1501</f>
        <v>0.70754092020000003</v>
      </c>
      <c r="N213" s="3">
        <f>[1]Results!Q1501</f>
        <v>0.70370157119999999</v>
      </c>
      <c r="O213" s="3">
        <f>[1]Results!R1501</f>
        <v>0.69801087110000004</v>
      </c>
      <c r="P213" s="3">
        <f>[1]Results!S1501</f>
        <v>0.6907529402</v>
      </c>
      <c r="Q213" s="3">
        <f>[1]Results!T1501</f>
        <v>0.68241909499999998</v>
      </c>
      <c r="R213" s="3">
        <f>[1]Results!U1501</f>
        <v>0.67353239180000002</v>
      </c>
      <c r="S213" s="3">
        <f>[1]Results!V1501</f>
        <v>0.6656442199</v>
      </c>
      <c r="T213" s="3">
        <f>[1]Results!W1501</f>
        <v>0.65924454769999996</v>
      </c>
      <c r="U213" s="3">
        <f>[1]Results!X1501</f>
        <v>0.65444067520000004</v>
      </c>
      <c r="V213" s="3">
        <f>[1]Results!Y1501</f>
        <v>0.65115033200000005</v>
      </c>
      <c r="W213" s="3">
        <f>[1]Results!Z1501</f>
        <v>0.64915923070000003</v>
      </c>
      <c r="X213" s="3">
        <f>[1]Results!AA1501</f>
        <v>0.64842384040000001</v>
      </c>
      <c r="Y213" s="3">
        <f>[1]Results!AB1501</f>
        <v>0.64889016079999995</v>
      </c>
      <c r="Z213" s="3">
        <f>[1]Results!AC1501</f>
        <v>0.65050381400000001</v>
      </c>
      <c r="AA213" s="3">
        <f>[1]Results!AD1501</f>
        <v>0.65319031969999997</v>
      </c>
      <c r="AB213" s="3">
        <f>[1]Results!AE1501</f>
        <v>0.65666379919999995</v>
      </c>
      <c r="AC213" s="3">
        <f>[1]Results!AF1501</f>
        <v>0.66098061450000001</v>
      </c>
      <c r="AD213" s="3">
        <f>[1]Results!AG1501</f>
        <v>0.6661740008</v>
      </c>
      <c r="AE213" s="3">
        <f>[1]Results!AH1501</f>
        <v>0.67222971600000003</v>
      </c>
      <c r="AF213" s="3">
        <f>[1]Results!AI1501</f>
        <v>0.67901637579999996</v>
      </c>
      <c r="AG213" s="3">
        <f>[1]Results!AJ1501</f>
        <v>0.68630159410000002</v>
      </c>
      <c r="AH213" s="3">
        <f>[1]Results!AK1501</f>
        <v>0.69382302029999998</v>
      </c>
      <c r="AI213" s="3">
        <f>[1]Results!AL1501</f>
        <v>0.70133354420000005</v>
      </c>
      <c r="AJ213" s="3">
        <f>[1]Results!AM1501</f>
        <v>0.70861530210000001</v>
      </c>
      <c r="AK213" s="3">
        <f>[1]Results!AN1501</f>
        <v>0.71547827559999999</v>
      </c>
      <c r="AL213" s="3">
        <f>[1]Results!AO1501</f>
        <v>0.72175631480000002</v>
      </c>
    </row>
    <row r="214" spans="1:38" x14ac:dyDescent="0.35">
      <c r="B214" t="s">
        <v>37</v>
      </c>
      <c r="C214" s="3">
        <f>[1]Results!F1497</f>
        <v>17.971260999999998</v>
      </c>
      <c r="D214" s="3">
        <f>[1]Results!G1497</f>
        <v>17.930591769999999</v>
      </c>
      <c r="E214" s="3">
        <f>[1]Results!H1497</f>
        <v>17.86967958</v>
      </c>
      <c r="F214" s="3">
        <f>[1]Results!I1497</f>
        <v>17.807607659999999</v>
      </c>
      <c r="G214" s="3">
        <f>[1]Results!J1497</f>
        <v>17.780122080000002</v>
      </c>
      <c r="H214" s="3">
        <f>[1]Results!K1497</f>
        <v>17.79908884</v>
      </c>
      <c r="I214" s="3">
        <f>[1]Results!L1497</f>
        <v>17.84982334</v>
      </c>
      <c r="J214" s="3">
        <f>[1]Results!M1497</f>
        <v>17.916155499999999</v>
      </c>
      <c r="K214" s="3">
        <f>[1]Results!N1497</f>
        <v>17.98717315</v>
      </c>
      <c r="L214" s="3">
        <f>[1]Results!O1497</f>
        <v>18.056684260000001</v>
      </c>
      <c r="M214" s="3">
        <f>[1]Results!P1497</f>
        <v>18.117653610000001</v>
      </c>
      <c r="N214" s="3">
        <f>[1]Results!Q1497</f>
        <v>18.145677240000001</v>
      </c>
      <c r="O214" s="3">
        <f>[1]Results!R1497</f>
        <v>18.134175939999999</v>
      </c>
      <c r="P214" s="3">
        <f>[1]Results!S1497</f>
        <v>18.085911589999998</v>
      </c>
      <c r="Q214" s="3">
        <f>[1]Results!T1497</f>
        <v>18.008475480000001</v>
      </c>
      <c r="R214" s="3">
        <f>[1]Results!U1497</f>
        <v>17.91090312</v>
      </c>
      <c r="S214" s="3">
        <f>[1]Results!V1497</f>
        <v>17.809232349999998</v>
      </c>
      <c r="T214" s="3">
        <f>[1]Results!W1497</f>
        <v>17.715494830000001</v>
      </c>
      <c r="U214" s="3">
        <f>[1]Results!X1497</f>
        <v>17.6373356</v>
      </c>
      <c r="V214" s="3">
        <f>[1]Results!Y1497</f>
        <v>17.578157950000001</v>
      </c>
      <c r="W214" s="3">
        <f>[1]Results!Z1497</f>
        <v>17.537695419999999</v>
      </c>
      <c r="X214" s="3">
        <f>[1]Results!AA1497</f>
        <v>17.516729720000001</v>
      </c>
      <c r="Y214" s="3">
        <f>[1]Results!AB1497</f>
        <v>17.51550503</v>
      </c>
      <c r="Z214" s="3">
        <f>[1]Results!AC1497</f>
        <v>17.533882940000002</v>
      </c>
      <c r="AA214" s="3">
        <f>[1]Results!AD1497</f>
        <v>17.5710154</v>
      </c>
      <c r="AB214" s="3">
        <f>[1]Results!AE1497</f>
        <v>17.622718379999998</v>
      </c>
      <c r="AC214" s="3">
        <f>[1]Results!AF1497</f>
        <v>17.689482810000001</v>
      </c>
      <c r="AD214" s="3">
        <f>[1]Results!AG1497</f>
        <v>17.772081830000001</v>
      </c>
      <c r="AE214" s="3">
        <f>[1]Results!AH1497</f>
        <v>17.870640600000002</v>
      </c>
      <c r="AF214" s="3">
        <f>[1]Results!AI1497</f>
        <v>17.983017610000001</v>
      </c>
      <c r="AG214" s="3">
        <f>[1]Results!AJ1497</f>
        <v>18.105056520000002</v>
      </c>
      <c r="AH214" s="3">
        <f>[1]Results!AK1497</f>
        <v>18.231957789999999</v>
      </c>
      <c r="AI214" s="3">
        <f>[1]Results!AL1497</f>
        <v>18.359164830000001</v>
      </c>
      <c r="AJ214" s="3">
        <f>[1]Results!AM1497</f>
        <v>18.482514819999999</v>
      </c>
      <c r="AK214" s="3">
        <f>[1]Results!AN1497</f>
        <v>18.598183240000001</v>
      </c>
      <c r="AL214" s="3">
        <f>[1]Results!AO1497</f>
        <v>18.702631159999999</v>
      </c>
    </row>
    <row r="216" spans="1:38" x14ac:dyDescent="0.35">
      <c r="A216" s="12" t="s">
        <v>86</v>
      </c>
      <c r="B216" t="s">
        <v>27</v>
      </c>
      <c r="C216" s="5">
        <f t="shared" ref="C216:AL216" si="27">C192-C204</f>
        <v>0</v>
      </c>
      <c r="D216" s="5">
        <f t="shared" si="27"/>
        <v>0</v>
      </c>
      <c r="E216" s="5">
        <f t="shared" si="27"/>
        <v>0</v>
      </c>
      <c r="F216" s="5">
        <f t="shared" si="27"/>
        <v>0</v>
      </c>
      <c r="G216" s="5">
        <f t="shared" si="27"/>
        <v>0</v>
      </c>
      <c r="H216" s="5">
        <f t="shared" si="27"/>
        <v>9.9999997473787516E-6</v>
      </c>
      <c r="I216" s="5">
        <f t="shared" si="27"/>
        <v>0</v>
      </c>
      <c r="J216" s="5">
        <f t="shared" si="27"/>
        <v>-21.504289999997127</v>
      </c>
      <c r="K216" s="5">
        <f t="shared" si="27"/>
        <v>-57.22617000000173</v>
      </c>
      <c r="L216" s="5">
        <f t="shared" si="27"/>
        <v>-41.403000000002066</v>
      </c>
      <c r="M216" s="5">
        <f t="shared" si="27"/>
        <v>11.458439999998518</v>
      </c>
      <c r="N216" s="5">
        <f t="shared" si="27"/>
        <v>74.965530000001309</v>
      </c>
      <c r="O216" s="5">
        <f t="shared" si="27"/>
        <v>132.15766000000076</v>
      </c>
      <c r="P216" s="5">
        <f t="shared" si="27"/>
        <v>177.38808000000063</v>
      </c>
      <c r="Q216" s="5">
        <f t="shared" si="27"/>
        <v>213.2233899999992</v>
      </c>
      <c r="R216" s="5">
        <f t="shared" si="27"/>
        <v>242.73228999999992</v>
      </c>
      <c r="S216" s="5">
        <f t="shared" si="27"/>
        <v>265.71518000000287</v>
      </c>
      <c r="T216" s="5">
        <f t="shared" si="27"/>
        <v>282.11007999999856</v>
      </c>
      <c r="U216" s="5">
        <f t="shared" si="27"/>
        <v>292.30079000000114</v>
      </c>
      <c r="V216" s="5">
        <f t="shared" si="27"/>
        <v>297.41035999999804</v>
      </c>
      <c r="W216" s="5">
        <f t="shared" si="27"/>
        <v>298.93917999999758</v>
      </c>
      <c r="X216" s="5">
        <f t="shared" si="27"/>
        <v>298.67861000000266</v>
      </c>
      <c r="Y216" s="5">
        <f t="shared" si="27"/>
        <v>298.49692000000141</v>
      </c>
      <c r="Z216" s="5">
        <f t="shared" si="27"/>
        <v>300.25547999999981</v>
      </c>
      <c r="AA216" s="5">
        <f t="shared" si="27"/>
        <v>305.88404999999693</v>
      </c>
      <c r="AB216" s="5">
        <f t="shared" si="27"/>
        <v>317.15419000000111</v>
      </c>
      <c r="AC216" s="5">
        <f t="shared" si="27"/>
        <v>336.72467999999935</v>
      </c>
      <c r="AD216" s="5">
        <f t="shared" si="27"/>
        <v>367.39053000000422</v>
      </c>
      <c r="AE216" s="5">
        <f t="shared" si="27"/>
        <v>412.16412000000128</v>
      </c>
      <c r="AF216" s="5">
        <f t="shared" si="27"/>
        <v>474.49075000000448</v>
      </c>
      <c r="AG216" s="5">
        <f t="shared" si="27"/>
        <v>558.26391000000149</v>
      </c>
      <c r="AH216" s="5">
        <f t="shared" si="27"/>
        <v>668.0439899999983</v>
      </c>
      <c r="AI216" s="5">
        <f t="shared" si="27"/>
        <v>809.47712999999931</v>
      </c>
      <c r="AJ216" s="5">
        <f t="shared" si="27"/>
        <v>989.8087400000004</v>
      </c>
      <c r="AK216" s="5">
        <f t="shared" si="27"/>
        <v>1218.9778099999967</v>
      </c>
      <c r="AL216" s="5">
        <f t="shared" si="27"/>
        <v>1511.4405500000066</v>
      </c>
    </row>
    <row r="217" spans="1:38" x14ac:dyDescent="0.35">
      <c r="A217" t="s">
        <v>87</v>
      </c>
      <c r="B217" t="s">
        <v>7</v>
      </c>
      <c r="C217" s="5">
        <f t="shared" ref="C217:AL217" si="28">C193-C205</f>
        <v>0</v>
      </c>
      <c r="D217" s="5">
        <f t="shared" si="28"/>
        <v>9.9999965641472954E-8</v>
      </c>
      <c r="E217" s="5">
        <f t="shared" si="28"/>
        <v>0</v>
      </c>
      <c r="F217" s="5">
        <f t="shared" si="28"/>
        <v>1.0000007932831068E-7</v>
      </c>
      <c r="G217" s="5">
        <f t="shared" si="28"/>
        <v>9.9999965641472954E-8</v>
      </c>
      <c r="H217" s="5">
        <f t="shared" si="28"/>
        <v>9.9999965641472954E-8</v>
      </c>
      <c r="I217" s="5">
        <f t="shared" si="28"/>
        <v>9.9999965641472954E-8</v>
      </c>
      <c r="J217" s="5">
        <f t="shared" si="28"/>
        <v>-1.3882449999999835</v>
      </c>
      <c r="K217" s="5">
        <f t="shared" si="28"/>
        <v>-3.7648912999999311</v>
      </c>
      <c r="L217" s="5">
        <f t="shared" si="28"/>
        <v>-4.5480820000000222</v>
      </c>
      <c r="M217" s="5">
        <f t="shared" si="28"/>
        <v>-4.3213567999999896</v>
      </c>
      <c r="N217" s="5">
        <f t="shared" si="28"/>
        <v>-3.9135346000000482</v>
      </c>
      <c r="O217" s="5">
        <f t="shared" si="28"/>
        <v>-3.752521999999999</v>
      </c>
      <c r="P217" s="5">
        <f t="shared" si="28"/>
        <v>-3.8839341999999988</v>
      </c>
      <c r="Q217" s="5">
        <f t="shared" si="28"/>
        <v>-4.1393620999999712</v>
      </c>
      <c r="R217" s="5">
        <f t="shared" si="28"/>
        <v>-4.4162253000000646</v>
      </c>
      <c r="S217" s="5">
        <f t="shared" si="28"/>
        <v>-4.6539945000000671</v>
      </c>
      <c r="T217" s="5">
        <f t="shared" si="28"/>
        <v>-4.9885317000000668</v>
      </c>
      <c r="U217" s="5">
        <f t="shared" si="28"/>
        <v>-5.5253240000000687</v>
      </c>
      <c r="V217" s="5">
        <f t="shared" si="28"/>
        <v>-6.3025434999999561</v>
      </c>
      <c r="W217" s="5">
        <f t="shared" si="28"/>
        <v>-7.3098633000000746</v>
      </c>
      <c r="X217" s="5">
        <f t="shared" si="28"/>
        <v>-8.5083545999999615</v>
      </c>
      <c r="Y217" s="5">
        <f t="shared" si="28"/>
        <v>-9.8466004000000567</v>
      </c>
      <c r="Z217" s="5">
        <f t="shared" si="28"/>
        <v>-11.270983699999988</v>
      </c>
      <c r="AA217" s="5">
        <f t="shared" si="28"/>
        <v>-12.727255600000035</v>
      </c>
      <c r="AB217" s="5">
        <f t="shared" si="28"/>
        <v>-14.168482100000006</v>
      </c>
      <c r="AC217" s="5">
        <f t="shared" si="28"/>
        <v>-15.628465900000037</v>
      </c>
      <c r="AD217" s="5">
        <f t="shared" si="28"/>
        <v>-17.006463000000053</v>
      </c>
      <c r="AE217" s="5">
        <f t="shared" si="28"/>
        <v>-18.211154800000031</v>
      </c>
      <c r="AF217" s="5">
        <f t="shared" si="28"/>
        <v>-19.155074100000093</v>
      </c>
      <c r="AG217" s="5">
        <f t="shared" si="28"/>
        <v>-19.756182400000057</v>
      </c>
      <c r="AH217" s="5">
        <f t="shared" si="28"/>
        <v>-19.93772899999999</v>
      </c>
      <c r="AI217" s="5">
        <f t="shared" si="28"/>
        <v>-19.623386500000038</v>
      </c>
      <c r="AJ217" s="5">
        <f t="shared" si="28"/>
        <v>-18.733938599999988</v>
      </c>
      <c r="AK217" s="5">
        <f t="shared" si="28"/>
        <v>-17.17569299999991</v>
      </c>
      <c r="AL217" s="5">
        <f t="shared" si="28"/>
        <v>-14.823469000000046</v>
      </c>
    </row>
    <row r="218" spans="1:38" x14ac:dyDescent="0.35">
      <c r="B218" t="s">
        <v>30</v>
      </c>
      <c r="C218" s="5">
        <f t="shared" ref="C218:AL218" si="29">C194-C206</f>
        <v>0</v>
      </c>
      <c r="D218" s="5">
        <f t="shared" si="29"/>
        <v>9.999994290410541E-7</v>
      </c>
      <c r="E218" s="5">
        <f t="shared" si="29"/>
        <v>0</v>
      </c>
      <c r="F218" s="5">
        <f t="shared" si="29"/>
        <v>9.999994290410541E-7</v>
      </c>
      <c r="G218" s="5">
        <f t="shared" si="29"/>
        <v>0</v>
      </c>
      <c r="H218" s="5">
        <f t="shared" si="29"/>
        <v>1.0000003385357559E-6</v>
      </c>
      <c r="I218" s="5">
        <f t="shared" si="29"/>
        <v>9.999994290410541E-7</v>
      </c>
      <c r="J218" s="5">
        <f t="shared" si="29"/>
        <v>-6.3787750000001324</v>
      </c>
      <c r="K218" s="5">
        <f t="shared" si="29"/>
        <v>-16.225627999999233</v>
      </c>
      <c r="L218" s="5">
        <f t="shared" si="29"/>
        <v>-13.989641999999549</v>
      </c>
      <c r="M218" s="5">
        <f t="shared" si="29"/>
        <v>-3.9576409999999669</v>
      </c>
      <c r="N218" s="5">
        <f t="shared" si="29"/>
        <v>7.903519999999844</v>
      </c>
      <c r="O218" s="5">
        <f t="shared" si="29"/>
        <v>17.749907999999778</v>
      </c>
      <c r="P218" s="5">
        <f t="shared" si="29"/>
        <v>24.733234000000266</v>
      </c>
      <c r="Q218" s="5">
        <f t="shared" si="29"/>
        <v>30.004321000000346</v>
      </c>
      <c r="R218" s="5">
        <f t="shared" si="29"/>
        <v>34.65161900000021</v>
      </c>
      <c r="S218" s="5">
        <f t="shared" si="29"/>
        <v>38.863143000000491</v>
      </c>
      <c r="T218" s="5">
        <f t="shared" si="29"/>
        <v>42.810835000000225</v>
      </c>
      <c r="U218" s="5">
        <f t="shared" si="29"/>
        <v>46.562437999999929</v>
      </c>
      <c r="V218" s="5">
        <f t="shared" si="29"/>
        <v>50.270671999999649</v>
      </c>
      <c r="W218" s="5">
        <f t="shared" si="29"/>
        <v>54.205060000000231</v>
      </c>
      <c r="X218" s="5">
        <f t="shared" si="29"/>
        <v>58.789856000000327</v>
      </c>
      <c r="Y218" s="5">
        <f t="shared" si="29"/>
        <v>64.519193000000087</v>
      </c>
      <c r="Z218" s="5">
        <f t="shared" si="29"/>
        <v>71.876513000000159</v>
      </c>
      <c r="AA218" s="5">
        <f t="shared" si="29"/>
        <v>81.375027000000046</v>
      </c>
      <c r="AB218" s="5">
        <f t="shared" si="29"/>
        <v>93.530907000000298</v>
      </c>
      <c r="AC218" s="5">
        <f t="shared" si="29"/>
        <v>109.1071009999996</v>
      </c>
      <c r="AD218" s="5">
        <f t="shared" si="29"/>
        <v>129.08423800000037</v>
      </c>
      <c r="AE218" s="5">
        <f t="shared" si="29"/>
        <v>154.35982899999999</v>
      </c>
      <c r="AF218" s="5">
        <f t="shared" si="29"/>
        <v>185.90729899999951</v>
      </c>
      <c r="AG218" s="5">
        <f t="shared" si="29"/>
        <v>224.87192499999946</v>
      </c>
      <c r="AH218" s="5">
        <f t="shared" si="29"/>
        <v>272.71506800000043</v>
      </c>
      <c r="AI218" s="5">
        <f t="shared" si="29"/>
        <v>331.31812199999968</v>
      </c>
      <c r="AJ218" s="5">
        <f t="shared" si="29"/>
        <v>403.05350399999952</v>
      </c>
      <c r="AK218" s="5">
        <f t="shared" si="29"/>
        <v>491.1493989999999</v>
      </c>
      <c r="AL218" s="5">
        <f t="shared" si="29"/>
        <v>600.30292100000042</v>
      </c>
    </row>
    <row r="219" spans="1:38" x14ac:dyDescent="0.35">
      <c r="B219" t="s">
        <v>28</v>
      </c>
      <c r="C219" s="5">
        <f t="shared" ref="C219:AL219" si="30">C195-C207</f>
        <v>0</v>
      </c>
      <c r="D219" s="5">
        <f t="shared" si="30"/>
        <v>9.9999965641472954E-8</v>
      </c>
      <c r="E219" s="5">
        <f t="shared" si="30"/>
        <v>0</v>
      </c>
      <c r="F219" s="5">
        <f t="shared" si="30"/>
        <v>0</v>
      </c>
      <c r="G219" s="5">
        <f t="shared" si="30"/>
        <v>0</v>
      </c>
      <c r="H219" s="5">
        <f t="shared" si="30"/>
        <v>9.9999965641472954E-8</v>
      </c>
      <c r="I219" s="5">
        <f t="shared" si="30"/>
        <v>9.9999965641472954E-8</v>
      </c>
      <c r="J219" s="5">
        <f t="shared" si="30"/>
        <v>-2.2736035000000356</v>
      </c>
      <c r="K219" s="5">
        <f t="shared" si="30"/>
        <v>-6.0553522999999814</v>
      </c>
      <c r="L219" s="5">
        <f t="shared" si="30"/>
        <v>-8.1652533999999832</v>
      </c>
      <c r="M219" s="5">
        <f t="shared" si="30"/>
        <v>-9.1816658999999845</v>
      </c>
      <c r="N219" s="5">
        <f t="shared" si="30"/>
        <v>-9.6753110000000788</v>
      </c>
      <c r="O219" s="5">
        <f t="shared" si="30"/>
        <v>-10.125231299999996</v>
      </c>
      <c r="P219" s="5">
        <f t="shared" si="30"/>
        <v>-10.683068599999956</v>
      </c>
      <c r="Q219" s="5">
        <f t="shared" si="30"/>
        <v>-11.248690899999929</v>
      </c>
      <c r="R219" s="5">
        <f t="shared" si="30"/>
        <v>-11.763747299999977</v>
      </c>
      <c r="S219" s="5">
        <f t="shared" si="30"/>
        <v>-12.439839000000006</v>
      </c>
      <c r="T219" s="5">
        <f t="shared" si="30"/>
        <v>-13.405508199999986</v>
      </c>
      <c r="U219" s="5">
        <f t="shared" si="30"/>
        <v>-14.668937000000028</v>
      </c>
      <c r="V219" s="5">
        <f t="shared" si="30"/>
        <v>-16.16608020000001</v>
      </c>
      <c r="W219" s="5">
        <f t="shared" si="30"/>
        <v>-17.802749899999981</v>
      </c>
      <c r="X219" s="5">
        <f t="shared" si="30"/>
        <v>-19.476890599999933</v>
      </c>
      <c r="Y219" s="5">
        <f t="shared" si="30"/>
        <v>-21.0918815</v>
      </c>
      <c r="Z219" s="5">
        <f t="shared" si="30"/>
        <v>-22.572331600000098</v>
      </c>
      <c r="AA219" s="5">
        <f t="shared" si="30"/>
        <v>-23.856113699999923</v>
      </c>
      <c r="AB219" s="5">
        <f t="shared" si="30"/>
        <v>-24.885311200000046</v>
      </c>
      <c r="AC219" s="5">
        <f t="shared" si="30"/>
        <v>-25.566304299999956</v>
      </c>
      <c r="AD219" s="5">
        <f t="shared" si="30"/>
        <v>-25.787690600000019</v>
      </c>
      <c r="AE219" s="5">
        <f t="shared" si="30"/>
        <v>-25.458427099999994</v>
      </c>
      <c r="AF219" s="5">
        <f t="shared" si="30"/>
        <v>-24.495905999999991</v>
      </c>
      <c r="AG219" s="5">
        <f t="shared" si="30"/>
        <v>-22.820002000000045</v>
      </c>
      <c r="AH219" s="5">
        <f t="shared" si="30"/>
        <v>-20.335006999999905</v>
      </c>
      <c r="AI219" s="5">
        <f t="shared" si="30"/>
        <v>-16.923011000000088</v>
      </c>
      <c r="AJ219" s="5">
        <f t="shared" si="30"/>
        <v>-12.459949000000051</v>
      </c>
      <c r="AK219" s="5">
        <f t="shared" si="30"/>
        <v>-6.8015869999999268</v>
      </c>
      <c r="AL219" s="5">
        <f t="shared" si="30"/>
        <v>0.24471400000015819</v>
      </c>
    </row>
    <row r="220" spans="1:38" x14ac:dyDescent="0.35">
      <c r="B220" t="s">
        <v>10</v>
      </c>
      <c r="C220" s="5">
        <f t="shared" ref="C220:AL220" si="31">C196-C208</f>
        <v>0</v>
      </c>
      <c r="D220" s="5">
        <f t="shared" si="31"/>
        <v>0</v>
      </c>
      <c r="E220" s="5">
        <f t="shared" si="31"/>
        <v>0</v>
      </c>
      <c r="F220" s="5">
        <f t="shared" si="31"/>
        <v>0</v>
      </c>
      <c r="G220" s="5">
        <f t="shared" si="31"/>
        <v>0</v>
      </c>
      <c r="H220" s="5">
        <f t="shared" si="31"/>
        <v>0</v>
      </c>
      <c r="I220" s="5">
        <f t="shared" si="31"/>
        <v>9.9999997473787516E-6</v>
      </c>
      <c r="J220" s="5">
        <f t="shared" si="31"/>
        <v>-13.703549999998359</v>
      </c>
      <c r="K220" s="5">
        <f t="shared" si="31"/>
        <v>-37.081429999998363</v>
      </c>
      <c r="L220" s="5">
        <f t="shared" si="31"/>
        <v>-25.344430000001012</v>
      </c>
      <c r="M220" s="5">
        <f t="shared" si="31"/>
        <v>12.946280000000115</v>
      </c>
      <c r="N220" s="5">
        <f t="shared" si="31"/>
        <v>59.287290000000212</v>
      </c>
      <c r="O220" s="5">
        <f t="shared" si="31"/>
        <v>101.67697000000044</v>
      </c>
      <c r="P220" s="5">
        <f t="shared" si="31"/>
        <v>135.52132999999958</v>
      </c>
      <c r="Q220" s="5">
        <f t="shared" si="31"/>
        <v>161.8693600000006</v>
      </c>
      <c r="R220" s="5">
        <f t="shared" si="31"/>
        <v>182.42447000000175</v>
      </c>
      <c r="S220" s="5">
        <f t="shared" si="31"/>
        <v>196.85822000000189</v>
      </c>
      <c r="T220" s="5">
        <f t="shared" si="31"/>
        <v>205.10602999999901</v>
      </c>
      <c r="U220" s="5">
        <f t="shared" si="31"/>
        <v>207.53509000000122</v>
      </c>
      <c r="V220" s="5">
        <f t="shared" si="31"/>
        <v>205.01847999999882</v>
      </c>
      <c r="W220" s="5">
        <f t="shared" si="31"/>
        <v>198.59789999999703</v>
      </c>
      <c r="X220" s="5">
        <f t="shared" si="31"/>
        <v>189.37756000000081</v>
      </c>
      <c r="Y220" s="5">
        <f t="shared" si="31"/>
        <v>178.43785000000207</v>
      </c>
      <c r="Z220" s="5">
        <f t="shared" si="31"/>
        <v>166.8651600000012</v>
      </c>
      <c r="AA220" s="5">
        <f t="shared" si="31"/>
        <v>155.77888999999777</v>
      </c>
      <c r="AB220" s="5">
        <f t="shared" si="31"/>
        <v>146.1534900000006</v>
      </c>
      <c r="AC220" s="5">
        <f t="shared" si="31"/>
        <v>139.53125999999975</v>
      </c>
      <c r="AD220" s="5">
        <f t="shared" si="31"/>
        <v>137.16617000000042</v>
      </c>
      <c r="AE220" s="5">
        <f t="shared" si="31"/>
        <v>140.57145999999921</v>
      </c>
      <c r="AF220" s="5">
        <f t="shared" si="31"/>
        <v>151.54881000000023</v>
      </c>
      <c r="AG220" s="5">
        <f t="shared" si="31"/>
        <v>172.0692999999992</v>
      </c>
      <c r="AH220" s="5">
        <f t="shared" si="31"/>
        <v>204.25302999999985</v>
      </c>
      <c r="AI220" s="5">
        <f t="shared" si="31"/>
        <v>250.56451000000015</v>
      </c>
      <c r="AJ220" s="5">
        <f t="shared" si="31"/>
        <v>314.12710000000152</v>
      </c>
      <c r="AK220" s="5">
        <f t="shared" si="31"/>
        <v>399.18271999999706</v>
      </c>
      <c r="AL220" s="5">
        <f t="shared" si="31"/>
        <v>511.83427000000302</v>
      </c>
    </row>
    <row r="221" spans="1:38" x14ac:dyDescent="0.35">
      <c r="B221" t="s">
        <v>31</v>
      </c>
      <c r="C221" s="5">
        <f>C197-C209</f>
        <v>6.5100001833684473E-8</v>
      </c>
      <c r="D221" s="5">
        <f t="shared" ref="D221:AL221" si="32">D197-D209</f>
        <v>9.3799998879262603E-8</v>
      </c>
      <c r="E221" s="5">
        <f t="shared" si="32"/>
        <v>1.0539999806269407E-7</v>
      </c>
      <c r="F221" s="5">
        <f t="shared" si="32"/>
        <v>1.1450000414470196E-7</v>
      </c>
      <c r="G221" s="5">
        <f t="shared" si="32"/>
        <v>9.6799997351126876E-8</v>
      </c>
      <c r="H221" s="5">
        <f t="shared" si="32"/>
        <v>9.6600000887292481E-8</v>
      </c>
      <c r="I221" s="5">
        <f t="shared" si="32"/>
        <v>1.0490000157403756E-7</v>
      </c>
      <c r="J221" s="5">
        <f t="shared" si="32"/>
        <v>-0.17963700509999647</v>
      </c>
      <c r="K221" s="5">
        <f t="shared" si="32"/>
        <v>-0.44946067430000269</v>
      </c>
      <c r="L221" s="5">
        <f t="shared" si="32"/>
        <v>-0.7328594299000013</v>
      </c>
      <c r="M221" s="5">
        <f t="shared" si="32"/>
        <v>-1.0133848618000023</v>
      </c>
      <c r="N221" s="5">
        <f t="shared" si="32"/>
        <v>-1.2796913428000014</v>
      </c>
      <c r="O221" s="5">
        <f t="shared" si="32"/>
        <v>-1.5297978128999965</v>
      </c>
      <c r="P221" s="5">
        <f t="shared" si="32"/>
        <v>-1.7636885608000004</v>
      </c>
      <c r="Q221" s="5">
        <f t="shared" si="32"/>
        <v>-1.9815536350000009</v>
      </c>
      <c r="R221" s="5">
        <f t="shared" si="32"/>
        <v>-2.1853430072000002</v>
      </c>
      <c r="S221" s="5">
        <f t="shared" si="32"/>
        <v>-2.3891629281000029</v>
      </c>
      <c r="T221" s="5">
        <f t="shared" si="32"/>
        <v>-2.5965490112999969</v>
      </c>
      <c r="U221" s="5">
        <f t="shared" si="32"/>
        <v>-2.8092254088000033</v>
      </c>
      <c r="V221" s="5">
        <f t="shared" si="32"/>
        <v>-3.0275031229999989</v>
      </c>
      <c r="W221" s="5">
        <f t="shared" si="32"/>
        <v>-3.2507397142999963</v>
      </c>
      <c r="X221" s="5">
        <f t="shared" si="32"/>
        <v>-3.4785230386000041</v>
      </c>
      <c r="Y221" s="5">
        <f t="shared" si="32"/>
        <v>-3.7105675411999979</v>
      </c>
      <c r="Z221" s="5">
        <f t="shared" si="32"/>
        <v>-3.9469603620000058</v>
      </c>
      <c r="AA221" s="5">
        <f t="shared" si="32"/>
        <v>-4.1879726733000009</v>
      </c>
      <c r="AB221" s="5">
        <f t="shared" si="32"/>
        <v>-4.433137292800005</v>
      </c>
      <c r="AC221" s="5">
        <f t="shared" si="32"/>
        <v>-4.6815369844999992</v>
      </c>
      <c r="AD221" s="5">
        <f t="shared" si="32"/>
        <v>-4.9343388601999969</v>
      </c>
      <c r="AE221" s="5">
        <f t="shared" si="32"/>
        <v>-5.1925384809999962</v>
      </c>
      <c r="AF221" s="5">
        <f t="shared" si="32"/>
        <v>-5.4565792352000049</v>
      </c>
      <c r="AG221" s="5">
        <f t="shared" si="32"/>
        <v>-5.7262383619000055</v>
      </c>
      <c r="AH221" s="5">
        <f t="shared" si="32"/>
        <v>-6.0007751807000034</v>
      </c>
      <c r="AI221" s="5">
        <f t="shared" si="32"/>
        <v>-6.2791649058000054</v>
      </c>
      <c r="AJ221" s="5">
        <f t="shared" si="32"/>
        <v>-6.5603534998999997</v>
      </c>
      <c r="AK221" s="5">
        <f t="shared" si="32"/>
        <v>-6.8432818464000107</v>
      </c>
      <c r="AL221" s="5">
        <f t="shared" si="32"/>
        <v>-7.1268824261999963</v>
      </c>
    </row>
    <row r="222" spans="1:38" x14ac:dyDescent="0.35">
      <c r="B222" t="s">
        <v>36</v>
      </c>
      <c r="C222" s="5">
        <f>C198-C210</f>
        <v>-9.5099999875003505E-8</v>
      </c>
      <c r="D222" s="5">
        <f t="shared" ref="D222:AL222" si="33">D198-D210</f>
        <v>-1.4379999946356747E-7</v>
      </c>
      <c r="E222" s="5">
        <f t="shared" si="33"/>
        <v>-1.6540000036258107E-7</v>
      </c>
      <c r="F222" s="5">
        <f t="shared" si="33"/>
        <v>-1.7450000111551844E-7</v>
      </c>
      <c r="G222" s="5">
        <f t="shared" si="33"/>
        <v>-1.7680000041764288E-7</v>
      </c>
      <c r="H222" s="5">
        <f t="shared" si="33"/>
        <v>-1.766000004010948E-7</v>
      </c>
      <c r="I222" s="5">
        <f t="shared" si="33"/>
        <v>-1.7489999937225775E-7</v>
      </c>
      <c r="J222" s="5">
        <f t="shared" si="33"/>
        <v>0.84445297510000028</v>
      </c>
      <c r="K222" s="5">
        <f t="shared" si="33"/>
        <v>2.1484716743000014</v>
      </c>
      <c r="L222" s="5">
        <f t="shared" si="33"/>
        <v>3.7298540699000009</v>
      </c>
      <c r="M222" s="5">
        <f t="shared" si="33"/>
        <v>5.4646550018000006</v>
      </c>
      <c r="N222" s="5">
        <f t="shared" si="33"/>
        <v>7.2726586627999996</v>
      </c>
      <c r="O222" s="5">
        <f t="shared" si="33"/>
        <v>9.1002765128999989</v>
      </c>
      <c r="P222" s="5">
        <f t="shared" si="33"/>
        <v>10.9177158708</v>
      </c>
      <c r="Q222" s="5">
        <f t="shared" si="33"/>
        <v>12.713983764999998</v>
      </c>
      <c r="R222" s="5">
        <f t="shared" si="33"/>
        <v>14.4892109072</v>
      </c>
      <c r="S222" s="5">
        <f t="shared" si="33"/>
        <v>16.242556498100004</v>
      </c>
      <c r="T222" s="5">
        <f t="shared" si="33"/>
        <v>17.981017531299997</v>
      </c>
      <c r="U222" s="5">
        <f t="shared" si="33"/>
        <v>19.7161646088</v>
      </c>
      <c r="V222" s="5">
        <f t="shared" si="33"/>
        <v>21.461045833</v>
      </c>
      <c r="W222" s="5">
        <f t="shared" si="33"/>
        <v>23.227444634299999</v>
      </c>
      <c r="X222" s="5">
        <f t="shared" si="33"/>
        <v>25.028621008599998</v>
      </c>
      <c r="Y222" s="5">
        <f t="shared" si="33"/>
        <v>26.877479691200001</v>
      </c>
      <c r="Z222" s="5">
        <f t="shared" si="33"/>
        <v>28.785968152000006</v>
      </c>
      <c r="AA222" s="5">
        <f t="shared" si="33"/>
        <v>30.7648326833</v>
      </c>
      <c r="AB222" s="5">
        <f t="shared" si="33"/>
        <v>32.819845432800008</v>
      </c>
      <c r="AC222" s="5">
        <f t="shared" si="33"/>
        <v>34.963742984500001</v>
      </c>
      <c r="AD222" s="5">
        <f t="shared" si="33"/>
        <v>37.212919770199996</v>
      </c>
      <c r="AE222" s="5">
        <f t="shared" si="33"/>
        <v>39.584508900999992</v>
      </c>
      <c r="AF222" s="5">
        <f t="shared" si="33"/>
        <v>42.094147385200003</v>
      </c>
      <c r="AG222" s="5">
        <f t="shared" si="33"/>
        <v>44.756151611900002</v>
      </c>
      <c r="AH222" s="5">
        <f t="shared" si="33"/>
        <v>47.586785990700008</v>
      </c>
      <c r="AI222" s="5">
        <f t="shared" si="33"/>
        <v>50.607617705800003</v>
      </c>
      <c r="AJ222" s="5">
        <f t="shared" si="33"/>
        <v>53.847410089899995</v>
      </c>
      <c r="AK222" s="5">
        <f t="shared" si="33"/>
        <v>57.346689906400002</v>
      </c>
      <c r="AL222" s="5">
        <f t="shared" si="33"/>
        <v>61.166741816199995</v>
      </c>
    </row>
    <row r="223" spans="1:38" x14ac:dyDescent="0.35">
      <c r="B223" t="s">
        <v>11</v>
      </c>
      <c r="C223" s="5">
        <f>C199-C211</f>
        <v>0</v>
      </c>
      <c r="D223" s="5">
        <f t="shared" ref="D223:AL223" si="34">D199-D211</f>
        <v>9.9999937219763524E-9</v>
      </c>
      <c r="E223" s="5">
        <f t="shared" si="34"/>
        <v>0</v>
      </c>
      <c r="F223" s="5">
        <f t="shared" si="34"/>
        <v>1.0000007932831068E-8</v>
      </c>
      <c r="G223" s="5">
        <f t="shared" si="34"/>
        <v>0</v>
      </c>
      <c r="H223" s="5">
        <f t="shared" si="34"/>
        <v>-9.9999937219763524E-9</v>
      </c>
      <c r="I223" s="5">
        <f t="shared" si="34"/>
        <v>-9.9999937219763524E-9</v>
      </c>
      <c r="J223" s="5">
        <f t="shared" si="34"/>
        <v>1.5750734800000004</v>
      </c>
      <c r="K223" s="5">
        <f t="shared" si="34"/>
        <v>4.2021239000000037</v>
      </c>
      <c r="L223" s="5">
        <f t="shared" si="34"/>
        <v>7.6474160400000102</v>
      </c>
      <c r="M223" s="5">
        <f t="shared" si="34"/>
        <v>11.521551270000003</v>
      </c>
      <c r="N223" s="5">
        <f t="shared" si="34"/>
        <v>15.370599059999989</v>
      </c>
      <c r="O223" s="5">
        <f t="shared" si="34"/>
        <v>19.038064009999999</v>
      </c>
      <c r="P223" s="5">
        <f t="shared" si="34"/>
        <v>22.54648899</v>
      </c>
      <c r="Q223" s="5">
        <f t="shared" si="34"/>
        <v>26.005326699999998</v>
      </c>
      <c r="R223" s="5">
        <f t="shared" si="34"/>
        <v>29.532295650000009</v>
      </c>
      <c r="S223" s="5">
        <f t="shared" si="34"/>
        <v>33.234260539999994</v>
      </c>
      <c r="T223" s="5">
        <f t="shared" si="34"/>
        <v>37.202786119999999</v>
      </c>
      <c r="U223" s="5">
        <f t="shared" si="34"/>
        <v>41.490592450000008</v>
      </c>
      <c r="V223" s="5">
        <f t="shared" si="34"/>
        <v>46.156290079999991</v>
      </c>
      <c r="W223" s="5">
        <f t="shared" si="34"/>
        <v>51.272128330000001</v>
      </c>
      <c r="X223" s="5">
        <f t="shared" si="34"/>
        <v>56.946351989999982</v>
      </c>
      <c r="Y223" s="5">
        <f t="shared" si="34"/>
        <v>63.311444309999999</v>
      </c>
      <c r="Z223" s="5">
        <f t="shared" si="34"/>
        <v>70.51811382999999</v>
      </c>
      <c r="AA223" s="5">
        <f t="shared" si="34"/>
        <v>78.736637930000001</v>
      </c>
      <c r="AB223" s="5">
        <f t="shared" si="34"/>
        <v>88.136867089999996</v>
      </c>
      <c r="AC223" s="5">
        <f t="shared" si="34"/>
        <v>98.998885709999996</v>
      </c>
      <c r="AD223" s="5">
        <f t="shared" si="34"/>
        <v>111.65569087</v>
      </c>
      <c r="AE223" s="5">
        <f t="shared" si="34"/>
        <v>126.51044507</v>
      </c>
      <c r="AF223" s="5">
        <f t="shared" si="34"/>
        <v>144.04806271000001</v>
      </c>
      <c r="AG223" s="5">
        <f t="shared" si="34"/>
        <v>164.86895584999999</v>
      </c>
      <c r="AH223" s="5">
        <f t="shared" si="34"/>
        <v>189.76261213999999</v>
      </c>
      <c r="AI223" s="5">
        <f t="shared" si="34"/>
        <v>219.81244277999997</v>
      </c>
      <c r="AJ223" s="5">
        <f t="shared" si="34"/>
        <v>256.53496074999998</v>
      </c>
      <c r="AK223" s="5">
        <f t="shared" si="34"/>
        <v>302.11956927999995</v>
      </c>
      <c r="AL223" s="5">
        <f t="shared" si="34"/>
        <v>359.84226146000003</v>
      </c>
    </row>
    <row r="225" spans="1:3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38" x14ac:dyDescent="0.35">
      <c r="A226" t="s">
        <v>87</v>
      </c>
      <c r="B226" t="s">
        <v>27</v>
      </c>
      <c r="C226" s="6">
        <f t="shared" ref="C226:C232" si="35">R216</f>
        <v>242.73228999999992</v>
      </c>
      <c r="D226" s="6">
        <f t="shared" ref="D226:D232" si="36">AB216</f>
        <v>317.15419000000111</v>
      </c>
      <c r="E226" s="6">
        <f>AL216</f>
        <v>1511.4405500000066</v>
      </c>
    </row>
    <row r="227" spans="1:38" x14ac:dyDescent="0.35">
      <c r="B227" t="s">
        <v>7</v>
      </c>
      <c r="C227" s="6">
        <f t="shared" si="35"/>
        <v>-4.4162253000000646</v>
      </c>
      <c r="D227" s="6">
        <f t="shared" si="36"/>
        <v>-14.168482100000006</v>
      </c>
      <c r="E227" s="6">
        <f t="shared" ref="E227:E231" si="37">AL217</f>
        <v>-14.823469000000046</v>
      </c>
    </row>
    <row r="228" spans="1:38" x14ac:dyDescent="0.35">
      <c r="B228" t="s">
        <v>30</v>
      </c>
      <c r="C228" s="6">
        <f t="shared" si="35"/>
        <v>34.65161900000021</v>
      </c>
      <c r="D228" s="6">
        <f t="shared" si="36"/>
        <v>93.530907000000298</v>
      </c>
      <c r="E228" s="6">
        <f t="shared" si="37"/>
        <v>600.30292100000042</v>
      </c>
    </row>
    <row r="229" spans="1:38" x14ac:dyDescent="0.35">
      <c r="B229" t="s">
        <v>28</v>
      </c>
      <c r="C229" s="6">
        <f t="shared" si="35"/>
        <v>-11.763747299999977</v>
      </c>
      <c r="D229" s="6">
        <f t="shared" si="36"/>
        <v>-24.885311200000046</v>
      </c>
      <c r="E229" s="6">
        <f t="shared" si="37"/>
        <v>0.24471400000015819</v>
      </c>
    </row>
    <row r="230" spans="1:38" x14ac:dyDescent="0.35">
      <c r="B230" t="s">
        <v>10</v>
      </c>
      <c r="C230" s="6">
        <f t="shared" si="35"/>
        <v>182.42447000000175</v>
      </c>
      <c r="D230" s="6">
        <f t="shared" si="36"/>
        <v>146.1534900000006</v>
      </c>
      <c r="E230" s="6">
        <f t="shared" si="37"/>
        <v>511.83427000000302</v>
      </c>
    </row>
    <row r="231" spans="1:38" x14ac:dyDescent="0.35">
      <c r="B231" t="s">
        <v>29</v>
      </c>
      <c r="C231" s="1">
        <f t="shared" si="35"/>
        <v>-2.1853430072000002</v>
      </c>
      <c r="D231" s="1">
        <f t="shared" si="36"/>
        <v>-4.433137292800005</v>
      </c>
      <c r="E231" s="1">
        <f t="shared" si="37"/>
        <v>-7.1268824261999963</v>
      </c>
    </row>
    <row r="232" spans="1:38" x14ac:dyDescent="0.35">
      <c r="B232" t="s">
        <v>32</v>
      </c>
      <c r="C232" s="1">
        <f t="shared" si="35"/>
        <v>14.4892109072</v>
      </c>
      <c r="D232" s="1">
        <f t="shared" si="36"/>
        <v>32.819845432800008</v>
      </c>
      <c r="E232" s="1">
        <f t="shared" ref="E232" si="38">AL222</f>
        <v>61.166741816199995</v>
      </c>
    </row>
    <row r="233" spans="1:38" x14ac:dyDescent="0.35">
      <c r="B233" t="s">
        <v>33</v>
      </c>
      <c r="C233" s="1">
        <f t="shared" ref="C233" si="39">R223</f>
        <v>29.532295650000009</v>
      </c>
      <c r="D233" s="1">
        <f t="shared" ref="D233" si="40">AB223</f>
        <v>88.136867089999996</v>
      </c>
      <c r="E233" s="1">
        <f t="shared" ref="E233" si="41">AL223</f>
        <v>359.84226146000003</v>
      </c>
    </row>
    <row r="235" spans="1:38" x14ac:dyDescent="0.35">
      <c r="A235" s="12" t="s">
        <v>43</v>
      </c>
      <c r="B235" t="s">
        <v>26</v>
      </c>
      <c r="C235" s="5">
        <f>C236+C237+C238+C239</f>
        <v>97.392837788000008</v>
      </c>
      <c r="D235" s="5">
        <f t="shared" ref="D235:AL235" si="42">D236+D237+D238+D239</f>
        <v>98.637538113000005</v>
      </c>
      <c r="E235" s="5">
        <f t="shared" si="42"/>
        <v>100.06363766700001</v>
      </c>
      <c r="F235" s="5">
        <f t="shared" si="42"/>
        <v>101.512758656</v>
      </c>
      <c r="G235" s="5">
        <f t="shared" si="42"/>
        <v>103.34048409</v>
      </c>
      <c r="H235" s="5">
        <f t="shared" si="42"/>
        <v>105.51221335099999</v>
      </c>
      <c r="I235" s="5">
        <f t="shared" si="42"/>
        <v>107.759521269</v>
      </c>
      <c r="J235" s="5">
        <f t="shared" si="42"/>
        <v>108.438904443</v>
      </c>
      <c r="K235" s="5">
        <f t="shared" si="42"/>
        <v>108.791805211</v>
      </c>
      <c r="L235" s="5">
        <f t="shared" si="42"/>
        <v>109.61835911700001</v>
      </c>
      <c r="M235" s="5">
        <f t="shared" si="42"/>
        <v>110.51088982499999</v>
      </c>
      <c r="N235" s="5">
        <f t="shared" si="42"/>
        <v>111.18186388000001</v>
      </c>
      <c r="O235" s="5">
        <f t="shared" si="42"/>
        <v>111.630855924</v>
      </c>
      <c r="P235" s="5">
        <f t="shared" si="42"/>
        <v>111.93175176299999</v>
      </c>
      <c r="Q235" s="5">
        <f t="shared" si="42"/>
        <v>112.19603746000001</v>
      </c>
      <c r="R235" s="5">
        <f t="shared" si="42"/>
        <v>112.49561098300001</v>
      </c>
      <c r="S235" s="5">
        <f t="shared" si="42"/>
        <v>112.86411273100001</v>
      </c>
      <c r="T235" s="5">
        <f t="shared" si="42"/>
        <v>113.361376592</v>
      </c>
      <c r="U235" s="5">
        <f t="shared" si="42"/>
        <v>114.04615970200001</v>
      </c>
      <c r="V235" s="5">
        <f t="shared" si="42"/>
        <v>114.959343764</v>
      </c>
      <c r="W235" s="5">
        <f t="shared" si="42"/>
        <v>116.112892493</v>
      </c>
      <c r="X235" s="5">
        <f t="shared" si="42"/>
        <v>117.574359379</v>
      </c>
      <c r="Y235" s="5">
        <f t="shared" si="42"/>
        <v>119.37584854400001</v>
      </c>
      <c r="Z235" s="5">
        <f t="shared" si="42"/>
        <v>121.539280447</v>
      </c>
      <c r="AA235" s="5">
        <f t="shared" si="42"/>
        <v>124.07426712899999</v>
      </c>
      <c r="AB235" s="5">
        <f t="shared" si="42"/>
        <v>126.92279242100001</v>
      </c>
      <c r="AC235" s="5">
        <f t="shared" si="42"/>
        <v>130.175655925</v>
      </c>
      <c r="AD235" s="5">
        <f t="shared" si="42"/>
        <v>133.88626086599999</v>
      </c>
      <c r="AE235" s="5">
        <f t="shared" si="42"/>
        <v>138.08008195400001</v>
      </c>
      <c r="AF235" s="5">
        <f t="shared" si="42"/>
        <v>142.74619791900002</v>
      </c>
      <c r="AG235" s="5">
        <f t="shared" si="42"/>
        <v>147.86250259399998</v>
      </c>
      <c r="AH235" s="5">
        <f t="shared" si="42"/>
        <v>153.43004644800001</v>
      </c>
      <c r="AI235" s="5">
        <f t="shared" si="42"/>
        <v>159.480344135</v>
      </c>
      <c r="AJ235" s="5">
        <f t="shared" si="42"/>
        <v>166.06670473100002</v>
      </c>
      <c r="AK235" s="5">
        <f t="shared" si="42"/>
        <v>173.28238511800001</v>
      </c>
      <c r="AL235" s="5">
        <f t="shared" si="42"/>
        <v>181.29130469199998</v>
      </c>
    </row>
    <row r="236" spans="1:38" x14ac:dyDescent="0.35">
      <c r="A236" t="s">
        <v>39</v>
      </c>
      <c r="B236" t="s">
        <v>7</v>
      </c>
      <c r="C236" s="5">
        <f>[1]Results!F378</f>
        <v>4.8754571579999997</v>
      </c>
      <c r="D236" s="5">
        <f>[1]Results!G378</f>
        <v>4.9299355729999998</v>
      </c>
      <c r="E236" s="5">
        <f>[1]Results!H378</f>
        <v>4.9964467570000002</v>
      </c>
      <c r="F236" s="5">
        <f>[1]Results!I378</f>
        <v>5.0711807960000002</v>
      </c>
      <c r="G236" s="5">
        <f>[1]Results!J378</f>
        <v>5.1667834499999996</v>
      </c>
      <c r="H236" s="5">
        <f>[1]Results!K378</f>
        <v>5.2814454509999997</v>
      </c>
      <c r="I236" s="5">
        <f>[1]Results!L378</f>
        <v>5.4055125390000001</v>
      </c>
      <c r="J236" s="5">
        <f>[1]Results!M378</f>
        <v>5.4614583830000001</v>
      </c>
      <c r="K236" s="5">
        <f>[1]Results!N378</f>
        <v>5.4971221310000002</v>
      </c>
      <c r="L236" s="5">
        <f>[1]Results!O378</f>
        <v>5.5480565469999998</v>
      </c>
      <c r="M236" s="5">
        <f>[1]Results!P378</f>
        <v>5.6001885250000001</v>
      </c>
      <c r="N236" s="5">
        <f>[1]Results!Q378</f>
        <v>5.6448324999999997</v>
      </c>
      <c r="O236" s="5">
        <f>[1]Results!R378</f>
        <v>5.6814098639999999</v>
      </c>
      <c r="P236" s="5">
        <f>[1]Results!S378</f>
        <v>5.7117941730000004</v>
      </c>
      <c r="Q236" s="5">
        <f>[1]Results!T378</f>
        <v>5.7395892699999997</v>
      </c>
      <c r="R236" s="5">
        <f>[1]Results!U378</f>
        <v>5.7673836029999999</v>
      </c>
      <c r="S236" s="5">
        <f>[1]Results!V378</f>
        <v>5.7950687109999999</v>
      </c>
      <c r="T236" s="5">
        <f>[1]Results!W378</f>
        <v>5.8258746219999997</v>
      </c>
      <c r="U236" s="5">
        <f>[1]Results!X378</f>
        <v>5.8633468420000003</v>
      </c>
      <c r="V236" s="5">
        <f>[1]Results!Y378</f>
        <v>5.9103218440000003</v>
      </c>
      <c r="W236" s="5">
        <f>[1]Results!Z378</f>
        <v>5.968150563</v>
      </c>
      <c r="X236" s="5">
        <f>[1]Results!AA378</f>
        <v>6.040471739</v>
      </c>
      <c r="Y236" s="5">
        <f>[1]Results!AB378</f>
        <v>6.1298009840000001</v>
      </c>
      <c r="Z236" s="5">
        <f>[1]Results!AC378</f>
        <v>6.2380297669999996</v>
      </c>
      <c r="AA236" s="5">
        <f>[1]Results!AD378</f>
        <v>6.3664643290000003</v>
      </c>
      <c r="AB236" s="5">
        <f>[1]Results!AE378</f>
        <v>6.5130376710000002</v>
      </c>
      <c r="AC236" s="5">
        <f>[1]Results!AF378</f>
        <v>6.6809519650000002</v>
      </c>
      <c r="AD236" s="5">
        <f>[1]Results!AG378</f>
        <v>6.8742139160000004</v>
      </c>
      <c r="AE236" s="5">
        <f>[1]Results!AH378</f>
        <v>7.0952312339999999</v>
      </c>
      <c r="AF236" s="5">
        <f>[1]Results!AI378</f>
        <v>7.3447933489999997</v>
      </c>
      <c r="AG236" s="5">
        <f>[1]Results!AJ378</f>
        <v>7.6229925639999996</v>
      </c>
      <c r="AH236" s="5">
        <f>[1]Results!AK378</f>
        <v>7.930523848</v>
      </c>
      <c r="AI236" s="5">
        <f>[1]Results!AL378</f>
        <v>8.2691661849999996</v>
      </c>
      <c r="AJ236" s="5">
        <f>[1]Results!AM378</f>
        <v>8.6417730410000004</v>
      </c>
      <c r="AK236" s="5">
        <f>[1]Results!AN378</f>
        <v>9.0529322380000004</v>
      </c>
      <c r="AL236" s="5">
        <f>[1]Results!AO378</f>
        <v>9.5099933419999996</v>
      </c>
    </row>
    <row r="237" spans="1:38" x14ac:dyDescent="0.35">
      <c r="B237" t="s">
        <v>8</v>
      </c>
      <c r="C237" s="5">
        <f>[1]Results!F390</f>
        <v>43.906102930000003</v>
      </c>
      <c r="D237" s="5">
        <f>[1]Results!G390</f>
        <v>44.522865340000003</v>
      </c>
      <c r="E237" s="5">
        <f>[1]Results!H390</f>
        <v>45.220461460000003</v>
      </c>
      <c r="F237" s="5">
        <f>[1]Results!I390</f>
        <v>45.905631749999998</v>
      </c>
      <c r="G237" s="5">
        <f>[1]Results!J390</f>
        <v>46.776872480000002</v>
      </c>
      <c r="H237" s="5">
        <f>[1]Results!K390</f>
        <v>47.819843820000003</v>
      </c>
      <c r="I237" s="5">
        <f>[1]Results!L390</f>
        <v>48.888747010000003</v>
      </c>
      <c r="J237" s="5">
        <f>[1]Results!M390</f>
        <v>49.034985200000001</v>
      </c>
      <c r="K237" s="5">
        <f>[1]Results!N390</f>
        <v>48.978493409999999</v>
      </c>
      <c r="L237" s="5">
        <f>[1]Results!O390</f>
        <v>49.182080339999999</v>
      </c>
      <c r="M237" s="5">
        <f>[1]Results!P390</f>
        <v>49.389013089999999</v>
      </c>
      <c r="N237" s="5">
        <f>[1]Results!Q390</f>
        <v>49.468123349999999</v>
      </c>
      <c r="O237" s="5">
        <f>[1]Results!R390</f>
        <v>49.431485960000003</v>
      </c>
      <c r="P237" s="5">
        <f>[1]Results!S390</f>
        <v>49.331907450000003</v>
      </c>
      <c r="Q237" s="5">
        <f>[1]Results!T390</f>
        <v>49.237598900000002</v>
      </c>
      <c r="R237" s="5">
        <f>[1]Results!U390</f>
        <v>49.18800401</v>
      </c>
      <c r="S237" s="5">
        <f>[1]Results!V390</f>
        <v>49.202440639999999</v>
      </c>
      <c r="T237" s="5">
        <f>[1]Results!W390</f>
        <v>49.306259359999999</v>
      </c>
      <c r="U237" s="5">
        <f>[1]Results!X390</f>
        <v>49.525044090000002</v>
      </c>
      <c r="V237" s="5">
        <f>[1]Results!Y390</f>
        <v>49.874026669999999</v>
      </c>
      <c r="W237" s="5">
        <f>[1]Results!Z390</f>
        <v>50.359799250000002</v>
      </c>
      <c r="X237" s="5">
        <f>[1]Results!AA390</f>
        <v>51.002757369999998</v>
      </c>
      <c r="Y237" s="5">
        <f>[1]Results!AB390</f>
        <v>51.817630620000003</v>
      </c>
      <c r="Z237" s="5">
        <f>[1]Results!AC390</f>
        <v>52.811910269999998</v>
      </c>
      <c r="AA237" s="5">
        <f>[1]Results!AD390</f>
        <v>53.986459619999998</v>
      </c>
      <c r="AB237" s="5">
        <f>[1]Results!AE390</f>
        <v>55.325078830000002</v>
      </c>
      <c r="AC237" s="5">
        <f>[1]Results!AF390</f>
        <v>56.85006877</v>
      </c>
      <c r="AD237" s="5">
        <f>[1]Results!AG390</f>
        <v>58.591843480000001</v>
      </c>
      <c r="AE237" s="5">
        <f>[1]Results!AH390</f>
        <v>60.560840239999997</v>
      </c>
      <c r="AF237" s="5">
        <f>[1]Results!AI390</f>
        <v>62.747408460000003</v>
      </c>
      <c r="AG237" s="5">
        <f>[1]Results!AJ390</f>
        <v>65.13729275</v>
      </c>
      <c r="AH237" s="5">
        <f>[1]Results!AK390</f>
        <v>67.730478180000006</v>
      </c>
      <c r="AI237" s="5">
        <f>[1]Results!AL390</f>
        <v>70.544528830000004</v>
      </c>
      <c r="AJ237" s="5">
        <f>[1]Results!AM390</f>
        <v>73.609662389999997</v>
      </c>
      <c r="AK237" s="5">
        <f>[1]Results!AN390</f>
        <v>76.979204210000006</v>
      </c>
      <c r="AL237" s="5">
        <f>[1]Results!AO390</f>
        <v>80.748261819999996</v>
      </c>
    </row>
    <row r="238" spans="1:38" x14ac:dyDescent="0.35">
      <c r="B238" t="s">
        <v>28</v>
      </c>
      <c r="C238" s="5">
        <f>[1]Results!F366</f>
        <v>26.32744194</v>
      </c>
      <c r="D238" s="5">
        <f>[1]Results!G366</f>
        <v>26.790744719999999</v>
      </c>
      <c r="E238" s="5">
        <f>[1]Results!H366</f>
        <v>27.311239870000001</v>
      </c>
      <c r="F238" s="5">
        <f>[1]Results!I366</f>
        <v>27.86300876</v>
      </c>
      <c r="G238" s="5">
        <f>[1]Results!J366</f>
        <v>28.458724960000001</v>
      </c>
      <c r="H238" s="5">
        <f>[1]Results!K366</f>
        <v>29.097191250000002</v>
      </c>
      <c r="I238" s="5">
        <f>[1]Results!L366</f>
        <v>29.752440010000001</v>
      </c>
      <c r="J238" s="5">
        <f>[1]Results!M366</f>
        <v>30.245790100000001</v>
      </c>
      <c r="K238" s="5">
        <f>[1]Results!N366</f>
        <v>30.70115766</v>
      </c>
      <c r="L238" s="5">
        <f>[1]Results!O366</f>
        <v>31.285201600000001</v>
      </c>
      <c r="M238" s="5">
        <f>[1]Results!P366</f>
        <v>31.882250689999999</v>
      </c>
      <c r="N238" s="5">
        <f>[1]Results!Q366</f>
        <v>32.38291839</v>
      </c>
      <c r="O238" s="5">
        <f>[1]Results!R366</f>
        <v>32.790949519999998</v>
      </c>
      <c r="P238" s="5">
        <f>[1]Results!S366</f>
        <v>33.130329799999998</v>
      </c>
      <c r="Q238" s="5">
        <f>[1]Results!T366</f>
        <v>33.434455</v>
      </c>
      <c r="R238" s="5">
        <f>[1]Results!U366</f>
        <v>33.726170439999997</v>
      </c>
      <c r="S238" s="5">
        <f>[1]Results!V366</f>
        <v>34.01875089</v>
      </c>
      <c r="T238" s="5">
        <f>[1]Results!W366</f>
        <v>34.333381119999999</v>
      </c>
      <c r="U238" s="5">
        <f>[1]Results!X366</f>
        <v>34.688275509999997</v>
      </c>
      <c r="V238" s="5">
        <f>[1]Results!Y366</f>
        <v>35.09522741</v>
      </c>
      <c r="W238" s="5">
        <f>[1]Results!Z366</f>
        <v>35.556235520000001</v>
      </c>
      <c r="X238" s="5">
        <f>[1]Results!AA366</f>
        <v>36.090825850000002</v>
      </c>
      <c r="Y238" s="5">
        <f>[1]Results!AB366</f>
        <v>36.707468859999999</v>
      </c>
      <c r="Z238" s="5">
        <f>[1]Results!AC366</f>
        <v>37.411560700000003</v>
      </c>
      <c r="AA238" s="5">
        <f>[1]Results!AD366</f>
        <v>38.204468749999997</v>
      </c>
      <c r="AB238" s="5">
        <f>[1]Results!AE366</f>
        <v>39.065269579999999</v>
      </c>
      <c r="AC238" s="5">
        <f>[1]Results!AF366</f>
        <v>40.022166730000002</v>
      </c>
      <c r="AD238" s="5">
        <f>[1]Results!AG366</f>
        <v>41.086966230000002</v>
      </c>
      <c r="AE238" s="5">
        <f>[1]Results!AH366</f>
        <v>42.265180270000002</v>
      </c>
      <c r="AF238" s="5">
        <f>[1]Results!AI366</f>
        <v>43.551907640000003</v>
      </c>
      <c r="AG238" s="5">
        <f>[1]Results!AJ366</f>
        <v>44.937673449999998</v>
      </c>
      <c r="AH238" s="5">
        <f>[1]Results!AK366</f>
        <v>46.417532649999998</v>
      </c>
      <c r="AI238" s="5">
        <f>[1]Results!AL366</f>
        <v>47.992576919999998</v>
      </c>
      <c r="AJ238" s="5">
        <f>[1]Results!AM366</f>
        <v>49.666158619999997</v>
      </c>
      <c r="AK238" s="5">
        <f>[1]Results!AN366</f>
        <v>51.445825759999998</v>
      </c>
      <c r="AL238" s="5">
        <f>[1]Results!AO366</f>
        <v>53.346368179999999</v>
      </c>
    </row>
    <row r="239" spans="1:38" x14ac:dyDescent="0.35">
      <c r="B239" t="s">
        <v>10</v>
      </c>
      <c r="C239" s="5">
        <f>[1]Results!F402</f>
        <v>22.283835759999999</v>
      </c>
      <c r="D239" s="5">
        <f>[1]Results!G402</f>
        <v>22.393992480000001</v>
      </c>
      <c r="E239" s="5">
        <f>[1]Results!H402</f>
        <v>22.53548958</v>
      </c>
      <c r="F239" s="5">
        <f>[1]Results!I402</f>
        <v>22.672937350000002</v>
      </c>
      <c r="G239" s="5">
        <f>[1]Results!J402</f>
        <v>22.9381032</v>
      </c>
      <c r="H239" s="5">
        <f>[1]Results!K402</f>
        <v>23.313732829999999</v>
      </c>
      <c r="I239" s="5">
        <f>[1]Results!L402</f>
        <v>23.71282171</v>
      </c>
      <c r="J239" s="5">
        <f>[1]Results!M402</f>
        <v>23.69667076</v>
      </c>
      <c r="K239" s="5">
        <f>[1]Results!N402</f>
        <v>23.61503201</v>
      </c>
      <c r="L239" s="5">
        <f>[1]Results!O402</f>
        <v>23.60302063</v>
      </c>
      <c r="M239" s="5">
        <f>[1]Results!P402</f>
        <v>23.639437520000001</v>
      </c>
      <c r="N239" s="5">
        <f>[1]Results!Q402</f>
        <v>23.685989639999999</v>
      </c>
      <c r="O239" s="5">
        <f>[1]Results!R402</f>
        <v>23.727010580000002</v>
      </c>
      <c r="P239" s="5">
        <f>[1]Results!S402</f>
        <v>23.757720339999999</v>
      </c>
      <c r="Q239" s="5">
        <f>[1]Results!T402</f>
        <v>23.784394290000002</v>
      </c>
      <c r="R239" s="5">
        <f>[1]Results!U402</f>
        <v>23.814052929999999</v>
      </c>
      <c r="S239" s="5">
        <f>[1]Results!V402</f>
        <v>23.847852490000001</v>
      </c>
      <c r="T239" s="5">
        <f>[1]Results!W402</f>
        <v>23.895861490000001</v>
      </c>
      <c r="U239" s="5">
        <f>[1]Results!X402</f>
        <v>23.96949326</v>
      </c>
      <c r="V239" s="5">
        <f>[1]Results!Y402</f>
        <v>24.079767839999999</v>
      </c>
      <c r="W239" s="5">
        <f>[1]Results!Z402</f>
        <v>24.228707159999999</v>
      </c>
      <c r="X239" s="5">
        <f>[1]Results!AA402</f>
        <v>24.44030442</v>
      </c>
      <c r="Y239" s="5">
        <f>[1]Results!AB402</f>
        <v>24.720948079999999</v>
      </c>
      <c r="Z239" s="5">
        <f>[1]Results!AC402</f>
        <v>25.077779710000002</v>
      </c>
      <c r="AA239" s="5">
        <f>[1]Results!AD402</f>
        <v>25.516874430000001</v>
      </c>
      <c r="AB239" s="5">
        <f>[1]Results!AE402</f>
        <v>26.01940634</v>
      </c>
      <c r="AC239" s="5">
        <f>[1]Results!AF402</f>
        <v>26.62246846</v>
      </c>
      <c r="AD239" s="5">
        <f>[1]Results!AG402</f>
        <v>27.333237239999999</v>
      </c>
      <c r="AE239" s="5">
        <f>[1]Results!AH402</f>
        <v>28.158830210000001</v>
      </c>
      <c r="AF239" s="5">
        <f>[1]Results!AI402</f>
        <v>29.102088470000002</v>
      </c>
      <c r="AG239" s="5">
        <f>[1]Results!AJ402</f>
        <v>30.16454383</v>
      </c>
      <c r="AH239" s="5">
        <f>[1]Results!AK402</f>
        <v>31.351511769999998</v>
      </c>
      <c r="AI239" s="5">
        <f>[1]Results!AL402</f>
        <v>32.674072199999998</v>
      </c>
      <c r="AJ239" s="5">
        <f>[1]Results!AM402</f>
        <v>34.14911068</v>
      </c>
      <c r="AK239" s="5">
        <f>[1]Results!AN402</f>
        <v>35.80442291</v>
      </c>
      <c r="AL239" s="5">
        <f>[1]Results!AO402</f>
        <v>37.686681350000001</v>
      </c>
    </row>
    <row r="240" spans="1:38" x14ac:dyDescent="0.35">
      <c r="B240" t="s">
        <v>44</v>
      </c>
      <c r="C240" s="5">
        <f>[1]Results!F353</f>
        <v>64.301440170000006</v>
      </c>
      <c r="D240" s="5">
        <f>[1]Results!G353</f>
        <v>63.922819750000002</v>
      </c>
      <c r="E240" s="5">
        <f>[1]Results!H353</f>
        <v>63.440136699999996</v>
      </c>
      <c r="F240" s="5">
        <f>[1]Results!I353</f>
        <v>62.974754050000001</v>
      </c>
      <c r="G240" s="5">
        <f>[1]Results!J353</f>
        <v>62.748425130000001</v>
      </c>
      <c r="H240" s="5">
        <f>[1]Results!K353</f>
        <v>62.694371060000002</v>
      </c>
      <c r="I240" s="5">
        <f>[1]Results!L353</f>
        <v>62.608698799999999</v>
      </c>
      <c r="J240" s="5">
        <f>[1]Results!M353</f>
        <v>62.009539629999999</v>
      </c>
      <c r="K240" s="5">
        <f>[1]Results!N353</f>
        <v>61.391717</v>
      </c>
      <c r="L240" s="5">
        <f>[1]Results!O353</f>
        <v>60.744370289999999</v>
      </c>
      <c r="M240" s="5">
        <f>[1]Results!P353</f>
        <v>60.076819720000003</v>
      </c>
      <c r="N240" s="5">
        <f>[1]Results!Q353</f>
        <v>59.437847550000001</v>
      </c>
      <c r="O240" s="5">
        <f>[1]Results!R353</f>
        <v>58.848126669999999</v>
      </c>
      <c r="P240" s="5">
        <f>[1]Results!S353</f>
        <v>58.323483109999998</v>
      </c>
      <c r="Q240" s="5">
        <f>[1]Results!T353</f>
        <v>57.865248809999997</v>
      </c>
      <c r="R240" s="5">
        <f>[1]Results!U353</f>
        <v>57.466049529999999</v>
      </c>
      <c r="S240" s="5">
        <f>[1]Results!V353</f>
        <v>57.133147200000003</v>
      </c>
      <c r="T240" s="5">
        <f>[1]Results!W353</f>
        <v>56.832926209999997</v>
      </c>
      <c r="U240" s="5">
        <f>[1]Results!X353</f>
        <v>56.5500471</v>
      </c>
      <c r="V240" s="5">
        <f>[1]Results!Y353</f>
        <v>56.282153389999998</v>
      </c>
      <c r="W240" s="5">
        <f>[1]Results!Z353</f>
        <v>56.016510060000002</v>
      </c>
      <c r="X240" s="5">
        <f>[1]Results!AA353</f>
        <v>55.787107149999997</v>
      </c>
      <c r="Y240" s="5">
        <f>[1]Results!AB353</f>
        <v>55.593335600000003</v>
      </c>
      <c r="Z240" s="5">
        <f>[1]Results!AC353</f>
        <v>55.437600709999998</v>
      </c>
      <c r="AA240" s="5">
        <f>[1]Results!AD353</f>
        <v>55.323883670000001</v>
      </c>
      <c r="AB240" s="5">
        <f>[1]Results!AE353</f>
        <v>55.208097389999999</v>
      </c>
      <c r="AC240" s="5">
        <f>[1]Results!AF353</f>
        <v>55.143646609999998</v>
      </c>
      <c r="AD240" s="5">
        <f>[1]Results!AG353</f>
        <v>55.131425749999998</v>
      </c>
      <c r="AE240" s="5">
        <f>[1]Results!AH353</f>
        <v>55.173053709999998</v>
      </c>
      <c r="AF240" s="5">
        <f>[1]Results!AI353</f>
        <v>55.270232890000003</v>
      </c>
      <c r="AG240" s="5">
        <f>[1]Results!AJ353</f>
        <v>55.423932819999997</v>
      </c>
      <c r="AH240" s="5">
        <f>[1]Results!AK353</f>
        <v>55.634166810000004</v>
      </c>
      <c r="AI240" s="5">
        <f>[1]Results!AL353</f>
        <v>55.900179180000002</v>
      </c>
      <c r="AJ240" s="5">
        <f>[1]Results!AM353</f>
        <v>56.221675789999999</v>
      </c>
      <c r="AK240" s="5">
        <f>[1]Results!AN353</f>
        <v>56.599697339999999</v>
      </c>
      <c r="AL240" s="5">
        <f>[1]Results!AO353</f>
        <v>57.037157809999997</v>
      </c>
    </row>
    <row r="241" spans="1:38" x14ac:dyDescent="0.35">
      <c r="B241" t="s">
        <v>45</v>
      </c>
      <c r="C241" s="5">
        <f>[1]Results!F354</f>
        <v>42.52087745</v>
      </c>
      <c r="D241" s="5">
        <f>[1]Results!G354</f>
        <v>42.432148990000002</v>
      </c>
      <c r="E241" s="5">
        <f>[1]Results!H354</f>
        <v>42.077085049999994</v>
      </c>
      <c r="F241" s="5">
        <f>[1]Results!I354</f>
        <v>41.6294246</v>
      </c>
      <c r="G241" s="5">
        <f>[1]Results!J354</f>
        <v>41.328722620000001</v>
      </c>
      <c r="H241" s="5">
        <f>[1]Results!K354</f>
        <v>41.13391137</v>
      </c>
      <c r="I241" s="5">
        <f>[1]Results!L354</f>
        <v>40.87195732</v>
      </c>
      <c r="J241" s="5">
        <f>[1]Results!M354</f>
        <v>40.142328570000004</v>
      </c>
      <c r="K241" s="5">
        <f>[1]Results!N354</f>
        <v>39.398606860000001</v>
      </c>
      <c r="L241" s="5">
        <f>[1]Results!O354</f>
        <v>38.609669869999998</v>
      </c>
      <c r="M241" s="5">
        <f>[1]Results!P354</f>
        <v>37.778648310000001</v>
      </c>
      <c r="N241" s="5">
        <f>[1]Results!Q354</f>
        <v>36.943246819999999</v>
      </c>
      <c r="O241" s="5">
        <f>[1]Results!R354</f>
        <v>36.138958680000002</v>
      </c>
      <c r="P241" s="5">
        <f>[1]Results!S354</f>
        <v>35.397135720000001</v>
      </c>
      <c r="Q241" s="5">
        <f>[1]Results!T354</f>
        <v>34.729663020000004</v>
      </c>
      <c r="R241" s="5">
        <f>[1]Results!U354</f>
        <v>34.135109610000001</v>
      </c>
      <c r="S241" s="5">
        <f>[1]Results!V354</f>
        <v>33.628712319999998</v>
      </c>
      <c r="T241" s="5">
        <f>[1]Results!W354</f>
        <v>33.171868289999999</v>
      </c>
      <c r="U241" s="5">
        <f>[1]Results!X354</f>
        <v>32.745150250000002</v>
      </c>
      <c r="V241" s="5">
        <f>[1]Results!Y354</f>
        <v>32.34324419</v>
      </c>
      <c r="W241" s="5">
        <f>[1]Results!Z354</f>
        <v>31.953353190000001</v>
      </c>
      <c r="X241" s="5">
        <f>[1]Results!AA354</f>
        <v>31.603777219999998</v>
      </c>
      <c r="Y241" s="5">
        <f>[1]Results!AB354</f>
        <v>31.29111494</v>
      </c>
      <c r="Z241" s="5">
        <f>[1]Results!AC354</f>
        <v>31.014526399999998</v>
      </c>
      <c r="AA241" s="5">
        <f>[1]Results!AD354</f>
        <v>30.775127480000002</v>
      </c>
      <c r="AB241" s="5">
        <f>[1]Results!AE354</f>
        <v>30.533097949999998</v>
      </c>
      <c r="AC241" s="5">
        <f>[1]Results!AF354</f>
        <v>30.334849500000001</v>
      </c>
      <c r="AD241" s="5">
        <f>[1]Results!AG354</f>
        <v>30.17892711</v>
      </c>
      <c r="AE241" s="5">
        <f>[1]Results!AH354</f>
        <v>30.0636084</v>
      </c>
      <c r="AF241" s="5">
        <f>[1]Results!AI354</f>
        <v>29.98730522</v>
      </c>
      <c r="AG241" s="5">
        <f>[1]Results!AJ354</f>
        <v>29.948875649999998</v>
      </c>
      <c r="AH241" s="5">
        <f>[1]Results!AK354</f>
        <v>29.947636320000001</v>
      </c>
      <c r="AI241" s="5">
        <f>[1]Results!AL354</f>
        <v>29.982995300000002</v>
      </c>
      <c r="AJ241" s="5">
        <f>[1]Results!AM354</f>
        <v>30.054858710000001</v>
      </c>
      <c r="AK241" s="5">
        <f>[1]Results!AN354</f>
        <v>30.164368140000001</v>
      </c>
      <c r="AL241" s="5">
        <f>[1]Results!AO354</f>
        <v>30.314331829999997</v>
      </c>
    </row>
    <row r="242" spans="1:38" x14ac:dyDescent="0.35">
      <c r="B242" t="s">
        <v>46</v>
      </c>
      <c r="C242" s="5">
        <f>[1]Results!F362</f>
        <v>21.78056273</v>
      </c>
      <c r="D242" s="5">
        <f>[1]Results!G362</f>
        <v>21.49067076</v>
      </c>
      <c r="E242" s="5">
        <f>[1]Results!H362</f>
        <v>21.363051649999999</v>
      </c>
      <c r="F242" s="5">
        <f>[1]Results!I362</f>
        <v>21.34532944</v>
      </c>
      <c r="G242" s="5">
        <f>[1]Results!J362</f>
        <v>21.41970251</v>
      </c>
      <c r="H242" s="5">
        <f>[1]Results!K362</f>
        <v>21.560459699999999</v>
      </c>
      <c r="I242" s="5">
        <f>[1]Results!L362</f>
        <v>21.736741479999999</v>
      </c>
      <c r="J242" s="5">
        <f>[1]Results!M362</f>
        <v>21.867211059999999</v>
      </c>
      <c r="K242" s="5">
        <f>[1]Results!N362</f>
        <v>21.993110139999999</v>
      </c>
      <c r="L242" s="5">
        <f>[1]Results!O362</f>
        <v>22.134700420000001</v>
      </c>
      <c r="M242" s="5">
        <f>[1]Results!P362</f>
        <v>22.298171420000003</v>
      </c>
      <c r="N242" s="5">
        <f>[1]Results!Q362</f>
        <v>22.494600719999998</v>
      </c>
      <c r="O242" s="5">
        <f>[1]Results!R362</f>
        <v>22.709167989999997</v>
      </c>
      <c r="P242" s="5">
        <f>[1]Results!S362</f>
        <v>22.92634739</v>
      </c>
      <c r="Q242" s="5">
        <f>[1]Results!T362</f>
        <v>23.13558579</v>
      </c>
      <c r="R242" s="5">
        <f>[1]Results!U362</f>
        <v>23.33093993</v>
      </c>
      <c r="S242" s="5">
        <f>[1]Results!V362</f>
        <v>23.504434879999998</v>
      </c>
      <c r="T242" s="5">
        <f>[1]Results!W362</f>
        <v>23.661057920000001</v>
      </c>
      <c r="U242" s="5">
        <f>[1]Results!X362</f>
        <v>23.804896850000002</v>
      </c>
      <c r="V242" s="5">
        <f>[1]Results!Y362</f>
        <v>23.938909199999998</v>
      </c>
      <c r="W242" s="5">
        <f>[1]Results!Z362</f>
        <v>24.06315687</v>
      </c>
      <c r="X242" s="5">
        <f>[1]Results!AA362</f>
        <v>24.183329920000002</v>
      </c>
      <c r="Y242" s="5">
        <f>[1]Results!AB362</f>
        <v>24.302220670000001</v>
      </c>
      <c r="Z242" s="5">
        <f>[1]Results!AC362</f>
        <v>24.423074309999997</v>
      </c>
      <c r="AA242" s="5">
        <f>[1]Results!AD362</f>
        <v>24.548756190000002</v>
      </c>
      <c r="AB242" s="5">
        <f>[1]Results!AE362</f>
        <v>24.674999440000001</v>
      </c>
      <c r="AC242" s="5">
        <f>[1]Results!AF362</f>
        <v>24.808797120000001</v>
      </c>
      <c r="AD242" s="5">
        <f>[1]Results!AG362</f>
        <v>24.952498629999997</v>
      </c>
      <c r="AE242" s="5">
        <f>[1]Results!AH362</f>
        <v>25.109445309999998</v>
      </c>
      <c r="AF242" s="5">
        <f>[1]Results!AI362</f>
        <v>25.282927670000003</v>
      </c>
      <c r="AG242" s="5">
        <f>[1]Results!AJ362</f>
        <v>25.475057159999999</v>
      </c>
      <c r="AH242" s="5">
        <f>[1]Results!AK362</f>
        <v>25.686530489999999</v>
      </c>
      <c r="AI242" s="5">
        <f>[1]Results!AL362</f>
        <v>25.91718389</v>
      </c>
      <c r="AJ242" s="5">
        <f>[1]Results!AM362</f>
        <v>26.166817079999998</v>
      </c>
      <c r="AK242" s="5">
        <f>[1]Results!AN362</f>
        <v>26.435329199999998</v>
      </c>
      <c r="AL242" s="5">
        <f>[1]Results!AO362</f>
        <v>26.72282598</v>
      </c>
    </row>
    <row r="244" spans="1:38" x14ac:dyDescent="0.35">
      <c r="A244" s="12" t="s">
        <v>43</v>
      </c>
      <c r="B244" t="s">
        <v>26</v>
      </c>
      <c r="C244" s="5">
        <f>C245+C246+C247+C248</f>
        <v>97.392837858000007</v>
      </c>
      <c r="D244" s="5">
        <f t="shared" ref="D244:AL244" si="43">D245+D246+D247+D248</f>
        <v>98.637538274000008</v>
      </c>
      <c r="E244" s="5">
        <f t="shared" si="43"/>
        <v>100.06363792800001</v>
      </c>
      <c r="F244" s="5">
        <f t="shared" si="43"/>
        <v>101.512759018</v>
      </c>
      <c r="G244" s="5">
        <f t="shared" si="43"/>
        <v>103.340484532</v>
      </c>
      <c r="H244" s="5">
        <f t="shared" si="43"/>
        <v>105.51221385400001</v>
      </c>
      <c r="I244" s="5">
        <f t="shared" si="43"/>
        <v>107.75952180200001</v>
      </c>
      <c r="J244" s="5">
        <f t="shared" si="43"/>
        <v>110.01478777100002</v>
      </c>
      <c r="K244" s="5">
        <f t="shared" si="43"/>
        <v>112.26352403600001</v>
      </c>
      <c r="L244" s="5">
        <f t="shared" si="43"/>
        <v>114.50412967</v>
      </c>
      <c r="M244" s="5">
        <f t="shared" si="43"/>
        <v>116.66890493399998</v>
      </c>
      <c r="N244" s="5">
        <f t="shared" si="43"/>
        <v>118.366737632</v>
      </c>
      <c r="O244" s="5">
        <f t="shared" si="43"/>
        <v>119.673533695</v>
      </c>
      <c r="P244" s="5">
        <f t="shared" si="43"/>
        <v>120.678203123</v>
      </c>
      <c r="Q244" s="5">
        <f t="shared" si="43"/>
        <v>121.48558769900001</v>
      </c>
      <c r="R244" s="5">
        <f t="shared" si="43"/>
        <v>122.19610946600001</v>
      </c>
      <c r="S244" s="5">
        <f t="shared" si="43"/>
        <v>123.02878742600001</v>
      </c>
      <c r="T244" s="5">
        <f t="shared" si="43"/>
        <v>124.06763621900001</v>
      </c>
      <c r="U244" s="5">
        <f t="shared" si="43"/>
        <v>125.36588293200001</v>
      </c>
      <c r="V244" s="5">
        <f t="shared" si="43"/>
        <v>126.950460839</v>
      </c>
      <c r="W244" s="5">
        <f t="shared" si="43"/>
        <v>128.815095063</v>
      </c>
      <c r="X244" s="5">
        <f t="shared" si="43"/>
        <v>131.01184019499999</v>
      </c>
      <c r="Y244" s="5">
        <f t="shared" si="43"/>
        <v>133.55664816300001</v>
      </c>
      <c r="Z244" s="5">
        <f t="shared" si="43"/>
        <v>136.46153117600002</v>
      </c>
      <c r="AA244" s="5">
        <f t="shared" si="43"/>
        <v>139.72555952000002</v>
      </c>
      <c r="AB244" s="5">
        <f t="shared" si="43"/>
        <v>143.27110146500002</v>
      </c>
      <c r="AC244" s="5">
        <f t="shared" si="43"/>
        <v>147.172631486</v>
      </c>
      <c r="AD244" s="5">
        <f t="shared" si="43"/>
        <v>151.44043070800001</v>
      </c>
      <c r="AE244" s="5">
        <f t="shared" si="43"/>
        <v>156.072299708</v>
      </c>
      <c r="AF244" s="5">
        <f t="shared" si="43"/>
        <v>161.02119230600002</v>
      </c>
      <c r="AG244" s="5">
        <f t="shared" si="43"/>
        <v>166.21652645400002</v>
      </c>
      <c r="AH244" s="5">
        <f t="shared" si="43"/>
        <v>171.59151683900001</v>
      </c>
      <c r="AI244" s="5">
        <f t="shared" si="43"/>
        <v>177.089507207</v>
      </c>
      <c r="AJ244" s="5">
        <f t="shared" si="43"/>
        <v>182.65813770099999</v>
      </c>
      <c r="AK244" s="5">
        <f t="shared" si="43"/>
        <v>188.24659033500001</v>
      </c>
      <c r="AL244" s="5">
        <f t="shared" si="43"/>
        <v>193.80457095600002</v>
      </c>
    </row>
    <row r="245" spans="1:38" x14ac:dyDescent="0.35">
      <c r="A245" t="s">
        <v>38</v>
      </c>
      <c r="B245" t="s">
        <v>7</v>
      </c>
      <c r="C245" s="5">
        <f>[1]Results!F439</f>
        <v>4.8754571579999997</v>
      </c>
      <c r="D245" s="5">
        <f>[1]Results!G439</f>
        <v>4.9299355739999999</v>
      </c>
      <c r="E245" s="5">
        <f>[1]Results!H439</f>
        <v>4.9964467580000003</v>
      </c>
      <c r="F245" s="5">
        <f>[1]Results!I439</f>
        <v>5.0711807980000003</v>
      </c>
      <c r="G245" s="5">
        <f>[1]Results!J439</f>
        <v>5.1667834519999998</v>
      </c>
      <c r="H245" s="5">
        <f>[1]Results!K439</f>
        <v>5.281445454</v>
      </c>
      <c r="I245" s="5">
        <f>[1]Results!L439</f>
        <v>5.4055125420000003</v>
      </c>
      <c r="J245" s="5">
        <f>[1]Results!M439</f>
        <v>5.5333460509999997</v>
      </c>
      <c r="K245" s="5">
        <f>[1]Results!N439</f>
        <v>5.6627418360000004</v>
      </c>
      <c r="L245" s="5">
        <f>[1]Results!O439</f>
        <v>5.7928131199999999</v>
      </c>
      <c r="M245" s="5">
        <f>[1]Results!P439</f>
        <v>5.9202326940000001</v>
      </c>
      <c r="N245" s="5">
        <f>[1]Results!Q439</f>
        <v>6.0272060920000001</v>
      </c>
      <c r="O245" s="5">
        <f>[1]Results!R439</f>
        <v>6.1147990950000004</v>
      </c>
      <c r="P245" s="5">
        <f>[1]Results!S439</f>
        <v>6.185699713</v>
      </c>
      <c r="Q245" s="5">
        <f>[1]Results!T439</f>
        <v>6.2438887789999997</v>
      </c>
      <c r="R245" s="5">
        <f>[1]Results!U439</f>
        <v>6.2937205260000004</v>
      </c>
      <c r="S245" s="5">
        <f>[1]Results!V439</f>
        <v>6.3438235560000003</v>
      </c>
      <c r="T245" s="5">
        <f>[1]Results!W439</f>
        <v>6.4000987990000002</v>
      </c>
      <c r="U245" s="5">
        <f>[1]Results!X439</f>
        <v>6.466334442</v>
      </c>
      <c r="V245" s="5">
        <f>[1]Results!Y439</f>
        <v>6.5446300190000004</v>
      </c>
      <c r="W245" s="5">
        <f>[1]Results!Z439</f>
        <v>6.6351963730000003</v>
      </c>
      <c r="X245" s="5">
        <f>[1]Results!AA439</f>
        <v>6.7407003950000002</v>
      </c>
      <c r="Y245" s="5">
        <f>[1]Results!AB439</f>
        <v>6.8626695030000002</v>
      </c>
      <c r="Z245" s="5">
        <f>[1]Results!AC439</f>
        <v>7.0021116860000001</v>
      </c>
      <c r="AA245" s="5">
        <f>[1]Results!AD439</f>
        <v>7.1593431000000001</v>
      </c>
      <c r="AB245" s="5">
        <f>[1]Results!AE439</f>
        <v>7.3308849049999996</v>
      </c>
      <c r="AC245" s="5">
        <f>[1]Results!AF439</f>
        <v>7.5196992260000002</v>
      </c>
      <c r="AD245" s="5">
        <f>[1]Results!AG439</f>
        <v>7.7271939779999999</v>
      </c>
      <c r="AE245" s="5">
        <f>[1]Results!AH439</f>
        <v>7.9537916979999999</v>
      </c>
      <c r="AF245" s="5">
        <f>[1]Results!AI439</f>
        <v>8.1978304360000003</v>
      </c>
      <c r="AG245" s="5">
        <f>[1]Results!AJ439</f>
        <v>8.4563466540000007</v>
      </c>
      <c r="AH245" s="5">
        <f>[1]Results!AK439</f>
        <v>8.7262423689999995</v>
      </c>
      <c r="AI245" s="5">
        <f>[1]Results!AL439</f>
        <v>9.0046373969999998</v>
      </c>
      <c r="AJ245" s="5">
        <f>[1]Results!AM439</f>
        <v>9.2886954910000004</v>
      </c>
      <c r="AK245" s="5">
        <f>[1]Results!AN439</f>
        <v>9.5755562550000004</v>
      </c>
      <c r="AL245" s="5">
        <f>[1]Results!AO439</f>
        <v>9.8623227960000008</v>
      </c>
    </row>
    <row r="246" spans="1:38" x14ac:dyDescent="0.35">
      <c r="B246" t="s">
        <v>30</v>
      </c>
      <c r="C246" s="5">
        <f>[1]Results!F451</f>
        <v>43.906102959999998</v>
      </c>
      <c r="D246" s="5">
        <f>[1]Results!G451</f>
        <v>44.522865410000001</v>
      </c>
      <c r="E246" s="5">
        <f>[1]Results!H451</f>
        <v>45.220461579999998</v>
      </c>
      <c r="F246" s="5">
        <f>[1]Results!I451</f>
        <v>45.905631919999998</v>
      </c>
      <c r="G246" s="5">
        <f>[1]Results!J451</f>
        <v>46.776872699999998</v>
      </c>
      <c r="H246" s="5">
        <f>[1]Results!K451</f>
        <v>47.819844060000001</v>
      </c>
      <c r="I246" s="5">
        <f>[1]Results!L451</f>
        <v>48.888747270000003</v>
      </c>
      <c r="J246" s="5">
        <f>[1]Results!M451</f>
        <v>49.946307240000003</v>
      </c>
      <c r="K246" s="5">
        <f>[1]Results!N451</f>
        <v>50.987564229999997</v>
      </c>
      <c r="L246" s="5">
        <f>[1]Results!O451</f>
        <v>52.014743439999997</v>
      </c>
      <c r="M246" s="5">
        <f>[1]Results!P451</f>
        <v>52.980096060000001</v>
      </c>
      <c r="N246" s="5">
        <f>[1]Results!Q451</f>
        <v>53.680261369999997</v>
      </c>
      <c r="O246" s="5">
        <f>[1]Results!R451</f>
        <v>54.169257399999999</v>
      </c>
      <c r="P246" s="5">
        <f>[1]Results!S451</f>
        <v>54.505383510000001</v>
      </c>
      <c r="Q246" s="5">
        <f>[1]Results!T451</f>
        <v>54.751820360000004</v>
      </c>
      <c r="R246" s="5">
        <f>[1]Results!U451</f>
        <v>54.965047560000002</v>
      </c>
      <c r="S246" s="5">
        <f>[1]Results!V451</f>
        <v>55.26797972</v>
      </c>
      <c r="T246" s="5">
        <f>[1]Results!W451</f>
        <v>55.702529490000003</v>
      </c>
      <c r="U246" s="5">
        <f>[1]Results!X451</f>
        <v>56.292468450000001</v>
      </c>
      <c r="V246" s="5">
        <f>[1]Results!Y451</f>
        <v>57.04676997</v>
      </c>
      <c r="W246" s="5">
        <f>[1]Results!Z451</f>
        <v>57.963974380000003</v>
      </c>
      <c r="X246" s="5">
        <f>[1]Results!AA451</f>
        <v>59.05664737</v>
      </c>
      <c r="Y246" s="5">
        <f>[1]Results!AB451</f>
        <v>60.332670829999998</v>
      </c>
      <c r="Z246" s="5">
        <f>[1]Results!AC451</f>
        <v>61.795822909999998</v>
      </c>
      <c r="AA246" s="5">
        <f>[1]Results!AD451</f>
        <v>63.442791270000001</v>
      </c>
      <c r="AB246" s="5">
        <f>[1]Results!AE451</f>
        <v>65.249803610000001</v>
      </c>
      <c r="AC246" s="5">
        <f>[1]Results!AF451</f>
        <v>67.234086430000005</v>
      </c>
      <c r="AD246" s="5">
        <f>[1]Results!AG451</f>
        <v>69.403832350000002</v>
      </c>
      <c r="AE246" s="5">
        <f>[1]Results!AH451</f>
        <v>71.757418680000001</v>
      </c>
      <c r="AF246" s="5">
        <f>[1]Results!AI451</f>
        <v>74.267697999999996</v>
      </c>
      <c r="AG246" s="5">
        <f>[1]Results!AJ451</f>
        <v>76.895687190000004</v>
      </c>
      <c r="AH246" s="5">
        <f>[1]Results!AK451</f>
        <v>79.606338890000004</v>
      </c>
      <c r="AI246" s="5">
        <f>[1]Results!AL451</f>
        <v>82.37139707</v>
      </c>
      <c r="AJ246" s="5">
        <f>[1]Results!AM451</f>
        <v>85.165323909999998</v>
      </c>
      <c r="AK246" s="5">
        <f>[1]Results!AN451</f>
        <v>87.963376490000002</v>
      </c>
      <c r="AL246" s="5">
        <f>[1]Results!AO451</f>
        <v>90.740880360000006</v>
      </c>
    </row>
    <row r="247" spans="1:38" x14ac:dyDescent="0.35">
      <c r="B247" t="s">
        <v>28</v>
      </c>
      <c r="C247" s="5">
        <f>[1]Results!F427</f>
        <v>26.32744194</v>
      </c>
      <c r="D247" s="5">
        <f>[1]Results!G427</f>
        <v>26.790744719999999</v>
      </c>
      <c r="E247" s="5">
        <f>[1]Results!H427</f>
        <v>27.311239870000001</v>
      </c>
      <c r="F247" s="5">
        <f>[1]Results!I427</f>
        <v>27.86300876</v>
      </c>
      <c r="G247" s="5">
        <f>[1]Results!J427</f>
        <v>28.458724960000001</v>
      </c>
      <c r="H247" s="5">
        <f>[1]Results!K427</f>
        <v>29.097191250000002</v>
      </c>
      <c r="I247" s="5">
        <f>[1]Results!L427</f>
        <v>29.752440010000001</v>
      </c>
      <c r="J247" s="5">
        <f>[1]Results!M427</f>
        <v>30.413580710000002</v>
      </c>
      <c r="K247" s="5">
        <f>[1]Results!N427</f>
        <v>31.076592099999999</v>
      </c>
      <c r="L247" s="5">
        <f>[1]Results!O427</f>
        <v>31.741263849999999</v>
      </c>
      <c r="M247" s="5">
        <f>[1]Results!P427</f>
        <v>32.392410599999998</v>
      </c>
      <c r="N247" s="5">
        <f>[1]Results!Q427</f>
        <v>32.932770300000001</v>
      </c>
      <c r="O247" s="5">
        <f>[1]Results!R427</f>
        <v>33.382607839999999</v>
      </c>
      <c r="P247" s="5">
        <f>[1]Results!S427</f>
        <v>33.764614100000003</v>
      </c>
      <c r="Q247" s="5">
        <f>[1]Results!T427</f>
        <v>34.103743309999999</v>
      </c>
      <c r="R247" s="5">
        <f>[1]Results!U427</f>
        <v>34.4230248</v>
      </c>
      <c r="S247" s="5">
        <f>[1]Results!V427</f>
        <v>34.755813170000003</v>
      </c>
      <c r="T247" s="5">
        <f>[1]Results!W427</f>
        <v>35.126130170000003</v>
      </c>
      <c r="U247" s="5">
        <f>[1]Results!X427</f>
        <v>35.549103170000002</v>
      </c>
      <c r="V247" s="5">
        <f>[1]Results!Y427</f>
        <v>36.032203529999997</v>
      </c>
      <c r="W247" s="5">
        <f>[1]Results!Z427</f>
        <v>36.57299776</v>
      </c>
      <c r="X247" s="5">
        <f>[1]Results!AA427</f>
        <v>37.18662363</v>
      </c>
      <c r="Y247" s="5">
        <f>[1]Results!AB427</f>
        <v>37.877401429999999</v>
      </c>
      <c r="Z247" s="5">
        <f>[1]Results!AC427</f>
        <v>38.64812731</v>
      </c>
      <c r="AA247" s="5">
        <f>[1]Results!AD427</f>
        <v>39.497761570000002</v>
      </c>
      <c r="AB247" s="5">
        <f>[1]Results!AE427</f>
        <v>40.402267139999999</v>
      </c>
      <c r="AC247" s="5">
        <f>[1]Results!AF427</f>
        <v>41.382905540000003</v>
      </c>
      <c r="AD247" s="5">
        <f>[1]Results!AG427</f>
        <v>42.442755329999997</v>
      </c>
      <c r="AE247" s="5">
        <f>[1]Results!AH427</f>
        <v>43.581623710000002</v>
      </c>
      <c r="AF247" s="5">
        <f>[1]Results!AI427</f>
        <v>44.788738840000001</v>
      </c>
      <c r="AG247" s="5">
        <f>[1]Results!AJ427</f>
        <v>46.047734800000001</v>
      </c>
      <c r="AH247" s="5">
        <f>[1]Results!AK427</f>
        <v>47.343582179999999</v>
      </c>
      <c r="AI247" s="5">
        <f>[1]Results!AL427</f>
        <v>48.664116579999998</v>
      </c>
      <c r="AJ247" s="5">
        <f>[1]Results!AM427</f>
        <v>49.998450300000002</v>
      </c>
      <c r="AK247" s="5">
        <f>[1]Results!AN427</f>
        <v>51.336223850000003</v>
      </c>
      <c r="AL247" s="5">
        <f>[1]Results!AO427</f>
        <v>52.667298420000002</v>
      </c>
    </row>
    <row r="248" spans="1:38" x14ac:dyDescent="0.35">
      <c r="B248" t="s">
        <v>10</v>
      </c>
      <c r="C248" s="5">
        <f>[1]Results!F463</f>
        <v>22.283835799999999</v>
      </c>
      <c r="D248" s="5">
        <f>[1]Results!G463</f>
        <v>22.393992570000002</v>
      </c>
      <c r="E248" s="5">
        <f>[1]Results!H463</f>
        <v>22.535489720000001</v>
      </c>
      <c r="F248" s="5">
        <f>[1]Results!I463</f>
        <v>22.67293754</v>
      </c>
      <c r="G248" s="5">
        <f>[1]Results!J463</f>
        <v>22.938103420000001</v>
      </c>
      <c r="H248" s="5">
        <f>[1]Results!K463</f>
        <v>23.313733089999999</v>
      </c>
      <c r="I248" s="5">
        <f>[1]Results!L463</f>
        <v>23.712821980000001</v>
      </c>
      <c r="J248" s="5">
        <f>[1]Results!M463</f>
        <v>24.121553769999998</v>
      </c>
      <c r="K248" s="5">
        <f>[1]Results!N463</f>
        <v>24.536625870000002</v>
      </c>
      <c r="L248" s="5">
        <f>[1]Results!O463</f>
        <v>24.95530926</v>
      </c>
      <c r="M248" s="5">
        <f>[1]Results!P463</f>
        <v>25.376165579999999</v>
      </c>
      <c r="N248" s="5">
        <f>[1]Results!Q463</f>
        <v>25.726499870000001</v>
      </c>
      <c r="O248" s="5">
        <f>[1]Results!R463</f>
        <v>26.00686936</v>
      </c>
      <c r="P248" s="5">
        <f>[1]Results!S463</f>
        <v>26.2225058</v>
      </c>
      <c r="Q248" s="5">
        <f>[1]Results!T463</f>
        <v>26.386135249999999</v>
      </c>
      <c r="R248" s="5">
        <f>[1]Results!U463</f>
        <v>26.514316579999999</v>
      </c>
      <c r="S248" s="5">
        <f>[1]Results!V463</f>
        <v>26.661170980000001</v>
      </c>
      <c r="T248" s="5">
        <f>[1]Results!W463</f>
        <v>26.838877759999999</v>
      </c>
      <c r="U248" s="5">
        <f>[1]Results!X463</f>
        <v>27.057976870000001</v>
      </c>
      <c r="V248" s="5">
        <f>[1]Results!Y463</f>
        <v>27.326857319999998</v>
      </c>
      <c r="W248" s="5">
        <f>[1]Results!Z463</f>
        <v>27.642926549999999</v>
      </c>
      <c r="X248" s="5">
        <f>[1]Results!AA463</f>
        <v>28.0278688</v>
      </c>
      <c r="Y248" s="5">
        <f>[1]Results!AB463</f>
        <v>28.483906399999999</v>
      </c>
      <c r="Z248" s="5">
        <f>[1]Results!AC463</f>
        <v>29.015469270000001</v>
      </c>
      <c r="AA248" s="5">
        <f>[1]Results!AD463</f>
        <v>29.625663580000001</v>
      </c>
      <c r="AB248" s="5">
        <f>[1]Results!AE463</f>
        <v>30.28814581</v>
      </c>
      <c r="AC248" s="5">
        <f>[1]Results!AF463</f>
        <v>31.035940289999999</v>
      </c>
      <c r="AD248" s="5">
        <f>[1]Results!AG463</f>
        <v>31.866649049999999</v>
      </c>
      <c r="AE248" s="5">
        <f>[1]Results!AH463</f>
        <v>32.779465620000003</v>
      </c>
      <c r="AF248" s="5">
        <f>[1]Results!AI463</f>
        <v>33.766925030000003</v>
      </c>
      <c r="AG248" s="5">
        <f>[1]Results!AJ463</f>
        <v>34.816757809999999</v>
      </c>
      <c r="AH248" s="5">
        <f>[1]Results!AK463</f>
        <v>35.915353400000001</v>
      </c>
      <c r="AI248" s="5">
        <f>[1]Results!AL463</f>
        <v>37.049356160000002</v>
      </c>
      <c r="AJ248" s="5">
        <f>[1]Results!AM463</f>
        <v>38.205668000000003</v>
      </c>
      <c r="AK248" s="5">
        <f>[1]Results!AN463</f>
        <v>39.371433740000001</v>
      </c>
      <c r="AL248" s="5">
        <f>[1]Results!AO463</f>
        <v>40.534069379999998</v>
      </c>
    </row>
    <row r="249" spans="1:38" x14ac:dyDescent="0.35">
      <c r="B249" t="s">
        <v>25</v>
      </c>
      <c r="C249" s="5">
        <f>[1]Results!F414</f>
        <v>64.301440170000006</v>
      </c>
      <c r="D249" s="5">
        <f>[1]Results!G414</f>
        <v>63.922819850000003</v>
      </c>
      <c r="E249" s="5">
        <f>[1]Results!H414</f>
        <v>63.440136860000003</v>
      </c>
      <c r="F249" s="5">
        <f>[1]Results!I414</f>
        <v>62.974754279999999</v>
      </c>
      <c r="G249" s="5">
        <f>[1]Results!J414</f>
        <v>62.74842538</v>
      </c>
      <c r="H249" s="5">
        <f>[1]Results!K414</f>
        <v>62.694371320000002</v>
      </c>
      <c r="I249" s="5">
        <f>[1]Results!L414</f>
        <v>62.608699049999998</v>
      </c>
      <c r="J249" s="5">
        <f>[1]Results!M414</f>
        <v>62.517238810000002</v>
      </c>
      <c r="K249" s="5">
        <f>[1]Results!N414</f>
        <v>62.440707619999998</v>
      </c>
      <c r="L249" s="5">
        <f>[1]Results!O414</f>
        <v>62.385266950000002</v>
      </c>
      <c r="M249" s="5">
        <f>[1]Results!P414</f>
        <v>62.377370089999999</v>
      </c>
      <c r="N249" s="5">
        <f>[1]Results!Q414</f>
        <v>62.368570239999997</v>
      </c>
      <c r="O249" s="5">
        <f>[1]Results!R414</f>
        <v>62.357377759999999</v>
      </c>
      <c r="P249" s="5">
        <f>[1]Results!S414</f>
        <v>62.347508859999998</v>
      </c>
      <c r="Q249" s="5">
        <f>[1]Results!T414</f>
        <v>62.337057940000001</v>
      </c>
      <c r="R249" s="5">
        <f>[1]Results!U414</f>
        <v>62.321483630000003</v>
      </c>
      <c r="S249" s="5">
        <f>[1]Results!V414</f>
        <v>62.385090380000001</v>
      </c>
      <c r="T249" s="5">
        <f>[1]Results!W414</f>
        <v>62.483769870000003</v>
      </c>
      <c r="U249" s="5">
        <f>[1]Results!X414</f>
        <v>62.611399040000002</v>
      </c>
      <c r="V249" s="5">
        <f>[1]Results!Y414</f>
        <v>62.753495839999999</v>
      </c>
      <c r="W249" s="5">
        <f>[1]Results!Z414</f>
        <v>62.881171399999999</v>
      </c>
      <c r="X249" s="5">
        <f>[1]Results!AA414</f>
        <v>63.01600895</v>
      </c>
      <c r="Y249" s="5">
        <f>[1]Results!AB414</f>
        <v>63.151696899999997</v>
      </c>
      <c r="Z249" s="5">
        <f>[1]Results!AC414</f>
        <v>63.287098159999999</v>
      </c>
      <c r="AA249" s="5">
        <f>[1]Results!AD414</f>
        <v>63.423569909999998</v>
      </c>
      <c r="AB249" s="5">
        <f>[1]Results!AE414</f>
        <v>63.515566819999997</v>
      </c>
      <c r="AC249" s="5">
        <f>[1]Results!AF414</f>
        <v>63.617486749999998</v>
      </c>
      <c r="AD249" s="5">
        <f>[1]Results!AG414</f>
        <v>63.731848290000002</v>
      </c>
      <c r="AE249" s="5">
        <f>[1]Results!AH414</f>
        <v>63.861972289999997</v>
      </c>
      <c r="AF249" s="5">
        <f>[1]Results!AI414</f>
        <v>64.011526509999996</v>
      </c>
      <c r="AG249" s="5">
        <f>[1]Results!AJ414</f>
        <v>64.183019259999995</v>
      </c>
      <c r="AH249" s="5">
        <f>[1]Results!AK414</f>
        <v>64.377251509999994</v>
      </c>
      <c r="AI249" s="5">
        <f>[1]Results!AL414</f>
        <v>64.591868360000007</v>
      </c>
      <c r="AJ249" s="5">
        <f>[1]Results!AM414</f>
        <v>64.823839309999997</v>
      </c>
      <c r="AK249" s="5">
        <f>[1]Results!AN414</f>
        <v>65.069753809999995</v>
      </c>
      <c r="AL249" s="5">
        <f>[1]Results!AO414</f>
        <v>65.325764410000005</v>
      </c>
    </row>
    <row r="250" spans="1:38" x14ac:dyDescent="0.35">
      <c r="B250" t="s">
        <v>47</v>
      </c>
      <c r="C250" s="5">
        <f>[1]Results!F415</f>
        <v>42.52087745</v>
      </c>
      <c r="D250" s="5">
        <f>[1]Results!G415</f>
        <v>42.432149079999995</v>
      </c>
      <c r="E250" s="5">
        <f>[1]Results!H415</f>
        <v>42.07708521</v>
      </c>
      <c r="F250" s="5">
        <f>[1]Results!I415</f>
        <v>41.629424840000006</v>
      </c>
      <c r="G250" s="5">
        <f>[1]Results!J415</f>
        <v>41.32872287</v>
      </c>
      <c r="H250" s="5">
        <f>[1]Results!K415</f>
        <v>41.13391163</v>
      </c>
      <c r="I250" s="5">
        <f>[1]Results!L415</f>
        <v>40.87195758</v>
      </c>
      <c r="J250" s="5">
        <f>[1]Results!M415</f>
        <v>40.584000799999998</v>
      </c>
      <c r="K250" s="5">
        <f>[1]Results!N415</f>
        <v>40.296529700000001</v>
      </c>
      <c r="L250" s="5">
        <f>[1]Results!O415</f>
        <v>40.018394170000001</v>
      </c>
      <c r="M250" s="5">
        <f>[1]Results!P415</f>
        <v>39.775710240000002</v>
      </c>
      <c r="N250" s="5">
        <f>[1]Results!Q415</f>
        <v>39.531336659999994</v>
      </c>
      <c r="O250" s="5">
        <f>[1]Results!R415</f>
        <v>39.290233919999999</v>
      </c>
      <c r="P250" s="5">
        <f>[1]Results!S415</f>
        <v>39.061591669999999</v>
      </c>
      <c r="Q250" s="5">
        <f>[1]Results!T415</f>
        <v>38.847579329999995</v>
      </c>
      <c r="R250" s="5">
        <f>[1]Results!U415</f>
        <v>38.645916440000001</v>
      </c>
      <c r="S250" s="5">
        <f>[1]Results!V415</f>
        <v>38.53046415</v>
      </c>
      <c r="T250" s="5">
        <f>[1]Results!W415</f>
        <v>38.453682799999996</v>
      </c>
      <c r="U250" s="5">
        <f>[1]Results!X415</f>
        <v>38.409537619999995</v>
      </c>
      <c r="V250" s="5">
        <f>[1]Results!Y415</f>
        <v>38.384096720000002</v>
      </c>
      <c r="W250" s="5">
        <f>[1]Results!Z415</f>
        <v>38.350809670000004</v>
      </c>
      <c r="X250" s="5">
        <f>[1]Results!AA415</f>
        <v>38.32694781</v>
      </c>
      <c r="Y250" s="5">
        <f>[1]Results!AB415</f>
        <v>38.30414656</v>
      </c>
      <c r="Z250" s="5">
        <f>[1]Results!AC415</f>
        <v>38.278689679999999</v>
      </c>
      <c r="AA250" s="5">
        <f>[1]Results!AD415</f>
        <v>38.249617499999999</v>
      </c>
      <c r="AB250" s="5">
        <f>[1]Results!AE415</f>
        <v>38.176089220000001</v>
      </c>
      <c r="AC250" s="5">
        <f>[1]Results!AF415</f>
        <v>38.105206299999999</v>
      </c>
      <c r="AD250" s="5">
        <f>[1]Results!AG415</f>
        <v>38.036738149999998</v>
      </c>
      <c r="AE250" s="5">
        <f>[1]Results!AH415</f>
        <v>37.97117995</v>
      </c>
      <c r="AF250" s="5">
        <f>[1]Results!AI415</f>
        <v>37.909750430000003</v>
      </c>
      <c r="AG250" s="5">
        <f>[1]Results!AJ415</f>
        <v>37.853761579999997</v>
      </c>
      <c r="AH250" s="5">
        <f>[1]Results!AK415</f>
        <v>37.804203569999999</v>
      </c>
      <c r="AI250" s="5">
        <f>[1]Results!AL415</f>
        <v>37.76006289</v>
      </c>
      <c r="AJ250" s="5">
        <f>[1]Results!AM415</f>
        <v>37.720551130000004</v>
      </c>
      <c r="AK250" s="5">
        <f>[1]Results!AN415</f>
        <v>37.685168700000006</v>
      </c>
      <c r="AL250" s="5">
        <f>[1]Results!AO415</f>
        <v>37.653467200000001</v>
      </c>
    </row>
    <row r="251" spans="1:38" x14ac:dyDescent="0.35">
      <c r="B251" t="s">
        <v>48</v>
      </c>
      <c r="C251" s="5">
        <f>[1]Results!F423</f>
        <v>21.78056273</v>
      </c>
      <c r="D251" s="5">
        <f>[1]Results!G423</f>
        <v>21.49067076</v>
      </c>
      <c r="E251" s="5">
        <f>[1]Results!H423</f>
        <v>21.363051649999999</v>
      </c>
      <c r="F251" s="5">
        <f>[1]Results!I423</f>
        <v>21.34532944</v>
      </c>
      <c r="G251" s="5">
        <f>[1]Results!J423</f>
        <v>21.41970251</v>
      </c>
      <c r="H251" s="5">
        <f>[1]Results!K423</f>
        <v>21.560459690000002</v>
      </c>
      <c r="I251" s="5">
        <f>[1]Results!L423</f>
        <v>21.736741469999998</v>
      </c>
      <c r="J251" s="5">
        <f>[1]Results!M423</f>
        <v>21.93323801</v>
      </c>
      <c r="K251" s="5">
        <f>[1]Results!N423</f>
        <v>22.14417791</v>
      </c>
      <c r="L251" s="5">
        <f>[1]Results!O423</f>
        <v>22.366872780000001</v>
      </c>
      <c r="M251" s="5">
        <f>[1]Results!P423</f>
        <v>22.601659859999998</v>
      </c>
      <c r="N251" s="5">
        <f>[1]Results!Q423</f>
        <v>22.837233579999999</v>
      </c>
      <c r="O251" s="5">
        <f>[1]Results!R423</f>
        <v>23.06714384</v>
      </c>
      <c r="P251" s="5">
        <f>[1]Results!S423</f>
        <v>23.2859172</v>
      </c>
      <c r="Q251" s="5">
        <f>[1]Results!T423</f>
        <v>23.489478609999999</v>
      </c>
      <c r="R251" s="5">
        <f>[1]Results!U423</f>
        <v>23.675567190000002</v>
      </c>
      <c r="S251" s="5">
        <f>[1]Results!V423</f>
        <v>23.854626230000001</v>
      </c>
      <c r="T251" s="5">
        <f>[1]Results!W423</f>
        <v>24.03008706</v>
      </c>
      <c r="U251" s="5">
        <f>[1]Results!X423</f>
        <v>24.201861409999999</v>
      </c>
      <c r="V251" s="5">
        <f>[1]Results!Y423</f>
        <v>24.369399120000001</v>
      </c>
      <c r="W251" s="5">
        <f>[1]Results!Z423</f>
        <v>24.530361729999999</v>
      </c>
      <c r="X251" s="5">
        <f>[1]Results!AA423</f>
        <v>24.68906114</v>
      </c>
      <c r="Y251" s="5">
        <f>[1]Results!AB423</f>
        <v>24.847550340000002</v>
      </c>
      <c r="Z251" s="5">
        <f>[1]Results!AC423</f>
        <v>25.00840848</v>
      </c>
      <c r="AA251" s="5">
        <f>[1]Results!AD423</f>
        <v>25.173952410000002</v>
      </c>
      <c r="AB251" s="5">
        <f>[1]Results!AE423</f>
        <v>25.339477590000001</v>
      </c>
      <c r="AC251" s="5">
        <f>[1]Results!AF423</f>
        <v>25.512280449999999</v>
      </c>
      <c r="AD251" s="5">
        <f>[1]Results!AG423</f>
        <v>25.69511013</v>
      </c>
      <c r="AE251" s="5">
        <f>[1]Results!AH423</f>
        <v>25.890792340000001</v>
      </c>
      <c r="AF251" s="5">
        <f>[1]Results!AI423</f>
        <v>26.101776079999997</v>
      </c>
      <c r="AG251" s="5">
        <f>[1]Results!AJ423</f>
        <v>26.329257680000001</v>
      </c>
      <c r="AH251" s="5">
        <f>[1]Results!AK423</f>
        <v>26.573047930000001</v>
      </c>
      <c r="AI251" s="5">
        <f>[1]Results!AL423</f>
        <v>26.831805469999999</v>
      </c>
      <c r="AJ251" s="5">
        <f>[1]Results!AM423</f>
        <v>27.10328818</v>
      </c>
      <c r="AK251" s="5">
        <f>[1]Results!AN423</f>
        <v>27.38458511</v>
      </c>
      <c r="AL251" s="5">
        <f>[1]Results!AO423</f>
        <v>27.672297219999997</v>
      </c>
    </row>
    <row r="253" spans="1:3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</row>
    <row r="254" spans="1:38" x14ac:dyDescent="0.35">
      <c r="A254" t="s">
        <v>39</v>
      </c>
      <c r="B254" t="s">
        <v>26</v>
      </c>
      <c r="C254" s="9">
        <f t="shared" ref="C254:AL254" si="44">(C235/C136)/(C244/C125)-1</f>
        <v>-9.781995213842265E-10</v>
      </c>
      <c r="D254" s="9">
        <f t="shared" si="44"/>
        <v>-1.6322386775513564E-9</v>
      </c>
      <c r="E254" s="9">
        <f t="shared" si="44"/>
        <v>-2.6083400994636463E-9</v>
      </c>
      <c r="F254" s="9">
        <f t="shared" si="44"/>
        <v>-3.5660541186643968E-9</v>
      </c>
      <c r="G254" s="9">
        <f t="shared" si="44"/>
        <v>-4.2771233221827742E-9</v>
      </c>
      <c r="H254" s="9">
        <f t="shared" si="44"/>
        <v>-4.7672208403071181E-9</v>
      </c>
      <c r="I254" s="9">
        <f t="shared" si="44"/>
        <v>-4.9461986728616125E-9</v>
      </c>
      <c r="J254" s="9">
        <f t="shared" si="44"/>
        <v>-1.2107793708790338E-2</v>
      </c>
      <c r="K254" s="9">
        <f t="shared" si="44"/>
        <v>-2.6441741958512677E-2</v>
      </c>
      <c r="L254" s="9">
        <f t="shared" si="44"/>
        <v>-3.9779523635138814E-2</v>
      </c>
      <c r="M254" s="9">
        <f t="shared" si="44"/>
        <v>-5.1913419535620342E-2</v>
      </c>
      <c r="N254" s="9">
        <f t="shared" si="44"/>
        <v>-6.158102324785808E-2</v>
      </c>
      <c r="O254" s="9">
        <f t="shared" si="44"/>
        <v>-6.9414831983348968E-2</v>
      </c>
      <c r="P254" s="9">
        <f t="shared" si="44"/>
        <v>-7.5782045270170961E-2</v>
      </c>
      <c r="Q254" s="9">
        <f t="shared" si="44"/>
        <v>-8.0909227230219094E-2</v>
      </c>
      <c r="R254" s="9">
        <f t="shared" si="44"/>
        <v>-8.5050578540267763E-2</v>
      </c>
      <c r="S254" s="9">
        <f t="shared" si="44"/>
        <v>-8.9277923967752693E-2</v>
      </c>
      <c r="T254" s="9">
        <f t="shared" si="44"/>
        <v>-9.3759036782200211E-2</v>
      </c>
      <c r="U254" s="9">
        <f t="shared" si="44"/>
        <v>-9.8434261988527005E-2</v>
      </c>
      <c r="V254" s="9">
        <f t="shared" si="44"/>
        <v>-0.10321363187366883</v>
      </c>
      <c r="W254" s="9">
        <f t="shared" si="44"/>
        <v>-0.10799731350189123</v>
      </c>
      <c r="X254" s="9">
        <f t="shared" si="44"/>
        <v>-0.11266119166641131</v>
      </c>
      <c r="Y254" s="9">
        <f t="shared" si="44"/>
        <v>-0.11711138874545812</v>
      </c>
      <c r="Z254" s="9">
        <f t="shared" si="44"/>
        <v>-0.12131254761708188</v>
      </c>
      <c r="AA254" s="9">
        <f t="shared" si="44"/>
        <v>-0.12525087920648181</v>
      </c>
      <c r="AB254" s="9">
        <f t="shared" si="44"/>
        <v>-0.1289220364391751</v>
      </c>
      <c r="AC254" s="9">
        <f t="shared" si="44"/>
        <v>-0.13227681745475206</v>
      </c>
      <c r="AD254" s="9">
        <f t="shared" si="44"/>
        <v>-0.13513398946053312</v>
      </c>
      <c r="AE254" s="9">
        <f t="shared" si="44"/>
        <v>-0.1374825763885309</v>
      </c>
      <c r="AF254" s="9">
        <f t="shared" si="44"/>
        <v>-0.1393408525665788</v>
      </c>
      <c r="AG254" s="9">
        <f t="shared" si="44"/>
        <v>-0.14071405105476509</v>
      </c>
      <c r="AH254" s="9">
        <f t="shared" si="44"/>
        <v>-0.14155356510622752</v>
      </c>
      <c r="AI254" s="9">
        <f t="shared" si="44"/>
        <v>-0.14178472522686414</v>
      </c>
      <c r="AJ254" s="9">
        <f t="shared" si="44"/>
        <v>-0.14136638684922043</v>
      </c>
      <c r="AK254" s="9">
        <f t="shared" si="44"/>
        <v>-0.14024924732531252</v>
      </c>
      <c r="AL254" s="9">
        <f t="shared" si="44"/>
        <v>-0.13833410693097725</v>
      </c>
    </row>
    <row r="255" spans="1:38" x14ac:dyDescent="0.35">
      <c r="B255" t="s">
        <v>7</v>
      </c>
      <c r="C255" s="9">
        <f t="shared" ref="C255:AL255" si="45">(C236/C137)/(C245/C126)-1</f>
        <v>0</v>
      </c>
      <c r="D255" s="9">
        <f t="shared" si="45"/>
        <v>-2.0284252055802199E-10</v>
      </c>
      <c r="E255" s="9">
        <f t="shared" si="45"/>
        <v>-2.111056884857021E-10</v>
      </c>
      <c r="F255" s="9">
        <f t="shared" si="45"/>
        <v>-4.051325941389905E-10</v>
      </c>
      <c r="G255" s="9">
        <f t="shared" si="45"/>
        <v>-3.8708802829745537E-10</v>
      </c>
      <c r="H255" s="9">
        <f t="shared" si="45"/>
        <v>-5.6802629266883287E-10</v>
      </c>
      <c r="I255" s="9">
        <f t="shared" si="45"/>
        <v>-5.6501470169223467E-10</v>
      </c>
      <c r="J255" s="9">
        <f t="shared" si="45"/>
        <v>-8.443763811441074E-3</v>
      </c>
      <c r="K255" s="9">
        <f t="shared" si="45"/>
        <v>-1.9461331577335428E-2</v>
      </c>
      <c r="L255" s="9">
        <f t="shared" si="45"/>
        <v>-3.1144351878217735E-2</v>
      </c>
      <c r="M255" s="9">
        <f t="shared" si="45"/>
        <v>-4.1814642759771203E-2</v>
      </c>
      <c r="N255" s="9">
        <f t="shared" si="45"/>
        <v>-4.9912263809750668E-2</v>
      </c>
      <c r="O255" s="9">
        <f t="shared" si="45"/>
        <v>-5.5915769751135214E-2</v>
      </c>
      <c r="P255" s="9">
        <f t="shared" si="45"/>
        <v>-6.0328699923466678E-2</v>
      </c>
      <c r="Q255" s="9">
        <f t="shared" si="45"/>
        <v>-6.3519727807292092E-2</v>
      </c>
      <c r="R255" s="9">
        <f t="shared" si="45"/>
        <v>-6.5739549836714151E-2</v>
      </c>
      <c r="S255" s="9">
        <f t="shared" si="45"/>
        <v>-6.7997840363654971E-2</v>
      </c>
      <c r="T255" s="9">
        <f t="shared" si="45"/>
        <v>-7.0424555353330254E-2</v>
      </c>
      <c r="U255" s="9">
        <f t="shared" si="45"/>
        <v>-7.2958469396722014E-2</v>
      </c>
      <c r="V255" s="9">
        <f t="shared" si="45"/>
        <v>-7.5486879517244532E-2</v>
      </c>
      <c r="W255" s="9">
        <f t="shared" si="45"/>
        <v>-7.7879328126269076E-2</v>
      </c>
      <c r="X255" s="9">
        <f t="shared" si="45"/>
        <v>-8.0001995608920073E-2</v>
      </c>
      <c r="Y255" s="9">
        <f t="shared" si="45"/>
        <v>-8.1737196896683129E-2</v>
      </c>
      <c r="Z255" s="9">
        <f t="shared" si="45"/>
        <v>-8.2998875528587424E-2</v>
      </c>
      <c r="AA255" s="9">
        <f t="shared" si="45"/>
        <v>-8.370939233055541E-2</v>
      </c>
      <c r="AB255" s="9">
        <f t="shared" si="45"/>
        <v>-8.3785936437022257E-2</v>
      </c>
      <c r="AC255" s="9">
        <f t="shared" si="45"/>
        <v>-8.3115122030620769E-2</v>
      </c>
      <c r="AD255" s="9">
        <f t="shared" si="45"/>
        <v>-8.1568390079591269E-2</v>
      </c>
      <c r="AE255" s="9">
        <f t="shared" si="45"/>
        <v>-7.9046418524023943E-2</v>
      </c>
      <c r="AF255" s="9">
        <f t="shared" si="45"/>
        <v>-7.5456613031508302E-2</v>
      </c>
      <c r="AG255" s="9">
        <f t="shared" si="45"/>
        <v>-7.0676436915600438E-2</v>
      </c>
      <c r="AH255" s="9">
        <f t="shared" si="45"/>
        <v>-6.4526977966405386E-2</v>
      </c>
      <c r="AI255" s="9">
        <f t="shared" si="45"/>
        <v>-5.6776056027061261E-2</v>
      </c>
      <c r="AJ255" s="9">
        <f t="shared" si="45"/>
        <v>-4.7142414732281979E-2</v>
      </c>
      <c r="AK255" s="9">
        <f t="shared" si="45"/>
        <v>-3.5245251647964992E-2</v>
      </c>
      <c r="AL255" s="9">
        <f t="shared" si="45"/>
        <v>-2.0540994828028958E-2</v>
      </c>
    </row>
    <row r="256" spans="1:38" x14ac:dyDescent="0.35">
      <c r="B256" t="s">
        <v>30</v>
      </c>
      <c r="C256" s="9">
        <f t="shared" ref="C256:AL256" si="46">(C237/C138)/(C246/C127)-1</f>
        <v>-6.853191347744314E-10</v>
      </c>
      <c r="D256" s="9">
        <f t="shared" si="46"/>
        <v>-1.5732245506328013E-9</v>
      </c>
      <c r="E256" s="9">
        <f t="shared" si="46"/>
        <v>-2.644895968906269E-9</v>
      </c>
      <c r="F256" s="9">
        <f t="shared" si="46"/>
        <v>-3.6662118896302331E-9</v>
      </c>
      <c r="G256" s="9">
        <f t="shared" si="46"/>
        <v>-4.6106993778494143E-9</v>
      </c>
      <c r="H256" s="9">
        <f t="shared" si="46"/>
        <v>-5.0107367144391901E-9</v>
      </c>
      <c r="I256" s="9">
        <f t="shared" si="46"/>
        <v>-5.1254741562090089E-9</v>
      </c>
      <c r="J256" s="9">
        <f t="shared" si="46"/>
        <v>-1.3275267594596407E-2</v>
      </c>
      <c r="K256" s="9">
        <f t="shared" si="46"/>
        <v>-2.9625767143934501E-2</v>
      </c>
      <c r="L256" s="9">
        <f t="shared" si="46"/>
        <v>-4.5559608640174165E-2</v>
      </c>
      <c r="M256" s="9">
        <f t="shared" si="46"/>
        <v>-5.991505823299681E-2</v>
      </c>
      <c r="N256" s="9">
        <f t="shared" si="46"/>
        <v>-7.1239507677873348E-2</v>
      </c>
      <c r="O256" s="9">
        <f t="shared" si="46"/>
        <v>-8.0249568022042528E-2</v>
      </c>
      <c r="P256" s="9">
        <f t="shared" si="46"/>
        <v>-8.7458752209450097E-2</v>
      </c>
      <c r="Q256" s="9">
        <f t="shared" si="46"/>
        <v>-9.320553031269585E-2</v>
      </c>
      <c r="R256" s="9">
        <f t="shared" si="46"/>
        <v>-9.7804214415086133E-2</v>
      </c>
      <c r="S256" s="9">
        <f t="shared" si="46"/>
        <v>-0.10240052414369705</v>
      </c>
      <c r="T256" s="9">
        <f t="shared" si="46"/>
        <v>-0.1073085247950093</v>
      </c>
      <c r="U256" s="9">
        <f t="shared" si="46"/>
        <v>-0.11247308722979632</v>
      </c>
      <c r="V256" s="9">
        <f t="shared" si="46"/>
        <v>-0.11779183914051972</v>
      </c>
      <c r="W256" s="9">
        <f t="shared" si="46"/>
        <v>-0.12314839446759718</v>
      </c>
      <c r="X256" s="9">
        <f t="shared" si="46"/>
        <v>-0.12840743626965601</v>
      </c>
      <c r="Y256" s="9">
        <f t="shared" si="46"/>
        <v>-0.1334575551011844</v>
      </c>
      <c r="Z256" s="9">
        <f t="shared" si="46"/>
        <v>-0.13825231959566808</v>
      </c>
      <c r="AA256" s="9">
        <f t="shared" si="46"/>
        <v>-0.14277287390331972</v>
      </c>
      <c r="AB256" s="9">
        <f t="shared" si="46"/>
        <v>-0.14700077483053686</v>
      </c>
      <c r="AC256" s="9">
        <f t="shared" si="46"/>
        <v>-0.15093408795862162</v>
      </c>
      <c r="AD256" s="9">
        <f t="shared" si="46"/>
        <v>-0.15430466553742384</v>
      </c>
      <c r="AE256" s="9">
        <f t="shared" si="46"/>
        <v>-0.1570582891317146</v>
      </c>
      <c r="AF256" s="9">
        <f t="shared" si="46"/>
        <v>-0.15917730084429382</v>
      </c>
      <c r="AG256" s="9">
        <f t="shared" si="46"/>
        <v>-0.16061980634812678</v>
      </c>
      <c r="AH256" s="9">
        <f t="shared" si="46"/>
        <v>-0.16126255872234896</v>
      </c>
      <c r="AI256" s="9">
        <f t="shared" si="46"/>
        <v>-0.16091396879538111</v>
      </c>
      <c r="AJ256" s="9">
        <f t="shared" si="46"/>
        <v>-0.15935988524319078</v>
      </c>
      <c r="AK256" s="9">
        <f t="shared" si="46"/>
        <v>-0.15628994810072494</v>
      </c>
      <c r="AL256" s="9">
        <f t="shared" si="46"/>
        <v>-0.15118526423258893</v>
      </c>
    </row>
    <row r="257" spans="1:38" x14ac:dyDescent="0.35">
      <c r="B257" t="s">
        <v>28</v>
      </c>
      <c r="C257" s="9">
        <f t="shared" ref="C257:AL257" si="47">(C238/C139)/(C247/C128)-1</f>
        <v>0</v>
      </c>
      <c r="D257" s="9">
        <f t="shared" si="47"/>
        <v>0</v>
      </c>
      <c r="E257" s="9">
        <f t="shared" si="47"/>
        <v>0</v>
      </c>
      <c r="F257" s="9">
        <f t="shared" si="47"/>
        <v>-7.746503438710306E-11</v>
      </c>
      <c r="G257" s="9">
        <f t="shared" si="47"/>
        <v>-7.5683903588696921E-12</v>
      </c>
      <c r="H257" s="9">
        <f t="shared" si="47"/>
        <v>0</v>
      </c>
      <c r="I257" s="9">
        <f t="shared" si="47"/>
        <v>6.4917848874301853E-11</v>
      </c>
      <c r="J257" s="9">
        <f t="shared" si="47"/>
        <v>-5.0585569415795284E-4</v>
      </c>
      <c r="K257" s="9">
        <f t="shared" si="47"/>
        <v>-2.148431989788091E-3</v>
      </c>
      <c r="L257" s="9">
        <f t="shared" si="47"/>
        <v>-5.599323261543443E-3</v>
      </c>
      <c r="M257" s="9">
        <f t="shared" si="47"/>
        <v>-8.7788747749527607E-3</v>
      </c>
      <c r="N257" s="9">
        <f t="shared" si="47"/>
        <v>-1.1622406450207512E-2</v>
      </c>
      <c r="O257" s="9">
        <f t="shared" si="47"/>
        <v>-1.3921475624660617E-2</v>
      </c>
      <c r="P257" s="9">
        <f t="shared" si="47"/>
        <v>-1.5762836320005635E-2</v>
      </c>
      <c r="Q257" s="9">
        <f t="shared" si="47"/>
        <v>-1.7246956644317524E-2</v>
      </c>
      <c r="R257" s="9">
        <f t="shared" si="47"/>
        <v>-1.836634707410445E-2</v>
      </c>
      <c r="S257" s="9">
        <f t="shared" si="47"/>
        <v>-1.9303938252455355E-2</v>
      </c>
      <c r="T257" s="9">
        <f t="shared" si="47"/>
        <v>-2.0187827582314855E-2</v>
      </c>
      <c r="U257" s="9">
        <f t="shared" si="47"/>
        <v>-2.1068119346825731E-2</v>
      </c>
      <c r="V257" s="9">
        <f t="shared" si="47"/>
        <v>-2.1945073778163349E-2</v>
      </c>
      <c r="W257" s="9">
        <f t="shared" si="47"/>
        <v>-2.2808379358219999E-2</v>
      </c>
      <c r="X257" s="9">
        <f t="shared" si="47"/>
        <v>-2.3658999500035804E-2</v>
      </c>
      <c r="Y257" s="9">
        <f t="shared" si="47"/>
        <v>-2.4495697136082017E-2</v>
      </c>
      <c r="Z257" s="9">
        <f t="shared" si="47"/>
        <v>-2.5269549150936932E-2</v>
      </c>
      <c r="AA257" s="9">
        <f t="shared" si="47"/>
        <v>-2.5925294029266577E-2</v>
      </c>
      <c r="AB257" s="9">
        <f t="shared" si="47"/>
        <v>-2.6426156981145366E-2</v>
      </c>
      <c r="AC257" s="9">
        <f t="shared" si="47"/>
        <v>-2.6830402287472022E-2</v>
      </c>
      <c r="AD257" s="9">
        <f t="shared" si="47"/>
        <v>-2.7214153276201802E-2</v>
      </c>
      <c r="AE257" s="9">
        <f t="shared" si="47"/>
        <v>-2.7524828137487356E-2</v>
      </c>
      <c r="AF257" s="9">
        <f t="shared" si="47"/>
        <v>-2.768805676757613E-2</v>
      </c>
      <c r="AG257" s="9">
        <f t="shared" si="47"/>
        <v>-2.7627146171013583E-2</v>
      </c>
      <c r="AH257" s="9">
        <f t="shared" si="47"/>
        <v>-2.7311349975170707E-2</v>
      </c>
      <c r="AI257" s="9">
        <f t="shared" si="47"/>
        <v>-2.6717145868364378E-2</v>
      </c>
      <c r="AJ257" s="9">
        <f t="shared" si="47"/>
        <v>-2.5746427532029048E-2</v>
      </c>
      <c r="AK257" s="9">
        <f t="shared" si="47"/>
        <v>-2.4256940837461327E-2</v>
      </c>
      <c r="AL257" s="9">
        <f t="shared" si="47"/>
        <v>-2.2048637426714923E-2</v>
      </c>
    </row>
    <row r="258" spans="1:38" x14ac:dyDescent="0.35">
      <c r="B258" t="s">
        <v>10</v>
      </c>
      <c r="C258" s="9">
        <f t="shared" ref="C258:AL258" si="48">(C239/C140)/(C248/C129)-1</f>
        <v>-1.7950231301355757E-9</v>
      </c>
      <c r="D258" s="9">
        <f t="shared" si="48"/>
        <v>-4.0189350736241636E-9</v>
      </c>
      <c r="E258" s="9">
        <f t="shared" si="48"/>
        <v>-6.2124232425020409E-9</v>
      </c>
      <c r="F258" s="9">
        <f t="shared" si="48"/>
        <v>-8.4168736425027646E-9</v>
      </c>
      <c r="G258" s="9">
        <f t="shared" si="48"/>
        <v>-9.6270391658492827E-9</v>
      </c>
      <c r="H258" s="9">
        <f t="shared" si="48"/>
        <v>-1.1187399229228845E-8</v>
      </c>
      <c r="I258" s="9">
        <f t="shared" si="48"/>
        <v>-1.1386244946898216E-8</v>
      </c>
      <c r="J258" s="9">
        <f t="shared" si="48"/>
        <v>-1.5843291599745846E-2</v>
      </c>
      <c r="K258" s="9">
        <f t="shared" si="48"/>
        <v>-3.387435061795685E-2</v>
      </c>
      <c r="L258" s="9">
        <f t="shared" si="48"/>
        <v>-5.1655089069621574E-2</v>
      </c>
      <c r="M258" s="9">
        <f t="shared" si="48"/>
        <v>-6.7616906091631068E-2</v>
      </c>
      <c r="N258" s="9">
        <f t="shared" si="48"/>
        <v>-8.0017901344701325E-2</v>
      </c>
      <c r="O258" s="9">
        <f t="shared" si="48"/>
        <v>-8.9562430465372045E-2</v>
      </c>
      <c r="P258" s="9">
        <f t="shared" si="48"/>
        <v>-9.6843299537590855E-2</v>
      </c>
      <c r="Q258" s="9">
        <f t="shared" si="48"/>
        <v>-0.10233108752653497</v>
      </c>
      <c r="R258" s="9">
        <f t="shared" si="48"/>
        <v>-0.10640777372187804</v>
      </c>
      <c r="S258" s="9">
        <f t="shared" si="48"/>
        <v>-0.11066370870282727</v>
      </c>
      <c r="T258" s="9">
        <f t="shared" si="48"/>
        <v>-0.11512569519713844</v>
      </c>
      <c r="U258" s="9">
        <f t="shared" si="48"/>
        <v>-0.11973961229051733</v>
      </c>
      <c r="V258" s="9">
        <f t="shared" si="48"/>
        <v>-0.12440490889133526</v>
      </c>
      <c r="W258" s="9">
        <f t="shared" si="48"/>
        <v>-0.12898734584305327</v>
      </c>
      <c r="X258" s="9">
        <f t="shared" si="48"/>
        <v>-0.13331537123247217</v>
      </c>
      <c r="Y258" s="9">
        <f t="shared" si="48"/>
        <v>-0.13724293203371007</v>
      </c>
      <c r="Z258" s="9">
        <f t="shared" si="48"/>
        <v>-0.14068113627837653</v>
      </c>
      <c r="AA258" s="9">
        <f t="shared" si="48"/>
        <v>-0.14355331111350467</v>
      </c>
      <c r="AB258" s="9">
        <f t="shared" si="48"/>
        <v>-0.14577897467670009</v>
      </c>
      <c r="AC258" s="9">
        <f t="shared" si="48"/>
        <v>-0.14715271447982614</v>
      </c>
      <c r="AD258" s="9">
        <f t="shared" si="48"/>
        <v>-0.14745509992508343</v>
      </c>
      <c r="AE258" s="9">
        <f t="shared" si="48"/>
        <v>-0.14658907079227723</v>
      </c>
      <c r="AF258" s="9">
        <f t="shared" si="48"/>
        <v>-0.14446067521836581</v>
      </c>
      <c r="AG258" s="9">
        <f t="shared" si="48"/>
        <v>-0.1409301752238773</v>
      </c>
      <c r="AH258" s="9">
        <f t="shared" si="48"/>
        <v>-0.13575691260569134</v>
      </c>
      <c r="AI258" s="9">
        <f t="shared" si="48"/>
        <v>-0.12861396157273219</v>
      </c>
      <c r="AJ258" s="9">
        <f t="shared" si="48"/>
        <v>-0.1191237083442418</v>
      </c>
      <c r="AK258" s="9">
        <f t="shared" si="48"/>
        <v>-0.10675636966705115</v>
      </c>
      <c r="AL258" s="9">
        <f t="shared" si="48"/>
        <v>-9.0698850633970429E-2</v>
      </c>
    </row>
    <row r="259" spans="1:38" x14ac:dyDescent="0.35">
      <c r="B259" t="s">
        <v>25</v>
      </c>
      <c r="C259" s="9">
        <f t="shared" ref="C259:AL259" si="49">(C240/C59)/(C249/C58)-1</f>
        <v>0</v>
      </c>
      <c r="D259" s="9">
        <f t="shared" si="49"/>
        <v>-1.5643866202452728E-9</v>
      </c>
      <c r="E259" s="9">
        <f t="shared" si="49"/>
        <v>-2.5220627808408835E-9</v>
      </c>
      <c r="F259" s="9">
        <f t="shared" si="49"/>
        <v>-3.6522572743891146E-9</v>
      </c>
      <c r="G259" s="9">
        <f t="shared" si="49"/>
        <v>-3.9841636656490209E-9</v>
      </c>
      <c r="H259" s="9">
        <f t="shared" si="49"/>
        <v>-4.8948298747575336E-9</v>
      </c>
      <c r="I259" s="9">
        <f t="shared" si="49"/>
        <v>-3.9930553308309413E-9</v>
      </c>
      <c r="J259" s="9">
        <f t="shared" si="49"/>
        <v>-7.7026149602277272E-3</v>
      </c>
      <c r="K259" s="9">
        <f t="shared" si="49"/>
        <v>-1.5598234252934939E-2</v>
      </c>
      <c r="L259" s="9">
        <f t="shared" si="49"/>
        <v>-2.5737375793471684E-2</v>
      </c>
      <c r="M259" s="9">
        <f t="shared" si="49"/>
        <v>-3.8494744853965757E-2</v>
      </c>
      <c r="N259" s="9">
        <f t="shared" si="49"/>
        <v>-5.1747793308762002E-2</v>
      </c>
      <c r="O259" s="9">
        <f t="shared" si="49"/>
        <v>-6.4803188709272375E-2</v>
      </c>
      <c r="P259" s="9">
        <f t="shared" si="49"/>
        <v>-7.6913677873660657E-2</v>
      </c>
      <c r="Q259" s="9">
        <f t="shared" si="49"/>
        <v>-8.7733706025238445E-2</v>
      </c>
      <c r="R259" s="9">
        <f t="shared" si="49"/>
        <v>-9.7210036793610177E-2</v>
      </c>
      <c r="S259" s="9">
        <f t="shared" si="49"/>
        <v>-0.10631374004797456</v>
      </c>
      <c r="T259" s="9">
        <f t="shared" si="49"/>
        <v>-0.11480200215277481</v>
      </c>
      <c r="U259" s="9">
        <f t="shared" si="49"/>
        <v>-0.12294363408200371</v>
      </c>
      <c r="V259" s="9">
        <f t="shared" si="49"/>
        <v>-0.1306770073688841</v>
      </c>
      <c r="W259" s="9">
        <f t="shared" si="49"/>
        <v>-0.13786447250940792</v>
      </c>
      <c r="X259" s="9">
        <f t="shared" si="49"/>
        <v>-0.14427993046765009</v>
      </c>
      <c r="Y259" s="9">
        <f t="shared" si="49"/>
        <v>-0.14986128436364621</v>
      </c>
      <c r="Z259" s="9">
        <f t="shared" si="49"/>
        <v>-0.15460502200042736</v>
      </c>
      <c r="AA259" s="9">
        <f t="shared" si="49"/>
        <v>-0.15851451545602624</v>
      </c>
      <c r="AB259" s="9">
        <f t="shared" si="49"/>
        <v>-0.16169969300796661</v>
      </c>
      <c r="AC259" s="9">
        <f t="shared" si="49"/>
        <v>-0.16401629184217303</v>
      </c>
      <c r="AD259" s="9">
        <f t="shared" si="49"/>
        <v>-0.16546437817591098</v>
      </c>
      <c r="AE259" s="9">
        <f t="shared" si="49"/>
        <v>-0.16616112827480733</v>
      </c>
      <c r="AF259" s="9">
        <f t="shared" si="49"/>
        <v>-0.16622855463494868</v>
      </c>
      <c r="AG259" s="9">
        <f t="shared" si="49"/>
        <v>-0.16576473958478977</v>
      </c>
      <c r="AH259" s="9">
        <f t="shared" si="49"/>
        <v>-0.16482219841200296</v>
      </c>
      <c r="AI259" s="9">
        <f t="shared" si="49"/>
        <v>-0.16343399508070933</v>
      </c>
      <c r="AJ259" s="9">
        <f t="shared" si="49"/>
        <v>-0.16168936017763713</v>
      </c>
      <c r="AK259" s="9">
        <f t="shared" si="49"/>
        <v>-0.15968914809428647</v>
      </c>
      <c r="AL259" s="9">
        <f t="shared" si="49"/>
        <v>-0.15753571969942237</v>
      </c>
    </row>
    <row r="260" spans="1:38" x14ac:dyDescent="0.35">
      <c r="B260" t="s">
        <v>47</v>
      </c>
      <c r="C260" s="9">
        <f t="shared" ref="C260:AL260" si="50">(C241/C59)/(C250/C58)-1</f>
        <v>0</v>
      </c>
      <c r="D260" s="9">
        <f t="shared" si="50"/>
        <v>-2.1210332379340002E-9</v>
      </c>
      <c r="E260" s="9">
        <f t="shared" si="50"/>
        <v>-3.8025448345635482E-9</v>
      </c>
      <c r="F260" s="9">
        <f t="shared" si="50"/>
        <v>-5.7651531326641248E-9</v>
      </c>
      <c r="G260" s="9">
        <f t="shared" si="50"/>
        <v>-6.0490619180342264E-9</v>
      </c>
      <c r="H260" s="9">
        <f t="shared" si="50"/>
        <v>-7.0685460817898615E-9</v>
      </c>
      <c r="I260" s="9">
        <f t="shared" si="50"/>
        <v>-6.3613297962561433E-9</v>
      </c>
      <c r="J260" s="9">
        <f t="shared" si="50"/>
        <v>-1.0465747860847308E-2</v>
      </c>
      <c r="K260" s="9">
        <f t="shared" si="50"/>
        <v>-2.1088030133366686E-2</v>
      </c>
      <c r="L260" s="9">
        <f t="shared" si="50"/>
        <v>-3.4641830739619683E-2</v>
      </c>
      <c r="M260" s="9">
        <f t="shared" si="50"/>
        <v>-5.1799324942344405E-2</v>
      </c>
      <c r="N260" s="9">
        <f t="shared" si="50"/>
        <v>-7.0134491386707909E-2</v>
      </c>
      <c r="O260" s="9">
        <f t="shared" si="50"/>
        <v>-8.8515602236984736E-2</v>
      </c>
      <c r="P260" s="9">
        <f t="shared" si="50"/>
        <v>-0.10579693471602059</v>
      </c>
      <c r="Q260" s="9">
        <f t="shared" si="50"/>
        <v>-0.12140907559552561</v>
      </c>
      <c r="R260" s="9">
        <f t="shared" si="50"/>
        <v>-0.13520961138122078</v>
      </c>
      <c r="S260" s="9">
        <f t="shared" si="50"/>
        <v>-0.14830570368857077</v>
      </c>
      <c r="T260" s="9">
        <f t="shared" si="50"/>
        <v>-0.16046342270656067</v>
      </c>
      <c r="U260" s="9">
        <f t="shared" si="50"/>
        <v>-0.17214199856085777</v>
      </c>
      <c r="V260" s="9">
        <f t="shared" si="50"/>
        <v>-0.18326599130095322</v>
      </c>
      <c r="W260" s="9">
        <f t="shared" si="50"/>
        <v>-0.19365291503248017</v>
      </c>
      <c r="X260" s="9">
        <f t="shared" si="50"/>
        <v>-0.20295374279408041</v>
      </c>
      <c r="Y260" s="9">
        <f t="shared" si="50"/>
        <v>-0.21109023062367183</v>
      </c>
      <c r="Z260" s="9">
        <f t="shared" si="50"/>
        <v>-0.2180508514309899</v>
      </c>
      <c r="AA260" s="9">
        <f t="shared" si="50"/>
        <v>-0.22382899157697644</v>
      </c>
      <c r="AB260" s="9">
        <f t="shared" si="50"/>
        <v>-0.22864116754020036</v>
      </c>
      <c r="AC260" s="9">
        <f t="shared" si="50"/>
        <v>-0.23222075650996721</v>
      </c>
      <c r="AD260" s="9">
        <f t="shared" si="50"/>
        <v>-0.23457490254270696</v>
      </c>
      <c r="AE260" s="9">
        <f t="shared" si="50"/>
        <v>-0.23583972859888458</v>
      </c>
      <c r="AF260" s="9">
        <f t="shared" si="50"/>
        <v>-0.23616347457667075</v>
      </c>
      <c r="AG260" s="9">
        <f t="shared" si="50"/>
        <v>-0.23566662129558502</v>
      </c>
      <c r="AH260" s="9">
        <f t="shared" si="50"/>
        <v>-0.23441706775132487</v>
      </c>
      <c r="AI260" s="9">
        <f t="shared" si="50"/>
        <v>-0.2324491320184966</v>
      </c>
      <c r="AJ260" s="9">
        <f t="shared" si="50"/>
        <v>-0.22985481891976944</v>
      </c>
      <c r="AK260" s="9">
        <f t="shared" si="50"/>
        <v>-0.22673421253851944</v>
      </c>
      <c r="AL260" s="9">
        <f t="shared" si="50"/>
        <v>-0.22317866001534081</v>
      </c>
    </row>
    <row r="261" spans="1:38" x14ac:dyDescent="0.35">
      <c r="B261" t="s">
        <v>48</v>
      </c>
      <c r="C261" s="9">
        <f t="shared" ref="C261:AL261" si="51">(C242/C59)/(C251/C58)-1</f>
        <v>0</v>
      </c>
      <c r="D261" s="9">
        <f t="shared" si="51"/>
        <v>0</v>
      </c>
      <c r="E261" s="9">
        <f t="shared" si="51"/>
        <v>0</v>
      </c>
      <c r="F261" s="9">
        <f t="shared" si="51"/>
        <v>0</v>
      </c>
      <c r="G261" s="9">
        <f t="shared" si="51"/>
        <v>0</v>
      </c>
      <c r="H261" s="9">
        <f t="shared" si="51"/>
        <v>-2.8391522466364449E-10</v>
      </c>
      <c r="I261" s="9">
        <f t="shared" si="51"/>
        <v>4.6005066423049357E-10</v>
      </c>
      <c r="J261" s="9">
        <f t="shared" si="51"/>
        <v>-2.58987292924584E-3</v>
      </c>
      <c r="K261" s="9">
        <f t="shared" si="51"/>
        <v>-5.6082615618793241E-3</v>
      </c>
      <c r="L261" s="9">
        <f t="shared" si="51"/>
        <v>-9.8056900630199006E-3</v>
      </c>
      <c r="M261" s="9">
        <f t="shared" si="51"/>
        <v>-1.5080574120205581E-2</v>
      </c>
      <c r="N261" s="9">
        <f t="shared" si="51"/>
        <v>-1.9920350668269582E-2</v>
      </c>
      <c r="O261" s="9">
        <f t="shared" si="51"/>
        <v>-2.4413867830455627E-2</v>
      </c>
      <c r="P261" s="9">
        <f t="shared" si="51"/>
        <v>-2.8462677814056425E-2</v>
      </c>
      <c r="Q261" s="9">
        <f t="shared" si="51"/>
        <v>-3.2040405523800941E-2</v>
      </c>
      <c r="R261" s="9">
        <f t="shared" si="51"/>
        <v>-3.5182868351398278E-2</v>
      </c>
      <c r="S261" s="9">
        <f t="shared" si="51"/>
        <v>-3.848748974155336E-2</v>
      </c>
      <c r="T261" s="9">
        <f t="shared" si="51"/>
        <v>-4.1733195259127776E-2</v>
      </c>
      <c r="U261" s="9">
        <f t="shared" si="51"/>
        <v>-4.4863423306035211E-2</v>
      </c>
      <c r="V261" s="9">
        <f t="shared" si="51"/>
        <v>-4.7844409170005542E-2</v>
      </c>
      <c r="W261" s="9">
        <f t="shared" si="51"/>
        <v>-5.064472562848521E-2</v>
      </c>
      <c r="X261" s="9">
        <f t="shared" si="51"/>
        <v>-5.3195538054712221E-2</v>
      </c>
      <c r="Y261" s="9">
        <f t="shared" si="51"/>
        <v>-5.5472803051665021E-2</v>
      </c>
      <c r="Z261" s="9">
        <f t="shared" si="51"/>
        <v>-5.7492756011771728E-2</v>
      </c>
      <c r="AA261" s="9">
        <f t="shared" si="51"/>
        <v>-5.9274885216364814E-2</v>
      </c>
      <c r="AB261" s="9">
        <f t="shared" si="51"/>
        <v>-6.0846638576708911E-2</v>
      </c>
      <c r="AC261" s="9">
        <f t="shared" si="51"/>
        <v>-6.214593135106139E-2</v>
      </c>
      <c r="AD261" s="9">
        <f t="shared" si="51"/>
        <v>-6.3159351883067871E-2</v>
      </c>
      <c r="AE261" s="9">
        <f t="shared" si="51"/>
        <v>-6.3971182257509751E-2</v>
      </c>
      <c r="AF261" s="9">
        <f t="shared" si="51"/>
        <v>-6.4656333909166031E-2</v>
      </c>
      <c r="AG261" s="9">
        <f t="shared" si="51"/>
        <v>-6.5266305987742079E-2</v>
      </c>
      <c r="AH261" s="9">
        <f t="shared" si="51"/>
        <v>-6.5812908126082426E-2</v>
      </c>
      <c r="AI261" s="9">
        <f t="shared" si="51"/>
        <v>-6.6309859184862208E-2</v>
      </c>
      <c r="AJ261" s="9">
        <f t="shared" si="51"/>
        <v>-6.6821215223924035E-2</v>
      </c>
      <c r="AK261" s="9">
        <f t="shared" si="51"/>
        <v>-6.7425396281568628E-2</v>
      </c>
      <c r="AL261" s="9">
        <f t="shared" si="51"/>
        <v>-6.8215911082811775E-2</v>
      </c>
    </row>
    <row r="263" spans="1:38" x14ac:dyDescent="0.35">
      <c r="A263" s="12" t="s">
        <v>21</v>
      </c>
      <c r="B263" t="s">
        <v>26</v>
      </c>
      <c r="C263" s="6">
        <f>[1]Results!F1600</f>
        <v>472737.799</v>
      </c>
      <c r="D263" s="6">
        <f>[1]Results!G1600</f>
        <v>480957.99129999999</v>
      </c>
      <c r="E263" s="6">
        <f>[1]Results!H1600</f>
        <v>491179.06349999999</v>
      </c>
      <c r="F263" s="6">
        <f>[1]Results!I1600</f>
        <v>502874.1249</v>
      </c>
      <c r="G263" s="6">
        <f>[1]Results!J1600</f>
        <v>515841.68780000001</v>
      </c>
      <c r="H263" s="6">
        <f>[1]Results!K1600</f>
        <v>529903.87410000002</v>
      </c>
      <c r="I263" s="6">
        <f>[1]Results!L1600</f>
        <v>544708.99809999997</v>
      </c>
      <c r="J263" s="6">
        <f>[1]Results!M1600</f>
        <v>558782.54639999999</v>
      </c>
      <c r="K263" s="6">
        <f>[1]Results!N1600</f>
        <v>573037.98620000004</v>
      </c>
      <c r="L263" s="6">
        <f>[1]Results!O1600</f>
        <v>589378.36919999996</v>
      </c>
      <c r="M263" s="6">
        <f>[1]Results!P1600</f>
        <v>607189.42079999996</v>
      </c>
      <c r="N263" s="6">
        <f>[1]Results!Q1600</f>
        <v>625032.58279999997</v>
      </c>
      <c r="O263" s="6">
        <f>[1]Results!R1600</f>
        <v>642509.25490000006</v>
      </c>
      <c r="P263" s="6">
        <f>[1]Results!S1600</f>
        <v>659673.74450000003</v>
      </c>
      <c r="Q263" s="6">
        <f>[1]Results!T1600</f>
        <v>676834.29130000004</v>
      </c>
      <c r="R263" s="6">
        <f>[1]Results!U1600</f>
        <v>694288.01879999996</v>
      </c>
      <c r="S263" s="6">
        <f>[1]Results!V1600</f>
        <v>712194.42110000004</v>
      </c>
      <c r="T263" s="6">
        <f>[1]Results!W1600</f>
        <v>730890.01130000001</v>
      </c>
      <c r="U263" s="6">
        <f>[1]Results!X1600</f>
        <v>750670.40249999997</v>
      </c>
      <c r="V263" s="6">
        <f>[1]Results!Y1600</f>
        <v>771752.62950000004</v>
      </c>
      <c r="W263" s="6">
        <f>[1]Results!Z1600</f>
        <v>794163.18980000005</v>
      </c>
      <c r="X263" s="6">
        <f>[1]Results!AA1600</f>
        <v>818209.56709999999</v>
      </c>
      <c r="Y263" s="6">
        <f>[1]Results!AB1600</f>
        <v>844071.39650000003</v>
      </c>
      <c r="Z263" s="6">
        <f>[1]Results!AC1600</f>
        <v>871915.12910000002</v>
      </c>
      <c r="AA263" s="6">
        <f>[1]Results!AD1600</f>
        <v>901856.44299999997</v>
      </c>
      <c r="AB263" s="6">
        <f>[1]Results!AE1600</f>
        <v>933538.84510000004</v>
      </c>
      <c r="AC263" s="6">
        <f>[1]Results!AF1600</f>
        <v>967355.56209999998</v>
      </c>
      <c r="AD263" s="6">
        <f>[1]Results!AG1600</f>
        <v>1003490.539</v>
      </c>
      <c r="AE263" s="6">
        <f>[1]Results!AH1600</f>
        <v>1042186.691</v>
      </c>
      <c r="AF263" s="6">
        <f>[1]Results!AI1600</f>
        <v>1083655.308</v>
      </c>
      <c r="AG263" s="6">
        <f>[1]Results!AJ1600</f>
        <v>1128076.3600000001</v>
      </c>
      <c r="AH263" s="6">
        <f>[1]Results!AK1600</f>
        <v>1175670.2050000001</v>
      </c>
      <c r="AI263" s="6">
        <f>[1]Results!AL1600</f>
        <v>1226779.703</v>
      </c>
      <c r="AJ263" s="6">
        <f>[1]Results!AM1600</f>
        <v>1281951.821</v>
      </c>
      <c r="AK263" s="6">
        <f>[1]Results!AN1600</f>
        <v>1342020.297</v>
      </c>
      <c r="AL263" s="6">
        <f>[1]Results!AO1600</f>
        <v>1408263.652</v>
      </c>
    </row>
    <row r="264" spans="1:38" x14ac:dyDescent="0.35">
      <c r="A264" t="s">
        <v>39</v>
      </c>
      <c r="B264" t="s">
        <v>7</v>
      </c>
      <c r="C264" s="6">
        <f>[1]Results!F1601</f>
        <v>4444.1839890000001</v>
      </c>
      <c r="D264" s="6">
        <f>[1]Results!G1601</f>
        <v>4518.9342649999999</v>
      </c>
      <c r="E264" s="6">
        <f>[1]Results!H1601</f>
        <v>4611.2662110000001</v>
      </c>
      <c r="F264" s="6">
        <f>[1]Results!I1601</f>
        <v>4721.4440020000002</v>
      </c>
      <c r="G264" s="6">
        <f>[1]Results!J1601</f>
        <v>4843.4994379999998</v>
      </c>
      <c r="H264" s="6">
        <f>[1]Results!K1601</f>
        <v>4976.0586970000004</v>
      </c>
      <c r="I264" s="6">
        <f>[1]Results!L1601</f>
        <v>5116.940079</v>
      </c>
      <c r="J264" s="6">
        <f>[1]Results!M1601</f>
        <v>5267.1599150000002</v>
      </c>
      <c r="K264" s="6">
        <f>[1]Results!N1601</f>
        <v>5425.1179540000003</v>
      </c>
      <c r="L264" s="6">
        <f>[1]Results!O1601</f>
        <v>5609.4416840000004</v>
      </c>
      <c r="M264" s="6">
        <f>[1]Results!P1601</f>
        <v>5810.0715890000001</v>
      </c>
      <c r="N264" s="6">
        <f>[1]Results!Q1601</f>
        <v>6003.3863199999996</v>
      </c>
      <c r="O264" s="6">
        <f>[1]Results!R1601</f>
        <v>6185.6318300000003</v>
      </c>
      <c r="P264" s="6">
        <f>[1]Results!S1601</f>
        <v>6358.0299400000004</v>
      </c>
      <c r="Q264" s="6">
        <f>[1]Results!T1601</f>
        <v>6524.1273430000001</v>
      </c>
      <c r="R264" s="6">
        <f>[1]Results!U1601</f>
        <v>6687.0435340000004</v>
      </c>
      <c r="S264" s="6">
        <f>[1]Results!V1601</f>
        <v>6852.7022809999999</v>
      </c>
      <c r="T264" s="6">
        <f>[1]Results!W1601</f>
        <v>7023.0214509999996</v>
      </c>
      <c r="U264" s="6">
        <f>[1]Results!X1601</f>
        <v>7200.0597870000001</v>
      </c>
      <c r="V264" s="6">
        <f>[1]Results!Y1601</f>
        <v>7385.2920690000001</v>
      </c>
      <c r="W264" s="6">
        <f>[1]Results!Z1601</f>
        <v>7578.5824810000004</v>
      </c>
      <c r="X264" s="6">
        <f>[1]Results!AA1601</f>
        <v>7781.6905399999996</v>
      </c>
      <c r="Y264" s="6">
        <f>[1]Results!AB1601</f>
        <v>7995.8212530000001</v>
      </c>
      <c r="Z264" s="6">
        <f>[1]Results!AC1601</f>
        <v>8221.7017429999996</v>
      </c>
      <c r="AA264" s="6">
        <f>[1]Results!AD1601</f>
        <v>8459.0920829999995</v>
      </c>
      <c r="AB264" s="6">
        <f>[1]Results!AE1601</f>
        <v>8703.5942520000008</v>
      </c>
      <c r="AC264" s="6">
        <f>[1]Results!AF1601</f>
        <v>8954.5238960000006</v>
      </c>
      <c r="AD264" s="6">
        <f>[1]Results!AG1601</f>
        <v>9212.7721039999997</v>
      </c>
      <c r="AE264" s="6">
        <f>[1]Results!AH1601</f>
        <v>9479.1062029999994</v>
      </c>
      <c r="AF264" s="6">
        <f>[1]Results!AI1601</f>
        <v>9752.9323199999999</v>
      </c>
      <c r="AG264" s="6">
        <f>[1]Results!AJ1601</f>
        <v>10032.221100000001</v>
      </c>
      <c r="AH264" s="6">
        <f>[1]Results!AK1601</f>
        <v>10314.18792</v>
      </c>
      <c r="AI264" s="6">
        <f>[1]Results!AL1601</f>
        <v>10595.961289999999</v>
      </c>
      <c r="AJ264" s="6">
        <f>[1]Results!AM1601</f>
        <v>10874.91756</v>
      </c>
      <c r="AK264" s="6">
        <f>[1]Results!AN1601</f>
        <v>11148.452310000001</v>
      </c>
      <c r="AL264" s="6">
        <f>[1]Results!AO1601</f>
        <v>11413.932280000001</v>
      </c>
    </row>
    <row r="265" spans="1:38" x14ac:dyDescent="0.35">
      <c r="B265" t="s">
        <v>30</v>
      </c>
      <c r="C265" s="6">
        <f>[1]Results!F1604</f>
        <v>234875.91560000001</v>
      </c>
      <c r="D265" s="6">
        <f>[1]Results!G1604</f>
        <v>239167.89189999999</v>
      </c>
      <c r="E265" s="6">
        <f>[1]Results!H1604</f>
        <v>244574.492</v>
      </c>
      <c r="F265" s="6">
        <f>[1]Results!I1604</f>
        <v>250783.64790000001</v>
      </c>
      <c r="G265" s="6">
        <f>[1]Results!J1604</f>
        <v>257674.84770000001</v>
      </c>
      <c r="H265" s="6">
        <f>[1]Results!K1604</f>
        <v>265166.30489999999</v>
      </c>
      <c r="I265" s="6">
        <f>[1]Results!L1604</f>
        <v>273116.17420000001</v>
      </c>
      <c r="J265" s="6">
        <f>[1]Results!M1604</f>
        <v>280675.16519999999</v>
      </c>
      <c r="K265" s="6">
        <f>[1]Results!N1604</f>
        <v>288328.18030000001</v>
      </c>
      <c r="L265" s="6">
        <f>[1]Results!O1604</f>
        <v>297156.277</v>
      </c>
      <c r="M265" s="6">
        <f>[1]Results!P1604</f>
        <v>306775.65490000002</v>
      </c>
      <c r="N265" s="6">
        <f>[1]Results!Q1604</f>
        <v>316475.61820000003</v>
      </c>
      <c r="O265" s="6">
        <f>[1]Results!R1604</f>
        <v>326065.17239999998</v>
      </c>
      <c r="P265" s="6">
        <f>[1]Results!S1604</f>
        <v>335604.79489999998</v>
      </c>
      <c r="Q265" s="6">
        <f>[1]Results!T1604</f>
        <v>345294.571</v>
      </c>
      <c r="R265" s="6">
        <f>[1]Results!U1604</f>
        <v>355318.2255</v>
      </c>
      <c r="S265" s="6">
        <f>[1]Results!V1604</f>
        <v>365742.8566</v>
      </c>
      <c r="T265" s="6">
        <f>[1]Results!W1604</f>
        <v>376757.52350000001</v>
      </c>
      <c r="U265" s="6">
        <f>[1]Results!X1604</f>
        <v>388529.3444</v>
      </c>
      <c r="V265" s="6">
        <f>[1]Results!Y1604</f>
        <v>401182.31760000001</v>
      </c>
      <c r="W265" s="6">
        <f>[1]Results!Z1604</f>
        <v>414765.9007</v>
      </c>
      <c r="X265" s="6">
        <f>[1]Results!AA1604</f>
        <v>429409.37729999999</v>
      </c>
      <c r="Y265" s="6">
        <f>[1]Results!AB1604</f>
        <v>445225.42989999999</v>
      </c>
      <c r="Z265" s="6">
        <f>[1]Results!AC1604</f>
        <v>462315.48139999999</v>
      </c>
      <c r="AA265" s="6">
        <f>[1]Results!AD1604</f>
        <v>480753.45850000001</v>
      </c>
      <c r="AB265" s="6">
        <f>[1]Results!AE1604</f>
        <v>500439.81819999998</v>
      </c>
      <c r="AC265" s="6">
        <f>[1]Results!AF1604</f>
        <v>521514.6054</v>
      </c>
      <c r="AD265" s="6">
        <f>[1]Results!AG1604</f>
        <v>544080.32750000001</v>
      </c>
      <c r="AE265" s="6">
        <f>[1]Results!AH1604</f>
        <v>568268.51390000002</v>
      </c>
      <c r="AF265" s="6">
        <f>[1]Results!AI1604</f>
        <v>594196.40879999998</v>
      </c>
      <c r="AG265" s="6">
        <f>[1]Results!AJ1604</f>
        <v>621973.54830000002</v>
      </c>
      <c r="AH265" s="6">
        <f>[1]Results!AK1604</f>
        <v>651741.70270000002</v>
      </c>
      <c r="AI265" s="6">
        <f>[1]Results!AL1604</f>
        <v>683715.7095</v>
      </c>
      <c r="AJ265" s="6">
        <f>[1]Results!AM1604</f>
        <v>718226.21620000002</v>
      </c>
      <c r="AK265" s="6">
        <f>[1]Results!AN1604</f>
        <v>755767.32180000003</v>
      </c>
      <c r="AL265" s="6">
        <f>[1]Results!AO1604</f>
        <v>797082.09750000003</v>
      </c>
    </row>
    <row r="266" spans="1:38" x14ac:dyDescent="0.35">
      <c r="B266" t="s">
        <v>28</v>
      </c>
      <c r="C266" s="6">
        <f>[1]Results!F1616</f>
        <v>8012.3261389999998</v>
      </c>
      <c r="D266" s="6">
        <f>[1]Results!G1616</f>
        <v>8182.4023079999997</v>
      </c>
      <c r="E266" s="6">
        <f>[1]Results!H1616</f>
        <v>8389.1130169999997</v>
      </c>
      <c r="F266" s="6">
        <f>[1]Results!I1616</f>
        <v>8615.8936790000007</v>
      </c>
      <c r="G266" s="6">
        <f>[1]Results!J1616</f>
        <v>8857.8726409999999</v>
      </c>
      <c r="H266" s="6">
        <f>[1]Results!K1616</f>
        <v>9114.2126690000005</v>
      </c>
      <c r="I266" s="6">
        <f>[1]Results!L1616</f>
        <v>9380.9429440000004</v>
      </c>
      <c r="J266" s="6">
        <f>[1]Results!M1616</f>
        <v>9629.0012740000002</v>
      </c>
      <c r="K266" s="6">
        <f>[1]Results!N1616</f>
        <v>9886.4428250000001</v>
      </c>
      <c r="L266" s="6">
        <f>[1]Results!O1616</f>
        <v>10213.5818</v>
      </c>
      <c r="M266" s="6">
        <f>[1]Results!P1616</f>
        <v>10577.265460000001</v>
      </c>
      <c r="N266" s="6">
        <f>[1]Results!Q1616</f>
        <v>10925.242469999999</v>
      </c>
      <c r="O266" s="6">
        <f>[1]Results!R1616</f>
        <v>11242.081120000001</v>
      </c>
      <c r="P266" s="6">
        <f>[1]Results!S1616</f>
        <v>11529.0363</v>
      </c>
      <c r="Q266" s="6">
        <f>[1]Results!T1616</f>
        <v>11796.51793</v>
      </c>
      <c r="R266" s="6">
        <f>[1]Results!U1616</f>
        <v>12053.58281</v>
      </c>
      <c r="S266" s="6">
        <f>[1]Results!V1616</f>
        <v>12311.347250000001</v>
      </c>
      <c r="T266" s="6">
        <f>[1]Results!W1616</f>
        <v>12579.156639999999</v>
      </c>
      <c r="U266" s="6">
        <f>[1]Results!X1616</f>
        <v>12865.202880000001</v>
      </c>
      <c r="V266" s="6">
        <f>[1]Results!Y1616</f>
        <v>13174.48978</v>
      </c>
      <c r="W266" s="6">
        <f>[1]Results!Z1616</f>
        <v>13509.00405</v>
      </c>
      <c r="X266" s="6">
        <f>[1]Results!AA1616</f>
        <v>13873.75309</v>
      </c>
      <c r="Y266" s="6">
        <f>[1]Results!AB1616</f>
        <v>14272.90459</v>
      </c>
      <c r="Z266" s="6">
        <f>[1]Results!AC1616</f>
        <v>14708.12552</v>
      </c>
      <c r="AA266" s="6">
        <f>[1]Results!AD1616</f>
        <v>15178.079229999999</v>
      </c>
      <c r="AB266" s="6">
        <f>[1]Results!AE1616</f>
        <v>15676.00287</v>
      </c>
      <c r="AC266" s="6">
        <f>[1]Results!AF1616</f>
        <v>16206.91647</v>
      </c>
      <c r="AD266" s="6">
        <f>[1]Results!AG1616</f>
        <v>16778.226030000002</v>
      </c>
      <c r="AE266" s="6">
        <f>[1]Results!AH1616</f>
        <v>17393.10485</v>
      </c>
      <c r="AF266" s="6">
        <f>[1]Results!AI1616</f>
        <v>18048.315559999999</v>
      </c>
      <c r="AG266" s="6">
        <f>[1]Results!AJ1616</f>
        <v>18736.765530000001</v>
      </c>
      <c r="AH266" s="6">
        <f>[1]Results!AK1616</f>
        <v>19453.190159999998</v>
      </c>
      <c r="AI266" s="6">
        <f>[1]Results!AL1616</f>
        <v>20195.546979999999</v>
      </c>
      <c r="AJ266" s="6">
        <f>[1]Results!AM1616</f>
        <v>20961.413570000001</v>
      </c>
      <c r="AK266" s="6">
        <f>[1]Results!AN1616</f>
        <v>21747.58901</v>
      </c>
      <c r="AL266" s="6">
        <f>[1]Results!AO1616</f>
        <v>22550.44241</v>
      </c>
    </row>
    <row r="267" spans="1:38" x14ac:dyDescent="0.35">
      <c r="B267" t="s">
        <v>10</v>
      </c>
      <c r="C267" s="6">
        <f>[1]Results!F1621</f>
        <v>219508.55739999999</v>
      </c>
      <c r="D267" s="6">
        <f>[1]Results!G1621</f>
        <v>223119.48329999999</v>
      </c>
      <c r="E267" s="6">
        <f>[1]Results!H1621</f>
        <v>227561.75779999999</v>
      </c>
      <c r="F267" s="6">
        <f>[1]Results!I1621</f>
        <v>232632.97409999999</v>
      </c>
      <c r="G267" s="6">
        <f>[1]Results!J1621</f>
        <v>238263.9186</v>
      </c>
      <c r="H267" s="6">
        <f>[1]Results!K1621</f>
        <v>244357.61180000001</v>
      </c>
      <c r="I267" s="6">
        <f>[1]Results!L1621</f>
        <v>250710.20699999999</v>
      </c>
      <c r="J267" s="6">
        <f>[1]Results!M1621</f>
        <v>256655.823</v>
      </c>
      <c r="K267" s="6">
        <f>[1]Results!N1621</f>
        <v>262626.12109999999</v>
      </c>
      <c r="L267" s="6">
        <f>[1]Results!O1621</f>
        <v>269363.74619999999</v>
      </c>
      <c r="M267" s="6">
        <f>[1]Results!P1621</f>
        <v>276698.2916</v>
      </c>
      <c r="N267" s="6">
        <f>[1]Results!Q1621</f>
        <v>284004.54070000001</v>
      </c>
      <c r="O267" s="6">
        <f>[1]Results!R1621</f>
        <v>291096.24709999998</v>
      </c>
      <c r="P267" s="6">
        <f>[1]Results!S1621</f>
        <v>297957.65870000003</v>
      </c>
      <c r="Q267" s="6">
        <f>[1]Results!T1621</f>
        <v>304672.79619999998</v>
      </c>
      <c r="R267" s="6">
        <f>[1]Results!U1621</f>
        <v>311333.86930000002</v>
      </c>
      <c r="S267" s="6">
        <f>[1]Results!V1621</f>
        <v>318010.95449999999</v>
      </c>
      <c r="T267" s="6">
        <f>[1]Results!W1621</f>
        <v>324831.06209999998</v>
      </c>
      <c r="U267" s="6">
        <f>[1]Results!X1621</f>
        <v>331904.61420000001</v>
      </c>
      <c r="V267" s="6">
        <f>[1]Results!Y1621</f>
        <v>339309.86550000001</v>
      </c>
      <c r="W267" s="6">
        <f>[1]Results!Z1621</f>
        <v>347013.65269999998</v>
      </c>
      <c r="X267" s="6">
        <f>[1]Results!AA1621</f>
        <v>355173.52799999999</v>
      </c>
      <c r="Y267" s="6">
        <f>[1]Results!AB1621</f>
        <v>363835.45439999999</v>
      </c>
      <c r="Z267" s="6">
        <f>[1]Results!AC1621</f>
        <v>373044.30790000001</v>
      </c>
      <c r="AA267" s="6">
        <f>[1]Results!AD1621</f>
        <v>382822.94500000001</v>
      </c>
      <c r="AB267" s="6">
        <f>[1]Results!AE1621</f>
        <v>392906.8371</v>
      </c>
      <c r="AC267" s="6">
        <f>[1]Results!AF1621</f>
        <v>403507.70270000002</v>
      </c>
      <c r="AD267" s="6">
        <f>[1]Results!AG1621</f>
        <v>414655.94130000001</v>
      </c>
      <c r="AE267" s="6">
        <f>[1]Results!AH1621</f>
        <v>426406.59840000002</v>
      </c>
      <c r="AF267" s="6">
        <f>[1]Results!AI1621</f>
        <v>438793.96539999999</v>
      </c>
      <c r="AG267" s="6">
        <f>[1]Results!AJ1621</f>
        <v>451817.36339999997</v>
      </c>
      <c r="AH267" s="6">
        <f>[1]Results!AK1621</f>
        <v>465455.68280000001</v>
      </c>
      <c r="AI267" s="6">
        <f>[1]Results!AL1621</f>
        <v>479691.7279</v>
      </c>
      <c r="AJ267" s="6">
        <f>[1]Results!AM1621</f>
        <v>494534.12219999998</v>
      </c>
      <c r="AK267" s="6">
        <f>[1]Results!AN1621</f>
        <v>510017.58230000001</v>
      </c>
      <c r="AL267" s="6">
        <f>[1]Results!AO1621</f>
        <v>526212.69059999997</v>
      </c>
    </row>
    <row r="268" spans="1:38" x14ac:dyDescent="0.35">
      <c r="B268" t="s">
        <v>31</v>
      </c>
      <c r="C268" s="6">
        <f>[1]Results!F1624</f>
        <v>2246.653448</v>
      </c>
      <c r="D268" s="6">
        <f>[1]Results!G1624</f>
        <v>2266.6793290000001</v>
      </c>
      <c r="E268" s="6">
        <f>[1]Results!H1624</f>
        <v>2286.2974979999999</v>
      </c>
      <c r="F268" s="6">
        <f>[1]Results!I1624</f>
        <v>2306.7123620000002</v>
      </c>
      <c r="G268" s="6">
        <f>[1]Results!J1624</f>
        <v>2332.3561030000001</v>
      </c>
      <c r="H268" s="6">
        <f>[1]Results!K1624</f>
        <v>2364.2698650000002</v>
      </c>
      <c r="I268" s="6">
        <f>[1]Results!L1624</f>
        <v>2400.5878469999998</v>
      </c>
      <c r="J268" s="6">
        <f>[1]Results!M1624</f>
        <v>2425.0164</v>
      </c>
      <c r="K268" s="6">
        <f>[1]Results!N1624</f>
        <v>2445.523721</v>
      </c>
      <c r="L268" s="6">
        <f>[1]Results!O1624</f>
        <v>2472.19632</v>
      </c>
      <c r="M268" s="6">
        <f>[1]Results!P1624</f>
        <v>2502.1986569999999</v>
      </c>
      <c r="N268" s="6">
        <f>[1]Results!Q1624</f>
        <v>2532.0894029999999</v>
      </c>
      <c r="O268" s="6">
        <f>[1]Results!R1624</f>
        <v>2561.332218</v>
      </c>
      <c r="P268" s="6">
        <f>[1]Results!S1624</f>
        <v>2590.8885700000001</v>
      </c>
      <c r="Q268" s="6">
        <f>[1]Results!T1624</f>
        <v>2622.4242650000001</v>
      </c>
      <c r="R268" s="6">
        <f>[1]Results!U1624</f>
        <v>2657.187774</v>
      </c>
      <c r="S268" s="6">
        <f>[1]Results!V1624</f>
        <v>2693.9370119999999</v>
      </c>
      <c r="T268" s="6">
        <f>[1]Results!W1624</f>
        <v>2734.3166900000001</v>
      </c>
      <c r="U268" s="6">
        <f>[1]Results!X1624</f>
        <v>2779.516529</v>
      </c>
      <c r="V268" s="6">
        <f>[1]Results!Y1624</f>
        <v>2830.324415</v>
      </c>
      <c r="W268" s="6">
        <f>[1]Results!Z1624</f>
        <v>2887.151766</v>
      </c>
      <c r="X268" s="6">
        <f>[1]Results!AA1624</f>
        <v>2950.7685280000001</v>
      </c>
      <c r="Y268" s="6">
        <f>[1]Results!AB1624</f>
        <v>3021.8741799999998</v>
      </c>
      <c r="Z268" s="6">
        <f>[1]Results!AC1624</f>
        <v>3101.0321300000001</v>
      </c>
      <c r="AA268" s="6">
        <f>[1]Results!AD1624</f>
        <v>3188.6346290000001</v>
      </c>
      <c r="AB268" s="6">
        <f>[1]Results!AE1624</f>
        <v>3284.4455950000001</v>
      </c>
      <c r="AC268" s="6">
        <f>[1]Results!AF1624</f>
        <v>3389.8566609999998</v>
      </c>
      <c r="AD268" s="6">
        <f>[1]Results!AG1624</f>
        <v>3505.73918</v>
      </c>
      <c r="AE268" s="6">
        <f>[1]Results!AH1624</f>
        <v>3633.025545</v>
      </c>
      <c r="AF268" s="6">
        <f>[1]Results!AI1624</f>
        <v>3772.3198980000002</v>
      </c>
      <c r="AG268" s="6">
        <f>[1]Results!AJ1624</f>
        <v>3924.03631</v>
      </c>
      <c r="AH268" s="6">
        <f>[1]Results!AK1624</f>
        <v>4088.8460690000002</v>
      </c>
      <c r="AI268" s="6">
        <f>[1]Results!AL1624</f>
        <v>4267.9541399999998</v>
      </c>
      <c r="AJ268" s="6">
        <f>[1]Results!AM1624</f>
        <v>4463.1593030000004</v>
      </c>
      <c r="AK268" s="6">
        <f>[1]Results!AN1624</f>
        <v>4677.1497369999997</v>
      </c>
      <c r="AL268" s="6">
        <f>[1]Results!AO1624</f>
        <v>4914.1216809999996</v>
      </c>
    </row>
    <row r="269" spans="1:38" x14ac:dyDescent="0.35">
      <c r="B269" t="s">
        <v>33</v>
      </c>
      <c r="C269" s="6">
        <f>[1]Results!F1629</f>
        <v>3650.1624750000001</v>
      </c>
      <c r="D269" s="6">
        <f>[1]Results!G1629</f>
        <v>3702.6002530000001</v>
      </c>
      <c r="E269" s="6">
        <f>[1]Results!H1629</f>
        <v>3756.1370109999998</v>
      </c>
      <c r="F269" s="6">
        <f>[1]Results!I1629</f>
        <v>3813.4528909999999</v>
      </c>
      <c r="G269" s="6">
        <f>[1]Results!J1629</f>
        <v>3869.1933829999998</v>
      </c>
      <c r="H269" s="6">
        <f>[1]Results!K1629</f>
        <v>3925.4162059999999</v>
      </c>
      <c r="I269" s="6">
        <f>[1]Results!L1629</f>
        <v>3984.146076</v>
      </c>
      <c r="J269" s="6">
        <f>[1]Results!M1629</f>
        <v>4130.3806679999998</v>
      </c>
      <c r="K269" s="6">
        <f>[1]Results!N1629</f>
        <v>4326.6003309999996</v>
      </c>
      <c r="L269" s="6">
        <f>[1]Results!O1629</f>
        <v>4563.1261430000004</v>
      </c>
      <c r="M269" s="6">
        <f>[1]Results!P1629</f>
        <v>4825.9385620000003</v>
      </c>
      <c r="N269" s="6">
        <f>[1]Results!Q1629</f>
        <v>5091.7057160000004</v>
      </c>
      <c r="O269" s="6">
        <f>[1]Results!R1629</f>
        <v>5358.790223</v>
      </c>
      <c r="P269" s="6">
        <f>[1]Results!S1629</f>
        <v>5633.3360489999995</v>
      </c>
      <c r="Q269" s="6">
        <f>[1]Results!T1629</f>
        <v>5923.8544830000001</v>
      </c>
      <c r="R269" s="6">
        <f>[1]Results!U1629</f>
        <v>6238.1099889999996</v>
      </c>
      <c r="S269" s="6">
        <f>[1]Results!V1629</f>
        <v>6582.6234940000004</v>
      </c>
      <c r="T269" s="6">
        <f>[1]Results!W1629</f>
        <v>6964.9310139999998</v>
      </c>
      <c r="U269" s="6">
        <f>[1]Results!X1629</f>
        <v>7391.6645870000002</v>
      </c>
      <c r="V269" s="6">
        <f>[1]Results!Y1629</f>
        <v>7870.3401899999999</v>
      </c>
      <c r="W269" s="6">
        <f>[1]Results!Z1629</f>
        <v>8408.8981540000004</v>
      </c>
      <c r="X269" s="6">
        <f>[1]Results!AA1629</f>
        <v>9020.4496190000009</v>
      </c>
      <c r="Y269" s="6">
        <f>[1]Results!AB1629</f>
        <v>9719.9122370000005</v>
      </c>
      <c r="Z269" s="6">
        <f>[1]Results!AC1629</f>
        <v>10524.48043</v>
      </c>
      <c r="AA269" s="6">
        <f>[1]Results!AD1629</f>
        <v>11454.233539999999</v>
      </c>
      <c r="AB269" s="6">
        <f>[1]Results!AE1629</f>
        <v>12528.14704</v>
      </c>
      <c r="AC269" s="6">
        <f>[1]Results!AF1629</f>
        <v>13781.95708</v>
      </c>
      <c r="AD269" s="6">
        <f>[1]Results!AG1629</f>
        <v>15257.53314</v>
      </c>
      <c r="AE269" s="6">
        <f>[1]Results!AH1629</f>
        <v>17006.341789999999</v>
      </c>
      <c r="AF269" s="6">
        <f>[1]Results!AI1629</f>
        <v>19091.366440000002</v>
      </c>
      <c r="AG269" s="6">
        <f>[1]Results!AJ1629</f>
        <v>21592.425019999999</v>
      </c>
      <c r="AH269" s="6">
        <f>[1]Results!AK1629</f>
        <v>24616.594990000001</v>
      </c>
      <c r="AI269" s="6">
        <f>[1]Results!AL1629</f>
        <v>28312.803169999999</v>
      </c>
      <c r="AJ269" s="6">
        <f>[1]Results!AM1629</f>
        <v>32891.992169999998</v>
      </c>
      <c r="AK269" s="6">
        <f>[1]Results!AN1629</f>
        <v>38662.20177</v>
      </c>
      <c r="AL269" s="6">
        <f>[1]Results!AO1629</f>
        <v>46090.367400000003</v>
      </c>
    </row>
    <row r="271" spans="1:38" x14ac:dyDescent="0.35">
      <c r="A271" s="12" t="s">
        <v>21</v>
      </c>
      <c r="B271" t="s">
        <v>26</v>
      </c>
      <c r="C271" s="6">
        <f>[1]Results!F1639</f>
        <v>472737.799</v>
      </c>
      <c r="D271" s="6">
        <f>[1]Results!G1639</f>
        <v>480957.99129999999</v>
      </c>
      <c r="E271" s="6">
        <f>[1]Results!H1639</f>
        <v>491179.06349999999</v>
      </c>
      <c r="F271" s="6">
        <f>[1]Results!I1639</f>
        <v>502874.1249</v>
      </c>
      <c r="G271" s="6">
        <f>[1]Results!J1639</f>
        <v>515841.68780000001</v>
      </c>
      <c r="H271" s="6">
        <f>[1]Results!K1639</f>
        <v>529903.87399999995</v>
      </c>
      <c r="I271" s="6">
        <f>[1]Results!L1639</f>
        <v>544708.99800000002</v>
      </c>
      <c r="J271" s="6">
        <f>[1]Results!M1639</f>
        <v>560140.10959999997</v>
      </c>
      <c r="K271" s="6">
        <f>[1]Results!N1639</f>
        <v>576194.41390000004</v>
      </c>
      <c r="L271" s="6">
        <f>[1]Results!O1639</f>
        <v>592920.3639</v>
      </c>
      <c r="M271" s="6">
        <f>[1]Results!P1639</f>
        <v>610276.81940000004</v>
      </c>
      <c r="N271" s="6">
        <f>[1]Results!Q1639</f>
        <v>627154.4817</v>
      </c>
      <c r="O271" s="6">
        <f>[1]Results!R1639</f>
        <v>643428.03540000005</v>
      </c>
      <c r="P271" s="6">
        <f>[1]Results!S1639</f>
        <v>659218.8848</v>
      </c>
      <c r="Q271" s="6">
        <f>[1]Results!T1639</f>
        <v>674750.67150000005</v>
      </c>
      <c r="R271" s="6">
        <f>[1]Results!U1639</f>
        <v>690267.81709999999</v>
      </c>
      <c r="S271" s="6">
        <f>[1]Results!V1639</f>
        <v>706180.90099999995</v>
      </c>
      <c r="T271" s="6">
        <f>[1]Results!W1639</f>
        <v>722831.68220000004</v>
      </c>
      <c r="U271" s="6">
        <f>[1]Results!X1639</f>
        <v>740450.83680000005</v>
      </c>
      <c r="V271" s="6">
        <f>[1]Results!Y1639</f>
        <v>759163.21</v>
      </c>
      <c r="W271" s="6">
        <f>[1]Results!Z1639</f>
        <v>778900.95200000005</v>
      </c>
      <c r="X271" s="6">
        <f>[1]Results!AA1639</f>
        <v>799885.80630000005</v>
      </c>
      <c r="Y271" s="6">
        <f>[1]Results!AB1639</f>
        <v>822213.08849999995</v>
      </c>
      <c r="Z271" s="6">
        <f>[1]Results!AC1639</f>
        <v>845950.02390000003</v>
      </c>
      <c r="AA271" s="6">
        <f>[1]Results!AD1639</f>
        <v>871101.61490000004</v>
      </c>
      <c r="AB271" s="6">
        <f>[1]Results!AE1639</f>
        <v>897210.07709999999</v>
      </c>
      <c r="AC271" s="6">
        <f>[1]Results!AF1639</f>
        <v>924537.62210000004</v>
      </c>
      <c r="AD271" s="6">
        <f>[1]Results!AG1639</f>
        <v>953189.41799999995</v>
      </c>
      <c r="AE271" s="6">
        <f>[1]Results!AH1639</f>
        <v>983249.93720000004</v>
      </c>
      <c r="AF271" s="6">
        <f>[1]Results!AI1639</f>
        <v>1014710.241</v>
      </c>
      <c r="AG271" s="6">
        <f>[1]Results!AJ1639</f>
        <v>1047471.023</v>
      </c>
      <c r="AH271" s="6">
        <f>[1]Results!AK1639</f>
        <v>1081411.5009999999</v>
      </c>
      <c r="AI271" s="6">
        <f>[1]Results!AL1639</f>
        <v>1116422.3389999999</v>
      </c>
      <c r="AJ271" s="6">
        <f>[1]Results!AM1639</f>
        <v>1152396.436</v>
      </c>
      <c r="AK271" s="6">
        <f>[1]Results!AN1639</f>
        <v>1189217.899</v>
      </c>
      <c r="AL271" s="6">
        <f>[1]Results!AO1639</f>
        <v>1226753.9509999999</v>
      </c>
    </row>
    <row r="272" spans="1:38" x14ac:dyDescent="0.35">
      <c r="A272" t="s">
        <v>38</v>
      </c>
      <c r="B272" t="s">
        <v>7</v>
      </c>
      <c r="C272" s="6">
        <f>[1]Results!F1640</f>
        <v>4444.1839890000001</v>
      </c>
      <c r="D272" s="6">
        <f>[1]Results!G1640</f>
        <v>4518.9342640000004</v>
      </c>
      <c r="E272" s="6">
        <f>[1]Results!H1640</f>
        <v>4611.2662099999998</v>
      </c>
      <c r="F272" s="6">
        <f>[1]Results!I1640</f>
        <v>4721.4440009999998</v>
      </c>
      <c r="G272" s="6">
        <f>[1]Results!J1640</f>
        <v>4843.4994370000004</v>
      </c>
      <c r="H272" s="6">
        <f>[1]Results!K1640</f>
        <v>4976.0586960000001</v>
      </c>
      <c r="I272" s="6">
        <f>[1]Results!L1640</f>
        <v>5116.9400779999996</v>
      </c>
      <c r="J272" s="6">
        <f>[1]Results!M1640</f>
        <v>5265.0594359999996</v>
      </c>
      <c r="K272" s="6">
        <f>[1]Results!N1640</f>
        <v>5419.6435799999999</v>
      </c>
      <c r="L272" s="6">
        <f>[1]Results!O1640</f>
        <v>5580.4313810000003</v>
      </c>
      <c r="M272" s="6">
        <f>[1]Results!P1640</f>
        <v>5745.3628799999997</v>
      </c>
      <c r="N272" s="6">
        <f>[1]Results!Q1640</f>
        <v>5901.9363530000001</v>
      </c>
      <c r="O272" s="6">
        <f>[1]Results!R1640</f>
        <v>6048.3544769999999</v>
      </c>
      <c r="P272" s="6">
        <f>[1]Results!S1640</f>
        <v>6185.7759290000004</v>
      </c>
      <c r="Q272" s="6">
        <f>[1]Results!T1640</f>
        <v>6316.612881</v>
      </c>
      <c r="R272" s="6">
        <f>[1]Results!U1640</f>
        <v>6443.6685360000001</v>
      </c>
      <c r="S272" s="6">
        <f>[1]Results!V1640</f>
        <v>6570.242072</v>
      </c>
      <c r="T272" s="6">
        <f>[1]Results!W1640</f>
        <v>6699.9992579999998</v>
      </c>
      <c r="U272" s="6">
        <f>[1]Results!X1640</f>
        <v>6835.7848789999998</v>
      </c>
      <c r="V272" s="6">
        <f>[1]Results!Y1640</f>
        <v>6979.3989190000002</v>
      </c>
      <c r="W272" s="6">
        <f>[1]Results!Z1640</f>
        <v>7131.0352750000002</v>
      </c>
      <c r="X272" s="6">
        <f>[1]Results!AA1640</f>
        <v>7292.8026689999997</v>
      </c>
      <c r="Y272" s="6">
        <f>[1]Results!AB1640</f>
        <v>7466.3175799999999</v>
      </c>
      <c r="Z272" s="6">
        <f>[1]Results!AC1640</f>
        <v>7652.6201179999998</v>
      </c>
      <c r="AA272" s="6">
        <f>[1]Results!AD1640</f>
        <v>7851.8876010000004</v>
      </c>
      <c r="AB272" s="6">
        <f>[1]Results!AE1640</f>
        <v>8060.6895940000004</v>
      </c>
      <c r="AC272" s="6">
        <f>[1]Results!AF1640</f>
        <v>8280.5220499999996</v>
      </c>
      <c r="AD272" s="6">
        <f>[1]Results!AG1640</f>
        <v>8512.9538549999997</v>
      </c>
      <c r="AE272" s="6">
        <f>[1]Results!AH1640</f>
        <v>8759.0564730000006</v>
      </c>
      <c r="AF272" s="6">
        <f>[1]Results!AI1640</f>
        <v>9018.5949359999995</v>
      </c>
      <c r="AG272" s="6">
        <f>[1]Results!AJ1640</f>
        <v>9290.1376070000006</v>
      </c>
      <c r="AH272" s="6">
        <f>[1]Results!AK1640</f>
        <v>9571.9329909999997</v>
      </c>
      <c r="AI272" s="6">
        <f>[1]Results!AL1640</f>
        <v>9862.3112629999996</v>
      </c>
      <c r="AJ272" s="6">
        <f>[1]Results!AM1640</f>
        <v>10159.59792</v>
      </c>
      <c r="AK272" s="6">
        <f>[1]Results!AN1640</f>
        <v>10462.030870000001</v>
      </c>
      <c r="AL272" s="6">
        <f>[1]Results!AO1640</f>
        <v>10767.718370000001</v>
      </c>
    </row>
    <row r="273" spans="1:38" x14ac:dyDescent="0.35">
      <c r="B273" t="s">
        <v>30</v>
      </c>
      <c r="C273" s="6">
        <f>[1]Results!F1643</f>
        <v>234875.91560000001</v>
      </c>
      <c r="D273" s="6">
        <f>[1]Results!G1643</f>
        <v>239167.89189999999</v>
      </c>
      <c r="E273" s="6">
        <f>[1]Results!H1643</f>
        <v>244574.492</v>
      </c>
      <c r="F273" s="6">
        <f>[1]Results!I1643</f>
        <v>250783.64790000001</v>
      </c>
      <c r="G273" s="6">
        <f>[1]Results!J1643</f>
        <v>257674.84770000001</v>
      </c>
      <c r="H273" s="6">
        <f>[1]Results!K1643</f>
        <v>265166.30489999999</v>
      </c>
      <c r="I273" s="6">
        <f>[1]Results!L1643</f>
        <v>273116.1741</v>
      </c>
      <c r="J273" s="6">
        <f>[1]Results!M1643</f>
        <v>281463.06880000001</v>
      </c>
      <c r="K273" s="6">
        <f>[1]Results!N1643</f>
        <v>290211.06040000002</v>
      </c>
      <c r="L273" s="6">
        <f>[1]Results!O1643</f>
        <v>299395.54300000001</v>
      </c>
      <c r="M273" s="6">
        <f>[1]Results!P1643</f>
        <v>308964.28460000001</v>
      </c>
      <c r="N273" s="6">
        <f>[1]Results!Q1643</f>
        <v>318370.21879999997</v>
      </c>
      <c r="O273" s="6">
        <f>[1]Results!R1643</f>
        <v>327551.2844</v>
      </c>
      <c r="P273" s="6">
        <f>[1]Results!S1643</f>
        <v>336583.5563</v>
      </c>
      <c r="Q273" s="6">
        <f>[1]Results!T1643</f>
        <v>345600.00280000002</v>
      </c>
      <c r="R273" s="6">
        <f>[1]Results!U1643</f>
        <v>354740.05599999998</v>
      </c>
      <c r="S273" s="6">
        <f>[1]Results!V1643</f>
        <v>364214.09539999999</v>
      </c>
      <c r="T273" s="6">
        <f>[1]Results!W1643</f>
        <v>374207.58100000001</v>
      </c>
      <c r="U273" s="6">
        <f>[1]Results!X1643</f>
        <v>384848.36910000001</v>
      </c>
      <c r="V273" s="6">
        <f>[1]Results!Y1643</f>
        <v>396205.04670000001</v>
      </c>
      <c r="W273" s="6">
        <f>[1]Results!Z1643</f>
        <v>408266.70419999998</v>
      </c>
      <c r="X273" s="6">
        <f>[1]Results!AA1643</f>
        <v>421104.05979999999</v>
      </c>
      <c r="Y273" s="6">
        <f>[1]Results!AB1643</f>
        <v>434771.29759999999</v>
      </c>
      <c r="Z273" s="6">
        <f>[1]Results!AC1643</f>
        <v>449302.85210000002</v>
      </c>
      <c r="AA273" s="6">
        <f>[1]Results!AD1643</f>
        <v>464696.77399999998</v>
      </c>
      <c r="AB273" s="6">
        <f>[1]Results!AE1643</f>
        <v>480778.3394</v>
      </c>
      <c r="AC273" s="6">
        <f>[1]Results!AF1643</f>
        <v>497588.99129999999</v>
      </c>
      <c r="AD273" s="6">
        <f>[1]Results!AG1643</f>
        <v>515179.49900000001</v>
      </c>
      <c r="AE273" s="6">
        <f>[1]Results!AH1643</f>
        <v>533588.67139999999</v>
      </c>
      <c r="AF273" s="6">
        <f>[1]Results!AI1643</f>
        <v>552802.1997</v>
      </c>
      <c r="AG273" s="6">
        <f>[1]Results!AJ1643</f>
        <v>572759.39489999996</v>
      </c>
      <c r="AH273" s="6">
        <f>[1]Results!AK1643</f>
        <v>593393.03520000004</v>
      </c>
      <c r="AI273" s="6">
        <f>[1]Results!AL1643</f>
        <v>614647.17260000005</v>
      </c>
      <c r="AJ273" s="6">
        <f>[1]Results!AM1643</f>
        <v>636470.46550000005</v>
      </c>
      <c r="AK273" s="6">
        <f>[1]Results!AN1643</f>
        <v>658808.37650000001</v>
      </c>
      <c r="AL273" s="6">
        <f>[1]Results!AO1643</f>
        <v>681597.19259999995</v>
      </c>
    </row>
    <row r="274" spans="1:38" x14ac:dyDescent="0.35">
      <c r="B274" t="s">
        <v>28</v>
      </c>
      <c r="C274" s="6">
        <f>[1]Results!F1655</f>
        <v>8012.3261389999998</v>
      </c>
      <c r="D274" s="6">
        <f>[1]Results!G1655</f>
        <v>8182.4023090000001</v>
      </c>
      <c r="E274" s="6">
        <f>[1]Results!H1655</f>
        <v>8389.1130169999997</v>
      </c>
      <c r="F274" s="6">
        <f>[1]Results!I1655</f>
        <v>8615.8936799999992</v>
      </c>
      <c r="G274" s="6">
        <f>[1]Results!J1655</f>
        <v>8857.8726420000003</v>
      </c>
      <c r="H274" s="6">
        <f>[1]Results!K1655</f>
        <v>9114.2126709999993</v>
      </c>
      <c r="I274" s="6">
        <f>[1]Results!L1655</f>
        <v>9380.9429450000007</v>
      </c>
      <c r="J274" s="6">
        <f>[1]Results!M1655</f>
        <v>9656.1993399999992</v>
      </c>
      <c r="K274" s="6">
        <f>[1]Results!N1655</f>
        <v>9939.1201079999992</v>
      </c>
      <c r="L274" s="6">
        <f>[1]Results!O1655</f>
        <v>10229.718000000001</v>
      </c>
      <c r="M274" s="6">
        <f>[1]Results!P1655</f>
        <v>10520.690479999999</v>
      </c>
      <c r="N274" s="6">
        <f>[1]Results!Q1655</f>
        <v>10779.47525</v>
      </c>
      <c r="O274" s="6">
        <f>[1]Results!R1655</f>
        <v>11007.296259999999</v>
      </c>
      <c r="P274" s="6">
        <f>[1]Results!S1655</f>
        <v>11211.734189999999</v>
      </c>
      <c r="Q274" s="6">
        <f>[1]Results!T1655</f>
        <v>11402.283579999999</v>
      </c>
      <c r="R274" s="6">
        <f>[1]Results!U1655</f>
        <v>11587.822270000001</v>
      </c>
      <c r="S274" s="6">
        <f>[1]Results!V1655</f>
        <v>11778.550440000001</v>
      </c>
      <c r="T274" s="6">
        <f>[1]Results!W1655</f>
        <v>11982.87882</v>
      </c>
      <c r="U274" s="6">
        <f>[1]Results!X1655</f>
        <v>12206.748</v>
      </c>
      <c r="V274" s="6">
        <f>[1]Results!Y1655</f>
        <v>12453.300450000001</v>
      </c>
      <c r="W274" s="6">
        <f>[1]Results!Z1655</f>
        <v>12723.14005</v>
      </c>
      <c r="X274" s="6">
        <f>[1]Results!AA1655</f>
        <v>13019.48306</v>
      </c>
      <c r="Y274" s="6">
        <f>[1]Results!AB1655</f>
        <v>13344.703</v>
      </c>
      <c r="Z274" s="6">
        <f>[1]Results!AC1655</f>
        <v>13700.191989999999</v>
      </c>
      <c r="AA274" s="6">
        <f>[1]Results!AD1655</f>
        <v>14085.53441</v>
      </c>
      <c r="AB274" s="6">
        <f>[1]Results!AE1655</f>
        <v>14495.537560000001</v>
      </c>
      <c r="AC274" s="6">
        <f>[1]Results!AF1655</f>
        <v>14932.95861</v>
      </c>
      <c r="AD274" s="6">
        <f>[1]Results!AG1655</f>
        <v>15400.086219999999</v>
      </c>
      <c r="AE274" s="6">
        <f>[1]Results!AH1655</f>
        <v>15897.910309999999</v>
      </c>
      <c r="AF274" s="6">
        <f>[1]Results!AI1655</f>
        <v>16423.513610000002</v>
      </c>
      <c r="AG274" s="6">
        <f>[1]Results!AJ1655</f>
        <v>16971.31453</v>
      </c>
      <c r="AH274" s="6">
        <f>[1]Results!AK1655</f>
        <v>17535.89399</v>
      </c>
      <c r="AI274" s="6">
        <f>[1]Results!AL1655</f>
        <v>18112.98921</v>
      </c>
      <c r="AJ274" s="6">
        <f>[1]Results!AM1655</f>
        <v>18698.980579999999</v>
      </c>
      <c r="AK274" s="6">
        <f>[1]Results!AN1655</f>
        <v>19290.459159999999</v>
      </c>
      <c r="AL274" s="6">
        <f>[1]Results!AO1655</f>
        <v>19883.975419999999</v>
      </c>
    </row>
    <row r="275" spans="1:38" x14ac:dyDescent="0.35">
      <c r="B275" t="s">
        <v>10</v>
      </c>
      <c r="C275" s="6">
        <f>[1]Results!F1660</f>
        <v>219508.55739999999</v>
      </c>
      <c r="D275" s="6">
        <f>[1]Results!G1660</f>
        <v>223119.48329999999</v>
      </c>
      <c r="E275" s="6">
        <f>[1]Results!H1660</f>
        <v>227561.75779999999</v>
      </c>
      <c r="F275" s="6">
        <f>[1]Results!I1660</f>
        <v>232632.97409999999</v>
      </c>
      <c r="G275" s="6">
        <f>[1]Results!J1660</f>
        <v>238263.9185</v>
      </c>
      <c r="H275" s="6">
        <f>[1]Results!K1660</f>
        <v>244357.61170000001</v>
      </c>
      <c r="I275" s="6">
        <f>[1]Results!L1660</f>
        <v>250710.20689999999</v>
      </c>
      <c r="J275" s="6">
        <f>[1]Results!M1660</f>
        <v>257270.16589999999</v>
      </c>
      <c r="K275" s="6">
        <f>[1]Results!N1660</f>
        <v>264033.96159999998</v>
      </c>
      <c r="L275" s="6">
        <f>[1]Results!O1660</f>
        <v>271016.15850000002</v>
      </c>
      <c r="M275" s="6">
        <f>[1]Results!P1660</f>
        <v>278239.57120000001</v>
      </c>
      <c r="N275" s="6">
        <f>[1]Results!Q1660</f>
        <v>285200.0552</v>
      </c>
      <c r="O275" s="6">
        <f>[1]Results!R1660</f>
        <v>291837.5393</v>
      </c>
      <c r="P275" s="6">
        <f>[1]Results!S1660</f>
        <v>298187.23310000001</v>
      </c>
      <c r="Q275" s="6">
        <f>[1]Results!T1660</f>
        <v>304324.76169999997</v>
      </c>
      <c r="R275" s="6">
        <f>[1]Results!U1660</f>
        <v>310339.8002</v>
      </c>
      <c r="S275" s="6">
        <f>[1]Results!V1660</f>
        <v>316415.05540000001</v>
      </c>
      <c r="T275" s="6">
        <f>[1]Results!W1660</f>
        <v>322690.29790000001</v>
      </c>
      <c r="U275" s="6">
        <f>[1]Results!X1660</f>
        <v>329255.37190000003</v>
      </c>
      <c r="V275" s="6">
        <f>[1]Results!Y1660</f>
        <v>336158.804</v>
      </c>
      <c r="W275" s="6">
        <f>[1]Results!Z1660</f>
        <v>343341.94270000001</v>
      </c>
      <c r="X275" s="6">
        <f>[1]Results!AA1660</f>
        <v>350947.79489999998</v>
      </c>
      <c r="Y275" s="6">
        <f>[1]Results!AB1660</f>
        <v>359011.8064</v>
      </c>
      <c r="Z275" s="6">
        <f>[1]Results!AC1660</f>
        <v>367563.12599999999</v>
      </c>
      <c r="AA275" s="6">
        <f>[1]Results!AD1660</f>
        <v>376608.23690000002</v>
      </c>
      <c r="AB275" s="6">
        <f>[1]Results!AE1660</f>
        <v>385875.17690000002</v>
      </c>
      <c r="AC275" s="6">
        <f>[1]Results!AF1660</f>
        <v>395578.00709999999</v>
      </c>
      <c r="AD275" s="6">
        <f>[1]Results!AG1660</f>
        <v>405765.84340000001</v>
      </c>
      <c r="AE275" s="6">
        <f>[1]Results!AH1660</f>
        <v>416481.65220000001</v>
      </c>
      <c r="AF275" s="6">
        <f>[1]Results!AI1660</f>
        <v>427734.89490000001</v>
      </c>
      <c r="AG275" s="6">
        <f>[1]Results!AJ1660</f>
        <v>439496.13309999998</v>
      </c>
      <c r="AH275" s="6">
        <f>[1]Results!AK1660</f>
        <v>451721.48599999998</v>
      </c>
      <c r="AI275" s="6">
        <f>[1]Results!AL1660</f>
        <v>464365.91259999998</v>
      </c>
      <c r="AJ275" s="6">
        <f>[1]Results!AM1660</f>
        <v>477381.28269999998</v>
      </c>
      <c r="AK275" s="6">
        <f>[1]Results!AN1660</f>
        <v>490713.74280000001</v>
      </c>
      <c r="AL275" s="6">
        <f>[1]Results!AO1660</f>
        <v>504301.94829999999</v>
      </c>
    </row>
    <row r="276" spans="1:38" x14ac:dyDescent="0.35">
      <c r="B276" t="s">
        <v>31</v>
      </c>
      <c r="C276" s="6">
        <f>[1]Results!F1663</f>
        <v>2246.6534470000001</v>
      </c>
      <c r="D276" s="6">
        <f>[1]Results!G1663</f>
        <v>2266.6793269999998</v>
      </c>
      <c r="E276" s="6">
        <f>[1]Results!H1663</f>
        <v>2286.2974960000001</v>
      </c>
      <c r="F276" s="6">
        <f>[1]Results!I1663</f>
        <v>2306.7123609999999</v>
      </c>
      <c r="G276" s="6">
        <f>[1]Results!J1663</f>
        <v>2332.3561020000002</v>
      </c>
      <c r="H276" s="6">
        <f>[1]Results!K1663</f>
        <v>2364.2698639999999</v>
      </c>
      <c r="I276" s="6">
        <f>[1]Results!L1663</f>
        <v>2400.5878469999998</v>
      </c>
      <c r="J276" s="6">
        <f>[1]Results!M1663</f>
        <v>2439.4370669999998</v>
      </c>
      <c r="K276" s="6">
        <f>[1]Results!N1663</f>
        <v>2479.8019479999998</v>
      </c>
      <c r="L276" s="6">
        <f>[1]Results!O1663</f>
        <v>2521.2233489999999</v>
      </c>
      <c r="M276" s="6">
        <f>[1]Results!P1663</f>
        <v>2562.6672870000002</v>
      </c>
      <c r="N276" s="6">
        <f>[1]Results!Q1663</f>
        <v>2599.6867080000002</v>
      </c>
      <c r="O276" s="6">
        <f>[1]Results!R1663</f>
        <v>2631.610979</v>
      </c>
      <c r="P276" s="6">
        <f>[1]Results!S1663</f>
        <v>2659.009247</v>
      </c>
      <c r="Q276" s="6">
        <f>[1]Results!T1663</f>
        <v>2682.9304529999999</v>
      </c>
      <c r="R276" s="6">
        <f>[1]Results!U1663</f>
        <v>2704.501452</v>
      </c>
      <c r="S276" s="6">
        <f>[1]Results!V1663</f>
        <v>2725.9251629999999</v>
      </c>
      <c r="T276" s="6">
        <f>[1]Results!W1663</f>
        <v>2748.9698709999998</v>
      </c>
      <c r="U276" s="6">
        <f>[1]Results!X1663</f>
        <v>2774.8238550000001</v>
      </c>
      <c r="V276" s="6">
        <f>[1]Results!Y1663</f>
        <v>2804.1005519999999</v>
      </c>
      <c r="W276" s="6">
        <f>[1]Results!Z1663</f>
        <v>2836.9362190000002</v>
      </c>
      <c r="X276" s="6">
        <f>[1]Results!AA1663</f>
        <v>2873.8082829999998</v>
      </c>
      <c r="Y276" s="6">
        <f>[1]Results!AB1663</f>
        <v>2915.1175090000002</v>
      </c>
      <c r="Z276" s="6">
        <f>[1]Results!AC1663</f>
        <v>2961.1907070000002</v>
      </c>
      <c r="AA276" s="6">
        <f>[1]Results!AD1663</f>
        <v>3012.1960300000001</v>
      </c>
      <c r="AB276" s="6">
        <f>[1]Results!AE1663</f>
        <v>3067.646358</v>
      </c>
      <c r="AC276" s="6">
        <f>[1]Results!AF1663</f>
        <v>3128.0702769999998</v>
      </c>
      <c r="AD276" s="6">
        <f>[1]Results!AG1663</f>
        <v>3193.975629</v>
      </c>
      <c r="AE276" s="6">
        <f>[1]Results!AH1663</f>
        <v>3265.6830049999999</v>
      </c>
      <c r="AF276" s="6">
        <f>[1]Results!AI1663</f>
        <v>3342.9832459999998</v>
      </c>
      <c r="AG276" s="6">
        <f>[1]Results!AJ1663</f>
        <v>3425.2449630000001</v>
      </c>
      <c r="AH276" s="6">
        <f>[1]Results!AK1663</f>
        <v>3511.7309180000002</v>
      </c>
      <c r="AI276" s="6">
        <f>[1]Results!AL1663</f>
        <v>3601.7378180000001</v>
      </c>
      <c r="AJ276" s="6">
        <f>[1]Results!AM1663</f>
        <v>3694.5686839999998</v>
      </c>
      <c r="AK276" s="6">
        <f>[1]Results!AN1663</f>
        <v>3789.4946629999999</v>
      </c>
      <c r="AL276" s="6">
        <f>[1]Results!AO1663</f>
        <v>3885.7302540000001</v>
      </c>
    </row>
    <row r="277" spans="1:38" x14ac:dyDescent="0.35">
      <c r="B277" t="s">
        <v>33</v>
      </c>
      <c r="C277" s="6">
        <f>[1]Results!F1668</f>
        <v>3650.1624750000001</v>
      </c>
      <c r="D277" s="6">
        <f>[1]Results!G1668</f>
        <v>3702.6002530000001</v>
      </c>
      <c r="E277" s="6">
        <f>[1]Results!H1668</f>
        <v>3756.1370109999998</v>
      </c>
      <c r="F277" s="6">
        <f>[1]Results!I1668</f>
        <v>3813.45289</v>
      </c>
      <c r="G277" s="6">
        <f>[1]Results!J1668</f>
        <v>3869.1933829999998</v>
      </c>
      <c r="H277" s="6">
        <f>[1]Results!K1668</f>
        <v>3925.4162059999999</v>
      </c>
      <c r="I277" s="6">
        <f>[1]Results!L1668</f>
        <v>3984.146076</v>
      </c>
      <c r="J277" s="6">
        <f>[1]Results!M1668</f>
        <v>4046.178997</v>
      </c>
      <c r="K277" s="6">
        <f>[1]Results!N1668</f>
        <v>4110.8262690000001</v>
      </c>
      <c r="L277" s="6">
        <f>[1]Results!O1668</f>
        <v>4177.2896819999996</v>
      </c>
      <c r="M277" s="6">
        <f>[1]Results!P1668</f>
        <v>4244.2429350000002</v>
      </c>
      <c r="N277" s="6">
        <f>[1]Results!Q1668</f>
        <v>4303.1093730000002</v>
      </c>
      <c r="O277" s="6">
        <f>[1]Results!R1668</f>
        <v>4351.9499450000003</v>
      </c>
      <c r="P277" s="6">
        <f>[1]Results!S1668</f>
        <v>4391.575973</v>
      </c>
      <c r="Q277" s="6">
        <f>[1]Results!T1668</f>
        <v>4424.0800769999996</v>
      </c>
      <c r="R277" s="6">
        <f>[1]Results!U1668</f>
        <v>4451.9686609999999</v>
      </c>
      <c r="S277" s="6">
        <f>[1]Results!V1668</f>
        <v>4477.032467</v>
      </c>
      <c r="T277" s="6">
        <f>[1]Results!W1668</f>
        <v>4501.9554090000001</v>
      </c>
      <c r="U277" s="6">
        <f>[1]Results!X1668</f>
        <v>4529.7390509999996</v>
      </c>
      <c r="V277" s="6">
        <f>[1]Results!Y1668</f>
        <v>4562.5593520000002</v>
      </c>
      <c r="W277" s="6">
        <f>[1]Results!Z1668</f>
        <v>4601.1936070000002</v>
      </c>
      <c r="X277" s="6">
        <f>[1]Results!AA1668</f>
        <v>4647.8574930000004</v>
      </c>
      <c r="Y277" s="6">
        <f>[1]Results!AB1668</f>
        <v>4703.8464450000001</v>
      </c>
      <c r="Z277" s="6">
        <f>[1]Results!AC1668</f>
        <v>4770.0429459999996</v>
      </c>
      <c r="AA277" s="6">
        <f>[1]Results!AD1668</f>
        <v>4846.9860140000001</v>
      </c>
      <c r="AB277" s="6">
        <f>[1]Results!AE1668</f>
        <v>4932.6872970000004</v>
      </c>
      <c r="AC277" s="6">
        <f>[1]Results!AF1668</f>
        <v>5029.0727580000002</v>
      </c>
      <c r="AD277" s="6">
        <f>[1]Results!AG1668</f>
        <v>5137.0598570000002</v>
      </c>
      <c r="AE277" s="6">
        <f>[1]Results!AH1668</f>
        <v>5256.9639029999998</v>
      </c>
      <c r="AF277" s="6">
        <f>[1]Results!AI1668</f>
        <v>5388.0543870000001</v>
      </c>
      <c r="AG277" s="6">
        <f>[1]Results!AJ1668</f>
        <v>5528.7981309999996</v>
      </c>
      <c r="AH277" s="6">
        <f>[1]Results!AK1668</f>
        <v>5677.4216779999997</v>
      </c>
      <c r="AI277" s="6">
        <f>[1]Results!AL1668</f>
        <v>5832.2152379999998</v>
      </c>
      <c r="AJ277" s="6">
        <f>[1]Results!AM1668</f>
        <v>5991.5409110000001</v>
      </c>
      <c r="AK277" s="6">
        <f>[1]Results!AN1668</f>
        <v>6153.7952260000002</v>
      </c>
      <c r="AL277" s="6">
        <f>[1]Results!AO1668</f>
        <v>6317.3864890000004</v>
      </c>
    </row>
    <row r="279" spans="1:38" x14ac:dyDescent="0.35">
      <c r="A279" s="12" t="s">
        <v>21</v>
      </c>
      <c r="B279" t="s">
        <v>26</v>
      </c>
      <c r="C279" s="4">
        <f>C263/C271-1</f>
        <v>0</v>
      </c>
      <c r="D279" s="4">
        <f t="shared" ref="D279:AK279" si="52">D263/D271-1</f>
        <v>0</v>
      </c>
      <c r="E279" s="4">
        <f t="shared" si="52"/>
        <v>0</v>
      </c>
      <c r="F279" s="4">
        <f t="shared" si="52"/>
        <v>0</v>
      </c>
      <c r="G279" s="4">
        <f t="shared" si="52"/>
        <v>0</v>
      </c>
      <c r="H279" s="4">
        <f t="shared" si="52"/>
        <v>1.8871348927973486E-10</v>
      </c>
      <c r="I279" s="4">
        <f t="shared" si="52"/>
        <v>1.8358425890596664E-10</v>
      </c>
      <c r="J279" s="4">
        <f t="shared" si="52"/>
        <v>-2.4236136222586246E-3</v>
      </c>
      <c r="K279" s="4">
        <f t="shared" si="52"/>
        <v>-5.4780602238670983E-3</v>
      </c>
      <c r="L279" s="4">
        <f t="shared" si="52"/>
        <v>-5.973811856793354E-3</v>
      </c>
      <c r="M279" s="4">
        <f t="shared" si="52"/>
        <v>-5.0590133884415023E-3</v>
      </c>
      <c r="N279" s="4">
        <f t="shared" si="52"/>
        <v>-3.3833751681855428E-3</v>
      </c>
      <c r="O279" s="4">
        <f t="shared" si="52"/>
        <v>-1.4279460164162705E-3</v>
      </c>
      <c r="P279" s="4">
        <f t="shared" si="52"/>
        <v>6.8999798168412063E-4</v>
      </c>
      <c r="Q279" s="4">
        <f t="shared" si="52"/>
        <v>3.0879847742395494E-3</v>
      </c>
      <c r="R279" s="4">
        <f t="shared" si="52"/>
        <v>5.8241186977106008E-3</v>
      </c>
      <c r="S279" s="4">
        <f t="shared" si="52"/>
        <v>8.5155518812312092E-3</v>
      </c>
      <c r="T279" s="4">
        <f t="shared" si="52"/>
        <v>1.1148278774214537E-2</v>
      </c>
      <c r="U279" s="4">
        <f t="shared" si="52"/>
        <v>1.3801815315876542E-2</v>
      </c>
      <c r="V279" s="4">
        <f t="shared" si="52"/>
        <v>1.6583284508742357E-2</v>
      </c>
      <c r="W279" s="4">
        <f t="shared" si="52"/>
        <v>1.9594581006494804E-2</v>
      </c>
      <c r="X279" s="4">
        <f t="shared" si="52"/>
        <v>2.2907970932450228E-2</v>
      </c>
      <c r="Y279" s="4">
        <f t="shared" si="52"/>
        <v>2.6584723967210344E-2</v>
      </c>
      <c r="Z279" s="4">
        <f t="shared" si="52"/>
        <v>3.0693426876797769E-2</v>
      </c>
      <c r="AA279" s="4">
        <f t="shared" si="52"/>
        <v>3.5305672236103591E-2</v>
      </c>
      <c r="AB279" s="4">
        <f t="shared" si="52"/>
        <v>4.0490815838162941E-2</v>
      </c>
      <c r="AC279" s="4">
        <f t="shared" si="52"/>
        <v>4.6312815159152754E-2</v>
      </c>
      <c r="AD279" s="4">
        <f t="shared" si="52"/>
        <v>5.2771380011270796E-2</v>
      </c>
      <c r="AE279" s="4">
        <f t="shared" si="52"/>
        <v>5.9940765384469907E-2</v>
      </c>
      <c r="AF279" s="4">
        <f t="shared" si="52"/>
        <v>6.7945571271710303E-2</v>
      </c>
      <c r="AG279" s="4">
        <f t="shared" si="52"/>
        <v>7.6952331119521711E-2</v>
      </c>
      <c r="AH279" s="4">
        <f t="shared" si="52"/>
        <v>8.7162660941591197E-2</v>
      </c>
      <c r="AI279" s="4">
        <f>AI263/AI271-1</f>
        <v>9.884911842488675E-2</v>
      </c>
      <c r="AJ279" s="4">
        <f t="shared" si="52"/>
        <v>0.11242258388935178</v>
      </c>
      <c r="AK279" s="4">
        <f t="shared" si="52"/>
        <v>0.12848982354578564</v>
      </c>
      <c r="AL279" s="4">
        <f>AL263/AL271-1</f>
        <v>0.14795933679450624</v>
      </c>
    </row>
    <row r="280" spans="1:38" x14ac:dyDescent="0.35">
      <c r="A280" t="s">
        <v>88</v>
      </c>
      <c r="B280" t="s">
        <v>7</v>
      </c>
      <c r="C280" s="4">
        <f>(C264-C272)/C$271</f>
        <v>0</v>
      </c>
      <c r="D280" s="4">
        <f t="shared" ref="D280:AL280" si="53">(D264-D272)/D$271</f>
        <v>2.0791824798214018E-12</v>
      </c>
      <c r="E280" s="4">
        <f t="shared" si="53"/>
        <v>2.0359180853720486E-12</v>
      </c>
      <c r="F280" s="4">
        <f t="shared" si="53"/>
        <v>1.9885698806527635E-12</v>
      </c>
      <c r="G280" s="4">
        <f t="shared" si="53"/>
        <v>1.9385781581669486E-12</v>
      </c>
      <c r="H280" s="4">
        <f t="shared" si="53"/>
        <v>1.8871353609612523E-12</v>
      </c>
      <c r="I280" s="4">
        <f t="shared" si="53"/>
        <v>1.8358432524658899E-12</v>
      </c>
      <c r="J280" s="4">
        <f t="shared" si="53"/>
        <v>3.7499171439456449E-6</v>
      </c>
      <c r="K280" s="4">
        <f t="shared" si="53"/>
        <v>9.5009147397781668E-6</v>
      </c>
      <c r="L280" s="4">
        <f t="shared" si="53"/>
        <v>4.892782364427747E-5</v>
      </c>
      <c r="M280" s="4">
        <f t="shared" si="53"/>
        <v>1.0603173337571545E-4</v>
      </c>
      <c r="N280" s="4">
        <f t="shared" si="53"/>
        <v>1.6176232485017663E-4</v>
      </c>
      <c r="O280" s="4">
        <f t="shared" si="53"/>
        <v>2.1335307982758191E-4</v>
      </c>
      <c r="P280" s="4">
        <f t="shared" si="53"/>
        <v>2.6130017657528126E-4</v>
      </c>
      <c r="Q280" s="4">
        <f t="shared" si="53"/>
        <v>3.075424312489922E-4</v>
      </c>
      <c r="R280" s="4">
        <f t="shared" si="53"/>
        <v>3.5258053754046333E-4</v>
      </c>
      <c r="S280" s="4">
        <f t="shared" si="53"/>
        <v>3.9998279279433512E-4</v>
      </c>
      <c r="T280" s="4">
        <f t="shared" si="53"/>
        <v>4.4688438671760226E-4</v>
      </c>
      <c r="U280" s="4">
        <f t="shared" si="53"/>
        <v>4.9196366577730405E-4</v>
      </c>
      <c r="V280" s="4">
        <f t="shared" si="53"/>
        <v>5.3465861444998094E-4</v>
      </c>
      <c r="W280" s="4">
        <f t="shared" si="53"/>
        <v>5.7458808446802384E-4</v>
      </c>
      <c r="X280" s="4">
        <f t="shared" si="53"/>
        <v>6.1119708232032402E-4</v>
      </c>
      <c r="Y280" s="4">
        <f t="shared" si="53"/>
        <v>6.4399810755384269E-4</v>
      </c>
      <c r="Z280" s="4">
        <f t="shared" si="53"/>
        <v>6.7271305505308559E-4</v>
      </c>
      <c r="AA280" s="4">
        <f t="shared" si="53"/>
        <v>6.9705356024360552E-4</v>
      </c>
      <c r="AB280" s="4">
        <f t="shared" si="53"/>
        <v>7.1655978283037547E-4</v>
      </c>
      <c r="AC280" s="4">
        <f t="shared" si="53"/>
        <v>7.290150556221491E-4</v>
      </c>
      <c r="AD280" s="4">
        <f t="shared" si="53"/>
        <v>7.3418591917267801E-4</v>
      </c>
      <c r="AE280" s="4">
        <f t="shared" si="53"/>
        <v>7.3231607016470684E-4</v>
      </c>
      <c r="AF280" s="4">
        <f t="shared" si="53"/>
        <v>7.2369170461540687E-4</v>
      </c>
      <c r="AG280" s="4">
        <f t="shared" si="53"/>
        <v>7.084525268056032E-4</v>
      </c>
      <c r="AH280" s="4">
        <f t="shared" si="53"/>
        <v>6.8637602643732254E-4</v>
      </c>
      <c r="AI280" s="4">
        <f t="shared" si="53"/>
        <v>6.5714380783274504E-4</v>
      </c>
      <c r="AJ280" s="4">
        <f t="shared" si="53"/>
        <v>6.2072357884314019E-4</v>
      </c>
      <c r="AK280" s="4">
        <f t="shared" si="53"/>
        <v>5.7720409403289692E-4</v>
      </c>
      <c r="AL280" s="4">
        <f t="shared" si="53"/>
        <v>5.2676733543285763E-4</v>
      </c>
    </row>
    <row r="281" spans="1:38" x14ac:dyDescent="0.35">
      <c r="B281" t="s">
        <v>30</v>
      </c>
      <c r="C281" s="4">
        <f t="shared" ref="C281:AL281" si="54">(C265-C273)/C$271</f>
        <v>0</v>
      </c>
      <c r="D281" s="4">
        <f t="shared" si="54"/>
        <v>0</v>
      </c>
      <c r="E281" s="4">
        <f t="shared" si="54"/>
        <v>0</v>
      </c>
      <c r="F281" s="4">
        <f t="shared" si="54"/>
        <v>0</v>
      </c>
      <c r="G281" s="4">
        <f t="shared" si="54"/>
        <v>0</v>
      </c>
      <c r="H281" s="4">
        <f t="shared" si="54"/>
        <v>0</v>
      </c>
      <c r="I281" s="4">
        <f t="shared" si="54"/>
        <v>1.8358427181653629E-10</v>
      </c>
      <c r="J281" s="4">
        <f t="shared" si="54"/>
        <v>-1.4066187842942852E-3</v>
      </c>
      <c r="K281" s="4">
        <f t="shared" si="54"/>
        <v>-3.2677861058312651E-3</v>
      </c>
      <c r="L281" s="4">
        <f t="shared" si="54"/>
        <v>-3.7766724442907995E-3</v>
      </c>
      <c r="M281" s="4">
        <f t="shared" si="54"/>
        <v>-3.5862900743170358E-3</v>
      </c>
      <c r="N281" s="4">
        <f t="shared" si="54"/>
        <v>-3.0209472391305196E-3</v>
      </c>
      <c r="O281" s="4">
        <f t="shared" si="54"/>
        <v>-2.3096786559450291E-3</v>
      </c>
      <c r="P281" s="4">
        <f t="shared" si="54"/>
        <v>-1.4847290066590908E-3</v>
      </c>
      <c r="Q281" s="4">
        <f t="shared" si="54"/>
        <v>-4.5265875663529483E-4</v>
      </c>
      <c r="R281" s="4">
        <f t="shared" si="54"/>
        <v>8.3760170426177931E-4</v>
      </c>
      <c r="S281" s="4">
        <f t="shared" si="54"/>
        <v>2.1648294336977661E-3</v>
      </c>
      <c r="T281" s="4">
        <f t="shared" si="54"/>
        <v>3.5277126927240332E-3</v>
      </c>
      <c r="U281" s="4">
        <f t="shared" si="54"/>
        <v>4.9712622595012926E-3</v>
      </c>
      <c r="V281" s="4">
        <f t="shared" si="54"/>
        <v>6.5562593582478837E-3</v>
      </c>
      <c r="W281" s="4">
        <f t="shared" si="54"/>
        <v>8.344060285601012E-3</v>
      </c>
      <c r="X281" s="4">
        <f t="shared" si="54"/>
        <v>1.0383128984895459E-2</v>
      </c>
      <c r="Y281" s="4">
        <f t="shared" si="54"/>
        <v>1.2714626471188798E-2</v>
      </c>
      <c r="Z281" s="4">
        <f t="shared" si="54"/>
        <v>1.5382267193526551E-2</v>
      </c>
      <c r="AA281" s="4">
        <f t="shared" si="54"/>
        <v>1.8432619369949502E-2</v>
      </c>
      <c r="AB281" s="4">
        <f t="shared" si="54"/>
        <v>2.1914019137581064E-2</v>
      </c>
      <c r="AC281" s="4">
        <f t="shared" si="54"/>
        <v>2.5878464573085982E-2</v>
      </c>
      <c r="AD281" s="4">
        <f t="shared" si="54"/>
        <v>3.0320131501921484E-2</v>
      </c>
      <c r="AE281" s="4">
        <f t="shared" si="54"/>
        <v>3.5270627729463967E-2</v>
      </c>
      <c r="AF281" s="4">
        <f t="shared" si="54"/>
        <v>4.0794117795840773E-2</v>
      </c>
      <c r="AG281" s="4">
        <f t="shared" si="54"/>
        <v>4.6983785058844596E-2</v>
      </c>
      <c r="AH281" s="4">
        <f t="shared" si="54"/>
        <v>5.3956026402571043E-2</v>
      </c>
      <c r="AI281" s="4">
        <f t="shared" si="54"/>
        <v>6.1865957431365901E-2</v>
      </c>
      <c r="AJ281" s="4">
        <f t="shared" si="54"/>
        <v>7.0944119702223696E-2</v>
      </c>
      <c r="AK281" s="4">
        <f t="shared" si="54"/>
        <v>8.1531690181868025E-2</v>
      </c>
      <c r="AL281" s="4">
        <f t="shared" si="54"/>
        <v>9.4138604408701101E-2</v>
      </c>
    </row>
    <row r="282" spans="1:38" x14ac:dyDescent="0.35">
      <c r="B282" t="s">
        <v>28</v>
      </c>
      <c r="C282" s="4">
        <f t="shared" ref="C282:AL282" si="55">(C266-C274)/C$271</f>
        <v>0</v>
      </c>
      <c r="D282" s="4">
        <f t="shared" si="55"/>
        <v>-2.0791843708279305E-12</v>
      </c>
      <c r="E282" s="4">
        <f t="shared" si="55"/>
        <v>0</v>
      </c>
      <c r="F282" s="4">
        <f t="shared" si="55"/>
        <v>-1.9885662634664468E-12</v>
      </c>
      <c r="G282" s="4">
        <f t="shared" si="55"/>
        <v>-1.9385799212945192E-12</v>
      </c>
      <c r="H282" s="4">
        <f t="shared" si="55"/>
        <v>-3.7742672892444418E-12</v>
      </c>
      <c r="I282" s="4">
        <f t="shared" si="55"/>
        <v>-1.8358432524658899E-12</v>
      </c>
      <c r="J282" s="4">
        <f t="shared" si="55"/>
        <v>-4.8555826540294268E-5</v>
      </c>
      <c r="K282" s="4">
        <f t="shared" si="55"/>
        <v>-9.1422758932094313E-5</v>
      </c>
      <c r="L282" s="4">
        <f t="shared" si="55"/>
        <v>-2.7214784619410212E-5</v>
      </c>
      <c r="M282" s="4">
        <f t="shared" si="55"/>
        <v>9.2703799655414581E-5</v>
      </c>
      <c r="N282" s="4">
        <f t="shared" si="55"/>
        <v>2.3242633873057073E-4</v>
      </c>
      <c r="O282" s="4">
        <f t="shared" si="55"/>
        <v>3.6489684484146363E-4</v>
      </c>
      <c r="P282" s="4">
        <f t="shared" si="55"/>
        <v>4.8133043108476275E-4</v>
      </c>
      <c r="Q282" s="4">
        <f t="shared" si="55"/>
        <v>5.8426670272680205E-4</v>
      </c>
      <c r="R282" s="4">
        <f t="shared" si="55"/>
        <v>6.7475337609796749E-4</v>
      </c>
      <c r="S282" s="4">
        <f t="shared" si="55"/>
        <v>7.5447638026676091E-4</v>
      </c>
      <c r="T282" s="4">
        <f t="shared" si="55"/>
        <v>8.2491932033910964E-4</v>
      </c>
      <c r="U282" s="4">
        <f t="shared" si="55"/>
        <v>8.8926211880000015E-4</v>
      </c>
      <c r="V282" s="4">
        <f t="shared" si="55"/>
        <v>9.499792936488575E-4</v>
      </c>
      <c r="W282" s="4">
        <f t="shared" si="55"/>
        <v>1.0089395808056472E-3</v>
      </c>
      <c r="X282" s="4">
        <f t="shared" si="55"/>
        <v>1.0679899846598887E-3</v>
      </c>
      <c r="Y282" s="4">
        <f t="shared" si="55"/>
        <v>1.1289063662235786E-3</v>
      </c>
      <c r="Z282" s="4">
        <f t="shared" si="55"/>
        <v>1.1914811768113955E-3</v>
      </c>
      <c r="AA282" s="4">
        <f t="shared" si="55"/>
        <v>1.254210532172438E-3</v>
      </c>
      <c r="AB282" s="4">
        <f t="shared" si="55"/>
        <v>1.3157067002808852E-3</v>
      </c>
      <c r="AC282" s="4">
        <f t="shared" si="55"/>
        <v>1.3779405289168496E-3</v>
      </c>
      <c r="AD282" s="4">
        <f t="shared" si="55"/>
        <v>1.4458194604086577E-3</v>
      </c>
      <c r="AE282" s="4">
        <f t="shared" si="55"/>
        <v>1.5206657874373881E-3</v>
      </c>
      <c r="AF282" s="4">
        <f t="shared" si="55"/>
        <v>1.601247217529558E-3</v>
      </c>
      <c r="AG282" s="4">
        <f t="shared" si="55"/>
        <v>1.6854413737801327E-3</v>
      </c>
      <c r="AH282" s="4">
        <f t="shared" si="55"/>
        <v>1.7729570734424786E-3</v>
      </c>
      <c r="AI282" s="4">
        <f t="shared" si="55"/>
        <v>1.865385255427068E-3</v>
      </c>
      <c r="AJ282" s="4">
        <f t="shared" si="55"/>
        <v>1.9632419185996175E-3</v>
      </c>
      <c r="AK282" s="4">
        <f t="shared" si="55"/>
        <v>2.0661729461574486E-3</v>
      </c>
      <c r="AL282" s="4">
        <f t="shared" si="55"/>
        <v>2.1735955998563572E-3</v>
      </c>
    </row>
    <row r="283" spans="1:38" x14ac:dyDescent="0.35">
      <c r="B283" t="s">
        <v>10</v>
      </c>
      <c r="C283" s="4">
        <f t="shared" ref="C283:AL283" si="56">(C267-C275)/C$271</f>
        <v>0</v>
      </c>
      <c r="D283" s="4">
        <f t="shared" si="56"/>
        <v>0</v>
      </c>
      <c r="E283" s="4">
        <f t="shared" si="56"/>
        <v>0</v>
      </c>
      <c r="F283" s="4">
        <f t="shared" si="56"/>
        <v>0</v>
      </c>
      <c r="G283" s="4">
        <f t="shared" si="56"/>
        <v>1.9385793570936964E-10</v>
      </c>
      <c r="H283" s="4">
        <f t="shared" si="56"/>
        <v>1.8871348117327622E-10</v>
      </c>
      <c r="I283" s="4">
        <f t="shared" si="56"/>
        <v>1.8358427181653629E-10</v>
      </c>
      <c r="J283" s="4">
        <f t="shared" si="56"/>
        <v>-1.0967664865826076E-3</v>
      </c>
      <c r="K283" s="4">
        <f t="shared" si="56"/>
        <v>-2.4433428475485451E-3</v>
      </c>
      <c r="L283" s="4">
        <f t="shared" si="56"/>
        <v>-2.7869042802495408E-3</v>
      </c>
      <c r="M283" s="4">
        <f t="shared" si="56"/>
        <v>-2.5255417721999239E-3</v>
      </c>
      <c r="N283" s="4">
        <f t="shared" si="56"/>
        <v>-1.9062520238384676E-3</v>
      </c>
      <c r="O283" s="4">
        <f t="shared" si="56"/>
        <v>-1.1520980734685987E-3</v>
      </c>
      <c r="P283" s="4">
        <f t="shared" si="56"/>
        <v>-3.4825215917416198E-4</v>
      </c>
      <c r="Q283" s="4">
        <f t="shared" si="56"/>
        <v>5.1579718954012006E-4</v>
      </c>
      <c r="R283" s="4">
        <f t="shared" si="56"/>
        <v>1.4401208855084292E-3</v>
      </c>
      <c r="S283" s="4">
        <f t="shared" si="56"/>
        <v>2.2599012487311389E-3</v>
      </c>
      <c r="T283" s="4">
        <f t="shared" si="56"/>
        <v>2.9616358174622023E-3</v>
      </c>
      <c r="U283" s="4">
        <f t="shared" si="56"/>
        <v>3.577877380015115E-3</v>
      </c>
      <c r="V283" s="4">
        <f t="shared" si="56"/>
        <v>4.1507036411841019E-3</v>
      </c>
      <c r="W283" s="4">
        <f t="shared" si="56"/>
        <v>4.7139626554211257E-3</v>
      </c>
      <c r="X283" s="4">
        <f t="shared" si="56"/>
        <v>5.2829204702941508E-3</v>
      </c>
      <c r="Y283" s="4">
        <f t="shared" si="56"/>
        <v>5.8666640892326132E-3</v>
      </c>
      <c r="Z283" s="4">
        <f t="shared" si="56"/>
        <v>6.4793211716345517E-3</v>
      </c>
      <c r="AA283" s="4">
        <f t="shared" si="56"/>
        <v>7.1343090102219814E-3</v>
      </c>
      <c r="AB283" s="4">
        <f t="shared" si="56"/>
        <v>7.8372505831945296E-3</v>
      </c>
      <c r="AC283" s="4">
        <f t="shared" si="56"/>
        <v>8.5769312253496828E-3</v>
      </c>
      <c r="AD283" s="4">
        <f t="shared" si="56"/>
        <v>9.3266854752262832E-3</v>
      </c>
      <c r="AE283" s="4">
        <f t="shared" si="56"/>
        <v>1.0094021697334928E-2</v>
      </c>
      <c r="AF283" s="4">
        <f t="shared" si="56"/>
        <v>1.0898747300609902E-2</v>
      </c>
      <c r="AG283" s="4">
        <f t="shared" si="56"/>
        <v>1.1762836421681133E-2</v>
      </c>
      <c r="AH283" s="4">
        <f t="shared" si="56"/>
        <v>1.2700250355484277E-2</v>
      </c>
      <c r="AI283" s="4">
        <f t="shared" si="56"/>
        <v>1.3727614330726876E-2</v>
      </c>
      <c r="AJ283" s="4">
        <f t="shared" si="56"/>
        <v>1.4884495442851232E-2</v>
      </c>
      <c r="AK283" s="4">
        <f t="shared" si="56"/>
        <v>1.6232382237294264E-2</v>
      </c>
      <c r="AL283" s="4">
        <f t="shared" si="56"/>
        <v>1.7860747285255725E-2</v>
      </c>
    </row>
    <row r="284" spans="1:38" x14ac:dyDescent="0.35">
      <c r="B284" t="s">
        <v>31</v>
      </c>
      <c r="C284" s="4">
        <f t="shared" ref="C284:AL284" si="57">(C268-C276)/C$271</f>
        <v>2.1153372670933915E-12</v>
      </c>
      <c r="D284" s="4">
        <f t="shared" si="57"/>
        <v>4.1583677961525969E-12</v>
      </c>
      <c r="E284" s="4">
        <f t="shared" si="57"/>
        <v>4.0718343190880118E-12</v>
      </c>
      <c r="F284" s="4">
        <f t="shared" si="57"/>
        <v>1.9885698806527635E-12</v>
      </c>
      <c r="G284" s="4">
        <f t="shared" si="57"/>
        <v>1.9385790397307339E-12</v>
      </c>
      <c r="H284" s="4">
        <f t="shared" si="57"/>
        <v>1.8871353609612523E-12</v>
      </c>
      <c r="I284" s="4">
        <f t="shared" si="57"/>
        <v>0</v>
      </c>
      <c r="J284" s="4">
        <f t="shared" si="57"/>
        <v>-2.574474984535167E-5</v>
      </c>
      <c r="K284" s="4">
        <f t="shared" si="57"/>
        <v>-5.9490731206479312E-5</v>
      </c>
      <c r="L284" s="4">
        <f t="shared" si="57"/>
        <v>-8.2687375885555852E-5</v>
      </c>
      <c r="M284" s="4">
        <f t="shared" si="57"/>
        <v>-9.9083937121273363E-5</v>
      </c>
      <c r="N284" s="4">
        <f t="shared" si="57"/>
        <v>-1.0778413767652143E-4</v>
      </c>
      <c r="O284" s="4">
        <f t="shared" si="57"/>
        <v>-1.0922551883569981E-4</v>
      </c>
      <c r="P284" s="4">
        <f t="shared" si="57"/>
        <v>-1.033354452833477E-4</v>
      </c>
      <c r="Q284" s="4">
        <f t="shared" si="57"/>
        <v>-8.9671919652176043E-5</v>
      </c>
      <c r="R284" s="4">
        <f t="shared" si="57"/>
        <v>-6.8543943130330802E-5</v>
      </c>
      <c r="S284" s="4">
        <f t="shared" si="57"/>
        <v>-4.5297389032615621E-5</v>
      </c>
      <c r="T284" s="4">
        <f t="shared" si="57"/>
        <v>-2.0271913034306227E-5</v>
      </c>
      <c r="U284" s="4">
        <f t="shared" si="57"/>
        <v>6.3375902447219667E-6</v>
      </c>
      <c r="V284" s="4">
        <f t="shared" si="57"/>
        <v>3.4543116229249523E-5</v>
      </c>
      <c r="W284" s="4">
        <f t="shared" si="57"/>
        <v>6.4469746597510617E-5</v>
      </c>
      <c r="X284" s="4">
        <f t="shared" si="57"/>
        <v>9.6214040046531342E-5</v>
      </c>
      <c r="Y284" s="4">
        <f t="shared" si="57"/>
        <v>1.298406368047006E-4</v>
      </c>
      <c r="Z284" s="4">
        <f t="shared" si="57"/>
        <v>1.6530695555193995E-4</v>
      </c>
      <c r="AA284" s="4">
        <f t="shared" si="57"/>
        <v>2.0254651808934449E-4</v>
      </c>
      <c r="AB284" s="4">
        <f t="shared" si="57"/>
        <v>2.4163709540662735E-4</v>
      </c>
      <c r="AC284" s="4">
        <f t="shared" si="57"/>
        <v>2.8315384657400628E-4</v>
      </c>
      <c r="AD284" s="4">
        <f t="shared" si="57"/>
        <v>3.2707407899486355E-4</v>
      </c>
      <c r="AE284" s="4">
        <f t="shared" si="57"/>
        <v>3.736003696538045E-4</v>
      </c>
      <c r="AF284" s="4">
        <f t="shared" si="57"/>
        <v>4.2311256421033835E-4</v>
      </c>
      <c r="AG284" s="4">
        <f t="shared" si="57"/>
        <v>4.7618629637261083E-4</v>
      </c>
      <c r="AH284" s="4">
        <f t="shared" si="57"/>
        <v>5.3366840510419167E-4</v>
      </c>
      <c r="AI284" s="4">
        <f t="shared" si="57"/>
        <v>5.9674219936940893E-4</v>
      </c>
      <c r="AJ284" s="4">
        <f t="shared" si="57"/>
        <v>6.6694984034122826E-4</v>
      </c>
      <c r="AK284" s="4">
        <f t="shared" si="57"/>
        <v>7.4641920101136978E-4</v>
      </c>
      <c r="AL284" s="4">
        <f t="shared" si="57"/>
        <v>8.3830292632169369E-4</v>
      </c>
    </row>
    <row r="285" spans="1:38" x14ac:dyDescent="0.35">
      <c r="B285" t="s">
        <v>33</v>
      </c>
      <c r="C285" s="4">
        <f t="shared" ref="C285:AL285" si="58">(C269-C277)/C$271</f>
        <v>0</v>
      </c>
      <c r="D285" s="4">
        <f t="shared" si="58"/>
        <v>0</v>
      </c>
      <c r="E285" s="4">
        <f t="shared" si="58"/>
        <v>0</v>
      </c>
      <c r="F285" s="4">
        <f t="shared" si="58"/>
        <v>1.9885689763561845E-12</v>
      </c>
      <c r="G285" s="4">
        <f t="shared" si="58"/>
        <v>0</v>
      </c>
      <c r="H285" s="4">
        <f t="shared" si="58"/>
        <v>0</v>
      </c>
      <c r="I285" s="4">
        <f t="shared" si="58"/>
        <v>0</v>
      </c>
      <c r="J285" s="4">
        <f t="shared" si="58"/>
        <v>1.5032251673626588E-4</v>
      </c>
      <c r="K285" s="4">
        <f t="shared" si="58"/>
        <v>3.7448135003517686E-4</v>
      </c>
      <c r="L285" s="4">
        <f t="shared" si="58"/>
        <v>6.5073909498084752E-4</v>
      </c>
      <c r="M285" s="4">
        <f t="shared" si="58"/>
        <v>9.5316683922535368E-4</v>
      </c>
      <c r="N285" s="4">
        <f t="shared" si="58"/>
        <v>1.2574196087419909E-3</v>
      </c>
      <c r="O285" s="4">
        <f t="shared" si="58"/>
        <v>1.5648063537891646E-3</v>
      </c>
      <c r="P285" s="4">
        <f t="shared" si="58"/>
        <v>1.8836840154795268E-3</v>
      </c>
      <c r="Q285" s="4">
        <f t="shared" si="58"/>
        <v>2.222709023269198E-3</v>
      </c>
      <c r="R285" s="4">
        <f t="shared" si="58"/>
        <v>2.5876062649191119E-3</v>
      </c>
      <c r="S285" s="4">
        <f t="shared" si="58"/>
        <v>2.981659549300103E-3</v>
      </c>
      <c r="T285" s="4">
        <f t="shared" si="58"/>
        <v>3.4073985211933748E-3</v>
      </c>
      <c r="U285" s="4">
        <f t="shared" si="58"/>
        <v>3.8651121637843767E-3</v>
      </c>
      <c r="V285" s="4">
        <f t="shared" si="58"/>
        <v>4.3571405916785662E-3</v>
      </c>
      <c r="W285" s="4">
        <f t="shared" si="58"/>
        <v>4.8885606536015636E-3</v>
      </c>
      <c r="X285" s="4">
        <f t="shared" si="58"/>
        <v>5.4665204602468518E-3</v>
      </c>
      <c r="Y285" s="4">
        <f t="shared" si="58"/>
        <v>6.1006883278287788E-3</v>
      </c>
      <c r="Z285" s="4">
        <f t="shared" si="58"/>
        <v>6.8023373975106523E-3</v>
      </c>
      <c r="AA285" s="4">
        <f t="shared" si="58"/>
        <v>7.5849331616248839E-3</v>
      </c>
      <c r="AB285" s="4">
        <f t="shared" si="58"/>
        <v>8.4656424809118978E-3</v>
      </c>
      <c r="AC285" s="4">
        <f t="shared" si="58"/>
        <v>9.4673100507458516E-3</v>
      </c>
      <c r="AD285" s="4">
        <f t="shared" si="58"/>
        <v>1.0617483882935846E-2</v>
      </c>
      <c r="AE285" s="4">
        <f t="shared" si="58"/>
        <v>1.1949533320549901E-2</v>
      </c>
      <c r="AF285" s="4">
        <f t="shared" si="58"/>
        <v>1.3504655318640863E-2</v>
      </c>
      <c r="AG285" s="4">
        <f t="shared" si="58"/>
        <v>1.5335628896915077E-2</v>
      </c>
      <c r="AH285" s="4">
        <f t="shared" si="58"/>
        <v>1.7513382550940711E-2</v>
      </c>
      <c r="AI285" s="4">
        <f t="shared" si="58"/>
        <v>2.0136275624989979E-2</v>
      </c>
      <c r="AJ285" s="4">
        <f t="shared" si="58"/>
        <v>2.3343053153107807E-2</v>
      </c>
      <c r="AK285" s="4">
        <f t="shared" si="58"/>
        <v>2.7335954639882188E-2</v>
      </c>
      <c r="AL285" s="4">
        <f t="shared" si="58"/>
        <v>3.2421318780818838E-2</v>
      </c>
    </row>
    <row r="287" spans="1:3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38" x14ac:dyDescent="0.35">
      <c r="A288" t="s">
        <v>88</v>
      </c>
      <c r="B288" t="s">
        <v>26</v>
      </c>
      <c r="C288" s="4">
        <f>R279</f>
        <v>5.8241186977106008E-3</v>
      </c>
      <c r="D288" s="4">
        <f>AB279</f>
        <v>4.0490815838162941E-2</v>
      </c>
      <c r="E288" s="4">
        <f>AL279</f>
        <v>0.14795933679450624</v>
      </c>
    </row>
    <row r="289" spans="1:38" x14ac:dyDescent="0.35">
      <c r="B289" t="s">
        <v>7</v>
      </c>
      <c r="C289" s="4">
        <f t="shared" ref="C289:C294" si="59">R280</f>
        <v>3.5258053754046333E-4</v>
      </c>
      <c r="D289" s="4">
        <f t="shared" ref="D289:D294" si="60">AB280</f>
        <v>7.1655978283037547E-4</v>
      </c>
      <c r="E289" s="4">
        <f t="shared" ref="E289:E294" si="61">AL280</f>
        <v>5.2676733543285763E-4</v>
      </c>
    </row>
    <row r="290" spans="1:38" x14ac:dyDescent="0.35">
      <c r="B290" t="s">
        <v>30</v>
      </c>
      <c r="C290" s="4">
        <f t="shared" si="59"/>
        <v>8.3760170426177931E-4</v>
      </c>
      <c r="D290" s="4">
        <f t="shared" si="60"/>
        <v>2.1914019137581064E-2</v>
      </c>
      <c r="E290" s="4">
        <f t="shared" si="61"/>
        <v>9.4138604408701101E-2</v>
      </c>
    </row>
    <row r="291" spans="1:38" x14ac:dyDescent="0.35">
      <c r="B291" t="s">
        <v>28</v>
      </c>
      <c r="C291" s="4">
        <f t="shared" si="59"/>
        <v>6.7475337609796749E-4</v>
      </c>
      <c r="D291" s="4">
        <f t="shared" si="60"/>
        <v>1.3157067002808852E-3</v>
      </c>
      <c r="E291" s="4">
        <f t="shared" si="61"/>
        <v>2.1735955998563572E-3</v>
      </c>
    </row>
    <row r="292" spans="1:38" x14ac:dyDescent="0.35">
      <c r="B292" t="s">
        <v>10</v>
      </c>
      <c r="C292" s="4">
        <f t="shared" si="59"/>
        <v>1.4401208855084292E-3</v>
      </c>
      <c r="D292" s="4">
        <f t="shared" si="60"/>
        <v>7.8372505831945296E-3</v>
      </c>
      <c r="E292" s="4">
        <f t="shared" si="61"/>
        <v>1.7860747285255725E-2</v>
      </c>
    </row>
    <row r="293" spans="1:38" x14ac:dyDescent="0.35">
      <c r="B293" t="s">
        <v>31</v>
      </c>
      <c r="C293" s="4">
        <f t="shared" si="59"/>
        <v>-6.8543943130330802E-5</v>
      </c>
      <c r="D293" s="4">
        <f t="shared" si="60"/>
        <v>2.4163709540662735E-4</v>
      </c>
      <c r="E293" s="4">
        <f t="shared" si="61"/>
        <v>8.3830292632169369E-4</v>
      </c>
    </row>
    <row r="294" spans="1:38" x14ac:dyDescent="0.35">
      <c r="B294" t="s">
        <v>33</v>
      </c>
      <c r="C294" s="4">
        <f t="shared" si="59"/>
        <v>2.5876062649191119E-3</v>
      </c>
      <c r="D294" s="4">
        <f t="shared" si="60"/>
        <v>8.4656424809118978E-3</v>
      </c>
      <c r="E294" s="4">
        <f t="shared" si="61"/>
        <v>3.2421318780818838E-2</v>
      </c>
    </row>
    <row r="295" spans="1:38" x14ac:dyDescent="0.35">
      <c r="C295" s="4"/>
      <c r="D295" s="4"/>
      <c r="E295" s="4"/>
    </row>
    <row r="296" spans="1:3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</row>
    <row r="297" spans="1:3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31921.42887</v>
      </c>
      <c r="E297" s="6">
        <f>[1]Results!H3</f>
        <v>31769.025269999998</v>
      </c>
      <c r="F297" s="6">
        <f>[1]Results!I3</f>
        <v>31782.68073</v>
      </c>
      <c r="G297" s="6">
        <f>[1]Results!J3</f>
        <v>31936.173500000001</v>
      </c>
      <c r="H297" s="6">
        <f>[1]Results!K3</f>
        <v>32190.84057</v>
      </c>
      <c r="I297" s="6">
        <f>[1]Results!L3</f>
        <v>32500.176080000001</v>
      </c>
      <c r="J297" s="6">
        <f>[1]Results!M3</f>
        <v>32741.847170000001</v>
      </c>
      <c r="K297" s="6">
        <f>[1]Results!N3</f>
        <v>32980.92712</v>
      </c>
      <c r="L297" s="6">
        <f>[1]Results!O3</f>
        <v>33250.097179999997</v>
      </c>
      <c r="M297" s="6">
        <f>[1]Results!P3</f>
        <v>33561.064299999998</v>
      </c>
      <c r="N297" s="6">
        <f>[1]Results!Q3</f>
        <v>33932.268980000001</v>
      </c>
      <c r="O297" s="6">
        <f>[1]Results!R3</f>
        <v>34340.515350000001</v>
      </c>
      <c r="P297" s="6">
        <f>[1]Results!S3</f>
        <v>34761.313589999998</v>
      </c>
      <c r="Q297" s="6">
        <f>[1]Results!T3</f>
        <v>35177.76799</v>
      </c>
      <c r="R297" s="6">
        <f>[1]Results!U3</f>
        <v>35580.134769999997</v>
      </c>
      <c r="S297" s="6">
        <f>[1]Results!V3</f>
        <v>35955.696320000003</v>
      </c>
      <c r="T297" s="6">
        <f>[1]Results!W3</f>
        <v>36312.336940000001</v>
      </c>
      <c r="U297" s="6">
        <f>[1]Results!X3</f>
        <v>36656.432820000002</v>
      </c>
      <c r="V297" s="6">
        <f>[1]Results!Y3</f>
        <v>36992.591220000002</v>
      </c>
      <c r="W297" s="6">
        <f>[1]Results!Z3</f>
        <v>37320.862099999998</v>
      </c>
      <c r="X297" s="6">
        <f>[1]Results!AA3</f>
        <v>37650.382259999998</v>
      </c>
      <c r="Y297" s="6">
        <f>[1]Results!AB3</f>
        <v>37985.792029999997</v>
      </c>
      <c r="Z297" s="6">
        <f>[1]Results!AC3</f>
        <v>38332.581189999997</v>
      </c>
      <c r="AA297" s="6">
        <f>[1]Results!AD3</f>
        <v>38695.75419</v>
      </c>
      <c r="AB297" s="6">
        <f>[1]Results!AE3</f>
        <v>39068.758159999998</v>
      </c>
      <c r="AC297" s="6">
        <f>[1]Results!AF3</f>
        <v>39463.52981</v>
      </c>
      <c r="AD297" s="6">
        <f>[1]Results!AG3</f>
        <v>39884.590929999998</v>
      </c>
      <c r="AE297" s="6">
        <f>[1]Results!AH3</f>
        <v>40338.238830000002</v>
      </c>
      <c r="AF297" s="6">
        <f>[1]Results!AI3</f>
        <v>40830.81551</v>
      </c>
      <c r="AG297" s="6">
        <f>[1]Results!AJ3</f>
        <v>41366.808900000004</v>
      </c>
      <c r="AH297" s="6">
        <f>[1]Results!AK3</f>
        <v>41948.417600000001</v>
      </c>
      <c r="AI297" s="6">
        <f>[1]Results!AL3</f>
        <v>42576.44457</v>
      </c>
      <c r="AJ297" s="6">
        <f>[1]Results!AM3</f>
        <v>43251.667630000004</v>
      </c>
      <c r="AK297" s="6">
        <f>[1]Results!AN3</f>
        <v>43975.067080000001</v>
      </c>
      <c r="AL297" s="6">
        <f>[1]Results!AO3</f>
        <v>44748.018210000002</v>
      </c>
    </row>
    <row r="298" spans="1:38" x14ac:dyDescent="0.35">
      <c r="B298" t="s">
        <v>53</v>
      </c>
      <c r="C298" s="6">
        <f>[1]Results!F4</f>
        <v>32271.24</v>
      </c>
      <c r="D298" s="6">
        <f>[1]Results!G4</f>
        <v>31856.522639999999</v>
      </c>
      <c r="E298" s="6">
        <f>[1]Results!H4</f>
        <v>31683.98445</v>
      </c>
      <c r="F298" s="6">
        <f>[1]Results!I4</f>
        <v>31675.833930000001</v>
      </c>
      <c r="G298" s="6">
        <f>[1]Results!J4</f>
        <v>31805.7251</v>
      </c>
      <c r="H298" s="6">
        <f>[1]Results!K4</f>
        <v>32035.359250000001</v>
      </c>
      <c r="I298" s="6">
        <f>[1]Results!L4</f>
        <v>32318.626629999999</v>
      </c>
      <c r="J298" s="6">
        <f>[1]Results!M4</f>
        <v>32533.221290000001</v>
      </c>
      <c r="K298" s="6">
        <f>[1]Results!N4</f>
        <v>32738.876960000001</v>
      </c>
      <c r="L298" s="6">
        <f>[1]Results!O4</f>
        <v>32962.99583</v>
      </c>
      <c r="M298" s="6">
        <f>[1]Results!P4</f>
        <v>33211.081129999999</v>
      </c>
      <c r="N298" s="6">
        <f>[1]Results!Q4</f>
        <v>33496.626479999999</v>
      </c>
      <c r="O298" s="6">
        <f>[1]Results!R4</f>
        <v>33796.54765</v>
      </c>
      <c r="P298" s="6">
        <f>[1]Results!S4</f>
        <v>34087.108959999998</v>
      </c>
      <c r="Q298" s="6">
        <f>[1]Results!T4</f>
        <v>34352.292509999999</v>
      </c>
      <c r="R298" s="6">
        <f>[1]Results!U4</f>
        <v>34583.148939999999</v>
      </c>
      <c r="S298" s="6">
        <f>[1]Results!V4</f>
        <v>34767.699410000001</v>
      </c>
      <c r="T298" s="6">
        <f>[1]Results!W4</f>
        <v>34912.775970000002</v>
      </c>
      <c r="U298" s="6">
        <f>[1]Results!X4</f>
        <v>35024.094899999996</v>
      </c>
      <c r="V298" s="6">
        <f>[1]Results!Y4</f>
        <v>35105.834040000002</v>
      </c>
      <c r="W298" s="6">
        <f>[1]Results!Z4</f>
        <v>35158.081720000002</v>
      </c>
      <c r="X298" s="6">
        <f>[1]Results!AA4</f>
        <v>35188.937879999998</v>
      </c>
      <c r="Y298" s="6">
        <f>[1]Results!AB4</f>
        <v>35202.28082</v>
      </c>
      <c r="Z298" s="6">
        <f>[1]Results!AC4</f>
        <v>35202.526429999998</v>
      </c>
      <c r="AA298" s="6">
        <f>[1]Results!AD4</f>
        <v>35193.436320000001</v>
      </c>
      <c r="AB298" s="6">
        <f>[1]Results!AE4</f>
        <v>35168.876020000003</v>
      </c>
      <c r="AC298" s="6">
        <f>[1]Results!AF4</f>
        <v>35138.117230000003</v>
      </c>
      <c r="AD298" s="6">
        <f>[1]Results!AG4</f>
        <v>35103.839119999997</v>
      </c>
      <c r="AE298" s="6">
        <f>[1]Results!AH4</f>
        <v>35069.853139999999</v>
      </c>
      <c r="AF298" s="6">
        <f>[1]Results!AI4</f>
        <v>35039.646180000003</v>
      </c>
      <c r="AG298" s="6">
        <f>[1]Results!AJ4</f>
        <v>35014.895190000003</v>
      </c>
      <c r="AH298" s="6">
        <f>[1]Results!AK4</f>
        <v>34995.226920000001</v>
      </c>
      <c r="AI298" s="6">
        <f>[1]Results!AL4</f>
        <v>34979.014260000004</v>
      </c>
      <c r="AJ298" s="6">
        <f>[1]Results!AM4</f>
        <v>34964.474880000002</v>
      </c>
      <c r="AK298" s="6">
        <f>[1]Results!AN4</f>
        <v>34949.850769999997</v>
      </c>
      <c r="AL298" s="6">
        <f>[1]Results!AO4</f>
        <v>34933.543259999999</v>
      </c>
    </row>
    <row r="299" spans="1:38" x14ac:dyDescent="0.35">
      <c r="B299" t="s">
        <v>54</v>
      </c>
      <c r="C299" s="6">
        <f>[1]Results!F20</f>
        <v>1.9359999999999999</v>
      </c>
      <c r="D299" s="6">
        <f>[1]Results!G20</f>
        <v>1.9911427610000001</v>
      </c>
      <c r="E299" s="6">
        <f>[1]Results!H20</f>
        <v>2.0604734649999998</v>
      </c>
      <c r="F299" s="6">
        <f>[1]Results!I20</f>
        <v>2.1381533469999998</v>
      </c>
      <c r="G299" s="6">
        <f>[1]Results!J20</f>
        <v>2.2225219709999999</v>
      </c>
      <c r="H299" s="6">
        <f>[1]Results!K20</f>
        <v>2.3108462670000001</v>
      </c>
      <c r="I299" s="6">
        <f>[1]Results!L20</f>
        <v>2.3996573830000001</v>
      </c>
      <c r="J299" s="6">
        <f>[1]Results!M20</f>
        <v>2.4790004919999999</v>
      </c>
      <c r="K299" s="6">
        <f>[1]Results!N20</f>
        <v>2.5540366649999999</v>
      </c>
      <c r="L299" s="6">
        <f>[1]Results!O20</f>
        <v>2.6272787279999998</v>
      </c>
      <c r="M299" s="6">
        <f>[1]Results!P20</f>
        <v>2.6994218550000002</v>
      </c>
      <c r="N299" s="6">
        <f>[1]Results!Q20</f>
        <v>2.77182503</v>
      </c>
      <c r="O299" s="6">
        <f>[1]Results!R20</f>
        <v>2.8427775780000002</v>
      </c>
      <c r="P299" s="6">
        <f>[1]Results!S20</f>
        <v>2.9104700910000001</v>
      </c>
      <c r="Q299" s="6">
        <f>[1]Results!T20</f>
        <v>2.9736994490000002</v>
      </c>
      <c r="R299" s="6">
        <f>[1]Results!U20</f>
        <v>3.0318268380000002</v>
      </c>
      <c r="S299" s="6">
        <f>[1]Results!V20</f>
        <v>3.0839403550000002</v>
      </c>
      <c r="T299" s="6">
        <f>[1]Results!W20</f>
        <v>3.1306870920000001</v>
      </c>
      <c r="U299" s="6">
        <f>[1]Results!X20</f>
        <v>3.1726246300000001</v>
      </c>
      <c r="V299" s="6">
        <f>[1]Results!Y20</f>
        <v>3.2101838279999999</v>
      </c>
      <c r="W299" s="6">
        <f>[1]Results!Z20</f>
        <v>3.243452365</v>
      </c>
      <c r="X299" s="6">
        <f>[1]Results!AA20</f>
        <v>3.273186081</v>
      </c>
      <c r="Y299" s="6">
        <f>[1]Results!AB20</f>
        <v>3.29979187</v>
      </c>
      <c r="Z299" s="6">
        <f>[1]Results!AC20</f>
        <v>3.3237217100000001</v>
      </c>
      <c r="AA299" s="6">
        <f>[1]Results!AD20</f>
        <v>3.3453732380000001</v>
      </c>
      <c r="AB299" s="6">
        <f>[1]Results!AE20</f>
        <v>3.3643124499999999</v>
      </c>
      <c r="AC299" s="6">
        <f>[1]Results!AF20</f>
        <v>3.3813866479999999</v>
      </c>
      <c r="AD299" s="6">
        <f>[1]Results!AG20</f>
        <v>3.3968969530000002</v>
      </c>
      <c r="AE299" s="6">
        <f>[1]Results!AH20</f>
        <v>3.4112383020000001</v>
      </c>
      <c r="AF299" s="6">
        <f>[1]Results!AI20</f>
        <v>3.4247786009999999</v>
      </c>
      <c r="AG299" s="6">
        <f>[1]Results!AJ20</f>
        <v>3.4377335050000002</v>
      </c>
      <c r="AH299" s="6">
        <f>[1]Results!AK20</f>
        <v>3.4501439139999999</v>
      </c>
      <c r="AI299" s="6">
        <f>[1]Results!AL20</f>
        <v>3.4619403950000001</v>
      </c>
      <c r="AJ299" s="6">
        <f>[1]Results!AM20</f>
        <v>3.473034175</v>
      </c>
      <c r="AK299" s="6">
        <f>[1]Results!AN20</f>
        <v>3.4833324189999999</v>
      </c>
      <c r="AL299" s="6">
        <f>[1]Results!AO20</f>
        <v>3.4927499879999999</v>
      </c>
    </row>
    <row r="300" spans="1:38" x14ac:dyDescent="0.35">
      <c r="B300" t="s">
        <v>55</v>
      </c>
      <c r="C300" s="6">
        <f>[1]Results!F12</f>
        <v>44.765000000000001</v>
      </c>
      <c r="D300" s="6">
        <f>[1]Results!G12</f>
        <v>62.915090480000003</v>
      </c>
      <c r="E300" s="6">
        <f>[1]Results!H12</f>
        <v>82.980340990000002</v>
      </c>
      <c r="F300" s="6">
        <f>[1]Results!I12</f>
        <v>104.7086468</v>
      </c>
      <c r="G300" s="6">
        <f>[1]Results!J12</f>
        <v>128.22587580000001</v>
      </c>
      <c r="H300" s="6">
        <f>[1]Results!K12</f>
        <v>153.17047049999999</v>
      </c>
      <c r="I300" s="6">
        <f>[1]Results!L12</f>
        <v>179.14979740000001</v>
      </c>
      <c r="J300" s="6">
        <f>[1]Results!M12</f>
        <v>206.1468769</v>
      </c>
      <c r="K300" s="6">
        <f>[1]Results!N12</f>
        <v>239.49612070000001</v>
      </c>
      <c r="L300" s="6">
        <f>[1]Results!O12</f>
        <v>284.47406640000003</v>
      </c>
      <c r="M300" s="6">
        <f>[1]Results!P12</f>
        <v>347.28373679999999</v>
      </c>
      <c r="N300" s="6">
        <f>[1]Results!Q12</f>
        <v>432.870653</v>
      </c>
      <c r="O300" s="6">
        <f>[1]Results!R12</f>
        <v>541.12489359999995</v>
      </c>
      <c r="P300" s="6">
        <f>[1]Results!S12</f>
        <v>671.29413609999995</v>
      </c>
      <c r="Q300" s="6">
        <f>[1]Results!T12</f>
        <v>822.50175520000005</v>
      </c>
      <c r="R300" s="6">
        <f>[1]Results!U12</f>
        <v>993.95398929999999</v>
      </c>
      <c r="S300" s="6">
        <f>[1]Results!V12</f>
        <v>1184.912951</v>
      </c>
      <c r="T300" s="6">
        <f>[1]Results!W12</f>
        <v>1396.430261</v>
      </c>
      <c r="U300" s="6">
        <f>[1]Results!X12</f>
        <v>1629.1652779999999</v>
      </c>
      <c r="V300" s="6">
        <f>[1]Results!Y12</f>
        <v>1883.5469760000001</v>
      </c>
      <c r="W300" s="6">
        <f>[1]Results!Z12</f>
        <v>2159.5369089999999</v>
      </c>
      <c r="X300" s="6">
        <f>[1]Results!AA12</f>
        <v>2458.1711730000002</v>
      </c>
      <c r="Y300" s="6">
        <f>[1]Results!AB12</f>
        <v>2780.2113920000002</v>
      </c>
      <c r="Z300" s="6">
        <f>[1]Results!AC12</f>
        <v>3126.7310050000001</v>
      </c>
      <c r="AA300" s="6">
        <f>[1]Results!AD12</f>
        <v>3498.9724689999998</v>
      </c>
      <c r="AB300" s="6">
        <f>[1]Results!AE12</f>
        <v>3896.517801</v>
      </c>
      <c r="AC300" s="6">
        <f>[1]Results!AF12</f>
        <v>4322.0311689999999</v>
      </c>
      <c r="AD300" s="6">
        <f>[1]Results!AG12</f>
        <v>4777.3548769999998</v>
      </c>
      <c r="AE300" s="6">
        <f>[1]Results!AH12</f>
        <v>5264.9744170000004</v>
      </c>
      <c r="AF300" s="6">
        <f>[1]Results!AI12</f>
        <v>5787.7445129999996</v>
      </c>
      <c r="AG300" s="6">
        <f>[1]Results!AJ12</f>
        <v>6348.4759389999999</v>
      </c>
      <c r="AH300" s="6">
        <f>[1]Results!AK12</f>
        <v>6949.740503</v>
      </c>
      <c r="AI300" s="6">
        <f>[1]Results!AL12</f>
        <v>7593.9683269999996</v>
      </c>
      <c r="AJ300" s="6">
        <f>[1]Results!AM12</f>
        <v>8283.7196710000007</v>
      </c>
      <c r="AK300" s="6">
        <f>[1]Results!AN12</f>
        <v>9021.7329449999997</v>
      </c>
      <c r="AL300" s="6">
        <f>[1]Results!AO12</f>
        <v>9810.982172</v>
      </c>
    </row>
    <row r="302" spans="1:3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</row>
    <row r="303" spans="1:3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31921.42887</v>
      </c>
      <c r="E303" s="6">
        <f>[1]Results!H28</f>
        <v>31769.025269999998</v>
      </c>
      <c r="F303" s="6">
        <f>[1]Results!I28</f>
        <v>31782.68073</v>
      </c>
      <c r="G303" s="6">
        <f>[1]Results!J28</f>
        <v>31936.173490000001</v>
      </c>
      <c r="H303" s="6">
        <f>[1]Results!K28</f>
        <v>32190.840560000001</v>
      </c>
      <c r="I303" s="6">
        <f>[1]Results!L28</f>
        <v>32500.176080000001</v>
      </c>
      <c r="J303" s="6">
        <f>[1]Results!M28</f>
        <v>32841.252959999998</v>
      </c>
      <c r="K303" s="6">
        <f>[1]Results!N28</f>
        <v>33205.569340000002</v>
      </c>
      <c r="L303" s="6">
        <f>[1]Results!O28</f>
        <v>33589.238499999999</v>
      </c>
      <c r="M303" s="6">
        <f>[1]Results!P28</f>
        <v>33992.930890000003</v>
      </c>
      <c r="N303" s="6">
        <f>[1]Results!Q28</f>
        <v>34399.444069999998</v>
      </c>
      <c r="O303" s="6">
        <f>[1]Results!R28</f>
        <v>34798.835950000001</v>
      </c>
      <c r="P303" s="6">
        <f>[1]Results!S28</f>
        <v>35182.570749999999</v>
      </c>
      <c r="Q303" s="6">
        <f>[1]Results!T28</f>
        <v>35544.23734</v>
      </c>
      <c r="R303" s="6">
        <f>[1]Results!U28</f>
        <v>35880.241110000003</v>
      </c>
      <c r="S303" s="6">
        <f>[1]Results!V28</f>
        <v>36206.484409999997</v>
      </c>
      <c r="T303" s="6">
        <f>[1]Results!W28</f>
        <v>36528.032639999998</v>
      </c>
      <c r="U303" s="6">
        <f>[1]Results!X28</f>
        <v>36844.598440000002</v>
      </c>
      <c r="V303" s="6">
        <f>[1]Results!Y28</f>
        <v>37155.28847</v>
      </c>
      <c r="W303" s="6">
        <f>[1]Results!Z28</f>
        <v>37456.550049999998</v>
      </c>
      <c r="X303" s="6">
        <f>[1]Results!AA28</f>
        <v>37755.202299999997</v>
      </c>
      <c r="Y303" s="6">
        <f>[1]Results!AB28</f>
        <v>38054.658880000003</v>
      </c>
      <c r="Z303" s="6">
        <f>[1]Results!AC28</f>
        <v>38359.221610000001</v>
      </c>
      <c r="AA303" s="6">
        <f>[1]Results!AD28</f>
        <v>38672.858339999999</v>
      </c>
      <c r="AB303" s="6">
        <f>[1]Results!AE28</f>
        <v>38988.667269999998</v>
      </c>
      <c r="AC303" s="6">
        <f>[1]Results!AF28</f>
        <v>39318.459300000002</v>
      </c>
      <c r="AD303" s="6">
        <f>[1]Results!AG28</f>
        <v>39667.02362</v>
      </c>
      <c r="AE303" s="6">
        <f>[1]Results!AH28</f>
        <v>40039.30833</v>
      </c>
      <c r="AF303" s="6">
        <f>[1]Results!AI28</f>
        <v>40439.695529999997</v>
      </c>
      <c r="AG303" s="6">
        <f>[1]Results!AJ28</f>
        <v>40870.616620000001</v>
      </c>
      <c r="AH303" s="6">
        <f>[1]Results!AK28</f>
        <v>41332.32804</v>
      </c>
      <c r="AI303" s="6">
        <f>[1]Results!AL28</f>
        <v>41823.263039999998</v>
      </c>
      <c r="AJ303" s="6">
        <f>[1]Results!AM28</f>
        <v>42340.415260000002</v>
      </c>
      <c r="AK303" s="6">
        <f>[1]Results!AN28</f>
        <v>42879.694170000002</v>
      </c>
      <c r="AL303" s="6">
        <f>[1]Results!AO28</f>
        <v>43436.201690000002</v>
      </c>
    </row>
    <row r="304" spans="1:38" x14ac:dyDescent="0.35">
      <c r="B304" t="s">
        <v>53</v>
      </c>
      <c r="C304" s="6">
        <f>[1]Results!F29</f>
        <v>32271.24</v>
      </c>
      <c r="D304" s="6">
        <f>[1]Results!G29</f>
        <v>31856.522639999999</v>
      </c>
      <c r="E304" s="6">
        <f>[1]Results!H29</f>
        <v>31683.98445</v>
      </c>
      <c r="F304" s="6">
        <f>[1]Results!I29</f>
        <v>31675.833920000001</v>
      </c>
      <c r="G304" s="6">
        <f>[1]Results!J29</f>
        <v>31805.72509</v>
      </c>
      <c r="H304" s="6">
        <f>[1]Results!K29</f>
        <v>32035.359240000002</v>
      </c>
      <c r="I304" s="6">
        <f>[1]Results!L29</f>
        <v>32318.626619999999</v>
      </c>
      <c r="J304" s="6">
        <f>[1]Results!M29</f>
        <v>32632.573759999999</v>
      </c>
      <c r="K304" s="6">
        <f>[1]Results!N29</f>
        <v>32968.390720000003</v>
      </c>
      <c r="L304" s="6">
        <f>[1]Results!O29</f>
        <v>33321.769460000003</v>
      </c>
      <c r="M304" s="6">
        <f>[1]Results!P29</f>
        <v>33692.858189999999</v>
      </c>
      <c r="N304" s="6">
        <f>[1]Results!Q29</f>
        <v>34064.181329999999</v>
      </c>
      <c r="O304" s="6">
        <f>[1]Results!R29</f>
        <v>34425.46443</v>
      </c>
      <c r="P304" s="6">
        <f>[1]Results!S29</f>
        <v>34767.863660000003</v>
      </c>
      <c r="Q304" s="6">
        <f>[1]Results!T29</f>
        <v>35084.666960000002</v>
      </c>
      <c r="R304" s="6">
        <f>[1]Results!U29</f>
        <v>35371.956100000003</v>
      </c>
      <c r="S304" s="6">
        <f>[1]Results!V29</f>
        <v>35645.024460000001</v>
      </c>
      <c r="T304" s="6">
        <f>[1]Results!W29</f>
        <v>35908.767140000004</v>
      </c>
      <c r="U304" s="6">
        <f>[1]Results!X29</f>
        <v>36162.912539999998</v>
      </c>
      <c r="V304" s="6">
        <f>[1]Results!Y29</f>
        <v>36406.576419999998</v>
      </c>
      <c r="W304" s="6">
        <f>[1]Results!Z29</f>
        <v>36636.243139999999</v>
      </c>
      <c r="X304" s="6">
        <f>[1]Results!AA29</f>
        <v>36858.36982</v>
      </c>
      <c r="Y304" s="6">
        <f>[1]Results!AB29</f>
        <v>37076.009339999997</v>
      </c>
      <c r="Z304" s="6">
        <f>[1]Results!AC29</f>
        <v>37292.973270000002</v>
      </c>
      <c r="AA304" s="6">
        <f>[1]Results!AD29</f>
        <v>37512.649510000003</v>
      </c>
      <c r="AB304" s="6">
        <f>[1]Results!AE29</f>
        <v>37727.940020000002</v>
      </c>
      <c r="AC304" s="6">
        <f>[1]Results!AF29</f>
        <v>37949.577100000002</v>
      </c>
      <c r="AD304" s="6">
        <f>[1]Results!AG29</f>
        <v>38181.437769999997</v>
      </c>
      <c r="AE304" s="6">
        <f>[1]Results!AH29</f>
        <v>38427.425069999998</v>
      </c>
      <c r="AF304" s="6">
        <f>[1]Results!AI29</f>
        <v>38690.777049999997</v>
      </c>
      <c r="AG304" s="6">
        <f>[1]Results!AJ29</f>
        <v>38972.770149999997</v>
      </c>
      <c r="AH304" s="6">
        <f>[1]Results!AK29</f>
        <v>39272.537040000003</v>
      </c>
      <c r="AI304" s="6">
        <f>[1]Results!AL29</f>
        <v>39587.429900000003</v>
      </c>
      <c r="AJ304" s="6">
        <f>[1]Results!AM29</f>
        <v>39913.410770000002</v>
      </c>
      <c r="AK304" s="6">
        <f>[1]Results!AN29</f>
        <v>40245.41214</v>
      </c>
      <c r="AL304" s="6">
        <f>[1]Results!AO29</f>
        <v>40577.621420000003</v>
      </c>
    </row>
    <row r="305" spans="1:38" x14ac:dyDescent="0.35">
      <c r="B305" t="s">
        <v>54</v>
      </c>
      <c r="C305" s="6">
        <f>[1]Results!F45</f>
        <v>1.9359999999999999</v>
      </c>
      <c r="D305" s="6">
        <f>[1]Results!G45</f>
        <v>1.9911427610000001</v>
      </c>
      <c r="E305" s="6">
        <f>[1]Results!H45</f>
        <v>2.0604734649999998</v>
      </c>
      <c r="F305" s="6">
        <f>[1]Results!I45</f>
        <v>2.1381533469999998</v>
      </c>
      <c r="G305" s="6">
        <f>[1]Results!J45</f>
        <v>2.2225219699999998</v>
      </c>
      <c r="H305" s="6">
        <f>[1]Results!K45</f>
        <v>2.310846266</v>
      </c>
      <c r="I305" s="6">
        <f>[1]Results!L45</f>
        <v>2.399657382</v>
      </c>
      <c r="J305" s="6">
        <f>[1]Results!M45</f>
        <v>2.4873471920000001</v>
      </c>
      <c r="K305" s="6">
        <f>[1]Results!N45</f>
        <v>2.573446224</v>
      </c>
      <c r="L305" s="6">
        <f>[1]Results!O45</f>
        <v>2.6578349590000001</v>
      </c>
      <c r="M305" s="6">
        <f>[1]Results!P45</f>
        <v>2.7407475610000001</v>
      </c>
      <c r="N305" s="6">
        <f>[1]Results!Q45</f>
        <v>2.820923928</v>
      </c>
      <c r="O305" s="6">
        <f>[1]Results!R45</f>
        <v>2.897673444</v>
      </c>
      <c r="P305" s="6">
        <f>[1]Results!S45</f>
        <v>2.9704016649999998</v>
      </c>
      <c r="Q305" s="6">
        <f>[1]Results!T45</f>
        <v>3.038672579</v>
      </c>
      <c r="R305" s="6">
        <f>[1]Results!U45</f>
        <v>3.1022682490000002</v>
      </c>
      <c r="S305" s="6">
        <f>[1]Results!V45</f>
        <v>3.1625727330000002</v>
      </c>
      <c r="T305" s="6">
        <f>[1]Results!W45</f>
        <v>3.2201099989999999</v>
      </c>
      <c r="U305" s="6">
        <f>[1]Results!X45</f>
        <v>3.2749692110000002</v>
      </c>
      <c r="V305" s="6">
        <f>[1]Results!Y45</f>
        <v>3.3271807170000001</v>
      </c>
      <c r="W305" s="6">
        <f>[1]Results!Z45</f>
        <v>3.3765461189999999</v>
      </c>
      <c r="X305" s="6">
        <f>[1]Results!AA45</f>
        <v>3.4236942560000001</v>
      </c>
      <c r="Y305" s="6">
        <f>[1]Results!AB45</f>
        <v>3.4689708889999999</v>
      </c>
      <c r="Z305" s="6">
        <f>[1]Results!AC45</f>
        <v>3.5127838640000002</v>
      </c>
      <c r="AA305" s="6">
        <f>[1]Results!AD45</f>
        <v>3.5555048619999998</v>
      </c>
      <c r="AB305" s="6">
        <f>[1]Results!AE45</f>
        <v>3.5966235530000001</v>
      </c>
      <c r="AC305" s="6">
        <f>[1]Results!AF45</f>
        <v>3.6371130370000002</v>
      </c>
      <c r="AD305" s="6">
        <f>[1]Results!AG45</f>
        <v>3.6773798470000001</v>
      </c>
      <c r="AE305" s="6">
        <f>[1]Results!AH45</f>
        <v>3.7178326359999998</v>
      </c>
      <c r="AF305" s="6">
        <f>[1]Results!AI45</f>
        <v>3.7588241710000001</v>
      </c>
      <c r="AG305" s="6">
        <f>[1]Results!AJ45</f>
        <v>3.800541543</v>
      </c>
      <c r="AH305" s="6">
        <f>[1]Results!AK45</f>
        <v>3.8429883920000001</v>
      </c>
      <c r="AI305" s="6">
        <f>[1]Results!AL45</f>
        <v>3.8860128829999998</v>
      </c>
      <c r="AJ305" s="6">
        <f>[1]Results!AM45</f>
        <v>3.9293385719999998</v>
      </c>
      <c r="AK305" s="6">
        <f>[1]Results!AN45</f>
        <v>3.9725933979999999</v>
      </c>
      <c r="AL305" s="6">
        <f>[1]Results!AO45</f>
        <v>4.0153328290000001</v>
      </c>
    </row>
    <row r="306" spans="1:38" x14ac:dyDescent="0.35">
      <c r="B306" t="s">
        <v>55</v>
      </c>
      <c r="C306" s="6">
        <f>[1]Results!F37</f>
        <v>44.765000000000001</v>
      </c>
      <c r="D306" s="6">
        <f>[1]Results!G37</f>
        <v>62.915090480000003</v>
      </c>
      <c r="E306" s="6">
        <f>[1]Results!H37</f>
        <v>82.980340990000002</v>
      </c>
      <c r="F306" s="6">
        <f>[1]Results!I37</f>
        <v>104.7086468</v>
      </c>
      <c r="G306" s="6">
        <f>[1]Results!J37</f>
        <v>128.22587590000001</v>
      </c>
      <c r="H306" s="6">
        <f>[1]Results!K37</f>
        <v>153.17047059999999</v>
      </c>
      <c r="I306" s="6">
        <f>[1]Results!L37</f>
        <v>179.1497976</v>
      </c>
      <c r="J306" s="6">
        <f>[1]Results!M37</f>
        <v>206.1918459</v>
      </c>
      <c r="K306" s="6">
        <f>[1]Results!N37</f>
        <v>234.60517859999999</v>
      </c>
      <c r="L306" s="6">
        <f>[1]Results!O37</f>
        <v>264.81121610000002</v>
      </c>
      <c r="M306" s="6">
        <f>[1]Results!P37</f>
        <v>297.33194989999998</v>
      </c>
      <c r="N306" s="6">
        <f>[1]Results!Q37</f>
        <v>332.44181859999998</v>
      </c>
      <c r="O306" s="6">
        <f>[1]Results!R37</f>
        <v>370.47384349999999</v>
      </c>
      <c r="P306" s="6">
        <f>[1]Results!S37</f>
        <v>411.73669749999999</v>
      </c>
      <c r="Q306" s="6">
        <f>[1]Results!T37</f>
        <v>456.53171179999998</v>
      </c>
      <c r="R306" s="6">
        <f>[1]Results!U37</f>
        <v>505.1827432</v>
      </c>
      <c r="S306" s="6">
        <f>[1]Results!V37</f>
        <v>558.29737969999996</v>
      </c>
      <c r="T306" s="6">
        <f>[1]Results!W37</f>
        <v>616.04538060000004</v>
      </c>
      <c r="U306" s="6">
        <f>[1]Results!X37</f>
        <v>678.41092460000004</v>
      </c>
      <c r="V306" s="6">
        <f>[1]Results!Y37</f>
        <v>745.38486130000001</v>
      </c>
      <c r="W306" s="6">
        <f>[1]Results!Z37</f>
        <v>816.93036989999996</v>
      </c>
      <c r="X306" s="6">
        <f>[1]Results!AA37</f>
        <v>893.40878980000002</v>
      </c>
      <c r="Y306" s="6">
        <f>[1]Results!AB37</f>
        <v>975.1805703</v>
      </c>
      <c r="Z306" s="6">
        <f>[1]Results!AC37</f>
        <v>1062.7355560000001</v>
      </c>
      <c r="AA306" s="6">
        <f>[1]Results!AD37</f>
        <v>1156.653327</v>
      </c>
      <c r="AB306" s="6">
        <f>[1]Results!AE37</f>
        <v>1257.130631</v>
      </c>
      <c r="AC306" s="6">
        <f>[1]Results!AF37</f>
        <v>1365.2451040000001</v>
      </c>
      <c r="AD306" s="6">
        <f>[1]Results!AG37</f>
        <v>1481.9084800000001</v>
      </c>
      <c r="AE306" s="6">
        <f>[1]Results!AH37</f>
        <v>1608.165446</v>
      </c>
      <c r="AF306" s="6">
        <f>[1]Results!AI37</f>
        <v>1745.159674</v>
      </c>
      <c r="AG306" s="6">
        <f>[1]Results!AJ37</f>
        <v>1894.0459410000001</v>
      </c>
      <c r="AH306" s="6">
        <f>[1]Results!AK37</f>
        <v>2055.9480319999998</v>
      </c>
      <c r="AI306" s="6">
        <f>[1]Results!AL37</f>
        <v>2231.9471530000001</v>
      </c>
      <c r="AJ306" s="6">
        <f>[1]Results!AM37</f>
        <v>2423.0751799999998</v>
      </c>
      <c r="AK306" s="6">
        <f>[1]Results!AN37</f>
        <v>2630.309467</v>
      </c>
      <c r="AL306" s="6">
        <f>[1]Results!AO37</f>
        <v>2854.5649720000001</v>
      </c>
    </row>
    <row r="308" spans="1:3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7139.7186659999998</v>
      </c>
      <c r="E308" s="5">
        <f>[1]Hybrid!D18</f>
        <v>7244.7275209999998</v>
      </c>
      <c r="F308" s="5">
        <f>[1]Hybrid!E18</f>
        <v>7390.7997109999997</v>
      </c>
      <c r="G308" s="5">
        <f>[1]Hybrid!F18</f>
        <v>7572.0470619999996</v>
      </c>
      <c r="H308" s="5">
        <f>[1]Hybrid!G18</f>
        <v>7778.2302110000001</v>
      </c>
      <c r="I308" s="5">
        <f>[1]Hybrid!H18</f>
        <v>7996.7463280000002</v>
      </c>
      <c r="J308" s="5">
        <f>[1]Hybrid!I18</f>
        <v>8193.3990979999999</v>
      </c>
      <c r="K308" s="5">
        <f>[1]Hybrid!J18</f>
        <v>8388.8683880000008</v>
      </c>
      <c r="L308" s="5">
        <f>[1]Hybrid!K18</f>
        <v>8591.8834530000004</v>
      </c>
      <c r="M308" s="5">
        <f>[1]Hybrid!L18</f>
        <v>8804.3022509999992</v>
      </c>
      <c r="N308" s="5">
        <f>[1]Hybrid!M18</f>
        <v>9029.6743019999994</v>
      </c>
      <c r="O308" s="5">
        <f>[1]Hybrid!N18</f>
        <v>9258.9807419999997</v>
      </c>
      <c r="P308" s="5">
        <f>[1]Hybrid!O18</f>
        <v>9483.1876609999999</v>
      </c>
      <c r="Q308" s="5">
        <f>[1]Hybrid!P18</f>
        <v>9695.9594789999992</v>
      </c>
      <c r="R308" s="5">
        <f>[1]Hybrid!Q18</f>
        <v>9893.4996850000007</v>
      </c>
      <c r="S308" s="5">
        <f>[1]Hybrid!R18</f>
        <v>10071.35656</v>
      </c>
      <c r="T308" s="5">
        <f>[1]Hybrid!S18</f>
        <v>10231.548720000001</v>
      </c>
      <c r="U308" s="5">
        <f>[1]Hybrid!T18</f>
        <v>10375.675880000001</v>
      </c>
      <c r="V308" s="5">
        <f>[1]Hybrid!U18</f>
        <v>10504.932769999999</v>
      </c>
      <c r="W308" s="5">
        <f>[1]Hybrid!V18</f>
        <v>10619.303470000001</v>
      </c>
      <c r="X308" s="5">
        <f>[1]Hybrid!W18</f>
        <v>10721.605100000001</v>
      </c>
      <c r="Y308" s="5">
        <f>[1]Hybrid!X18</f>
        <v>10813.37954</v>
      </c>
      <c r="Z308" s="5">
        <f>[1]Hybrid!Y18</f>
        <v>10896.45025</v>
      </c>
      <c r="AA308" s="5">
        <f>[1]Hybrid!Z18</f>
        <v>10972.51074</v>
      </c>
      <c r="AB308" s="5">
        <f>[1]Hybrid!AA18</f>
        <v>11039.97206</v>
      </c>
      <c r="AC308" s="5">
        <f>[1]Hybrid!AB18</f>
        <v>11102.5491</v>
      </c>
      <c r="AD308" s="5">
        <f>[1]Hybrid!AC18</f>
        <v>11161.800639999999</v>
      </c>
      <c r="AE308" s="5">
        <f>[1]Hybrid!AD18</f>
        <v>11219.68548</v>
      </c>
      <c r="AF308" s="5">
        <f>[1]Hybrid!AE18</f>
        <v>11277.98567</v>
      </c>
      <c r="AG308" s="5">
        <f>[1]Hybrid!AF18</f>
        <v>11337.775900000001</v>
      </c>
      <c r="AH308" s="5">
        <f>[1]Hybrid!AG18</f>
        <v>11399.347519999999</v>
      </c>
      <c r="AI308" s="5">
        <f>[1]Hybrid!AH18</f>
        <v>11462.495580000001</v>
      </c>
      <c r="AJ308" s="5">
        <f>[1]Hybrid!AI18</f>
        <v>11526.891900000001</v>
      </c>
      <c r="AK308" s="5">
        <f>[1]Hybrid!AJ18</f>
        <v>11592.142610000001</v>
      </c>
      <c r="AL308" s="5">
        <f>[1]Hybrid!AK18</f>
        <v>11657.84966</v>
      </c>
    </row>
    <row r="309" spans="1:3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8180.8327239999999</v>
      </c>
      <c r="E309" s="5">
        <f>[1]Hybrid!D20</f>
        <v>8176.5979010000001</v>
      </c>
      <c r="F309" s="5">
        <f>[1]Hybrid!E20</f>
        <v>8218.4349419999999</v>
      </c>
      <c r="G309" s="5">
        <f>[1]Hybrid!F20</f>
        <v>8299.8753959999995</v>
      </c>
      <c r="H309" s="5">
        <f>[1]Hybrid!G20</f>
        <v>8410.6111899999996</v>
      </c>
      <c r="I309" s="5">
        <f>[1]Hybrid!H20</f>
        <v>8538.0313900000001</v>
      </c>
      <c r="J309" s="5">
        <f>[1]Hybrid!I20</f>
        <v>8648.3740159999998</v>
      </c>
      <c r="K309" s="5">
        <f>[1]Hybrid!J20</f>
        <v>8759.3544519999996</v>
      </c>
      <c r="L309" s="5">
        <f>[1]Hybrid!K20</f>
        <v>8878.5152070000004</v>
      </c>
      <c r="M309" s="5">
        <f>[1]Hybrid!L20</f>
        <v>9007.0506160000004</v>
      </c>
      <c r="N309" s="5">
        <f>[1]Hybrid!M20</f>
        <v>9148.2359500000002</v>
      </c>
      <c r="O309" s="5">
        <f>[1]Hybrid!N20</f>
        <v>9294.3477220000004</v>
      </c>
      <c r="P309" s="5">
        <f>[1]Hybrid!O20</f>
        <v>9437.4985159999997</v>
      </c>
      <c r="Q309" s="5">
        <f>[1]Hybrid!P20</f>
        <v>9572.1776219999992</v>
      </c>
      <c r="R309" s="5">
        <f>[1]Hybrid!Q20</f>
        <v>9695.1127209999995</v>
      </c>
      <c r="S309" s="5">
        <f>[1]Hybrid!R20</f>
        <v>9802.2760259999995</v>
      </c>
      <c r="T309" s="5">
        <f>[1]Hybrid!S20</f>
        <v>9895.4170269999995</v>
      </c>
      <c r="U309" s="5">
        <f>[1]Hybrid!T20</f>
        <v>9976.0103440000003</v>
      </c>
      <c r="V309" s="5">
        <f>[1]Hybrid!U20</f>
        <v>10045.15863</v>
      </c>
      <c r="W309" s="5">
        <f>[1]Hybrid!V20</f>
        <v>10102.827359999999</v>
      </c>
      <c r="X309" s="5">
        <f>[1]Hybrid!W20</f>
        <v>10151.481169999999</v>
      </c>
      <c r="Y309" s="5">
        <f>[1]Hybrid!X20</f>
        <v>10192.38262</v>
      </c>
      <c r="Z309" s="5">
        <f>[1]Hybrid!Y20</f>
        <v>10227.007019999999</v>
      </c>
      <c r="AA309" s="5">
        <f>[1]Hybrid!Z20</f>
        <v>10256.676149999999</v>
      </c>
      <c r="AB309" s="5">
        <f>[1]Hybrid!AA20</f>
        <v>10279.75243</v>
      </c>
      <c r="AC309" s="5">
        <f>[1]Hybrid!AB20</f>
        <v>10299.294610000001</v>
      </c>
      <c r="AD309" s="5">
        <f>[1]Hybrid!AC20</f>
        <v>10316.39522</v>
      </c>
      <c r="AE309" s="5">
        <f>[1]Hybrid!AD20</f>
        <v>10332.48245</v>
      </c>
      <c r="AF309" s="5">
        <f>[1]Hybrid!AE20</f>
        <v>10348.837810000001</v>
      </c>
      <c r="AG309" s="5">
        <f>[1]Hybrid!AF20</f>
        <v>10366.1373</v>
      </c>
      <c r="AH309" s="5">
        <f>[1]Hybrid!AG20</f>
        <v>10384.38586</v>
      </c>
      <c r="AI309" s="5">
        <f>[1]Hybrid!AH20</f>
        <v>10403.16858</v>
      </c>
      <c r="AJ309" s="5">
        <f>[1]Hybrid!AI20</f>
        <v>10421.98379</v>
      </c>
      <c r="AK309" s="5">
        <f>[1]Hybrid!AJ20</f>
        <v>10440.29789</v>
      </c>
      <c r="AL309" s="5">
        <f>[1]Hybrid!AK20</f>
        <v>10457.594510000001</v>
      </c>
    </row>
    <row r="310" spans="1:3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6645.4064490000001</v>
      </c>
      <c r="E310" s="5">
        <f>[1]Hybrid!D22</f>
        <v>6564.7421899999999</v>
      </c>
      <c r="F310" s="5">
        <f>[1]Hybrid!E22</f>
        <v>6520.9766870000003</v>
      </c>
      <c r="G310" s="5">
        <f>[1]Hybrid!F22</f>
        <v>6509.0458699999999</v>
      </c>
      <c r="H310" s="5">
        <f>[1]Hybrid!G22</f>
        <v>6521.4608749999998</v>
      </c>
      <c r="I310" s="5">
        <f>[1]Hybrid!H22</f>
        <v>6549.119256</v>
      </c>
      <c r="J310" s="5">
        <f>[1]Hybrid!I22</f>
        <v>6568.0044989999997</v>
      </c>
      <c r="K310" s="5">
        <f>[1]Hybrid!J22</f>
        <v>6588.9423139999999</v>
      </c>
      <c r="L310" s="5">
        <f>[1]Hybrid!K22</f>
        <v>6616.5972519999996</v>
      </c>
      <c r="M310" s="5">
        <f>[1]Hybrid!L22</f>
        <v>6651.4154070000004</v>
      </c>
      <c r="N310" s="5">
        <f>[1]Hybrid!M22</f>
        <v>6695.5794420000002</v>
      </c>
      <c r="O310" s="5">
        <f>[1]Hybrid!N22</f>
        <v>6744.3405540000003</v>
      </c>
      <c r="P310" s="5">
        <f>[1]Hybrid!O22</f>
        <v>6792.7326819999998</v>
      </c>
      <c r="Q310" s="5">
        <f>[1]Hybrid!P22</f>
        <v>6837.2906579999999</v>
      </c>
      <c r="R310" s="5">
        <f>[1]Hybrid!Q22</f>
        <v>6875.9664069999999</v>
      </c>
      <c r="S310" s="5">
        <f>[1]Hybrid!R22</f>
        <v>6906.108448</v>
      </c>
      <c r="T310" s="5">
        <f>[1]Hybrid!S22</f>
        <v>6928.785707</v>
      </c>
      <c r="U310" s="5">
        <f>[1]Hybrid!T22</f>
        <v>6944.9562759999999</v>
      </c>
      <c r="V310" s="5">
        <f>[1]Hybrid!U22</f>
        <v>6955.3319680000004</v>
      </c>
      <c r="W310" s="5">
        <f>[1]Hybrid!V22</f>
        <v>6959.8552680000003</v>
      </c>
      <c r="X310" s="5">
        <f>[1]Hybrid!W22</f>
        <v>6960.0602740000004</v>
      </c>
      <c r="Y310" s="5">
        <f>[1]Hybrid!X22</f>
        <v>6956.6663619999999</v>
      </c>
      <c r="Z310" s="5">
        <f>[1]Hybrid!Y22</f>
        <v>6950.5067349999999</v>
      </c>
      <c r="AA310" s="5">
        <f>[1]Hybrid!Z22</f>
        <v>6942.2934660000001</v>
      </c>
      <c r="AB310" s="5">
        <f>[1]Hybrid!AA22</f>
        <v>6930.8141180000002</v>
      </c>
      <c r="AC310" s="5">
        <f>[1]Hybrid!AB22</f>
        <v>6917.8624330000002</v>
      </c>
      <c r="AD310" s="5">
        <f>[1]Hybrid!AC22</f>
        <v>6903.9414770000003</v>
      </c>
      <c r="AE310" s="5">
        <f>[1]Hybrid!AD22</f>
        <v>6889.7611619999998</v>
      </c>
      <c r="AF310" s="5">
        <f>[1]Hybrid!AE22</f>
        <v>6875.9480130000002</v>
      </c>
      <c r="AG310" s="5">
        <f>[1]Hybrid!AF22</f>
        <v>6862.7585200000003</v>
      </c>
      <c r="AH310" s="5">
        <f>[1]Hybrid!AG22</f>
        <v>6850.0379380000004</v>
      </c>
      <c r="AI310" s="5">
        <f>[1]Hybrid!AH22</f>
        <v>6837.3790680000002</v>
      </c>
      <c r="AJ310" s="5">
        <f>[1]Hybrid!AI22</f>
        <v>6824.3369780000003</v>
      </c>
      <c r="AK310" s="5">
        <f>[1]Hybrid!AJ22</f>
        <v>6810.4662509999998</v>
      </c>
      <c r="AL310" s="5">
        <f>[1]Hybrid!AK22</f>
        <v>6795.349021</v>
      </c>
    </row>
    <row r="311" spans="1:3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4054.0478400000002</v>
      </c>
      <c r="E311" s="5">
        <f>[1]Hybrid!D24</f>
        <v>3977.8598659999998</v>
      </c>
      <c r="F311" s="5">
        <f>[1]Hybrid!E24</f>
        <v>3922.4017629999998</v>
      </c>
      <c r="G311" s="5">
        <f>[1]Hybrid!F24</f>
        <v>3884.4081849999998</v>
      </c>
      <c r="H311" s="5">
        <f>[1]Hybrid!G24</f>
        <v>3859.5346209999998</v>
      </c>
      <c r="I311" s="5">
        <f>[1]Hybrid!H24</f>
        <v>3842.6165799999999</v>
      </c>
      <c r="J311" s="5">
        <f>[1]Hybrid!I24</f>
        <v>3820.4169619999998</v>
      </c>
      <c r="K311" s="5">
        <f>[1]Hybrid!J24</f>
        <v>3798.097589</v>
      </c>
      <c r="L311" s="5">
        <f>[1]Hybrid!K24</f>
        <v>3778.193413</v>
      </c>
      <c r="M311" s="5">
        <f>[1]Hybrid!L24</f>
        <v>3761.145865</v>
      </c>
      <c r="N311" s="5">
        <f>[1]Hybrid!M24</f>
        <v>3748.39554</v>
      </c>
      <c r="O311" s="5">
        <f>[1]Hybrid!N24</f>
        <v>3738.0402650000001</v>
      </c>
      <c r="P311" s="5">
        <f>[1]Hybrid!O24</f>
        <v>3728.087141</v>
      </c>
      <c r="Q311" s="5">
        <f>[1]Hybrid!P24</f>
        <v>3717.2593240000001</v>
      </c>
      <c r="R311" s="5">
        <f>[1]Hybrid!Q24</f>
        <v>3704.9151109999998</v>
      </c>
      <c r="S311" s="5">
        <f>[1]Hybrid!R24</f>
        <v>3690.0490580000001</v>
      </c>
      <c r="T311" s="5">
        <f>[1]Hybrid!S24</f>
        <v>3673.3788300000001</v>
      </c>
      <c r="U311" s="5">
        <f>[1]Hybrid!T24</f>
        <v>3655.5502219999998</v>
      </c>
      <c r="V311" s="5">
        <f>[1]Hybrid!U24</f>
        <v>3637.035805</v>
      </c>
      <c r="W311" s="5">
        <f>[1]Hybrid!V24</f>
        <v>3617.869185</v>
      </c>
      <c r="X311" s="5">
        <f>[1]Hybrid!W24</f>
        <v>3598.7892980000001</v>
      </c>
      <c r="Y311" s="5">
        <f>[1]Hybrid!X24</f>
        <v>3580.087188</v>
      </c>
      <c r="Z311" s="5">
        <f>[1]Hybrid!Y24</f>
        <v>3562.0684270000002</v>
      </c>
      <c r="AA311" s="5">
        <f>[1]Hybrid!Z24</f>
        <v>3544.9418449999998</v>
      </c>
      <c r="AB311" s="5">
        <f>[1]Hybrid!AA24</f>
        <v>3527.941096</v>
      </c>
      <c r="AC311" s="5">
        <f>[1]Hybrid!AB24</f>
        <v>3511.727832</v>
      </c>
      <c r="AD311" s="5">
        <f>[1]Hybrid!AC24</f>
        <v>3496.298076</v>
      </c>
      <c r="AE311" s="5">
        <f>[1]Hybrid!AD24</f>
        <v>3481.7465659999998</v>
      </c>
      <c r="AF311" s="5">
        <f>[1]Hybrid!AE24</f>
        <v>3468.1674910000002</v>
      </c>
      <c r="AG311" s="5">
        <f>[1]Hybrid!AF24</f>
        <v>3455.5223999999998</v>
      </c>
      <c r="AH311" s="5">
        <f>[1]Hybrid!AG24</f>
        <v>3443.610666</v>
      </c>
      <c r="AI311" s="5">
        <f>[1]Hybrid!AH24</f>
        <v>3432.1367380000002</v>
      </c>
      <c r="AJ311" s="5">
        <f>[1]Hybrid!AI24</f>
        <v>3420.8200980000001</v>
      </c>
      <c r="AK311" s="5">
        <f>[1]Hybrid!AJ24</f>
        <v>3409.4178910000001</v>
      </c>
      <c r="AL311" s="5">
        <f>[1]Hybrid!AK24</f>
        <v>3397.7332740000002</v>
      </c>
    </row>
    <row r="312" spans="1:3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2442.48623</v>
      </c>
      <c r="E312" s="5">
        <f>[1]Hybrid!D26</f>
        <v>2398.1237219999998</v>
      </c>
      <c r="F312" s="5">
        <f>[1]Hybrid!E26</f>
        <v>2365.101971</v>
      </c>
      <c r="G312" s="5">
        <f>[1]Hybrid!F26</f>
        <v>2341.2948379999998</v>
      </c>
      <c r="H312" s="5">
        <f>[1]Hybrid!G26</f>
        <v>2324.0660750000002</v>
      </c>
      <c r="I312" s="5">
        <f>[1]Hybrid!H26</f>
        <v>2310.3046680000002</v>
      </c>
      <c r="J312" s="5">
        <f>[1]Hybrid!I26</f>
        <v>2291.9912100000001</v>
      </c>
      <c r="K312" s="5">
        <f>[1]Hybrid!J26</f>
        <v>2271.8143049999999</v>
      </c>
      <c r="L312" s="5">
        <f>[1]Hybrid!K26</f>
        <v>2251.2600389999998</v>
      </c>
      <c r="M312" s="5">
        <f>[1]Hybrid!L26</f>
        <v>2230.6254079999999</v>
      </c>
      <c r="N312" s="5">
        <f>[1]Hybrid!M26</f>
        <v>2210.8866250000001</v>
      </c>
      <c r="O312" s="5">
        <f>[1]Hybrid!N26</f>
        <v>2191.3450659999999</v>
      </c>
      <c r="P312" s="5">
        <f>[1]Hybrid!O26</f>
        <v>2171.2499929999999</v>
      </c>
      <c r="Q312" s="5">
        <f>[1]Hybrid!P26</f>
        <v>2150.2137339999999</v>
      </c>
      <c r="R312" s="5">
        <f>[1]Hybrid!Q26</f>
        <v>2128.146354</v>
      </c>
      <c r="S312" s="5">
        <f>[1]Hybrid!R26</f>
        <v>2104.7118</v>
      </c>
      <c r="T312" s="5">
        <f>[1]Hybrid!S26</f>
        <v>2080.417148</v>
      </c>
      <c r="U312" s="5">
        <f>[1]Hybrid!T26</f>
        <v>2055.7176169999998</v>
      </c>
      <c r="V312" s="5">
        <f>[1]Hybrid!U26</f>
        <v>2030.946387</v>
      </c>
      <c r="W312" s="5">
        <f>[1]Hybrid!V26</f>
        <v>2006.1757540000001</v>
      </c>
      <c r="X312" s="5">
        <f>[1]Hybrid!W26</f>
        <v>1981.7984329999999</v>
      </c>
      <c r="Y312" s="5">
        <f>[1]Hybrid!X26</f>
        <v>1957.9474680000001</v>
      </c>
      <c r="Z312" s="5">
        <f>[1]Hybrid!Y26</f>
        <v>1934.737392</v>
      </c>
      <c r="AA312" s="5">
        <f>[1]Hybrid!Z26</f>
        <v>1912.2105509999999</v>
      </c>
      <c r="AB312" s="5">
        <f>[1]Hybrid!AA26</f>
        <v>1889.9116369999999</v>
      </c>
      <c r="AC312" s="5">
        <f>[1]Hybrid!AB26</f>
        <v>1868.065108</v>
      </c>
      <c r="AD312" s="5">
        <f>[1]Hybrid!AC26</f>
        <v>1846.5495020000001</v>
      </c>
      <c r="AE312" s="5">
        <f>[1]Hybrid!AD26</f>
        <v>1825.286535</v>
      </c>
      <c r="AF312" s="5">
        <f>[1]Hybrid!AE26</f>
        <v>1804.2108860000001</v>
      </c>
      <c r="AG312" s="5">
        <f>[1]Hybrid!AF26</f>
        <v>1783.212546</v>
      </c>
      <c r="AH312" s="5">
        <f>[1]Hybrid!AG26</f>
        <v>1762.122693</v>
      </c>
      <c r="AI312" s="5">
        <f>[1]Hybrid!AH26</f>
        <v>1740.744019</v>
      </c>
      <c r="AJ312" s="5">
        <f>[1]Hybrid!AI26</f>
        <v>1718.9040170000001</v>
      </c>
      <c r="AK312" s="5">
        <f>[1]Hybrid!AJ26</f>
        <v>1696.4662760000001</v>
      </c>
      <c r="AL312" s="5">
        <f>[1]Hybrid!AK26</f>
        <v>1673.330997</v>
      </c>
    </row>
    <row r="313" spans="1:3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1210.5870379999999</v>
      </c>
      <c r="E313" s="5">
        <f>[1]Hybrid!D28</f>
        <v>1184.4493259999999</v>
      </c>
      <c r="F313" s="5">
        <f>[1]Hybrid!E28</f>
        <v>1162.270395</v>
      </c>
      <c r="G313" s="5">
        <f>[1]Hybrid!F28</f>
        <v>1142.8421370000001</v>
      </c>
      <c r="H313" s="5">
        <f>[1]Hybrid!G28</f>
        <v>1124.9264740000001</v>
      </c>
      <c r="I313" s="5">
        <f>[1]Hybrid!H28</f>
        <v>1107.1524999999999</v>
      </c>
      <c r="J313" s="5">
        <f>[1]Hybrid!I28</f>
        <v>1086.062717</v>
      </c>
      <c r="K313" s="5">
        <f>[1]Hybrid!J28</f>
        <v>1062.632854</v>
      </c>
      <c r="L313" s="5">
        <f>[1]Hybrid!K28</f>
        <v>1037.6174920000001</v>
      </c>
      <c r="M313" s="5">
        <f>[1]Hybrid!L28</f>
        <v>1011.314048</v>
      </c>
      <c r="N313" s="5">
        <f>[1]Hybrid!M28</f>
        <v>984.33095790000004</v>
      </c>
      <c r="O313" s="5">
        <f>[1]Hybrid!N28</f>
        <v>956.80833740000003</v>
      </c>
      <c r="P313" s="5">
        <f>[1]Hybrid!O28</f>
        <v>928.87417589999995</v>
      </c>
      <c r="Q313" s="5">
        <f>[1]Hybrid!P28</f>
        <v>900.73665430000005</v>
      </c>
      <c r="R313" s="5">
        <f>[1]Hybrid!Q28</f>
        <v>872.6361316</v>
      </c>
      <c r="S313" s="5">
        <f>[1]Hybrid!R28</f>
        <v>844.68098729999997</v>
      </c>
      <c r="T313" s="5">
        <f>[1]Hybrid!S28</f>
        <v>817.15602869999998</v>
      </c>
      <c r="U313" s="5">
        <f>[1]Hybrid!T28</f>
        <v>790.29040689999999</v>
      </c>
      <c r="V313" s="5">
        <f>[1]Hybrid!U28</f>
        <v>764.23753369999997</v>
      </c>
      <c r="W313" s="5">
        <f>[1]Hybrid!V28</f>
        <v>739.04308390000006</v>
      </c>
      <c r="X313" s="5">
        <f>[1]Hybrid!W28</f>
        <v>714.80185840000001</v>
      </c>
      <c r="Y313" s="5">
        <f>[1]Hybrid!X28</f>
        <v>691.51380010000003</v>
      </c>
      <c r="Z313" s="5">
        <f>[1]Hybrid!Y28</f>
        <v>669.15440179999996</v>
      </c>
      <c r="AA313" s="5">
        <f>[1]Hybrid!Z28</f>
        <v>647.6645479</v>
      </c>
      <c r="AB313" s="5">
        <f>[1]Hybrid!AA28</f>
        <v>626.85586269999999</v>
      </c>
      <c r="AC313" s="5">
        <f>[1]Hybrid!AB28</f>
        <v>606.68999040000006</v>
      </c>
      <c r="AD313" s="5">
        <f>[1]Hybrid!AC28</f>
        <v>587.0399979</v>
      </c>
      <c r="AE313" s="5">
        <f>[1]Hybrid!AD28</f>
        <v>567.79522929999996</v>
      </c>
      <c r="AF313" s="5">
        <f>[1]Hybrid!AE28</f>
        <v>548.8681259</v>
      </c>
      <c r="AG313" s="5">
        <f>[1]Hybrid!AF28</f>
        <v>530.18429170000002</v>
      </c>
      <c r="AH313" s="5">
        <f>[1]Hybrid!AG28</f>
        <v>511.67749120000002</v>
      </c>
      <c r="AI313" s="5">
        <f>[1]Hybrid!AH28</f>
        <v>493.2932667</v>
      </c>
      <c r="AJ313" s="5">
        <f>[1]Hybrid!AI28</f>
        <v>474.99911839999999</v>
      </c>
      <c r="AK313" s="5">
        <f>[1]Hybrid!AJ28</f>
        <v>456.78493700000001</v>
      </c>
      <c r="AL313" s="5">
        <f>[1]Hybrid!AK28</f>
        <v>438.65899519999999</v>
      </c>
    </row>
    <row r="314" spans="1:3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2183.4436900000001</v>
      </c>
      <c r="E314" s="5">
        <f>[1]Hybrid!D30</f>
        <v>2137.4839270000002</v>
      </c>
      <c r="F314" s="5">
        <f>[1]Hybrid!E30</f>
        <v>2095.8484589999998</v>
      </c>
      <c r="G314" s="5">
        <f>[1]Hybrid!F30</f>
        <v>2056.2116099999998</v>
      </c>
      <c r="H314" s="5">
        <f>[1]Hybrid!G30</f>
        <v>2016.529802</v>
      </c>
      <c r="I314" s="5">
        <f>[1]Hybrid!H30</f>
        <v>1974.6559070000001</v>
      </c>
      <c r="J314" s="5">
        <f>[1]Hybrid!I30</f>
        <v>1924.9727929999999</v>
      </c>
      <c r="K314" s="5">
        <f>[1]Hybrid!J30</f>
        <v>1869.16706</v>
      </c>
      <c r="L314" s="5">
        <f>[1]Hybrid!K30</f>
        <v>1808.9289759999999</v>
      </c>
      <c r="M314" s="5">
        <f>[1]Hybrid!L30</f>
        <v>1745.227531</v>
      </c>
      <c r="N314" s="5">
        <f>[1]Hybrid!M30</f>
        <v>1679.5236640000001</v>
      </c>
      <c r="O314" s="5">
        <f>[1]Hybrid!N30</f>
        <v>1612.684968</v>
      </c>
      <c r="P314" s="5">
        <f>[1]Hybrid!O30</f>
        <v>1545.4787899999999</v>
      </c>
      <c r="Q314" s="5">
        <f>[1]Hybrid!P30</f>
        <v>1478.6550440000001</v>
      </c>
      <c r="R314" s="5">
        <f>[1]Hybrid!Q30</f>
        <v>1412.8725260000001</v>
      </c>
      <c r="S314" s="5">
        <f>[1]Hybrid!R30</f>
        <v>1348.516533</v>
      </c>
      <c r="T314" s="5">
        <f>[1]Hybrid!S30</f>
        <v>1286.0725130000001</v>
      </c>
      <c r="U314" s="5">
        <f>[1]Hybrid!T30</f>
        <v>1225.894157</v>
      </c>
      <c r="V314" s="5">
        <f>[1]Hybrid!U30</f>
        <v>1168.1909470000001</v>
      </c>
      <c r="W314" s="5">
        <f>[1]Hybrid!V30</f>
        <v>1113.0075959999999</v>
      </c>
      <c r="X314" s="5">
        <f>[1]Hybrid!W30</f>
        <v>1060.4017469999999</v>
      </c>
      <c r="Y314" s="5">
        <f>[1]Hybrid!X30</f>
        <v>1010.303852</v>
      </c>
      <c r="Z314" s="5">
        <f>[1]Hybrid!Y30</f>
        <v>962.60221130000002</v>
      </c>
      <c r="AA314" s="5">
        <f>[1]Hybrid!Z30</f>
        <v>917.1390298</v>
      </c>
      <c r="AB314" s="5">
        <f>[1]Hybrid!AA30</f>
        <v>873.62881630000004</v>
      </c>
      <c r="AC314" s="5">
        <f>[1]Hybrid!AB30</f>
        <v>831.92815540000004</v>
      </c>
      <c r="AD314" s="5">
        <f>[1]Hybrid!AC30</f>
        <v>791.81420260000004</v>
      </c>
      <c r="AE314" s="5">
        <f>[1]Hybrid!AD30</f>
        <v>753.09571449999999</v>
      </c>
      <c r="AF314" s="5">
        <f>[1]Hybrid!AE30</f>
        <v>715.62818719999996</v>
      </c>
      <c r="AG314" s="5">
        <f>[1]Hybrid!AF30</f>
        <v>679.30423080000003</v>
      </c>
      <c r="AH314" s="5">
        <f>[1]Hybrid!AG30</f>
        <v>644.0447408</v>
      </c>
      <c r="AI314" s="5">
        <f>[1]Hybrid!AH30</f>
        <v>609.79699989999995</v>
      </c>
      <c r="AJ314" s="5">
        <f>[1]Hybrid!AI30</f>
        <v>576.53898149999998</v>
      </c>
      <c r="AK314" s="5">
        <f>[1]Hybrid!AJ30</f>
        <v>544.27492199999995</v>
      </c>
      <c r="AL314" s="5">
        <f>[1]Hybrid!AK30</f>
        <v>513.02679509999996</v>
      </c>
    </row>
    <row r="315" spans="1:3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15.13070768</v>
      </c>
      <c r="E315" s="5">
        <f>[1]Hybrid!D32</f>
        <v>21.018415910000002</v>
      </c>
      <c r="F315" s="5">
        <f>[1]Hybrid!E32</f>
        <v>27.458853229999999</v>
      </c>
      <c r="G315" s="5">
        <f>[1]Hybrid!F32</f>
        <v>34.508377000000003</v>
      </c>
      <c r="H315" s="5">
        <f>[1]Hybrid!G32</f>
        <v>42.066790990000001</v>
      </c>
      <c r="I315" s="5">
        <f>[1]Hybrid!H32</f>
        <v>50.026157329999997</v>
      </c>
      <c r="J315" s="5">
        <f>[1]Hybrid!I32</f>
        <v>58.430582829999999</v>
      </c>
      <c r="K315" s="5">
        <f>[1]Hybrid!J32</f>
        <v>69.067328709999998</v>
      </c>
      <c r="L315" s="5">
        <f>[1]Hybrid!K32</f>
        <v>83.760349399999996</v>
      </c>
      <c r="M315" s="5">
        <f>[1]Hybrid!L32</f>
        <v>104.71994170000001</v>
      </c>
      <c r="N315" s="5">
        <f>[1]Hybrid!M32</f>
        <v>133.7471788</v>
      </c>
      <c r="O315" s="5">
        <f>[1]Hybrid!N32</f>
        <v>170.86496930000001</v>
      </c>
      <c r="P315" s="5">
        <f>[1]Hybrid!O32</f>
        <v>215.8546963</v>
      </c>
      <c r="Q315" s="5">
        <f>[1]Hybrid!P32</f>
        <v>268.43705829999999</v>
      </c>
      <c r="R315" s="5">
        <f>[1]Hybrid!Q32</f>
        <v>328.34948650000001</v>
      </c>
      <c r="S315" s="5">
        <f>[1]Hybrid!R32</f>
        <v>395.35530130000001</v>
      </c>
      <c r="T315" s="5">
        <f>[1]Hybrid!S32</f>
        <v>469.85029129999998</v>
      </c>
      <c r="U315" s="5">
        <f>[1]Hybrid!T32</f>
        <v>552.07647069999996</v>
      </c>
      <c r="V315" s="5">
        <f>[1]Hybrid!U32</f>
        <v>642.18985269999996</v>
      </c>
      <c r="W315" s="5">
        <f>[1]Hybrid!V32</f>
        <v>740.18487040000002</v>
      </c>
      <c r="X315" s="5">
        <f>[1]Hybrid!W32</f>
        <v>846.44232650000004</v>
      </c>
      <c r="Y315" s="5">
        <f>[1]Hybrid!X32</f>
        <v>961.25945530000001</v>
      </c>
      <c r="Z315" s="5">
        <f>[1]Hybrid!Y32</f>
        <v>1085.0585530000001</v>
      </c>
      <c r="AA315" s="5">
        <f>[1]Hybrid!Z32</f>
        <v>1218.340895</v>
      </c>
      <c r="AB315" s="5">
        <f>[1]Hybrid!AA32</f>
        <v>1361.0393140000001</v>
      </c>
      <c r="AC315" s="5">
        <f>[1]Hybrid!AB32</f>
        <v>1514.213131</v>
      </c>
      <c r="AD315" s="5">
        <f>[1]Hybrid!AC32</f>
        <v>1678.667404</v>
      </c>
      <c r="AE315" s="5">
        <f>[1]Hybrid!AD32</f>
        <v>1855.4727989999999</v>
      </c>
      <c r="AF315" s="5">
        <f>[1]Hybrid!AE32</f>
        <v>2045.859467</v>
      </c>
      <c r="AG315" s="5">
        <f>[1]Hybrid!AF32</f>
        <v>2251.0663810000001</v>
      </c>
      <c r="AH315" s="5">
        <f>[1]Hybrid!AG32</f>
        <v>2472.2729169999998</v>
      </c>
      <c r="AI315" s="5">
        <f>[1]Hybrid!AH32</f>
        <v>2710.6374970000002</v>
      </c>
      <c r="AJ315" s="5">
        <f>[1]Hybrid!AI32</f>
        <v>2967.395653</v>
      </c>
      <c r="AK315" s="5">
        <f>[1]Hybrid!AJ32</f>
        <v>3243.876835</v>
      </c>
      <c r="AL315" s="5">
        <f>[1]Hybrid!AK32</f>
        <v>3541.529747</v>
      </c>
    </row>
    <row r="316" spans="1:3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16.449075539999999</v>
      </c>
      <c r="E316" s="5">
        <f>[1]Hybrid!D34</f>
        <v>22.036214130000001</v>
      </c>
      <c r="F316" s="5">
        <f>[1]Hybrid!E34</f>
        <v>28.165070979999999</v>
      </c>
      <c r="G316" s="5">
        <f>[1]Hybrid!F34</f>
        <v>34.891826100000003</v>
      </c>
      <c r="H316" s="5">
        <f>[1]Hybrid!G34</f>
        <v>42.117607550000002</v>
      </c>
      <c r="I316" s="5">
        <f>[1]Hybrid!H34</f>
        <v>49.736299199999998</v>
      </c>
      <c r="J316" s="5">
        <f>[1]Hybrid!I34</f>
        <v>57.799045020000001</v>
      </c>
      <c r="K316" s="5">
        <f>[1]Hybrid!J34</f>
        <v>68.053526669999997</v>
      </c>
      <c r="L316" s="5">
        <f>[1]Hybrid!K34</f>
        <v>82.256646000000003</v>
      </c>
      <c r="M316" s="5">
        <f>[1]Hybrid!L34</f>
        <v>102.5010707</v>
      </c>
      <c r="N316" s="5">
        <f>[1]Hybrid!M34</f>
        <v>130.4586323</v>
      </c>
      <c r="O316" s="5">
        <f>[1]Hybrid!N34</f>
        <v>166.10953649999999</v>
      </c>
      <c r="P316" s="5">
        <f>[1]Hybrid!O34</f>
        <v>209.2139526</v>
      </c>
      <c r="Q316" s="5">
        <f>[1]Hybrid!P34</f>
        <v>259.48310720000001</v>
      </c>
      <c r="R316" s="5">
        <f>[1]Hybrid!Q34</f>
        <v>316.6504607</v>
      </c>
      <c r="S316" s="5">
        <f>[1]Hybrid!R34</f>
        <v>380.46913460000002</v>
      </c>
      <c r="T316" s="5">
        <f>[1]Hybrid!S34</f>
        <v>451.28795270000001</v>
      </c>
      <c r="U316" s="5">
        <f>[1]Hybrid!T34</f>
        <v>529.32072749999998</v>
      </c>
      <c r="V316" s="5">
        <f>[1]Hybrid!U34</f>
        <v>614.70296810000002</v>
      </c>
      <c r="W316" s="5">
        <f>[1]Hybrid!V34</f>
        <v>707.414627</v>
      </c>
      <c r="X316" s="5">
        <f>[1]Hybrid!W34</f>
        <v>807.7959998</v>
      </c>
      <c r="Y316" s="5">
        <f>[1]Hybrid!X34</f>
        <v>916.09853710000004</v>
      </c>
      <c r="Z316" s="5">
        <f>[1]Hybrid!Y34</f>
        <v>1032.6807630000001</v>
      </c>
      <c r="AA316" s="5">
        <f>[1]Hybrid!Z34</f>
        <v>1157.961436</v>
      </c>
      <c r="AB316" s="5">
        <f>[1]Hybrid!AA34</f>
        <v>1291.806975</v>
      </c>
      <c r="AC316" s="5">
        <f>[1]Hybrid!AB34</f>
        <v>1435.122286</v>
      </c>
      <c r="AD316" s="5">
        <f>[1]Hybrid!AC34</f>
        <v>1588.543619</v>
      </c>
      <c r="AE316" s="5">
        <f>[1]Hybrid!AD34</f>
        <v>1752.9273559999999</v>
      </c>
      <c r="AF316" s="5">
        <f>[1]Hybrid!AE34</f>
        <v>1929.2538460000001</v>
      </c>
      <c r="AG316" s="5">
        <f>[1]Hybrid!AF34</f>
        <v>2118.4865920000002</v>
      </c>
      <c r="AH316" s="5">
        <f>[1]Hybrid!AG34</f>
        <v>2321.5061019999998</v>
      </c>
      <c r="AI316" s="5">
        <f>[1]Hybrid!AH34</f>
        <v>2539.1422899999998</v>
      </c>
      <c r="AJ316" s="5">
        <f>[1]Hybrid!AI34</f>
        <v>2772.2641119999998</v>
      </c>
      <c r="AK316" s="5">
        <f>[1]Hybrid!AJ34</f>
        <v>3021.7937780000002</v>
      </c>
      <c r="AL316" s="5">
        <f>[1]Hybrid!AK34</f>
        <v>3288.7250789999998</v>
      </c>
    </row>
    <row r="317" spans="1:3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12.809620369999999</v>
      </c>
      <c r="E317" s="5">
        <f>[1]Hybrid!D36</f>
        <v>16.626752230000001</v>
      </c>
      <c r="F317" s="5">
        <f>[1]Hybrid!E36</f>
        <v>20.825568109999999</v>
      </c>
      <c r="G317" s="5">
        <f>[1]Hybrid!F36</f>
        <v>25.446005370000002</v>
      </c>
      <c r="H317" s="5">
        <f>[1]Hybrid!G36</f>
        <v>30.417793190000001</v>
      </c>
      <c r="I317" s="5">
        <f>[1]Hybrid!H36</f>
        <v>35.665719199999998</v>
      </c>
      <c r="J317" s="5">
        <f>[1]Hybrid!I36</f>
        <v>41.229736750000001</v>
      </c>
      <c r="K317" s="5">
        <f>[1]Hybrid!J36</f>
        <v>48.33537553</v>
      </c>
      <c r="L317" s="5">
        <f>[1]Hybrid!K36</f>
        <v>58.196348299999997</v>
      </c>
      <c r="M317" s="5">
        <f>[1]Hybrid!L36</f>
        <v>72.233978780000001</v>
      </c>
      <c r="N317" s="5">
        <f>[1]Hybrid!M36</f>
        <v>91.561067109999996</v>
      </c>
      <c r="O317" s="5">
        <f>[1]Hybrid!N36</f>
        <v>116.1351257</v>
      </c>
      <c r="P317" s="5">
        <f>[1]Hybrid!O36</f>
        <v>145.77062000000001</v>
      </c>
      <c r="Q317" s="5">
        <f>[1]Hybrid!P36</f>
        <v>180.25498160000001</v>
      </c>
      <c r="R317" s="5">
        <f>[1]Hybrid!Q36</f>
        <v>219.39537659999999</v>
      </c>
      <c r="S317" s="5">
        <f>[1]Hybrid!R36</f>
        <v>263.00920309999998</v>
      </c>
      <c r="T317" s="5">
        <f>[1]Hybrid!S36</f>
        <v>311.31671410000001</v>
      </c>
      <c r="U317" s="5">
        <f>[1]Hybrid!T36</f>
        <v>364.45381300000003</v>
      </c>
      <c r="V317" s="5">
        <f>[1]Hybrid!U36</f>
        <v>422.5054816</v>
      </c>
      <c r="W317" s="5">
        <f>[1]Hybrid!V36</f>
        <v>485.44942980000002</v>
      </c>
      <c r="X317" s="5">
        <f>[1]Hybrid!W36</f>
        <v>553.50475359999996</v>
      </c>
      <c r="Y317" s="5">
        <f>[1]Hybrid!X36</f>
        <v>626.82389430000001</v>
      </c>
      <c r="Z317" s="5">
        <f>[1]Hybrid!Y36</f>
        <v>705.62479250000001</v>
      </c>
      <c r="AA317" s="5">
        <f>[1]Hybrid!Z36</f>
        <v>790.15703959999996</v>
      </c>
      <c r="AB317" s="5">
        <f>[1]Hybrid!AA36</f>
        <v>880.28594750000002</v>
      </c>
      <c r="AC317" s="5">
        <f>[1]Hybrid!AB36</f>
        <v>976.56473689999996</v>
      </c>
      <c r="AD317" s="5">
        <f>[1]Hybrid!AC36</f>
        <v>1079.3465940000001</v>
      </c>
      <c r="AE317" s="5">
        <f>[1]Hybrid!AD36</f>
        <v>1189.1150809999999</v>
      </c>
      <c r="AF317" s="5">
        <f>[1]Hybrid!AE36</f>
        <v>1306.422114</v>
      </c>
      <c r="AG317" s="5">
        <f>[1]Hybrid!AF36</f>
        <v>1431.793932</v>
      </c>
      <c r="AH317" s="5">
        <f>[1]Hybrid!AG36</f>
        <v>1565.685763</v>
      </c>
      <c r="AI317" s="5">
        <f>[1]Hybrid!AH36</f>
        <v>1708.501724</v>
      </c>
      <c r="AJ317" s="5">
        <f>[1]Hybrid!AI36</f>
        <v>1860.6543959999999</v>
      </c>
      <c r="AK317" s="5">
        <f>[1]Hybrid!AJ36</f>
        <v>2022.574143</v>
      </c>
      <c r="AL317" s="5">
        <f>[1]Hybrid!AK36</f>
        <v>2194.7188729999998</v>
      </c>
    </row>
    <row r="318" spans="1:3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7.5897251819999996</v>
      </c>
      <c r="E318" s="5">
        <f>[1]Hybrid!D38</f>
        <v>9.5752261979999993</v>
      </c>
      <c r="F318" s="5">
        <f>[1]Hybrid!E38</f>
        <v>11.68215537</v>
      </c>
      <c r="G318" s="5">
        <f>[1]Hybrid!F38</f>
        <v>13.908116809999999</v>
      </c>
      <c r="H318" s="5">
        <f>[1]Hybrid!G38</f>
        <v>16.217348990000001</v>
      </c>
      <c r="I318" s="5">
        <f>[1]Hybrid!H38</f>
        <v>18.567807349999999</v>
      </c>
      <c r="J318" s="5">
        <f>[1]Hybrid!I38</f>
        <v>20.902368809999999</v>
      </c>
      <c r="K318" s="5">
        <f>[1]Hybrid!J38</f>
        <v>23.51989154</v>
      </c>
      <c r="L318" s="5">
        <f>[1]Hybrid!K38</f>
        <v>26.688007979999998</v>
      </c>
      <c r="M318" s="5">
        <f>[1]Hybrid!L38</f>
        <v>30.693122710000001</v>
      </c>
      <c r="N318" s="5">
        <f>[1]Hybrid!M38</f>
        <v>35.759512290000004</v>
      </c>
      <c r="O318" s="5">
        <f>[1]Hybrid!N38</f>
        <v>41.862936599999998</v>
      </c>
      <c r="P318" s="5">
        <f>[1]Hybrid!O38</f>
        <v>48.950878090000003</v>
      </c>
      <c r="Q318" s="5">
        <f>[1]Hybrid!P38</f>
        <v>56.971801259999999</v>
      </c>
      <c r="R318" s="5">
        <f>[1]Hybrid!Q38</f>
        <v>65.8843739</v>
      </c>
      <c r="S318" s="5">
        <f>[1]Hybrid!R38</f>
        <v>75.647517739999998</v>
      </c>
      <c r="T318" s="5">
        <f>[1]Hybrid!S38</f>
        <v>86.312550540000004</v>
      </c>
      <c r="U318" s="5">
        <f>[1]Hybrid!T38</f>
        <v>97.91852016</v>
      </c>
      <c r="V318" s="5">
        <f>[1]Hybrid!U38</f>
        <v>110.49629520000001</v>
      </c>
      <c r="W318" s="5">
        <f>[1]Hybrid!V38</f>
        <v>124.0535107</v>
      </c>
      <c r="X318" s="5">
        <f>[1]Hybrid!W38</f>
        <v>138.65169370000001</v>
      </c>
      <c r="Y318" s="5">
        <f>[1]Hybrid!X38</f>
        <v>154.33549479999999</v>
      </c>
      <c r="Z318" s="5">
        <f>[1]Hybrid!Y38</f>
        <v>171.16219430000001</v>
      </c>
      <c r="AA318" s="5">
        <f>[1]Hybrid!Z38</f>
        <v>189.19308340000001</v>
      </c>
      <c r="AB318" s="5">
        <f>[1]Hybrid!AA38</f>
        <v>208.40102289999999</v>
      </c>
      <c r="AC318" s="5">
        <f>[1]Hybrid!AB38</f>
        <v>228.90423129999999</v>
      </c>
      <c r="AD318" s="5">
        <f>[1]Hybrid!AC38</f>
        <v>250.76884269999999</v>
      </c>
      <c r="AE318" s="5">
        <f>[1]Hybrid!AD38</f>
        <v>274.08344649999998</v>
      </c>
      <c r="AF318" s="5">
        <f>[1]Hybrid!AE38</f>
        <v>298.95015219999999</v>
      </c>
      <c r="AG318" s="5">
        <f>[1]Hybrid!AF38</f>
        <v>325.466184</v>
      </c>
      <c r="AH318" s="5">
        <f>[1]Hybrid!AG38</f>
        <v>353.7141585</v>
      </c>
      <c r="AI318" s="5">
        <f>[1]Hybrid!AH38</f>
        <v>383.76597559999999</v>
      </c>
      <c r="AJ318" s="5">
        <f>[1]Hybrid!AI38</f>
        <v>415.69748249999998</v>
      </c>
      <c r="AK318" s="5">
        <f>[1]Hybrid!AJ38</f>
        <v>449.59279509999999</v>
      </c>
      <c r="AL318" s="5">
        <f>[1]Hybrid!AK38</f>
        <v>485.54734050000002</v>
      </c>
    </row>
    <row r="319" spans="1:3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4.5933133340000003</v>
      </c>
      <c r="E319" s="5">
        <f>[1]Hybrid!D40</f>
        <v>5.810156374</v>
      </c>
      <c r="F319" s="5">
        <f>[1]Hybrid!E40</f>
        <v>7.0947831590000003</v>
      </c>
      <c r="G319" s="5">
        <f>[1]Hybrid!F40</f>
        <v>8.4441743630000001</v>
      </c>
      <c r="H319" s="5">
        <f>[1]Hybrid!G40</f>
        <v>9.8347908089999994</v>
      </c>
      <c r="I319" s="5">
        <f>[1]Hybrid!H40</f>
        <v>11.239671789999999</v>
      </c>
      <c r="J319" s="5">
        <f>[1]Hybrid!I40</f>
        <v>12.62446774</v>
      </c>
      <c r="K319" s="5">
        <f>[1]Hybrid!J40</f>
        <v>14.16409412</v>
      </c>
      <c r="L319" s="5">
        <f>[1]Hybrid!K40</f>
        <v>16.00608965</v>
      </c>
      <c r="M319" s="5">
        <f>[1]Hybrid!L40</f>
        <v>18.298121760000001</v>
      </c>
      <c r="N319" s="5">
        <f>[1]Hybrid!M40</f>
        <v>21.148733270000001</v>
      </c>
      <c r="O319" s="5">
        <f>[1]Hybrid!N40</f>
        <v>24.533540970000001</v>
      </c>
      <c r="P319" s="5">
        <f>[1]Hybrid!O40</f>
        <v>28.41582734</v>
      </c>
      <c r="Q319" s="5">
        <f>[1]Hybrid!P40</f>
        <v>32.762338040000003</v>
      </c>
      <c r="R319" s="5">
        <f>[1]Hybrid!Q40</f>
        <v>37.547401239999999</v>
      </c>
      <c r="S319" s="5">
        <f>[1]Hybrid!R40</f>
        <v>42.745558180000003</v>
      </c>
      <c r="T319" s="5">
        <f>[1]Hybrid!S40</f>
        <v>48.38044395</v>
      </c>
      <c r="U319" s="5">
        <f>[1]Hybrid!T40</f>
        <v>54.47050875</v>
      </c>
      <c r="V319" s="5">
        <f>[1]Hybrid!U40</f>
        <v>61.02995481</v>
      </c>
      <c r="W319" s="5">
        <f>[1]Hybrid!V40</f>
        <v>68.059786059999993</v>
      </c>
      <c r="X319" s="5">
        <f>[1]Hybrid!W40</f>
        <v>75.587716900000004</v>
      </c>
      <c r="Y319" s="5">
        <f>[1]Hybrid!X40</f>
        <v>83.630091890000003</v>
      </c>
      <c r="Z319" s="5">
        <f>[1]Hybrid!Y40</f>
        <v>92.207021999999995</v>
      </c>
      <c r="AA319" s="5">
        <f>[1]Hybrid!Z40</f>
        <v>101.3370716</v>
      </c>
      <c r="AB319" s="5">
        <f>[1]Hybrid!AA40</f>
        <v>110.98923379999999</v>
      </c>
      <c r="AC319" s="5">
        <f>[1]Hybrid!AB40</f>
        <v>121.2017541</v>
      </c>
      <c r="AD319" s="5">
        <f>[1]Hybrid!AC40</f>
        <v>131.9796091</v>
      </c>
      <c r="AE319" s="5">
        <f>[1]Hybrid!AD40</f>
        <v>143.33325980000001</v>
      </c>
      <c r="AF319" s="5">
        <f>[1]Hybrid!AE40</f>
        <v>155.2757297</v>
      </c>
      <c r="AG319" s="5">
        <f>[1]Hybrid!AF40</f>
        <v>167.81398820000001</v>
      </c>
      <c r="AH319" s="5">
        <f>[1]Hybrid!AG40</f>
        <v>180.94411170000001</v>
      </c>
      <c r="AI319" s="5">
        <f>[1]Hybrid!AH40</f>
        <v>194.65300830000001</v>
      </c>
      <c r="AJ319" s="5">
        <f>[1]Hybrid!AI40</f>
        <v>208.92599079999999</v>
      </c>
      <c r="AK319" s="5">
        <f>[1]Hybrid!AJ40</f>
        <v>223.74923870000001</v>
      </c>
      <c r="AL319" s="5">
        <f>[1]Hybrid!AK40</f>
        <v>239.1108801</v>
      </c>
    </row>
    <row r="320" spans="1:3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2.2526015140000002</v>
      </c>
      <c r="E320" s="5">
        <f>[1]Hybrid!D42</f>
        <v>2.8080577679999998</v>
      </c>
      <c r="F320" s="5">
        <f>[1]Hybrid!E42</f>
        <v>3.371380211</v>
      </c>
      <c r="G320" s="5">
        <f>[1]Hybrid!F42</f>
        <v>3.9362428509999998</v>
      </c>
      <c r="H320" s="5">
        <f>[1]Hybrid!G42</f>
        <v>4.4912238789999996</v>
      </c>
      <c r="I320" s="5">
        <f>[1]Hybrid!H42</f>
        <v>5.0237996880000004</v>
      </c>
      <c r="J320" s="5">
        <f>[1]Hybrid!I42</f>
        <v>5.5113295510000002</v>
      </c>
      <c r="K320" s="5">
        <f>[1]Hybrid!J42</f>
        <v>5.9933486589999996</v>
      </c>
      <c r="L320" s="5">
        <f>[1]Hybrid!K42</f>
        <v>6.4978049469999997</v>
      </c>
      <c r="M320" s="5">
        <f>[1]Hybrid!L42</f>
        <v>7.045707664</v>
      </c>
      <c r="N320" s="5">
        <f>[1]Hybrid!M42</f>
        <v>7.6508952560000001</v>
      </c>
      <c r="O320" s="5">
        <f>[1]Hybrid!N42</f>
        <v>8.3047466449999998</v>
      </c>
      <c r="P320" s="5">
        <f>[1]Hybrid!O42</f>
        <v>8.9985782929999996</v>
      </c>
      <c r="Q320" s="5">
        <f>[1]Hybrid!P42</f>
        <v>9.7263780670000006</v>
      </c>
      <c r="R320" s="5">
        <f>[1]Hybrid!Q42</f>
        <v>10.48465485</v>
      </c>
      <c r="S320" s="5">
        <f>[1]Hybrid!R42</f>
        <v>11.26978534</v>
      </c>
      <c r="T320" s="5">
        <f>[1]Hybrid!S42</f>
        <v>12.086312149999999</v>
      </c>
      <c r="U320" s="5">
        <f>[1]Hybrid!T42</f>
        <v>12.938131650000001</v>
      </c>
      <c r="V320" s="5">
        <f>[1]Hybrid!U42</f>
        <v>13.828134820000001</v>
      </c>
      <c r="W320" s="5">
        <f>[1]Hybrid!V42</f>
        <v>14.75644595</v>
      </c>
      <c r="X320" s="5">
        <f>[1]Hybrid!W42</f>
        <v>15.72647197</v>
      </c>
      <c r="Y320" s="5">
        <f>[1]Hybrid!X42</f>
        <v>16.738658109999999</v>
      </c>
      <c r="Z320" s="5">
        <f>[1]Hybrid!Y42</f>
        <v>17.79283173</v>
      </c>
      <c r="AA320" s="5">
        <f>[1]Hybrid!Z42</f>
        <v>18.887188179999999</v>
      </c>
      <c r="AB320" s="5">
        <f>[1]Hybrid!AA42</f>
        <v>20.011586489999999</v>
      </c>
      <c r="AC320" s="5">
        <f>[1]Hybrid!AB42</f>
        <v>21.16377043</v>
      </c>
      <c r="AD320" s="5">
        <f>[1]Hybrid!AC42</f>
        <v>22.334961060000001</v>
      </c>
      <c r="AE320" s="5">
        <f>[1]Hybrid!AD42</f>
        <v>23.515861990000001</v>
      </c>
      <c r="AF320" s="5">
        <f>[1]Hybrid!AE42</f>
        <v>24.697300680000001</v>
      </c>
      <c r="AG320" s="5">
        <f>[1]Hybrid!AF42</f>
        <v>25.86963974</v>
      </c>
      <c r="AH320" s="5">
        <f>[1]Hybrid!AG42</f>
        <v>27.022397120000001</v>
      </c>
      <c r="AI320" s="5">
        <f>[1]Hybrid!AH42</f>
        <v>28.14459553</v>
      </c>
      <c r="AJ320" s="5">
        <f>[1]Hybrid!AI42</f>
        <v>29.225972550000002</v>
      </c>
      <c r="AK320" s="5">
        <f>[1]Hybrid!AJ42</f>
        <v>30.257507400000001</v>
      </c>
      <c r="AL320" s="5">
        <f>[1]Hybrid!AK42</f>
        <v>31.231519980000002</v>
      </c>
    </row>
    <row r="321" spans="1:3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4.0900468620000003</v>
      </c>
      <c r="E321" s="5">
        <f>[1]Hybrid!D44</f>
        <v>5.1055183729999998</v>
      </c>
      <c r="F321" s="5">
        <f>[1]Hybrid!E44</f>
        <v>6.1108357580000003</v>
      </c>
      <c r="G321" s="5">
        <f>[1]Hybrid!F44</f>
        <v>7.0911333589999996</v>
      </c>
      <c r="H321" s="5">
        <f>[1]Hybrid!G44</f>
        <v>8.0249151019999996</v>
      </c>
      <c r="I321" s="5">
        <f>[1]Hybrid!H44</f>
        <v>8.8903428340000001</v>
      </c>
      <c r="J321" s="5">
        <f>[1]Hybrid!I44</f>
        <v>9.6493462490000006</v>
      </c>
      <c r="K321" s="5">
        <f>[1]Hybrid!J44</f>
        <v>10.36255544</v>
      </c>
      <c r="L321" s="5">
        <f>[1]Hybrid!K44</f>
        <v>11.0688201</v>
      </c>
      <c r="M321" s="5">
        <f>[1]Hybrid!L44</f>
        <v>11.79179351</v>
      </c>
      <c r="N321" s="5">
        <f>[1]Hybrid!M44</f>
        <v>12.54463404</v>
      </c>
      <c r="O321" s="5">
        <f>[1]Hybrid!N44</f>
        <v>13.31403789</v>
      </c>
      <c r="P321" s="5">
        <f>[1]Hybrid!O44</f>
        <v>14.0895834</v>
      </c>
      <c r="Q321" s="5">
        <f>[1]Hybrid!P44</f>
        <v>14.8660908</v>
      </c>
      <c r="R321" s="5">
        <f>[1]Hybrid!Q44</f>
        <v>15.642235510000001</v>
      </c>
      <c r="S321" s="5">
        <f>[1]Hybrid!R44</f>
        <v>16.416450480000002</v>
      </c>
      <c r="T321" s="5">
        <f>[1]Hybrid!S44</f>
        <v>17.19599642</v>
      </c>
      <c r="U321" s="5">
        <f>[1]Hybrid!T44</f>
        <v>17.987106480000001</v>
      </c>
      <c r="V321" s="5">
        <f>[1]Hybrid!U44</f>
        <v>18.794288760000001</v>
      </c>
      <c r="W321" s="5">
        <f>[1]Hybrid!V44</f>
        <v>19.6182391</v>
      </c>
      <c r="X321" s="5">
        <f>[1]Hybrid!W44</f>
        <v>20.462210540000001</v>
      </c>
      <c r="Y321" s="5">
        <f>[1]Hybrid!X44</f>
        <v>21.32526017</v>
      </c>
      <c r="Z321" s="5">
        <f>[1]Hybrid!Y44</f>
        <v>22.204847740000002</v>
      </c>
      <c r="AA321" s="5">
        <f>[1]Hybrid!Z44</f>
        <v>23.09575555</v>
      </c>
      <c r="AB321" s="5">
        <f>[1]Hybrid!AA44</f>
        <v>23.98372118</v>
      </c>
      <c r="AC321" s="5">
        <f>[1]Hybrid!AB44</f>
        <v>24.861258249999999</v>
      </c>
      <c r="AD321" s="5">
        <f>[1]Hybrid!AC44</f>
        <v>25.713847860000001</v>
      </c>
      <c r="AE321" s="5">
        <f>[1]Hybrid!AD44</f>
        <v>26.526612190000002</v>
      </c>
      <c r="AF321" s="5">
        <f>[1]Hybrid!AE44</f>
        <v>27.285902799999999</v>
      </c>
      <c r="AG321" s="5">
        <f>[1]Hybrid!AF44</f>
        <v>27.979221320000001</v>
      </c>
      <c r="AH321" s="5">
        <f>[1]Hybrid!AG44</f>
        <v>28.595052729999999</v>
      </c>
      <c r="AI321" s="5">
        <f>[1]Hybrid!AH44</f>
        <v>29.12323589</v>
      </c>
      <c r="AJ321" s="5">
        <f>[1]Hybrid!AI44</f>
        <v>29.5560638</v>
      </c>
      <c r="AK321" s="5">
        <f>[1]Hybrid!AJ44</f>
        <v>29.888647370000001</v>
      </c>
      <c r="AL321" s="5">
        <f>[1]Hybrid!AK44</f>
        <v>30.118732519999998</v>
      </c>
    </row>
    <row r="322" spans="1:3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0.44916501640000001</v>
      </c>
      <c r="E322" s="5">
        <f>[1]Hybrid!D46</f>
        <v>0.47659230139999997</v>
      </c>
      <c r="F322" s="5">
        <f>[1]Hybrid!E46</f>
        <v>0.50644168170000003</v>
      </c>
      <c r="G322" s="5">
        <f>[1]Hybrid!F46</f>
        <v>0.53833556989999998</v>
      </c>
      <c r="H322" s="5">
        <f>[1]Hybrid!G46</f>
        <v>0.571515934</v>
      </c>
      <c r="I322" s="5">
        <f>[1]Hybrid!H46</f>
        <v>0.60500661860000005</v>
      </c>
      <c r="J322" s="5">
        <f>[1]Hybrid!I46</f>
        <v>0.63599599309999999</v>
      </c>
      <c r="K322" s="5">
        <f>[1]Hybrid!J46</f>
        <v>0.66623478690000004</v>
      </c>
      <c r="L322" s="5">
        <f>[1]Hybrid!K46</f>
        <v>0.69649552729999997</v>
      </c>
      <c r="M322" s="5">
        <f>[1]Hybrid!L46</f>
        <v>0.72698226450000003</v>
      </c>
      <c r="N322" s="5">
        <f>[1]Hybrid!M46</f>
        <v>0.7580405523</v>
      </c>
      <c r="O322" s="5">
        <f>[1]Hybrid!N46</f>
        <v>0.78896167110000004</v>
      </c>
      <c r="P322" s="5">
        <f>[1]Hybrid!O46</f>
        <v>0.81902096849999995</v>
      </c>
      <c r="Q322" s="5">
        <f>[1]Hybrid!P46</f>
        <v>0.84770671019999999</v>
      </c>
      <c r="R322" s="5">
        <f>[1]Hybrid!Q46</f>
        <v>0.87471103419999996</v>
      </c>
      <c r="S322" s="5">
        <f>[1]Hybrid!R46</f>
        <v>0.89966545399999998</v>
      </c>
      <c r="T322" s="5">
        <f>[1]Hybrid!S46</f>
        <v>0.92273898860000003</v>
      </c>
      <c r="U322" s="5">
        <f>[1]Hybrid!T46</f>
        <v>0.94406809820000004</v>
      </c>
      <c r="V322" s="5">
        <f>[1]Hybrid!U46</f>
        <v>0.96375715080000002</v>
      </c>
      <c r="W322" s="5">
        <f>[1]Hybrid!V46</f>
        <v>0.98181009159999999</v>
      </c>
      <c r="X322" s="5">
        <f>[1]Hybrid!W46</f>
        <v>0.99846852340000003</v>
      </c>
      <c r="Y322" s="5">
        <f>[1]Hybrid!X46</f>
        <v>1.0138702340000001</v>
      </c>
      <c r="Z322" s="5">
        <f>[1]Hybrid!Y46</f>
        <v>1.0281781329999999</v>
      </c>
      <c r="AA322" s="5">
        <f>[1]Hybrid!Z46</f>
        <v>1.0415459549999999</v>
      </c>
      <c r="AB322" s="5">
        <f>[1]Hybrid!AA46</f>
        <v>1.0538531330000001</v>
      </c>
      <c r="AC322" s="5">
        <f>[1]Hybrid!AB46</f>
        <v>1.0654218280000001</v>
      </c>
      <c r="AD322" s="5">
        <f>[1]Hybrid!AC46</f>
        <v>1.07639722</v>
      </c>
      <c r="AE322" s="5">
        <f>[1]Hybrid!AD46</f>
        <v>1.086959207</v>
      </c>
      <c r="AF322" s="5">
        <f>[1]Hybrid!AE46</f>
        <v>1.0972744050000001</v>
      </c>
      <c r="AG322" s="5">
        <f>[1]Hybrid!AF46</f>
        <v>1.107451239</v>
      </c>
      <c r="AH322" s="5">
        <f>[1]Hybrid!AG46</f>
        <v>1.117532575</v>
      </c>
      <c r="AI322" s="5">
        <f>[1]Hybrid!AH46</f>
        <v>1.12751881</v>
      </c>
      <c r="AJ322" s="5">
        <f>[1]Hybrid!AI46</f>
        <v>1.137398624</v>
      </c>
      <c r="AK322" s="5">
        <f>[1]Hybrid!AJ46</f>
        <v>1.1471537380000001</v>
      </c>
      <c r="AL322" s="5">
        <f>[1]Hybrid!AK46</f>
        <v>1.1567640939999999</v>
      </c>
    </row>
    <row r="323" spans="1:3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0.51209626860000002</v>
      </c>
      <c r="E323" s="5">
        <f>[1]Hybrid!D48</f>
        <v>0.53321929710000004</v>
      </c>
      <c r="F323" s="5">
        <f>[1]Hybrid!E48</f>
        <v>0.55686499310000004</v>
      </c>
      <c r="G323" s="5">
        <f>[1]Hybrid!F48</f>
        <v>0.5826334782</v>
      </c>
      <c r="H323" s="5">
        <f>[1]Hybrid!G48</f>
        <v>0.60978500680000003</v>
      </c>
      <c r="I323" s="5">
        <f>[1]Hybrid!H48</f>
        <v>0.63736520910000005</v>
      </c>
      <c r="J323" s="5">
        <f>[1]Hybrid!I48</f>
        <v>0.66261999530000004</v>
      </c>
      <c r="K323" s="5">
        <f>[1]Hybrid!J48</f>
        <v>0.68707134059999997</v>
      </c>
      <c r="L323" s="5">
        <f>[1]Hybrid!K48</f>
        <v>0.71140728379999996</v>
      </c>
      <c r="M323" s="5">
        <f>[1]Hybrid!L48</f>
        <v>0.73578885630000002</v>
      </c>
      <c r="N323" s="5">
        <f>[1]Hybrid!M48</f>
        <v>0.76054965460000001</v>
      </c>
      <c r="O323" s="5">
        <f>[1]Hybrid!N48</f>
        <v>0.78509982239999998</v>
      </c>
      <c r="P323" s="5">
        <f>[1]Hybrid!O48</f>
        <v>0.80882210259999998</v>
      </c>
      <c r="Q323" s="5">
        <f>[1]Hybrid!P48</f>
        <v>0.83128591949999997</v>
      </c>
      <c r="R323" s="5">
        <f>[1]Hybrid!Q48</f>
        <v>0.85223963010000003</v>
      </c>
      <c r="S323" s="5">
        <f>[1]Hybrid!R48</f>
        <v>0.87136245720000005</v>
      </c>
      <c r="T323" s="5">
        <f>[1]Hybrid!S48</f>
        <v>0.88881269439999999</v>
      </c>
      <c r="U323" s="5">
        <f>[1]Hybrid!T48</f>
        <v>0.90472708749999997</v>
      </c>
      <c r="V323" s="5">
        <f>[1]Hybrid!U48</f>
        <v>0.91921222680000003</v>
      </c>
      <c r="W323" s="5">
        <f>[1]Hybrid!V48</f>
        <v>0.93227971549999999</v>
      </c>
      <c r="X323" s="5">
        <f>[1]Hybrid!W48</f>
        <v>0.9441501618</v>
      </c>
      <c r="Y323" s="5">
        <f>[1]Hybrid!X48</f>
        <v>0.95494551130000005</v>
      </c>
      <c r="Z323" s="5">
        <f>[1]Hybrid!Y48</f>
        <v>0.9648062168</v>
      </c>
      <c r="AA323" s="5">
        <f>[1]Hybrid!Z48</f>
        <v>0.97386069860000002</v>
      </c>
      <c r="AB323" s="5">
        <f>[1]Hybrid!AA48</f>
        <v>0.98198937590000002</v>
      </c>
      <c r="AC323" s="5">
        <f>[1]Hybrid!AB48</f>
        <v>0.98946397529999996</v>
      </c>
      <c r="AD323" s="5">
        <f>[1]Hybrid!AC48</f>
        <v>0.99639405719999996</v>
      </c>
      <c r="AE323" s="5">
        <f>[1]Hybrid!AD48</f>
        <v>1.002917675</v>
      </c>
      <c r="AF323" s="5">
        <f>[1]Hybrid!AE48</f>
        <v>1.0091612670000001</v>
      </c>
      <c r="AG323" s="5">
        <f>[1]Hybrid!AF48</f>
        <v>1.0152008800000001</v>
      </c>
      <c r="AH323" s="5">
        <f>[1]Hybrid!AG48</f>
        <v>1.0210558519999999</v>
      </c>
      <c r="AI323" s="5">
        <f>[1]Hybrid!AH48</f>
        <v>1.0267090679999999</v>
      </c>
      <c r="AJ323" s="5">
        <f>[1]Hybrid!AI48</f>
        <v>1.0321344859999999</v>
      </c>
      <c r="AK323" s="5">
        <f>[1]Hybrid!AJ48</f>
        <v>1.037301727</v>
      </c>
      <c r="AL323" s="5">
        <f>[1]Hybrid!AK48</f>
        <v>1.0421802710000001</v>
      </c>
    </row>
    <row r="324" spans="1:3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0.41439094170000002</v>
      </c>
      <c r="E324" s="5">
        <f>[1]Hybrid!D50</f>
        <v>0.42516129870000002</v>
      </c>
      <c r="F324" s="5">
        <f>[1]Hybrid!E50</f>
        <v>0.43783104109999998</v>
      </c>
      <c r="G324" s="5">
        <f>[1]Hybrid!F50</f>
        <v>0.45209725719999999</v>
      </c>
      <c r="H324" s="5">
        <f>[1]Hybrid!G50</f>
        <v>0.46743915000000003</v>
      </c>
      <c r="I324" s="5">
        <f>[1]Hybrid!H50</f>
        <v>0.48318395279999998</v>
      </c>
      <c r="J324" s="5">
        <f>[1]Hybrid!I50</f>
        <v>0.49738849089999998</v>
      </c>
      <c r="K324" s="5">
        <f>[1]Hybrid!J50</f>
        <v>0.51100115219999998</v>
      </c>
      <c r="L324" s="5">
        <f>[1]Hybrid!K50</f>
        <v>0.5244642222</v>
      </c>
      <c r="M324" s="5">
        <f>[1]Hybrid!L50</f>
        <v>0.53786844219999996</v>
      </c>
      <c r="N324" s="5">
        <f>[1]Hybrid!M50</f>
        <v>0.55144769010000005</v>
      </c>
      <c r="O324" s="5">
        <f>[1]Hybrid!N50</f>
        <v>0.56485317660000001</v>
      </c>
      <c r="P324" s="5">
        <f>[1]Hybrid!O50</f>
        <v>0.57770861269999996</v>
      </c>
      <c r="Q324" s="5">
        <f>[1]Hybrid!P50</f>
        <v>0.58975485230000002</v>
      </c>
      <c r="R324" s="5">
        <f>[1]Hybrid!Q50</f>
        <v>0.60084534219999997</v>
      </c>
      <c r="S324" s="5">
        <f>[1]Hybrid!R50</f>
        <v>0.61077860630000003</v>
      </c>
      <c r="T324" s="5">
        <f>[1]Hybrid!S50</f>
        <v>0.61966098089999999</v>
      </c>
      <c r="U324" s="5">
        <f>[1]Hybrid!T50</f>
        <v>0.62758983339999996</v>
      </c>
      <c r="V324" s="5">
        <f>[1]Hybrid!U50</f>
        <v>0.63464201949999999</v>
      </c>
      <c r="W324" s="5">
        <f>[1]Hybrid!V50</f>
        <v>0.64082961319999998</v>
      </c>
      <c r="X324" s="5">
        <f>[1]Hybrid!W50</f>
        <v>0.64629727059999997</v>
      </c>
      <c r="Y324" s="5">
        <f>[1]Hybrid!X50</f>
        <v>0.65112219090000001</v>
      </c>
      <c r="Z324" s="5">
        <f>[1]Hybrid!Y50</f>
        <v>0.65539101460000004</v>
      </c>
      <c r="AA324" s="5">
        <f>[1]Hybrid!Z50</f>
        <v>0.6591802377</v>
      </c>
      <c r="AB324" s="5">
        <f>[1]Hybrid!AA50</f>
        <v>0.66240455090000006</v>
      </c>
      <c r="AC324" s="5">
        <f>[1]Hybrid!AB50</f>
        <v>0.66522860220000002</v>
      </c>
      <c r="AD324" s="5">
        <f>[1]Hybrid!AC50</f>
        <v>0.66771004499999997</v>
      </c>
      <c r="AE324" s="5">
        <f>[1]Hybrid!AD50</f>
        <v>0.66992359589999995</v>
      </c>
      <c r="AF324" s="5">
        <f>[1]Hybrid!AE50</f>
        <v>0.67193693750000005</v>
      </c>
      <c r="AG324" s="5">
        <f>[1]Hybrid!AF50</f>
        <v>0.6737865314</v>
      </c>
      <c r="AH324" s="5">
        <f>[1]Hybrid!AG50</f>
        <v>0.67547368870000002</v>
      </c>
      <c r="AI324" s="5">
        <f>[1]Hybrid!AH50</f>
        <v>0.67697741840000003</v>
      </c>
      <c r="AJ324" s="5">
        <f>[1]Hybrid!AI50</f>
        <v>0.67827220880000005</v>
      </c>
      <c r="AK324" s="5">
        <f>[1]Hybrid!AJ50</f>
        <v>0.67933119330000002</v>
      </c>
      <c r="AL324" s="5">
        <f>[1]Hybrid!AK50</f>
        <v>0.68012858700000001</v>
      </c>
    </row>
    <row r="325" spans="1:3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0.2522701617</v>
      </c>
      <c r="E325" s="5">
        <f>[1]Hybrid!D52</f>
        <v>0.25660728669999999</v>
      </c>
      <c r="F325" s="5">
        <f>[1]Hybrid!E52</f>
        <v>0.26191677520000001</v>
      </c>
      <c r="G325" s="5">
        <f>[1]Hybrid!F52</f>
        <v>0.26799905769999999</v>
      </c>
      <c r="H325" s="5">
        <f>[1]Hybrid!G52</f>
        <v>0.27455502770000001</v>
      </c>
      <c r="I325" s="5">
        <f>[1]Hybrid!H52</f>
        <v>0.2812069821</v>
      </c>
      <c r="J325" s="5">
        <f>[1]Hybrid!I52</f>
        <v>0.28688887169999999</v>
      </c>
      <c r="K325" s="5">
        <f>[1]Hybrid!J52</f>
        <v>0.29206044539999998</v>
      </c>
      <c r="L325" s="5">
        <f>[1]Hybrid!K52</f>
        <v>0.29696577870000002</v>
      </c>
      <c r="M325" s="5">
        <f>[1]Hybrid!L52</f>
        <v>0.3016743871</v>
      </c>
      <c r="N325" s="5">
        <f>[1]Hybrid!M52</f>
        <v>0.30633826739999998</v>
      </c>
      <c r="O325" s="5">
        <f>[1]Hybrid!N52</f>
        <v>0.31082850649999999</v>
      </c>
      <c r="P325" s="5">
        <f>[1]Hybrid!O52</f>
        <v>0.3150041898</v>
      </c>
      <c r="Q325" s="5">
        <f>[1]Hybrid!P52</f>
        <v>0.31878033729999999</v>
      </c>
      <c r="R325" s="5">
        <f>[1]Hybrid!Q52</f>
        <v>0.32212229139999998</v>
      </c>
      <c r="S325" s="5">
        <f>[1]Hybrid!R52</f>
        <v>0.3249628067</v>
      </c>
      <c r="T325" s="5">
        <f>[1]Hybrid!S52</f>
        <v>0.3273770278</v>
      </c>
      <c r="U325" s="5">
        <f>[1]Hybrid!T52</f>
        <v>0.32943405640000001</v>
      </c>
      <c r="V325" s="5">
        <f>[1]Hybrid!U52</f>
        <v>0.331188345</v>
      </c>
      <c r="W325" s="5">
        <f>[1]Hybrid!V52</f>
        <v>0.33265715439999999</v>
      </c>
      <c r="X325" s="5">
        <f>[1]Hybrid!W52</f>
        <v>0.33391614180000001</v>
      </c>
      <c r="Y325" s="5">
        <f>[1]Hybrid!X52</f>
        <v>0.33500343900000001</v>
      </c>
      <c r="Z325" s="5">
        <f>[1]Hybrid!Y52</f>
        <v>0.33595791790000001</v>
      </c>
      <c r="AA325" s="5">
        <f>[1]Hybrid!Z52</f>
        <v>0.33680989140000001</v>
      </c>
      <c r="AB325" s="5">
        <f>[1]Hybrid!AA52</f>
        <v>0.3375072173</v>
      </c>
      <c r="AC325" s="5">
        <f>[1]Hybrid!AB52</f>
        <v>0.33811596989999998</v>
      </c>
      <c r="AD325" s="5">
        <f>[1]Hybrid!AC52</f>
        <v>0.33864649930000001</v>
      </c>
      <c r="AE325" s="5">
        <f>[1]Hybrid!AD52</f>
        <v>0.33911677600000001</v>
      </c>
      <c r="AF325" s="5">
        <f>[1]Hybrid!AE52</f>
        <v>0.33954422049999999</v>
      </c>
      <c r="AG325" s="5">
        <f>[1]Hybrid!AF52</f>
        <v>0.33993463699999998</v>
      </c>
      <c r="AH325" s="5">
        <f>[1]Hybrid!AG52</f>
        <v>0.34027959130000002</v>
      </c>
      <c r="AI325" s="5">
        <f>[1]Hybrid!AH52</f>
        <v>0.3405618896</v>
      </c>
      <c r="AJ325" s="5">
        <f>[1]Hybrid!AI52</f>
        <v>0.34076474379999999</v>
      </c>
      <c r="AK325" s="5">
        <f>[1]Hybrid!AJ52</f>
        <v>0.34087374479999999</v>
      </c>
      <c r="AL325" s="5">
        <f>[1]Hybrid!AK52</f>
        <v>0.34087766200000003</v>
      </c>
    </row>
    <row r="326" spans="1:3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0.1520386577</v>
      </c>
      <c r="E326" s="5">
        <f>[1]Hybrid!D54</f>
        <v>0.15477784</v>
      </c>
      <c r="F326" s="5">
        <f>[1]Hybrid!E54</f>
        <v>0.1580085376</v>
      </c>
      <c r="G326" s="5">
        <f>[1]Hybrid!F54</f>
        <v>0.1615955556</v>
      </c>
      <c r="H326" s="5">
        <f>[1]Hybrid!G54</f>
        <v>0.16535539360000001</v>
      </c>
      <c r="I326" s="5">
        <f>[1]Hybrid!H54</f>
        <v>0.16905889909999999</v>
      </c>
      <c r="J326" s="5">
        <f>[1]Hybrid!I54</f>
        <v>0.17205854370000001</v>
      </c>
      <c r="K326" s="5">
        <f>[1]Hybrid!J54</f>
        <v>0.17459443029999999</v>
      </c>
      <c r="L326" s="5">
        <f>[1]Hybrid!K54</f>
        <v>0.17680820850000001</v>
      </c>
      <c r="M326" s="5">
        <f>[1]Hybrid!L54</f>
        <v>0.17874249389999999</v>
      </c>
      <c r="N326" s="5">
        <f>[1]Hybrid!M54</f>
        <v>0.18049624210000001</v>
      </c>
      <c r="O326" s="5">
        <f>[1]Hybrid!N54</f>
        <v>0.1820279014</v>
      </c>
      <c r="P326" s="5">
        <f>[1]Hybrid!O54</f>
        <v>0.1832895715</v>
      </c>
      <c r="Q326" s="5">
        <f>[1]Hybrid!P54</f>
        <v>0.1842619392</v>
      </c>
      <c r="R326" s="5">
        <f>[1]Hybrid!Q54</f>
        <v>0.18494937719999999</v>
      </c>
      <c r="S326" s="5">
        <f>[1]Hybrid!R54</f>
        <v>0.18533472009999999</v>
      </c>
      <c r="T326" s="5">
        <f>[1]Hybrid!S54</f>
        <v>0.18547051049999999</v>
      </c>
      <c r="U326" s="5">
        <f>[1]Hybrid!T54</f>
        <v>0.1854049656</v>
      </c>
      <c r="V326" s="5">
        <f>[1]Hybrid!U54</f>
        <v>0.1851760126</v>
      </c>
      <c r="W326" s="5">
        <f>[1]Hybrid!V54</f>
        <v>0.18479946950000001</v>
      </c>
      <c r="X326" s="5">
        <f>[1]Hybrid!W54</f>
        <v>0.18431755690000001</v>
      </c>
      <c r="Y326" s="5">
        <f>[1]Hybrid!X54</f>
        <v>0.18375060900000001</v>
      </c>
      <c r="Z326" s="5">
        <f>[1]Hybrid!Y54</f>
        <v>0.1831170037</v>
      </c>
      <c r="AA326" s="5">
        <f>[1]Hybrid!Z54</f>
        <v>0.1824286547</v>
      </c>
      <c r="AB326" s="5">
        <f>[1]Hybrid!AA54</f>
        <v>0.1816551995</v>
      </c>
      <c r="AC326" s="5">
        <f>[1]Hybrid!AB54</f>
        <v>0.1808223041</v>
      </c>
      <c r="AD326" s="5">
        <f>[1]Hybrid!AC54</f>
        <v>0.17992643729999999</v>
      </c>
      <c r="AE326" s="5">
        <f>[1]Hybrid!AD54</f>
        <v>0.17896712140000001</v>
      </c>
      <c r="AF326" s="5">
        <f>[1]Hybrid!AE54</f>
        <v>0.17794448609999999</v>
      </c>
      <c r="AG326" s="5">
        <f>[1]Hybrid!AF54</f>
        <v>0.17685447139999999</v>
      </c>
      <c r="AH326" s="5">
        <f>[1]Hybrid!AG54</f>
        <v>0.17568761120000001</v>
      </c>
      <c r="AI326" s="5">
        <f>[1]Hybrid!AH54</f>
        <v>0.174431534</v>
      </c>
      <c r="AJ326" s="5">
        <f>[1]Hybrid!AI54</f>
        <v>0.173075435</v>
      </c>
      <c r="AK326" s="5">
        <f>[1]Hybrid!AJ54</f>
        <v>0.1716110894</v>
      </c>
      <c r="AL326" s="5">
        <f>[1]Hybrid!AK54</f>
        <v>0.17003297079999999</v>
      </c>
    </row>
    <row r="327" spans="1:3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7.52981494E-2</v>
      </c>
      <c r="E327" s="5">
        <f>[1]Hybrid!D56</f>
        <v>7.6310760800000002E-2</v>
      </c>
      <c r="F327" s="5">
        <f>[1]Hybrid!E56</f>
        <v>7.74217814E-2</v>
      </c>
      <c r="G327" s="5">
        <f>[1]Hybrid!F56</f>
        <v>7.8549448100000002E-2</v>
      </c>
      <c r="H327" s="5">
        <f>[1]Hybrid!G56</f>
        <v>7.9606691899999998E-2</v>
      </c>
      <c r="I327" s="5">
        <f>[1]Hybrid!H56</f>
        <v>8.04926319E-2</v>
      </c>
      <c r="J327" s="5">
        <f>[1]Hybrid!I56</f>
        <v>8.0928433199999997E-2</v>
      </c>
      <c r="K327" s="5">
        <f>[1]Hybrid!J56</f>
        <v>8.1002523300000004E-2</v>
      </c>
      <c r="L327" s="5">
        <f>[1]Hybrid!K56</f>
        <v>8.0785603100000006E-2</v>
      </c>
      <c r="M327" s="5">
        <f>[1]Hybrid!L56</f>
        <v>8.0310481500000003E-2</v>
      </c>
      <c r="N327" s="5">
        <f>[1]Hybrid!M56</f>
        <v>7.9635990000000004E-2</v>
      </c>
      <c r="O327" s="5">
        <f>[1]Hybrid!N56</f>
        <v>7.8781917199999996E-2</v>
      </c>
      <c r="P327" s="5">
        <f>[1]Hybrid!O56</f>
        <v>7.7766711899999993E-2</v>
      </c>
      <c r="Q327" s="5">
        <f>[1]Hybrid!P56</f>
        <v>7.6615243999999999E-2</v>
      </c>
      <c r="R327" s="5">
        <f>[1]Hybrid!Q56</f>
        <v>7.5354893100000001E-2</v>
      </c>
      <c r="S327" s="5">
        <f>[1]Hybrid!R56</f>
        <v>7.4001811299999998E-2</v>
      </c>
      <c r="T327" s="5">
        <f>[1]Hybrid!S56</f>
        <v>7.2586671699999994E-2</v>
      </c>
      <c r="U327" s="5">
        <f>[1]Hybrid!T56</f>
        <v>7.1135416600000001E-2</v>
      </c>
      <c r="V327" s="5">
        <f>[1]Hybrid!U56</f>
        <v>6.9667502199999995E-2</v>
      </c>
      <c r="W327" s="5">
        <f>[1]Hybrid!V56</f>
        <v>6.8193120499999996E-2</v>
      </c>
      <c r="X327" s="5">
        <f>[1]Hybrid!W56</f>
        <v>6.6726252099999994E-2</v>
      </c>
      <c r="Y327" s="5">
        <f>[1]Hybrid!X56</f>
        <v>6.5272654700000002E-2</v>
      </c>
      <c r="Z327" s="5">
        <f>[1]Hybrid!Y56</f>
        <v>6.3835671699999999E-2</v>
      </c>
      <c r="AA327" s="5">
        <f>[1]Hybrid!Z56</f>
        <v>6.2415369700000001E-2</v>
      </c>
      <c r="AB327" s="5">
        <f>[1]Hybrid!AA56</f>
        <v>6.1000565399999998E-2</v>
      </c>
      <c r="AC327" s="5">
        <f>[1]Hybrid!AB56</f>
        <v>5.9592146200000001E-2</v>
      </c>
      <c r="AD327" s="5">
        <f>[1]Hybrid!AC56</f>
        <v>5.8183251999999998E-2</v>
      </c>
      <c r="AE327" s="5">
        <f>[1]Hybrid!AD56</f>
        <v>5.6767988800000002E-2</v>
      </c>
      <c r="AF327" s="5">
        <f>[1]Hybrid!AE56</f>
        <v>5.5342048099999999E-2</v>
      </c>
      <c r="AG327" s="5">
        <f>[1]Hybrid!AF56</f>
        <v>5.3901923900000002E-2</v>
      </c>
      <c r="AH327" s="5">
        <f>[1]Hybrid!AG56</f>
        <v>5.2444528800000001E-2</v>
      </c>
      <c r="AI327" s="5">
        <f>[1]Hybrid!AH56</f>
        <v>5.0967524399999999E-2</v>
      </c>
      <c r="AJ327" s="5">
        <f>[1]Hybrid!AI56</f>
        <v>4.9470207400000001E-2</v>
      </c>
      <c r="AK327" s="5">
        <f>[1]Hybrid!AJ56</f>
        <v>4.7953586999999999E-2</v>
      </c>
      <c r="AL327" s="5">
        <f>[1]Hybrid!AK56</f>
        <v>4.6420087399999997E-2</v>
      </c>
    </row>
    <row r="328" spans="1:3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0.1358835652</v>
      </c>
      <c r="E328" s="5">
        <f>[1]Hybrid!D58</f>
        <v>0.13780468009999999</v>
      </c>
      <c r="F328" s="5">
        <f>[1]Hybrid!E58</f>
        <v>0.13966853700000001</v>
      </c>
      <c r="G328" s="5">
        <f>[1]Hybrid!F58</f>
        <v>0.14131160370000001</v>
      </c>
      <c r="H328" s="5">
        <f>[1]Hybrid!G58</f>
        <v>0.14258906299999999</v>
      </c>
      <c r="I328" s="5">
        <f>[1]Hybrid!H58</f>
        <v>0.14334308909999999</v>
      </c>
      <c r="J328" s="5">
        <f>[1]Hybrid!I58</f>
        <v>0.1431201644</v>
      </c>
      <c r="K328" s="5">
        <f>[1]Hybrid!J58</f>
        <v>0.14207198579999999</v>
      </c>
      <c r="L328" s="5">
        <f>[1]Hybrid!K58</f>
        <v>0.1403521043</v>
      </c>
      <c r="M328" s="5">
        <f>[1]Hybrid!L58</f>
        <v>0.1380549291</v>
      </c>
      <c r="N328" s="5">
        <f>[1]Hybrid!M58</f>
        <v>0.1353166334</v>
      </c>
      <c r="O328" s="5">
        <f>[1]Hybrid!N58</f>
        <v>0.1322245829</v>
      </c>
      <c r="P328" s="5">
        <f>[1]Hybrid!O58</f>
        <v>0.12885793370000001</v>
      </c>
      <c r="Q328" s="5">
        <f>[1]Hybrid!P58</f>
        <v>0.12529444649999999</v>
      </c>
      <c r="R328" s="5">
        <f>[1]Hybrid!Q58</f>
        <v>0.1216042703</v>
      </c>
      <c r="S328" s="5">
        <f>[1]Hybrid!R58</f>
        <v>0.1178344995</v>
      </c>
      <c r="T328" s="5">
        <f>[1]Hybrid!S58</f>
        <v>0.1140402183</v>
      </c>
      <c r="U328" s="5">
        <f>[1]Hybrid!T58</f>
        <v>0.11026517249999999</v>
      </c>
      <c r="V328" s="5">
        <f>[1]Hybrid!U58</f>
        <v>0.1065405713</v>
      </c>
      <c r="W328" s="5">
        <f>[1]Hybrid!V58</f>
        <v>0.1028832002</v>
      </c>
      <c r="X328" s="5">
        <f>[1]Hybrid!W58</f>
        <v>9.9310174500000001E-2</v>
      </c>
      <c r="Y328" s="5">
        <f>[1]Hybrid!X58</f>
        <v>9.5827230999999999E-2</v>
      </c>
      <c r="Z328" s="5">
        <f>[1]Hybrid!Y58</f>
        <v>9.2435752100000004E-2</v>
      </c>
      <c r="AA328" s="5">
        <f>[1]Hybrid!Z58</f>
        <v>8.9132431100000006E-2</v>
      </c>
      <c r="AB328" s="5">
        <f>[1]Hybrid!AA58</f>
        <v>8.5902408299999997E-2</v>
      </c>
      <c r="AC328" s="5">
        <f>[1]Hybrid!AB58</f>
        <v>8.2741822300000004E-2</v>
      </c>
      <c r="AD328" s="5">
        <f>[1]Hybrid!AC58</f>
        <v>7.9639442300000002E-2</v>
      </c>
      <c r="AE328" s="5">
        <f>[1]Hybrid!AD58</f>
        <v>7.6585937699999995E-2</v>
      </c>
      <c r="AF328" s="5">
        <f>[1]Hybrid!AE58</f>
        <v>7.3575237000000002E-2</v>
      </c>
      <c r="AG328" s="5">
        <f>[1]Hybrid!AF58</f>
        <v>7.06038217E-2</v>
      </c>
      <c r="AH328" s="5">
        <f>[1]Hybrid!AG58</f>
        <v>6.7670067299999997E-2</v>
      </c>
      <c r="AI328" s="5">
        <f>[1]Hybrid!AH58</f>
        <v>6.47741503E-2</v>
      </c>
      <c r="AJ328" s="5">
        <f>[1]Hybrid!AI58</f>
        <v>6.1918470099999998E-2</v>
      </c>
      <c r="AK328" s="5">
        <f>[1]Hybrid!AJ58</f>
        <v>5.9107338400000001E-2</v>
      </c>
      <c r="AL328" s="5">
        <f>[1]Hybrid!AK58</f>
        <v>5.6346315299999998E-2</v>
      </c>
    </row>
    <row r="330" spans="1:3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</row>
    <row r="331" spans="1:38" x14ac:dyDescent="0.35">
      <c r="A331" t="s">
        <v>39</v>
      </c>
      <c r="B331" t="s">
        <v>96</v>
      </c>
      <c r="C331" s="6">
        <f t="shared" ref="C331:AL331" si="62">C308+C322+C315</f>
        <v>7105.9689965623002</v>
      </c>
      <c r="D331" s="6">
        <f t="shared" si="62"/>
        <v>7155.2985386964001</v>
      </c>
      <c r="E331" s="6">
        <f t="shared" si="62"/>
        <v>7266.2225292113999</v>
      </c>
      <c r="F331" s="6">
        <f t="shared" si="62"/>
        <v>7418.7650059117004</v>
      </c>
      <c r="G331" s="6">
        <f t="shared" si="62"/>
        <v>7607.0937745698993</v>
      </c>
      <c r="H331" s="6">
        <f t="shared" si="62"/>
        <v>7820.8685179240001</v>
      </c>
      <c r="I331" s="6">
        <f t="shared" si="62"/>
        <v>8047.3774919486004</v>
      </c>
      <c r="J331" s="6">
        <f t="shared" si="62"/>
        <v>8252.4656768230998</v>
      </c>
      <c r="K331" s="6">
        <f t="shared" si="62"/>
        <v>8458.6019514969012</v>
      </c>
      <c r="L331" s="6">
        <f t="shared" si="62"/>
        <v>8676.3402979272996</v>
      </c>
      <c r="M331" s="6">
        <f t="shared" si="62"/>
        <v>8909.7491749644978</v>
      </c>
      <c r="N331" s="6">
        <f t="shared" si="62"/>
        <v>9164.1795213523001</v>
      </c>
      <c r="O331" s="6">
        <f t="shared" si="62"/>
        <v>9430.6346729711004</v>
      </c>
      <c r="P331" s="6">
        <f t="shared" si="62"/>
        <v>9699.8613782685006</v>
      </c>
      <c r="Q331" s="6">
        <f t="shared" si="62"/>
        <v>9965.2442440101986</v>
      </c>
      <c r="R331" s="6">
        <f t="shared" si="62"/>
        <v>10222.723882534199</v>
      </c>
      <c r="S331" s="6">
        <f t="shared" si="62"/>
        <v>10467.611526754001</v>
      </c>
      <c r="T331" s="6">
        <f t="shared" si="62"/>
        <v>10702.3217502886</v>
      </c>
      <c r="U331" s="6">
        <f t="shared" si="62"/>
        <v>10928.696418798201</v>
      </c>
      <c r="V331" s="6">
        <f t="shared" si="62"/>
        <v>11148.086379850798</v>
      </c>
      <c r="W331" s="6">
        <f t="shared" si="62"/>
        <v>11360.470150491601</v>
      </c>
      <c r="X331" s="6">
        <f t="shared" si="62"/>
        <v>11569.045895023401</v>
      </c>
      <c r="Y331" s="6">
        <f t="shared" si="62"/>
        <v>11775.652865533999</v>
      </c>
      <c r="Z331" s="6">
        <f t="shared" si="62"/>
        <v>11982.536981133</v>
      </c>
      <c r="AA331" s="6">
        <f t="shared" si="62"/>
        <v>12191.893180954999</v>
      </c>
      <c r="AB331" s="6">
        <f t="shared" si="62"/>
        <v>12402.065227133</v>
      </c>
      <c r="AC331" s="6">
        <f t="shared" si="62"/>
        <v>12617.827652828</v>
      </c>
      <c r="AD331" s="6">
        <f t="shared" si="62"/>
        <v>12841.544441219999</v>
      </c>
      <c r="AE331" s="6">
        <f t="shared" si="62"/>
        <v>13076.245238206999</v>
      </c>
      <c r="AF331" s="6">
        <f t="shared" si="62"/>
        <v>13324.942411405</v>
      </c>
      <c r="AG331" s="6">
        <f t="shared" si="62"/>
        <v>13589.949732239002</v>
      </c>
      <c r="AH331" s="6">
        <f t="shared" si="62"/>
        <v>13872.737969574999</v>
      </c>
      <c r="AI331" s="6">
        <f t="shared" si="62"/>
        <v>14174.260595810001</v>
      </c>
      <c r="AJ331" s="6">
        <f t="shared" si="62"/>
        <v>14495.424951624</v>
      </c>
      <c r="AK331" s="6">
        <f t="shared" si="62"/>
        <v>14837.166598738</v>
      </c>
      <c r="AL331" s="6">
        <f t="shared" si="62"/>
        <v>15200.536171094</v>
      </c>
    </row>
    <row r="332" spans="1:38" x14ac:dyDescent="0.35">
      <c r="B332" t="s">
        <v>97</v>
      </c>
      <c r="C332" s="6">
        <f t="shared" ref="C332:AL332" si="63">C309+C323+C316</f>
        <v>8263.1971436354015</v>
      </c>
      <c r="D332" s="6">
        <f t="shared" si="63"/>
        <v>8197.7938958085997</v>
      </c>
      <c r="E332" s="6">
        <f t="shared" si="63"/>
        <v>8199.1673344271003</v>
      </c>
      <c r="F332" s="6">
        <f t="shared" si="63"/>
        <v>8247.1568779730987</v>
      </c>
      <c r="G332" s="6">
        <f t="shared" si="63"/>
        <v>8335.3498555781989</v>
      </c>
      <c r="H332" s="6">
        <f t="shared" si="63"/>
        <v>8453.3385825568002</v>
      </c>
      <c r="I332" s="6">
        <f t="shared" si="63"/>
        <v>8588.4050544091006</v>
      </c>
      <c r="J332" s="6">
        <f t="shared" si="63"/>
        <v>8706.8356810153</v>
      </c>
      <c r="K332" s="6">
        <f t="shared" si="63"/>
        <v>8828.095050010601</v>
      </c>
      <c r="L332" s="6">
        <f t="shared" si="63"/>
        <v>8961.4832602837996</v>
      </c>
      <c r="M332" s="6">
        <f t="shared" si="63"/>
        <v>9110.2874755563007</v>
      </c>
      <c r="N332" s="6">
        <f t="shared" si="63"/>
        <v>9279.4551319546008</v>
      </c>
      <c r="O332" s="6">
        <f t="shared" si="63"/>
        <v>9461.2423583224008</v>
      </c>
      <c r="P332" s="6">
        <f t="shared" si="63"/>
        <v>9647.521290702598</v>
      </c>
      <c r="Q332" s="6">
        <f t="shared" si="63"/>
        <v>9832.4920151194983</v>
      </c>
      <c r="R332" s="6">
        <f t="shared" si="63"/>
        <v>10012.6154213301</v>
      </c>
      <c r="S332" s="6">
        <f t="shared" si="63"/>
        <v>10183.616523057199</v>
      </c>
      <c r="T332" s="6">
        <f t="shared" si="63"/>
        <v>10347.5937923944</v>
      </c>
      <c r="U332" s="6">
        <f t="shared" si="63"/>
        <v>10506.235798587501</v>
      </c>
      <c r="V332" s="6">
        <f t="shared" si="63"/>
        <v>10660.7808103268</v>
      </c>
      <c r="W332" s="6">
        <f t="shared" si="63"/>
        <v>10811.174266715499</v>
      </c>
      <c r="X332" s="6">
        <f t="shared" si="63"/>
        <v>10960.2213199618</v>
      </c>
      <c r="Y332" s="6">
        <f t="shared" si="63"/>
        <v>11109.4361026113</v>
      </c>
      <c r="Z332" s="6">
        <f t="shared" si="63"/>
        <v>11260.652589216799</v>
      </c>
      <c r="AA332" s="6">
        <f t="shared" si="63"/>
        <v>11415.611446698598</v>
      </c>
      <c r="AB332" s="6">
        <f t="shared" si="63"/>
        <v>11572.541394375899</v>
      </c>
      <c r="AC332" s="6">
        <f t="shared" si="63"/>
        <v>11735.406359975301</v>
      </c>
      <c r="AD332" s="6">
        <f t="shared" si="63"/>
        <v>11905.9352330572</v>
      </c>
      <c r="AE332" s="6">
        <f t="shared" si="63"/>
        <v>12086.412723674999</v>
      </c>
      <c r="AF332" s="6">
        <f t="shared" si="63"/>
        <v>12279.100817267001</v>
      </c>
      <c r="AG332" s="6">
        <f t="shared" si="63"/>
        <v>12485.639092879999</v>
      </c>
      <c r="AH332" s="6">
        <f t="shared" si="63"/>
        <v>12706.913017851999</v>
      </c>
      <c r="AI332" s="6">
        <f t="shared" si="63"/>
        <v>12943.337579068</v>
      </c>
      <c r="AJ332" s="6">
        <f t="shared" si="63"/>
        <v>13195.280036486001</v>
      </c>
      <c r="AK332" s="6">
        <f t="shared" si="63"/>
        <v>13463.128969727</v>
      </c>
      <c r="AL332" s="6">
        <f t="shared" si="63"/>
        <v>13747.361769271001</v>
      </c>
    </row>
    <row r="333" spans="1:38" x14ac:dyDescent="0.35">
      <c r="B333" t="s">
        <v>98</v>
      </c>
      <c r="C333" s="6">
        <f t="shared" ref="C333:AL333" si="64">C310+C324+C317</f>
        <v>6787.4105911386005</v>
      </c>
      <c r="D333" s="6">
        <f t="shared" si="64"/>
        <v>6658.6304603116996</v>
      </c>
      <c r="E333" s="6">
        <f t="shared" si="64"/>
        <v>6581.7941035287004</v>
      </c>
      <c r="F333" s="6">
        <f t="shared" si="64"/>
        <v>6542.2400861511005</v>
      </c>
      <c r="G333" s="6">
        <f t="shared" si="64"/>
        <v>6534.9439726272003</v>
      </c>
      <c r="H333" s="6">
        <f t="shared" si="64"/>
        <v>6552.3461073400003</v>
      </c>
      <c r="I333" s="6">
        <f t="shared" si="64"/>
        <v>6585.2681591527999</v>
      </c>
      <c r="J333" s="6">
        <f t="shared" si="64"/>
        <v>6609.7316242408997</v>
      </c>
      <c r="K333" s="6">
        <f t="shared" si="64"/>
        <v>6637.7886906822005</v>
      </c>
      <c r="L333" s="6">
        <f t="shared" si="64"/>
        <v>6675.3180645221992</v>
      </c>
      <c r="M333" s="6">
        <f t="shared" si="64"/>
        <v>6724.1872542222009</v>
      </c>
      <c r="N333" s="6">
        <f t="shared" si="64"/>
        <v>6787.6919568001003</v>
      </c>
      <c r="O333" s="6">
        <f t="shared" si="64"/>
        <v>6861.0405328766001</v>
      </c>
      <c r="P333" s="6">
        <f t="shared" si="64"/>
        <v>6939.0810106127001</v>
      </c>
      <c r="Q333" s="6">
        <f t="shared" si="64"/>
        <v>7018.1353944522998</v>
      </c>
      <c r="R333" s="6">
        <f t="shared" si="64"/>
        <v>7095.9626289422004</v>
      </c>
      <c r="S333" s="6">
        <f t="shared" si="64"/>
        <v>7169.7284297063006</v>
      </c>
      <c r="T333" s="6">
        <f t="shared" si="64"/>
        <v>7240.7220820809007</v>
      </c>
      <c r="U333" s="6">
        <f t="shared" si="64"/>
        <v>7310.0376788333997</v>
      </c>
      <c r="V333" s="6">
        <f t="shared" si="64"/>
        <v>7378.4720916195001</v>
      </c>
      <c r="W333" s="6">
        <f t="shared" si="64"/>
        <v>7445.9455274132006</v>
      </c>
      <c r="X333" s="6">
        <f t="shared" si="64"/>
        <v>7514.2113248706009</v>
      </c>
      <c r="Y333" s="6">
        <f t="shared" si="64"/>
        <v>7584.1413784909</v>
      </c>
      <c r="Z333" s="6">
        <f t="shared" si="64"/>
        <v>7656.7869185146001</v>
      </c>
      <c r="AA333" s="6">
        <f t="shared" si="64"/>
        <v>7733.1096858376995</v>
      </c>
      <c r="AB333" s="6">
        <f t="shared" si="64"/>
        <v>7811.7624700509004</v>
      </c>
      <c r="AC333" s="6">
        <f t="shared" si="64"/>
        <v>7895.0923985022</v>
      </c>
      <c r="AD333" s="6">
        <f t="shared" si="64"/>
        <v>7983.9557810450005</v>
      </c>
      <c r="AE333" s="6">
        <f t="shared" si="64"/>
        <v>8079.5461665959001</v>
      </c>
      <c r="AF333" s="6">
        <f t="shared" si="64"/>
        <v>8183.0420639374997</v>
      </c>
      <c r="AG333" s="6">
        <f t="shared" si="64"/>
        <v>8295.2262385314007</v>
      </c>
      <c r="AH333" s="6">
        <f t="shared" si="64"/>
        <v>8416.3991746887004</v>
      </c>
      <c r="AI333" s="6">
        <f t="shared" si="64"/>
        <v>8546.5577694184012</v>
      </c>
      <c r="AJ333" s="6">
        <f t="shared" si="64"/>
        <v>8685.6696462088003</v>
      </c>
      <c r="AK333" s="6">
        <f t="shared" si="64"/>
        <v>8833.7197251932994</v>
      </c>
      <c r="AL333" s="6">
        <f t="shared" si="64"/>
        <v>8990.7480225869986</v>
      </c>
    </row>
    <row r="334" spans="1:38" x14ac:dyDescent="0.35">
      <c r="B334" t="s">
        <v>99</v>
      </c>
      <c r="C334" s="6">
        <f t="shared" ref="C334:AL334" si="65">C311+C325+C318</f>
        <v>4165.6835237371006</v>
      </c>
      <c r="D334" s="6">
        <f t="shared" si="65"/>
        <v>4061.8898353437003</v>
      </c>
      <c r="E334" s="6">
        <f t="shared" si="65"/>
        <v>3987.6916994846997</v>
      </c>
      <c r="F334" s="6">
        <f t="shared" si="65"/>
        <v>3934.3458351452</v>
      </c>
      <c r="G334" s="6">
        <f t="shared" si="65"/>
        <v>3898.5843008676998</v>
      </c>
      <c r="H334" s="6">
        <f t="shared" si="65"/>
        <v>3876.0265250176999</v>
      </c>
      <c r="I334" s="6">
        <f t="shared" si="65"/>
        <v>3861.4655943320995</v>
      </c>
      <c r="J334" s="6">
        <f t="shared" si="65"/>
        <v>3841.6062196816997</v>
      </c>
      <c r="K334" s="6">
        <f t="shared" si="65"/>
        <v>3821.9095409853999</v>
      </c>
      <c r="L334" s="6">
        <f t="shared" si="65"/>
        <v>3805.1783867586996</v>
      </c>
      <c r="M334" s="6">
        <f t="shared" si="65"/>
        <v>3792.1406620970997</v>
      </c>
      <c r="N334" s="6">
        <f t="shared" si="65"/>
        <v>3784.4613905574001</v>
      </c>
      <c r="O334" s="6">
        <f t="shared" si="65"/>
        <v>3780.2140301065001</v>
      </c>
      <c r="P334" s="6">
        <f t="shared" si="65"/>
        <v>3777.3530232798003</v>
      </c>
      <c r="Q334" s="6">
        <f t="shared" si="65"/>
        <v>3774.5499055973</v>
      </c>
      <c r="R334" s="6">
        <f t="shared" si="65"/>
        <v>3771.1216071913996</v>
      </c>
      <c r="S334" s="6">
        <f t="shared" si="65"/>
        <v>3766.0215385467</v>
      </c>
      <c r="T334" s="6">
        <f t="shared" si="65"/>
        <v>3760.0187575678001</v>
      </c>
      <c r="U334" s="6">
        <f t="shared" si="65"/>
        <v>3753.7981762163995</v>
      </c>
      <c r="V334" s="6">
        <f t="shared" si="65"/>
        <v>3747.8632885450002</v>
      </c>
      <c r="W334" s="6">
        <f t="shared" si="65"/>
        <v>3742.2553528543999</v>
      </c>
      <c r="X334" s="6">
        <f t="shared" si="65"/>
        <v>3737.7749078418001</v>
      </c>
      <c r="Y334" s="6">
        <f t="shared" si="65"/>
        <v>3734.7576862390001</v>
      </c>
      <c r="Z334" s="6">
        <f t="shared" si="65"/>
        <v>3733.5665792179002</v>
      </c>
      <c r="AA334" s="6">
        <f t="shared" si="65"/>
        <v>3734.4717382914</v>
      </c>
      <c r="AB334" s="6">
        <f t="shared" si="65"/>
        <v>3736.6796261172999</v>
      </c>
      <c r="AC334" s="6">
        <f t="shared" si="65"/>
        <v>3740.9701792699002</v>
      </c>
      <c r="AD334" s="6">
        <f t="shared" si="65"/>
        <v>3747.4055651992999</v>
      </c>
      <c r="AE334" s="6">
        <f t="shared" si="65"/>
        <v>3756.1691292759997</v>
      </c>
      <c r="AF334" s="6">
        <f t="shared" si="65"/>
        <v>3767.4571874205003</v>
      </c>
      <c r="AG334" s="6">
        <f t="shared" si="65"/>
        <v>3781.3285186369999</v>
      </c>
      <c r="AH334" s="6">
        <f t="shared" si="65"/>
        <v>3797.6651040912998</v>
      </c>
      <c r="AI334" s="6">
        <f t="shared" si="65"/>
        <v>3816.2432754895999</v>
      </c>
      <c r="AJ334" s="6">
        <f t="shared" si="65"/>
        <v>3836.8583452437997</v>
      </c>
      <c r="AK334" s="6">
        <f t="shared" si="65"/>
        <v>3859.3515598447998</v>
      </c>
      <c r="AL334" s="6">
        <f t="shared" si="65"/>
        <v>3883.6214921620003</v>
      </c>
    </row>
    <row r="335" spans="1:38" x14ac:dyDescent="0.35">
      <c r="B335" t="s">
        <v>100</v>
      </c>
      <c r="C335" s="6">
        <f t="shared" ref="C335:AL335" si="66">C312+C326+C319</f>
        <v>2507.3524895615005</v>
      </c>
      <c r="D335" s="6">
        <f t="shared" si="66"/>
        <v>2447.2315819916998</v>
      </c>
      <c r="E335" s="6">
        <f t="shared" si="66"/>
        <v>2404.0886562139999</v>
      </c>
      <c r="F335" s="6">
        <f t="shared" si="66"/>
        <v>2372.3547626966001</v>
      </c>
      <c r="G335" s="6">
        <f t="shared" si="66"/>
        <v>2349.9006079185997</v>
      </c>
      <c r="H335" s="6">
        <f t="shared" si="66"/>
        <v>2334.0662212026</v>
      </c>
      <c r="I335" s="6">
        <f t="shared" si="66"/>
        <v>2321.7133986891004</v>
      </c>
      <c r="J335" s="6">
        <f t="shared" si="66"/>
        <v>2304.7877362837003</v>
      </c>
      <c r="K335" s="6">
        <f t="shared" si="66"/>
        <v>2286.1529935502999</v>
      </c>
      <c r="L335" s="6">
        <f t="shared" si="66"/>
        <v>2267.4429368584997</v>
      </c>
      <c r="M335" s="6">
        <f t="shared" si="66"/>
        <v>2249.1022722538996</v>
      </c>
      <c r="N335" s="6">
        <f t="shared" si="66"/>
        <v>2232.2158545121001</v>
      </c>
      <c r="O335" s="6">
        <f t="shared" si="66"/>
        <v>2216.0606348714</v>
      </c>
      <c r="P335" s="6">
        <f t="shared" si="66"/>
        <v>2199.8491099114999</v>
      </c>
      <c r="Q335" s="6">
        <f t="shared" si="66"/>
        <v>2183.1603339792</v>
      </c>
      <c r="R335" s="6">
        <f t="shared" si="66"/>
        <v>2165.8787046172001</v>
      </c>
      <c r="S335" s="6">
        <f t="shared" si="66"/>
        <v>2147.6426929001</v>
      </c>
      <c r="T335" s="6">
        <f t="shared" si="66"/>
        <v>2128.9830624605002</v>
      </c>
      <c r="U335" s="6">
        <f t="shared" si="66"/>
        <v>2110.3735307155998</v>
      </c>
      <c r="V335" s="6">
        <f t="shared" si="66"/>
        <v>2092.1615178226002</v>
      </c>
      <c r="W335" s="6">
        <f t="shared" si="66"/>
        <v>2074.4203395294999</v>
      </c>
      <c r="X335" s="6">
        <f t="shared" si="66"/>
        <v>2057.5704674568997</v>
      </c>
      <c r="Y335" s="6">
        <f t="shared" si="66"/>
        <v>2041.761310499</v>
      </c>
      <c r="Z335" s="6">
        <f t="shared" si="66"/>
        <v>2027.1275310037001</v>
      </c>
      <c r="AA335" s="6">
        <f t="shared" si="66"/>
        <v>2013.7300512546999</v>
      </c>
      <c r="AB335" s="6">
        <f t="shared" si="66"/>
        <v>2001.0825259994999</v>
      </c>
      <c r="AC335" s="6">
        <f t="shared" si="66"/>
        <v>1989.4476844041001</v>
      </c>
      <c r="AD335" s="6">
        <f t="shared" si="66"/>
        <v>1978.7090375373002</v>
      </c>
      <c r="AE335" s="6">
        <f t="shared" si="66"/>
        <v>1968.7987619214</v>
      </c>
      <c r="AF335" s="6">
        <f t="shared" si="66"/>
        <v>1959.6645601861001</v>
      </c>
      <c r="AG335" s="6">
        <f t="shared" si="66"/>
        <v>1951.2033886714</v>
      </c>
      <c r="AH335" s="6">
        <f t="shared" si="66"/>
        <v>1943.2424923111998</v>
      </c>
      <c r="AI335" s="6">
        <f t="shared" si="66"/>
        <v>1935.5714588339999</v>
      </c>
      <c r="AJ335" s="6">
        <f t="shared" si="66"/>
        <v>1928.0030832350001</v>
      </c>
      <c r="AK335" s="6">
        <f t="shared" si="66"/>
        <v>1920.3871257894</v>
      </c>
      <c r="AL335" s="6">
        <f t="shared" si="66"/>
        <v>1912.6119100708001</v>
      </c>
    </row>
    <row r="336" spans="1:38" x14ac:dyDescent="0.35">
      <c r="B336" t="s">
        <v>101</v>
      </c>
      <c r="C336" s="6">
        <f t="shared" ref="C336:AL336" si="67">C313+C327+C320</f>
        <v>1245.466605953</v>
      </c>
      <c r="D336" s="6">
        <f t="shared" si="67"/>
        <v>1212.9149376633998</v>
      </c>
      <c r="E336" s="6">
        <f t="shared" si="67"/>
        <v>1187.3336945287999</v>
      </c>
      <c r="F336" s="6">
        <f t="shared" si="67"/>
        <v>1165.7191969924002</v>
      </c>
      <c r="G336" s="6">
        <f t="shared" si="67"/>
        <v>1146.8569292991001</v>
      </c>
      <c r="H336" s="6">
        <f t="shared" si="67"/>
        <v>1129.4973045709</v>
      </c>
      <c r="I336" s="6">
        <f t="shared" si="67"/>
        <v>1112.2567923198999</v>
      </c>
      <c r="J336" s="6">
        <f t="shared" si="67"/>
        <v>1091.6549749842</v>
      </c>
      <c r="K336" s="6">
        <f t="shared" si="67"/>
        <v>1068.7072051823</v>
      </c>
      <c r="L336" s="6">
        <f t="shared" si="67"/>
        <v>1044.1960825501001</v>
      </c>
      <c r="M336" s="6">
        <f t="shared" si="67"/>
        <v>1018.4400661454999</v>
      </c>
      <c r="N336" s="6">
        <f t="shared" si="67"/>
        <v>992.0614891460001</v>
      </c>
      <c r="O336" s="6">
        <f t="shared" si="67"/>
        <v>965.19186596220004</v>
      </c>
      <c r="P336" s="6">
        <f t="shared" si="67"/>
        <v>937.95052090490003</v>
      </c>
      <c r="Q336" s="6">
        <f t="shared" si="67"/>
        <v>910.53964761100008</v>
      </c>
      <c r="R336" s="6">
        <f t="shared" si="67"/>
        <v>883.19614134309995</v>
      </c>
      <c r="S336" s="6">
        <f t="shared" si="67"/>
        <v>856.0247744513</v>
      </c>
      <c r="T336" s="6">
        <f t="shared" si="67"/>
        <v>829.31492752170004</v>
      </c>
      <c r="U336" s="6">
        <f t="shared" si="67"/>
        <v>803.29967396659993</v>
      </c>
      <c r="V336" s="6">
        <f t="shared" si="67"/>
        <v>778.13533602219991</v>
      </c>
      <c r="W336" s="6">
        <f t="shared" si="67"/>
        <v>753.86772297050015</v>
      </c>
      <c r="X336" s="6">
        <f t="shared" si="67"/>
        <v>730.59505662210006</v>
      </c>
      <c r="Y336" s="6">
        <f t="shared" si="67"/>
        <v>708.31773086470002</v>
      </c>
      <c r="Z336" s="6">
        <f t="shared" si="67"/>
        <v>687.01106920169991</v>
      </c>
      <c r="AA336" s="6">
        <f t="shared" si="67"/>
        <v>666.61415144969999</v>
      </c>
      <c r="AB336" s="6">
        <f t="shared" si="67"/>
        <v>646.92844975540004</v>
      </c>
      <c r="AC336" s="6">
        <f t="shared" si="67"/>
        <v>627.91335297620003</v>
      </c>
      <c r="AD336" s="6">
        <f t="shared" si="67"/>
        <v>609.43314221200001</v>
      </c>
      <c r="AE336" s="6">
        <f t="shared" si="67"/>
        <v>591.36785927879987</v>
      </c>
      <c r="AF336" s="6">
        <f t="shared" si="67"/>
        <v>573.6207686281</v>
      </c>
      <c r="AG336" s="6">
        <f t="shared" si="67"/>
        <v>556.1078333639</v>
      </c>
      <c r="AH336" s="6">
        <f t="shared" si="67"/>
        <v>538.75233284880005</v>
      </c>
      <c r="AI336" s="6">
        <f t="shared" si="67"/>
        <v>521.48882975439994</v>
      </c>
      <c r="AJ336" s="6">
        <f t="shared" si="67"/>
        <v>504.2745611574</v>
      </c>
      <c r="AK336" s="6">
        <f t="shared" si="67"/>
        <v>487.09039798700002</v>
      </c>
      <c r="AL336" s="6">
        <f t="shared" si="67"/>
        <v>469.93693526740003</v>
      </c>
    </row>
    <row r="337" spans="1:38" x14ac:dyDescent="0.35">
      <c r="B337" t="s">
        <v>102</v>
      </c>
      <c r="C337" s="6">
        <f t="shared" ref="C337:AL337" si="68">C314+C328+C321</f>
        <v>2242.8616504070001</v>
      </c>
      <c r="D337" s="6">
        <f t="shared" si="68"/>
        <v>2187.6696204271998</v>
      </c>
      <c r="E337" s="6">
        <f t="shared" si="68"/>
        <v>2142.7272500531003</v>
      </c>
      <c r="F337" s="6">
        <f t="shared" si="68"/>
        <v>2102.098963295</v>
      </c>
      <c r="G337" s="6">
        <f t="shared" si="68"/>
        <v>2063.4440549627002</v>
      </c>
      <c r="H337" s="6">
        <f t="shared" si="68"/>
        <v>2024.6973061650001</v>
      </c>
      <c r="I337" s="6">
        <f t="shared" si="68"/>
        <v>1983.6895929231</v>
      </c>
      <c r="J337" s="6">
        <f t="shared" si="68"/>
        <v>1934.7652594133999</v>
      </c>
      <c r="K337" s="6">
        <f t="shared" si="68"/>
        <v>1879.6716874258</v>
      </c>
      <c r="L337" s="6">
        <f t="shared" si="68"/>
        <v>1820.1381482043</v>
      </c>
      <c r="M337" s="6">
        <f t="shared" si="68"/>
        <v>1757.1573794390999</v>
      </c>
      <c r="N337" s="6">
        <f t="shared" si="68"/>
        <v>1692.2036146733999</v>
      </c>
      <c r="O337" s="6">
        <f t="shared" si="68"/>
        <v>1626.1312304729001</v>
      </c>
      <c r="P337" s="6">
        <f t="shared" si="68"/>
        <v>1559.6972313336998</v>
      </c>
      <c r="Q337" s="6">
        <f t="shared" si="68"/>
        <v>1493.6464292465</v>
      </c>
      <c r="R337" s="6">
        <f t="shared" si="68"/>
        <v>1428.6363657803001</v>
      </c>
      <c r="S337" s="6">
        <f t="shared" si="68"/>
        <v>1365.0508179795002</v>
      </c>
      <c r="T337" s="6">
        <f t="shared" si="68"/>
        <v>1303.3825496383001</v>
      </c>
      <c r="U337" s="6">
        <f t="shared" si="68"/>
        <v>1243.9915286524999</v>
      </c>
      <c r="V337" s="6">
        <f t="shared" si="68"/>
        <v>1187.0917763313</v>
      </c>
      <c r="W337" s="6">
        <f t="shared" si="68"/>
        <v>1132.7287183001999</v>
      </c>
      <c r="X337" s="6">
        <f t="shared" si="68"/>
        <v>1080.9632677145</v>
      </c>
      <c r="Y337" s="6">
        <f t="shared" si="68"/>
        <v>1031.724939401</v>
      </c>
      <c r="Z337" s="6">
        <f t="shared" si="68"/>
        <v>984.89949479209997</v>
      </c>
      <c r="AA337" s="6">
        <f t="shared" si="68"/>
        <v>940.32391778110002</v>
      </c>
      <c r="AB337" s="6">
        <f t="shared" si="68"/>
        <v>897.69843988829996</v>
      </c>
      <c r="AC337" s="6">
        <f t="shared" si="68"/>
        <v>856.87215547230005</v>
      </c>
      <c r="AD337" s="6">
        <f t="shared" si="68"/>
        <v>817.60768990230008</v>
      </c>
      <c r="AE337" s="6">
        <f t="shared" si="68"/>
        <v>779.6989126277</v>
      </c>
      <c r="AF337" s="6">
        <f t="shared" si="68"/>
        <v>742.98766523699999</v>
      </c>
      <c r="AG337" s="6">
        <f t="shared" si="68"/>
        <v>707.35405594170004</v>
      </c>
      <c r="AH337" s="6">
        <f t="shared" si="68"/>
        <v>672.70746359730003</v>
      </c>
      <c r="AI337" s="6">
        <f t="shared" si="68"/>
        <v>638.98500994029996</v>
      </c>
      <c r="AJ337" s="6">
        <f t="shared" si="68"/>
        <v>606.15696377009988</v>
      </c>
      <c r="AK337" s="6">
        <f t="shared" si="68"/>
        <v>574.22267670840006</v>
      </c>
      <c r="AL337" s="6">
        <f t="shared" si="68"/>
        <v>543.20187393529989</v>
      </c>
    </row>
    <row r="339" spans="1:3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7139.7186659999998</v>
      </c>
      <c r="E339" s="6">
        <f>[1]Hybrid!D19</f>
        <v>7244.7275200000004</v>
      </c>
      <c r="F339" s="6">
        <f>[1]Hybrid!E19</f>
        <v>7390.7997100000002</v>
      </c>
      <c r="G339" s="6">
        <f>[1]Hybrid!F19</f>
        <v>7572.0470610000002</v>
      </c>
      <c r="H339" s="6">
        <f>[1]Hybrid!G19</f>
        <v>7778.2302090000003</v>
      </c>
      <c r="I339" s="6">
        <f>[1]Hybrid!H19</f>
        <v>7996.7463260000004</v>
      </c>
      <c r="J339" s="6">
        <f>[1]Hybrid!I19</f>
        <v>8221.7918910000008</v>
      </c>
      <c r="K339" s="6">
        <f>[1]Hybrid!J19</f>
        <v>8451.5513019999999</v>
      </c>
      <c r="L339" s="6">
        <f>[1]Hybrid!K19</f>
        <v>8685.2946890000003</v>
      </c>
      <c r="M339" s="6">
        <f>[1]Hybrid!L19</f>
        <v>8923.4374680000001</v>
      </c>
      <c r="N339" s="6">
        <f>[1]Hybrid!M19</f>
        <v>9160.6218819999995</v>
      </c>
      <c r="O339" s="6">
        <f>[1]Hybrid!N19</f>
        <v>9393.3120459999991</v>
      </c>
      <c r="P339" s="6">
        <f>[1]Hybrid!O19</f>
        <v>9618.1666789999999</v>
      </c>
      <c r="Q339" s="6">
        <f>[1]Hybrid!P19</f>
        <v>9832.4465189999992</v>
      </c>
      <c r="R339" s="6">
        <f>[1]Hybrid!Q19</f>
        <v>10034.362999999999</v>
      </c>
      <c r="S339" s="6">
        <f>[1]Hybrid!R19</f>
        <v>10228.26483</v>
      </c>
      <c r="T339" s="6">
        <f>[1]Hybrid!S19</f>
        <v>10415.131230000001</v>
      </c>
      <c r="U339" s="6">
        <f>[1]Hybrid!T19</f>
        <v>10594.514579999999</v>
      </c>
      <c r="V339" s="6">
        <f>[1]Hybrid!U19</f>
        <v>10766.060589999999</v>
      </c>
      <c r="W339" s="6">
        <f>[1]Hybrid!V19</f>
        <v>10928.81021</v>
      </c>
      <c r="X339" s="6">
        <f>[1]Hybrid!W19</f>
        <v>11085.244930000001</v>
      </c>
      <c r="Y339" s="6">
        <f>[1]Hybrid!X19</f>
        <v>11236.86946</v>
      </c>
      <c r="Z339" s="6">
        <f>[1]Hybrid!Y19</f>
        <v>11385.53825</v>
      </c>
      <c r="AA339" s="6">
        <f>[1]Hybrid!Z19</f>
        <v>11533.064679999999</v>
      </c>
      <c r="AB339" s="6">
        <f>[1]Hybrid!AA19</f>
        <v>11677.85547</v>
      </c>
      <c r="AC339" s="6">
        <f>[1]Hybrid!AB19</f>
        <v>11824.27475</v>
      </c>
      <c r="AD339" s="6">
        <f>[1]Hybrid!AC19</f>
        <v>11974.430679999999</v>
      </c>
      <c r="AE339" s="6">
        <f>[1]Hybrid!AD19</f>
        <v>12130.433209999999</v>
      </c>
      <c r="AF339" s="6">
        <f>[1]Hybrid!AE19</f>
        <v>12294.10765</v>
      </c>
      <c r="AG339" s="6">
        <f>[1]Hybrid!AF19</f>
        <v>12466.527760000001</v>
      </c>
      <c r="AH339" s="6">
        <f>[1]Hybrid!AG19</f>
        <v>12647.933510000001</v>
      </c>
      <c r="AI339" s="6">
        <f>[1]Hybrid!AH19</f>
        <v>12837.84023</v>
      </c>
      <c r="AJ339" s="6">
        <f>[1]Hybrid!AI19</f>
        <v>13035.162780000001</v>
      </c>
      <c r="AK339" s="6">
        <f>[1]Hybrid!AJ19</f>
        <v>13238.332689999999</v>
      </c>
      <c r="AL339" s="6">
        <f>[1]Hybrid!AK19</f>
        <v>13445.3915</v>
      </c>
    </row>
    <row r="340" spans="1:3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8180.8327239999999</v>
      </c>
      <c r="E340" s="6">
        <f>[1]Hybrid!D21</f>
        <v>8176.5979010000001</v>
      </c>
      <c r="F340" s="6">
        <f>[1]Hybrid!E21</f>
        <v>8218.4349409999995</v>
      </c>
      <c r="G340" s="6">
        <f>[1]Hybrid!F21</f>
        <v>8299.8753949999991</v>
      </c>
      <c r="H340" s="6">
        <f>[1]Hybrid!G21</f>
        <v>8410.6111880000008</v>
      </c>
      <c r="I340" s="6">
        <f>[1]Hybrid!H21</f>
        <v>8538.0313870000009</v>
      </c>
      <c r="J340" s="6">
        <f>[1]Hybrid!I21</f>
        <v>8675.9257739999994</v>
      </c>
      <c r="K340" s="6">
        <f>[1]Hybrid!J21</f>
        <v>8821.9203780000007</v>
      </c>
      <c r="L340" s="6">
        <f>[1]Hybrid!K21</f>
        <v>8974.7724010000002</v>
      </c>
      <c r="M340" s="6">
        <f>[1]Hybrid!L21</f>
        <v>9134.4116649999996</v>
      </c>
      <c r="N340" s="6">
        <f>[1]Hybrid!M21</f>
        <v>9295.4801599999992</v>
      </c>
      <c r="O340" s="6">
        <f>[1]Hybrid!N21</f>
        <v>9454.4889469999998</v>
      </c>
      <c r="P340" s="6">
        <f>[1]Hybrid!O21</f>
        <v>9608.2520239999994</v>
      </c>
      <c r="Q340" s="6">
        <f>[1]Hybrid!P21</f>
        <v>9754.2097209999993</v>
      </c>
      <c r="R340" s="6">
        <f>[1]Hybrid!Q21</f>
        <v>9890.7033960000008</v>
      </c>
      <c r="S340" s="6">
        <f>[1]Hybrid!R21</f>
        <v>10021.83021</v>
      </c>
      <c r="T340" s="6">
        <f>[1]Hybrid!S21</f>
        <v>10148.65101</v>
      </c>
      <c r="U340" s="6">
        <f>[1]Hybrid!T21</f>
        <v>10270.830679999999</v>
      </c>
      <c r="V340" s="6">
        <f>[1]Hybrid!U21</f>
        <v>10388.0041</v>
      </c>
      <c r="W340" s="6">
        <f>[1]Hybrid!V21</f>
        <v>10499.147489999999</v>
      </c>
      <c r="X340" s="6">
        <f>[1]Hybrid!W21</f>
        <v>10606.3259</v>
      </c>
      <c r="Y340" s="6">
        <f>[1]Hybrid!X21</f>
        <v>10710.654339999999</v>
      </c>
      <c r="Z340" s="6">
        <f>[1]Hybrid!Y21</f>
        <v>10813.530710000001</v>
      </c>
      <c r="AA340" s="6">
        <f>[1]Hybrid!Z21</f>
        <v>10916.277700000001</v>
      </c>
      <c r="AB340" s="6">
        <f>[1]Hybrid!AA21</f>
        <v>11017.077950000001</v>
      </c>
      <c r="AC340" s="6">
        <f>[1]Hybrid!AB21</f>
        <v>11119.52736</v>
      </c>
      <c r="AD340" s="6">
        <f>[1]Hybrid!AC21</f>
        <v>11225.14185</v>
      </c>
      <c r="AE340" s="6">
        <f>[1]Hybrid!AD21</f>
        <v>11335.42375</v>
      </c>
      <c r="AF340" s="6">
        <f>[1]Hybrid!AE21</f>
        <v>11451.620489999999</v>
      </c>
      <c r="AG340" s="6">
        <f>[1]Hybrid!AF21</f>
        <v>11574.31465</v>
      </c>
      <c r="AH340" s="6">
        <f>[1]Hybrid!AG21</f>
        <v>11703.36124</v>
      </c>
      <c r="AI340" s="6">
        <f>[1]Hybrid!AH21</f>
        <v>11837.996709999999</v>
      </c>
      <c r="AJ340" s="6">
        <f>[1]Hybrid!AI21</f>
        <v>11976.96034</v>
      </c>
      <c r="AK340" s="6">
        <f>[1]Hybrid!AJ21</f>
        <v>12118.608910000001</v>
      </c>
      <c r="AL340" s="6">
        <f>[1]Hybrid!AK21</f>
        <v>12261.009539999999</v>
      </c>
    </row>
    <row r="341" spans="1:3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6645.4064490000001</v>
      </c>
      <c r="E341" s="6">
        <f>[1]Hybrid!D23</f>
        <v>6564.7421899999999</v>
      </c>
      <c r="F341" s="6">
        <f>[1]Hybrid!E23</f>
        <v>6520.976686</v>
      </c>
      <c r="G341" s="6">
        <f>[1]Hybrid!F23</f>
        <v>6509.0458689999996</v>
      </c>
      <c r="H341" s="6">
        <f>[1]Hybrid!G23</f>
        <v>6521.460873</v>
      </c>
      <c r="I341" s="6">
        <f>[1]Hybrid!H23</f>
        <v>6549.1192540000002</v>
      </c>
      <c r="J341" s="6">
        <f>[1]Hybrid!I23</f>
        <v>6587.2670189999999</v>
      </c>
      <c r="K341" s="6">
        <f>[1]Hybrid!J23</f>
        <v>6633.814695</v>
      </c>
      <c r="L341" s="6">
        <f>[1]Hybrid!K23</f>
        <v>6687.5191130000003</v>
      </c>
      <c r="M341" s="6">
        <f>[1]Hybrid!L23</f>
        <v>6748.0008269999998</v>
      </c>
      <c r="N341" s="6">
        <f>[1]Hybrid!M23</f>
        <v>6811.3920269999999</v>
      </c>
      <c r="O341" s="6">
        <f>[1]Hybrid!N23</f>
        <v>6875.1979890000002</v>
      </c>
      <c r="P341" s="6">
        <f>[1]Hybrid!O23</f>
        <v>6937.2095529999997</v>
      </c>
      <c r="Q341" s="6">
        <f>[1]Hybrid!P23</f>
        <v>6995.6820950000001</v>
      </c>
      <c r="R341" s="6">
        <f>[1]Hybrid!Q23</f>
        <v>7049.4865659999996</v>
      </c>
      <c r="S341" s="6">
        <f>[1]Hybrid!R23</f>
        <v>7101.386544</v>
      </c>
      <c r="T341" s="6">
        <f>[1]Hybrid!S23</f>
        <v>7152.1726589999998</v>
      </c>
      <c r="U341" s="6">
        <f>[1]Hybrid!T23</f>
        <v>7201.6535089999998</v>
      </c>
      <c r="V341" s="6">
        <f>[1]Hybrid!U23</f>
        <v>7249.5413930000004</v>
      </c>
      <c r="W341" s="6">
        <f>[1]Hybrid!V23</f>
        <v>7295.04475</v>
      </c>
      <c r="X341" s="6">
        <f>[1]Hybrid!W23</f>
        <v>7339.3731360000002</v>
      </c>
      <c r="Y341" s="6">
        <f>[1]Hybrid!X23</f>
        <v>7383.073617</v>
      </c>
      <c r="Z341" s="6">
        <f>[1]Hybrid!Y23</f>
        <v>7426.8577969999997</v>
      </c>
      <c r="AA341" s="6">
        <f>[1]Hybrid!Z23</f>
        <v>7471.3655060000001</v>
      </c>
      <c r="AB341" s="6">
        <f>[1]Hybrid!AA23</f>
        <v>7515.1514960000004</v>
      </c>
      <c r="AC341" s="6">
        <f>[1]Hybrid!AB23</f>
        <v>7560.3234389999998</v>
      </c>
      <c r="AD341" s="6">
        <f>[1]Hybrid!AC23</f>
        <v>7607.6096649999999</v>
      </c>
      <c r="AE341" s="6">
        <f>[1]Hybrid!AD23</f>
        <v>7657.724526</v>
      </c>
      <c r="AF341" s="6">
        <f>[1]Hybrid!AE23</f>
        <v>7711.2227549999998</v>
      </c>
      <c r="AG341" s="6">
        <f>[1]Hybrid!AF23</f>
        <v>7768.2402009999996</v>
      </c>
      <c r="AH341" s="6">
        <f>[1]Hybrid!AG23</f>
        <v>7828.4603049999996</v>
      </c>
      <c r="AI341" s="6">
        <f>[1]Hybrid!AH23</f>
        <v>7891.1917030000004</v>
      </c>
      <c r="AJ341" s="6">
        <f>[1]Hybrid!AI23</f>
        <v>7955.4528090000003</v>
      </c>
      <c r="AK341" s="6">
        <f>[1]Hybrid!AJ23</f>
        <v>8020.0514789999997</v>
      </c>
      <c r="AL341" s="6">
        <f>[1]Hybrid!AK23</f>
        <v>8083.6501280000002</v>
      </c>
    </row>
    <row r="342" spans="1:3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4054.0478400000002</v>
      </c>
      <c r="E342" s="6">
        <f>[1]Hybrid!D25</f>
        <v>3977.8598649999999</v>
      </c>
      <c r="F342" s="6">
        <f>[1]Hybrid!E25</f>
        <v>3922.4017629999998</v>
      </c>
      <c r="G342" s="6">
        <f>[1]Hybrid!F25</f>
        <v>3884.4081849999998</v>
      </c>
      <c r="H342" s="6">
        <f>[1]Hybrid!G25</f>
        <v>3859.5346209999998</v>
      </c>
      <c r="I342" s="6">
        <f>[1]Hybrid!H25</f>
        <v>3842.616579</v>
      </c>
      <c r="J342" s="6">
        <f>[1]Hybrid!I25</f>
        <v>3830.8433190000001</v>
      </c>
      <c r="K342" s="6">
        <f>[1]Hybrid!J25</f>
        <v>3822.8911889999999</v>
      </c>
      <c r="L342" s="6">
        <f>[1]Hybrid!K25</f>
        <v>3817.9643759999999</v>
      </c>
      <c r="M342" s="6">
        <f>[1]Hybrid!L25</f>
        <v>3815.7813700000002</v>
      </c>
      <c r="N342" s="6">
        <f>[1]Hybrid!M25</f>
        <v>3814.4186070000001</v>
      </c>
      <c r="O342" s="6">
        <f>[1]Hybrid!N25</f>
        <v>3812.8121409999999</v>
      </c>
      <c r="P342" s="6">
        <f>[1]Hybrid!O25</f>
        <v>3810.151969</v>
      </c>
      <c r="Q342" s="6">
        <f>[1]Hybrid!P25</f>
        <v>3805.8961749999999</v>
      </c>
      <c r="R342" s="6">
        <f>[1]Hybrid!Q25</f>
        <v>3799.7868020000001</v>
      </c>
      <c r="S342" s="6">
        <f>[1]Hybrid!R25</f>
        <v>3793.4459780000002</v>
      </c>
      <c r="T342" s="6">
        <f>[1]Hybrid!S25</f>
        <v>3787.5285909999998</v>
      </c>
      <c r="U342" s="6">
        <f>[1]Hybrid!T25</f>
        <v>3782.1272389999999</v>
      </c>
      <c r="V342" s="6">
        <f>[1]Hybrid!U25</f>
        <v>3777.1833710000001</v>
      </c>
      <c r="W342" s="6">
        <f>[1]Hybrid!V25</f>
        <v>3772.304713</v>
      </c>
      <c r="X342" s="6">
        <f>[1]Hybrid!W25</f>
        <v>3767.976498</v>
      </c>
      <c r="Y342" s="6">
        <f>[1]Hybrid!X25</f>
        <v>3764.3135990000001</v>
      </c>
      <c r="Z342" s="6">
        <f>[1]Hybrid!Y25</f>
        <v>3761.461996</v>
      </c>
      <c r="AA342" s="6">
        <f>[1]Hybrid!Z25</f>
        <v>3759.48459</v>
      </c>
      <c r="AB342" s="6">
        <f>[1]Hybrid!AA25</f>
        <v>3757.4319959999998</v>
      </c>
      <c r="AC342" s="6">
        <f>[1]Hybrid!AB25</f>
        <v>3755.982387</v>
      </c>
      <c r="AD342" s="6">
        <f>[1]Hybrid!AC25</f>
        <v>3755.1563849999998</v>
      </c>
      <c r="AE342" s="6">
        <f>[1]Hybrid!AD25</f>
        <v>3754.9650929999998</v>
      </c>
      <c r="AF342" s="6">
        <f>[1]Hybrid!AE25</f>
        <v>3755.3714340000001</v>
      </c>
      <c r="AG342" s="6">
        <f>[1]Hybrid!AF25</f>
        <v>3756.187195</v>
      </c>
      <c r="AH342" s="6">
        <f>[1]Hybrid!AG25</f>
        <v>3757.0686249999999</v>
      </c>
      <c r="AI342" s="6">
        <f>[1]Hybrid!AH25</f>
        <v>3757.559565</v>
      </c>
      <c r="AJ342" s="6">
        <f>[1]Hybrid!AI25</f>
        <v>3757.1349489999998</v>
      </c>
      <c r="AK342" s="6">
        <f>[1]Hybrid!AJ25</f>
        <v>3755.2404569999999</v>
      </c>
      <c r="AL342" s="6">
        <f>[1]Hybrid!AK25</f>
        <v>3751.32411</v>
      </c>
    </row>
    <row r="343" spans="1:3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2442.48623</v>
      </c>
      <c r="E343" s="6">
        <f>[1]Hybrid!D27</f>
        <v>2398.1237209999999</v>
      </c>
      <c r="F343" s="6">
        <f>[1]Hybrid!E27</f>
        <v>2365.101971</v>
      </c>
      <c r="G343" s="6">
        <f>[1]Hybrid!F27</f>
        <v>2341.2948379999998</v>
      </c>
      <c r="H343" s="6">
        <f>[1]Hybrid!G27</f>
        <v>2324.0660750000002</v>
      </c>
      <c r="I343" s="6">
        <f>[1]Hybrid!H27</f>
        <v>2310.3046680000002</v>
      </c>
      <c r="J343" s="6">
        <f>[1]Hybrid!I27</f>
        <v>2298.302729</v>
      </c>
      <c r="K343" s="6">
        <f>[1]Hybrid!J27</f>
        <v>2287.262013</v>
      </c>
      <c r="L343" s="6">
        <f>[1]Hybrid!K27</f>
        <v>2276.7322880000002</v>
      </c>
      <c r="M343" s="6">
        <f>[1]Hybrid!L27</f>
        <v>2266.5904099999998</v>
      </c>
      <c r="N343" s="6">
        <f>[1]Hybrid!M27</f>
        <v>2255.844247</v>
      </c>
      <c r="O343" s="6">
        <f>[1]Hybrid!N27</f>
        <v>2244.0632059999998</v>
      </c>
      <c r="P343" s="6">
        <f>[1]Hybrid!O27</f>
        <v>2231.0041999999999</v>
      </c>
      <c r="Q343" s="6">
        <f>[1]Hybrid!P27</f>
        <v>2216.580168</v>
      </c>
      <c r="R343" s="6">
        <f>[1]Hybrid!Q27</f>
        <v>2200.8396550000002</v>
      </c>
      <c r="S343" s="6">
        <f>[1]Hybrid!R27</f>
        <v>2184.837035</v>
      </c>
      <c r="T343" s="6">
        <f>[1]Hybrid!S27</f>
        <v>2169.0949500000002</v>
      </c>
      <c r="U343" s="6">
        <f>[1]Hybrid!T27</f>
        <v>2153.7840970000002</v>
      </c>
      <c r="V343" s="6">
        <f>[1]Hybrid!U27</f>
        <v>2138.936592</v>
      </c>
      <c r="W343" s="6">
        <f>[1]Hybrid!V27</f>
        <v>2124.3570890000001</v>
      </c>
      <c r="X343" s="6">
        <f>[1]Hybrid!W27</f>
        <v>2110.2723219999998</v>
      </c>
      <c r="Y343" s="6">
        <f>[1]Hybrid!X27</f>
        <v>2096.6833019999999</v>
      </c>
      <c r="Z343" s="6">
        <f>[1]Hybrid!Y27</f>
        <v>2083.582359</v>
      </c>
      <c r="AA343" s="6">
        <f>[1]Hybrid!Z27</f>
        <v>2070.8939329999998</v>
      </c>
      <c r="AB343" s="6">
        <f>[1]Hybrid!AA27</f>
        <v>2058.0054150000001</v>
      </c>
      <c r="AC343" s="6">
        <f>[1]Hybrid!AB27</f>
        <v>2045.127367</v>
      </c>
      <c r="AD343" s="6">
        <f>[1]Hybrid!AC27</f>
        <v>2032.129385</v>
      </c>
      <c r="AE343" s="6">
        <f>[1]Hybrid!AD27</f>
        <v>2018.8793639999999</v>
      </c>
      <c r="AF343" s="6">
        <f>[1]Hybrid!AE27</f>
        <v>2005.237807</v>
      </c>
      <c r="AG343" s="6">
        <f>[1]Hybrid!AF27</f>
        <v>1991.014203</v>
      </c>
      <c r="AH343" s="6">
        <f>[1]Hybrid!AG27</f>
        <v>1975.970276</v>
      </c>
      <c r="AI343" s="6">
        <f>[1]Hybrid!AH27</f>
        <v>1959.844785</v>
      </c>
      <c r="AJ343" s="6">
        <f>[1]Hybrid!AI27</f>
        <v>1942.37652</v>
      </c>
      <c r="AK343" s="6">
        <f>[1]Hybrid!AJ27</f>
        <v>1923.3239960000001</v>
      </c>
      <c r="AL343" s="6">
        <f>[1]Hybrid!AK27</f>
        <v>1902.4799640000001</v>
      </c>
    </row>
    <row r="344" spans="1:3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1210.5870379999999</v>
      </c>
      <c r="E344" s="6">
        <f>[1]Hybrid!D29</f>
        <v>1184.4493259999999</v>
      </c>
      <c r="F344" s="6">
        <f>[1]Hybrid!E29</f>
        <v>1162.270395</v>
      </c>
      <c r="G344" s="6">
        <f>[1]Hybrid!F29</f>
        <v>1142.8421370000001</v>
      </c>
      <c r="H344" s="6">
        <f>[1]Hybrid!G29</f>
        <v>1124.9264740000001</v>
      </c>
      <c r="I344" s="6">
        <f>[1]Hybrid!H29</f>
        <v>1107.1524999999999</v>
      </c>
      <c r="J344" s="6">
        <f>[1]Hybrid!I29</f>
        <v>1088.8055549999999</v>
      </c>
      <c r="K344" s="6">
        <f>[1]Hybrid!J29</f>
        <v>1069.6133500000001</v>
      </c>
      <c r="L344" s="6">
        <f>[1]Hybrid!K29</f>
        <v>1049.4968710000001</v>
      </c>
      <c r="M344" s="6">
        <f>[1]Hybrid!L29</f>
        <v>1028.5379</v>
      </c>
      <c r="N344" s="6">
        <f>[1]Hybrid!M29</f>
        <v>1006.568235</v>
      </c>
      <c r="O344" s="6">
        <f>[1]Hybrid!N29</f>
        <v>983.69526040000005</v>
      </c>
      <c r="P344" s="6">
        <f>[1]Hybrid!O29</f>
        <v>960.12087269999995</v>
      </c>
      <c r="Q344" s="6">
        <f>[1]Hybrid!P29</f>
        <v>936.08367759999999</v>
      </c>
      <c r="R344" s="6">
        <f>[1]Hybrid!Q29</f>
        <v>911.82306570000003</v>
      </c>
      <c r="S344" s="6">
        <f>[1]Hybrid!R29</f>
        <v>887.85262650000004</v>
      </c>
      <c r="T344" s="6">
        <f>[1]Hybrid!S29</f>
        <v>864.48606930000005</v>
      </c>
      <c r="U344" s="6">
        <f>[1]Hybrid!T29</f>
        <v>841.87361650000003</v>
      </c>
      <c r="V344" s="6">
        <f>[1]Hybrid!U29</f>
        <v>820.06762360000005</v>
      </c>
      <c r="W344" s="6">
        <f>[1]Hybrid!V29</f>
        <v>799.00758010000004</v>
      </c>
      <c r="X344" s="6">
        <f>[1]Hybrid!W29</f>
        <v>778.71713729999999</v>
      </c>
      <c r="Y344" s="6">
        <f>[1]Hybrid!X29</f>
        <v>759.13015299999995</v>
      </c>
      <c r="Z344" s="6">
        <f>[1]Hybrid!Y29</f>
        <v>740.15882499999998</v>
      </c>
      <c r="AA344" s="6">
        <f>[1]Hybrid!Z29</f>
        <v>721.67968949999999</v>
      </c>
      <c r="AB344" s="6">
        <f>[1]Hybrid!AA29</f>
        <v>703.42107769999996</v>
      </c>
      <c r="AC344" s="6">
        <f>[1]Hybrid!AB29</f>
        <v>685.32499970000003</v>
      </c>
      <c r="AD344" s="6">
        <f>[1]Hybrid!AC29</f>
        <v>667.25404779999997</v>
      </c>
      <c r="AE344" s="6">
        <f>[1]Hybrid!AD29</f>
        <v>649.0869702</v>
      </c>
      <c r="AF344" s="6">
        <f>[1]Hybrid!AE29</f>
        <v>630.72861339999997</v>
      </c>
      <c r="AG344" s="6">
        <f>[1]Hybrid!AF29</f>
        <v>612.10371229999998</v>
      </c>
      <c r="AH344" s="6">
        <f>[1]Hybrid!AG29</f>
        <v>593.15850120000005</v>
      </c>
      <c r="AI344" s="6">
        <f>[1]Hybrid!AH29</f>
        <v>573.86472600000002</v>
      </c>
      <c r="AJ344" s="6">
        <f>[1]Hybrid!AI29</f>
        <v>554.22116819999997</v>
      </c>
      <c r="AK344" s="6">
        <f>[1]Hybrid!AJ29</f>
        <v>534.25317150000001</v>
      </c>
      <c r="AL344" s="6">
        <f>[1]Hybrid!AK29</f>
        <v>514.01024810000001</v>
      </c>
    </row>
    <row r="345" spans="1:3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2183.4436900000001</v>
      </c>
      <c r="E345" s="6">
        <f>[1]Hybrid!D31</f>
        <v>2137.4839270000002</v>
      </c>
      <c r="F345" s="6">
        <f>[1]Hybrid!E31</f>
        <v>2095.8484589999998</v>
      </c>
      <c r="G345" s="6">
        <f>[1]Hybrid!F31</f>
        <v>2056.2116099999998</v>
      </c>
      <c r="H345" s="6">
        <f>[1]Hybrid!G31</f>
        <v>2016.529802</v>
      </c>
      <c r="I345" s="6">
        <f>[1]Hybrid!H31</f>
        <v>1974.6559070000001</v>
      </c>
      <c r="J345" s="6">
        <f>[1]Hybrid!I31</f>
        <v>1929.637475</v>
      </c>
      <c r="K345" s="6">
        <f>[1]Hybrid!J31</f>
        <v>1881.3377929999999</v>
      </c>
      <c r="L345" s="6">
        <f>[1]Hybrid!K31</f>
        <v>1829.9897189999999</v>
      </c>
      <c r="M345" s="6">
        <f>[1]Hybrid!L31</f>
        <v>1776.098555</v>
      </c>
      <c r="N345" s="6">
        <f>[1]Hybrid!M31</f>
        <v>1719.856172</v>
      </c>
      <c r="O345" s="6">
        <f>[1]Hybrid!N31</f>
        <v>1661.8948439999999</v>
      </c>
      <c r="P345" s="6">
        <f>[1]Hybrid!O31</f>
        <v>1602.9583580000001</v>
      </c>
      <c r="Q345" s="6">
        <f>[1]Hybrid!P31</f>
        <v>1543.768607</v>
      </c>
      <c r="R345" s="6">
        <f>[1]Hybrid!Q31</f>
        <v>1484.9536210000001</v>
      </c>
      <c r="S345" s="6">
        <f>[1]Hybrid!R31</f>
        <v>1427.40724</v>
      </c>
      <c r="T345" s="6">
        <f>[1]Hybrid!S31</f>
        <v>1371.7026390000001</v>
      </c>
      <c r="U345" s="6">
        <f>[1]Hybrid!T31</f>
        <v>1318.1288159999999</v>
      </c>
      <c r="V345" s="6">
        <f>[1]Hybrid!U31</f>
        <v>1266.7827580000001</v>
      </c>
      <c r="W345" s="6">
        <f>[1]Hybrid!V31</f>
        <v>1217.5713169999999</v>
      </c>
      <c r="X345" s="6">
        <f>[1]Hybrid!W31</f>
        <v>1170.4598900000001</v>
      </c>
      <c r="Y345" s="6">
        <f>[1]Hybrid!X31</f>
        <v>1125.2848690000001</v>
      </c>
      <c r="Z345" s="6">
        <f>[1]Hybrid!Y31</f>
        <v>1081.843337</v>
      </c>
      <c r="AA345" s="6">
        <f>[1]Hybrid!Z31</f>
        <v>1039.8834139999999</v>
      </c>
      <c r="AB345" s="6">
        <f>[1]Hybrid!AA31</f>
        <v>998.99661979999996</v>
      </c>
      <c r="AC345" s="6">
        <f>[1]Hybrid!AB31</f>
        <v>959.01679220000005</v>
      </c>
      <c r="AD345" s="6">
        <f>[1]Hybrid!AC31</f>
        <v>919.71576059999995</v>
      </c>
      <c r="AE345" s="6">
        <f>[1]Hybrid!AD31</f>
        <v>880.91215020000004</v>
      </c>
      <c r="AF345" s="6">
        <f>[1]Hybrid!AE31</f>
        <v>842.488294</v>
      </c>
      <c r="AG345" s="6">
        <f>[1]Hybrid!AF31</f>
        <v>804.38243439999997</v>
      </c>
      <c r="AH345" s="6">
        <f>[1]Hybrid!AG31</f>
        <v>766.58458370000005</v>
      </c>
      <c r="AI345" s="6">
        <f>[1]Hybrid!AH31</f>
        <v>729.13218370000004</v>
      </c>
      <c r="AJ345" s="6">
        <f>[1]Hybrid!AI31</f>
        <v>692.10220170000002</v>
      </c>
      <c r="AK345" s="6">
        <f>[1]Hybrid!AJ31</f>
        <v>655.60143300000004</v>
      </c>
      <c r="AL345" s="6">
        <f>[1]Hybrid!AK31</f>
        <v>619.75592259999996</v>
      </c>
    </row>
    <row r="346" spans="1:3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15.13070768</v>
      </c>
      <c r="E346" s="6">
        <f>[1]Hybrid!D33</f>
        <v>21.018415910000002</v>
      </c>
      <c r="F346" s="6">
        <f>[1]Hybrid!E33</f>
        <v>27.45885324</v>
      </c>
      <c r="G346" s="6">
        <f>[1]Hybrid!F33</f>
        <v>34.508377009999997</v>
      </c>
      <c r="H346" s="6">
        <f>[1]Hybrid!G33</f>
        <v>42.066791019999997</v>
      </c>
      <c r="I346" s="6">
        <f>[1]Hybrid!H33</f>
        <v>50.026157380000001</v>
      </c>
      <c r="J346" s="6">
        <f>[1]Hybrid!I33</f>
        <v>58.40861494</v>
      </c>
      <c r="K346" s="6">
        <f>[1]Hybrid!J33</f>
        <v>67.323583999999997</v>
      </c>
      <c r="L346" s="6">
        <f>[1]Hybrid!K33</f>
        <v>76.916556</v>
      </c>
      <c r="M346" s="6">
        <f>[1]Hybrid!L33</f>
        <v>87.366088300000001</v>
      </c>
      <c r="N346" s="6">
        <f>[1]Hybrid!M33</f>
        <v>98.772500129999997</v>
      </c>
      <c r="O346" s="6">
        <f>[1]Hybrid!N33</f>
        <v>111.2513141</v>
      </c>
      <c r="P346" s="6">
        <f>[1]Hybrid!O33</f>
        <v>124.9074818</v>
      </c>
      <c r="Q346" s="6">
        <f>[1]Hybrid!P33</f>
        <v>139.84217200000001</v>
      </c>
      <c r="R346" s="6">
        <f>[1]Hybrid!Q33</f>
        <v>156.1639917</v>
      </c>
      <c r="S346" s="6">
        <f>[1]Hybrid!R33</f>
        <v>174.0709981</v>
      </c>
      <c r="T346" s="6">
        <f>[1]Hybrid!S33</f>
        <v>193.61117580000001</v>
      </c>
      <c r="U346" s="6">
        <f>[1]Hybrid!T33</f>
        <v>214.7721598</v>
      </c>
      <c r="V346" s="6">
        <f>[1]Hybrid!U33</f>
        <v>237.54830089999999</v>
      </c>
      <c r="W346" s="6">
        <f>[1]Hybrid!V33</f>
        <v>261.93044889999999</v>
      </c>
      <c r="X346" s="6">
        <f>[1]Hybrid!W33</f>
        <v>288.04834069999998</v>
      </c>
      <c r="Y346" s="6">
        <f>[1]Hybrid!X33</f>
        <v>316.03754730000003</v>
      </c>
      <c r="Z346" s="6">
        <f>[1]Hybrid!Y33</f>
        <v>346.08348239999998</v>
      </c>
      <c r="AA346" s="6">
        <f>[1]Hybrid!Z33</f>
        <v>378.40948559999998</v>
      </c>
      <c r="AB346" s="6">
        <f>[1]Hybrid!AA33</f>
        <v>413.11741019999999</v>
      </c>
      <c r="AC346" s="6">
        <f>[1]Hybrid!AB33</f>
        <v>450.61680469999999</v>
      </c>
      <c r="AD346" s="6">
        <f>[1]Hybrid!AC33</f>
        <v>491.27109380000002</v>
      </c>
      <c r="AE346" s="6">
        <f>[1]Hybrid!AD33</f>
        <v>535.49978469999996</v>
      </c>
      <c r="AF346" s="6">
        <f>[1]Hybrid!AE33</f>
        <v>583.76624960000004</v>
      </c>
      <c r="AG346" s="6">
        <f>[1]Hybrid!AF33</f>
        <v>636.54733350000004</v>
      </c>
      <c r="AH346" s="6">
        <f>[1]Hybrid!AG33</f>
        <v>694.3186078</v>
      </c>
      <c r="AI346" s="6">
        <f>[1]Hybrid!AH33</f>
        <v>757.55001300000004</v>
      </c>
      <c r="AJ346" s="6">
        <f>[1]Hybrid!AI33</f>
        <v>826.70305729999995</v>
      </c>
      <c r="AK346" s="6">
        <f>[1]Hybrid!AJ33</f>
        <v>902.22828879999997</v>
      </c>
      <c r="AL346" s="6">
        <f>[1]Hybrid!AK33</f>
        <v>984.56147810000004</v>
      </c>
    </row>
    <row r="347" spans="1:3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16.449075539999999</v>
      </c>
      <c r="E347" s="6">
        <f>[1]Hybrid!D35</f>
        <v>22.036214130000001</v>
      </c>
      <c r="F347" s="6">
        <f>[1]Hybrid!E35</f>
        <v>28.16507099</v>
      </c>
      <c r="G347" s="6">
        <f>[1]Hybrid!F35</f>
        <v>34.891826119999998</v>
      </c>
      <c r="H347" s="6">
        <f>[1]Hybrid!G35</f>
        <v>42.117607589999999</v>
      </c>
      <c r="I347" s="6">
        <f>[1]Hybrid!H35</f>
        <v>49.736299260000003</v>
      </c>
      <c r="J347" s="6">
        <f>[1]Hybrid!I35</f>
        <v>57.768725009999997</v>
      </c>
      <c r="K347" s="6">
        <f>[1]Hybrid!J35</f>
        <v>66.321027529999995</v>
      </c>
      <c r="L347" s="6">
        <f>[1]Hybrid!K35</f>
        <v>75.534385229999998</v>
      </c>
      <c r="M347" s="6">
        <f>[1]Hybrid!L35</f>
        <v>85.58157138</v>
      </c>
      <c r="N347" s="6">
        <f>[1]Hybrid!M35</f>
        <v>96.559708900000004</v>
      </c>
      <c r="O347" s="6">
        <f>[1]Hybrid!N35</f>
        <v>108.5809836</v>
      </c>
      <c r="P347" s="6">
        <f>[1]Hybrid!O35</f>
        <v>121.7479506</v>
      </c>
      <c r="Q347" s="6">
        <f>[1]Hybrid!P35</f>
        <v>136.1598601</v>
      </c>
      <c r="R347" s="6">
        <f>[1]Hybrid!Q35</f>
        <v>151.9231407</v>
      </c>
      <c r="S347" s="6">
        <f>[1]Hybrid!R35</f>
        <v>169.23195459999999</v>
      </c>
      <c r="T347" s="6">
        <f>[1]Hybrid!S35</f>
        <v>188.137472</v>
      </c>
      <c r="U347" s="6">
        <f>[1]Hybrid!T35</f>
        <v>208.63180199999999</v>
      </c>
      <c r="V347" s="6">
        <f>[1]Hybrid!U35</f>
        <v>230.71137709999999</v>
      </c>
      <c r="W347" s="6">
        <f>[1]Hybrid!V35</f>
        <v>254.3663775</v>
      </c>
      <c r="X347" s="6">
        <f>[1]Hybrid!W35</f>
        <v>279.71887800000002</v>
      </c>
      <c r="Y347" s="6">
        <f>[1]Hybrid!X35</f>
        <v>306.89376220000003</v>
      </c>
      <c r="Z347" s="6">
        <f>[1]Hybrid!Y35</f>
        <v>336.0610724</v>
      </c>
      <c r="AA347" s="6">
        <f>[1]Hybrid!Z35</f>
        <v>367.42354369999998</v>
      </c>
      <c r="AB347" s="6">
        <f>[1]Hybrid!AA35</f>
        <v>401.06111290000001</v>
      </c>
      <c r="AC347" s="6">
        <f>[1]Hybrid!AB35</f>
        <v>437.34646479999998</v>
      </c>
      <c r="AD347" s="6">
        <f>[1]Hybrid!AC35</f>
        <v>476.60093710000001</v>
      </c>
      <c r="AE347" s="6">
        <f>[1]Hybrid!AD35</f>
        <v>519.19260829999996</v>
      </c>
      <c r="AF347" s="6">
        <f>[1]Hybrid!AE35</f>
        <v>565.52423969999995</v>
      </c>
      <c r="AG347" s="6">
        <f>[1]Hybrid!AF35</f>
        <v>616.00345349999998</v>
      </c>
      <c r="AH347" s="6">
        <f>[1]Hybrid!AG35</f>
        <v>671.02805439999997</v>
      </c>
      <c r="AI347" s="6">
        <f>[1]Hybrid!AH35</f>
        <v>730.98149980000005</v>
      </c>
      <c r="AJ347" s="6">
        <f>[1]Hybrid!AI35</f>
        <v>796.23002059999999</v>
      </c>
      <c r="AK347" s="6">
        <f>[1]Hybrid!AJ35</f>
        <v>867.12026379999998</v>
      </c>
      <c r="AL347" s="6">
        <f>[1]Hybrid!AK35</f>
        <v>943.97603709999999</v>
      </c>
    </row>
    <row r="348" spans="1:3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12.809620369999999</v>
      </c>
      <c r="E348" s="6">
        <f>[1]Hybrid!D37</f>
        <v>16.626752230000001</v>
      </c>
      <c r="F348" s="6">
        <f>[1]Hybrid!E37</f>
        <v>20.825568109999999</v>
      </c>
      <c r="G348" s="6">
        <f>[1]Hybrid!F37</f>
        <v>25.446005379999999</v>
      </c>
      <c r="H348" s="6">
        <f>[1]Hybrid!G37</f>
        <v>30.417793209999999</v>
      </c>
      <c r="I348" s="6">
        <f>[1]Hybrid!H37</f>
        <v>35.665719250000002</v>
      </c>
      <c r="J348" s="6">
        <f>[1]Hybrid!I37</f>
        <v>41.203565509999997</v>
      </c>
      <c r="K348" s="6">
        <f>[1]Hybrid!J37</f>
        <v>47.104977589999997</v>
      </c>
      <c r="L348" s="6">
        <f>[1]Hybrid!K37</f>
        <v>53.46798106</v>
      </c>
      <c r="M348" s="6">
        <f>[1]Hybrid!L37</f>
        <v>60.412234810000001</v>
      </c>
      <c r="N348" s="6">
        <f>[1]Hybrid!M37</f>
        <v>68.004727740000007</v>
      </c>
      <c r="O348" s="6">
        <f>[1]Hybrid!N37</f>
        <v>76.323181320000003</v>
      </c>
      <c r="P348" s="6">
        <f>[1]Hybrid!O37</f>
        <v>85.439049260000004</v>
      </c>
      <c r="Q348" s="6">
        <f>[1]Hybrid!P37</f>
        <v>95.421759969999997</v>
      </c>
      <c r="R348" s="6">
        <f>[1]Hybrid!Q37</f>
        <v>106.3457427</v>
      </c>
      <c r="S348" s="6">
        <f>[1]Hybrid!R37</f>
        <v>118.34730039999999</v>
      </c>
      <c r="T348" s="6">
        <f>[1]Hybrid!S37</f>
        <v>131.46507980000001</v>
      </c>
      <c r="U348" s="6">
        <f>[1]Hybrid!T37</f>
        <v>145.69632469999999</v>
      </c>
      <c r="V348" s="6">
        <f>[1]Hybrid!U37</f>
        <v>161.03979989999999</v>
      </c>
      <c r="W348" s="6">
        <f>[1]Hybrid!V37</f>
        <v>177.48793910000001</v>
      </c>
      <c r="X348" s="6">
        <f>[1]Hybrid!W37</f>
        <v>195.12296190000001</v>
      </c>
      <c r="Y348" s="6">
        <f>[1]Hybrid!X37</f>
        <v>214.0270214</v>
      </c>
      <c r="Z348" s="6">
        <f>[1]Hybrid!Y37</f>
        <v>234.31144169999999</v>
      </c>
      <c r="AA348" s="6">
        <f>[1]Hybrid!Z37</f>
        <v>256.10743480000002</v>
      </c>
      <c r="AB348" s="6">
        <f>[1]Hybrid!AA37</f>
        <v>279.45743099999999</v>
      </c>
      <c r="AC348" s="6">
        <f>[1]Hybrid!AB37</f>
        <v>304.60352469999998</v>
      </c>
      <c r="AD348" s="6">
        <f>[1]Hybrid!AC37</f>
        <v>331.7476686</v>
      </c>
      <c r="AE348" s="6">
        <f>[1]Hybrid!AD37</f>
        <v>361.11924390000001</v>
      </c>
      <c r="AF348" s="6">
        <f>[1]Hybrid!AE37</f>
        <v>392.96665039999999</v>
      </c>
      <c r="AG348" s="6">
        <f>[1]Hybrid!AF37</f>
        <v>427.53648399999997</v>
      </c>
      <c r="AH348" s="6">
        <f>[1]Hybrid!AG37</f>
        <v>465.06324239999998</v>
      </c>
      <c r="AI348" s="6">
        <f>[1]Hybrid!AH37</f>
        <v>505.76614760000001</v>
      </c>
      <c r="AJ348" s="6">
        <f>[1]Hybrid!AI37</f>
        <v>549.84722199999999</v>
      </c>
      <c r="AK348" s="6">
        <f>[1]Hybrid!AJ37</f>
        <v>597.48990670000001</v>
      </c>
      <c r="AL348" s="6">
        <f>[1]Hybrid!AK37</f>
        <v>648.85728600000004</v>
      </c>
    </row>
    <row r="349" spans="1:3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7.5897251819999996</v>
      </c>
      <c r="E349" s="6">
        <f>[1]Hybrid!D39</f>
        <v>9.5752261979999993</v>
      </c>
      <c r="F349" s="6">
        <f>[1]Hybrid!E39</f>
        <v>11.68215537</v>
      </c>
      <c r="G349" s="6">
        <f>[1]Hybrid!F39</f>
        <v>13.908116809999999</v>
      </c>
      <c r="H349" s="6">
        <f>[1]Hybrid!G39</f>
        <v>16.217348999999999</v>
      </c>
      <c r="I349" s="6">
        <f>[1]Hybrid!H39</f>
        <v>18.56780736</v>
      </c>
      <c r="J349" s="6">
        <f>[1]Hybrid!I39</f>
        <v>20.949940260000002</v>
      </c>
      <c r="K349" s="6">
        <f>[1]Hybrid!J39</f>
        <v>23.37533621</v>
      </c>
      <c r="L349" s="6">
        <f>[1]Hybrid!K39</f>
        <v>25.863270740000001</v>
      </c>
      <c r="M349" s="6">
        <f>[1]Hybrid!L39</f>
        <v>28.43983017</v>
      </c>
      <c r="N349" s="6">
        <f>[1]Hybrid!M39</f>
        <v>31.110077799999999</v>
      </c>
      <c r="O349" s="6">
        <f>[1]Hybrid!N39</f>
        <v>33.885655229999998</v>
      </c>
      <c r="P349" s="6">
        <f>[1]Hybrid!O39</f>
        <v>36.77796343</v>
      </c>
      <c r="Q349" s="6">
        <f>[1]Hybrid!P39</f>
        <v>39.799050680000001</v>
      </c>
      <c r="R349" s="6">
        <f>[1]Hybrid!Q39</f>
        <v>42.963066259999998</v>
      </c>
      <c r="S349" s="6">
        <f>[1]Hybrid!R39</f>
        <v>46.307694570000002</v>
      </c>
      <c r="T349" s="6">
        <f>[1]Hybrid!S39</f>
        <v>49.84536173</v>
      </c>
      <c r="U349" s="6">
        <f>[1]Hybrid!T39</f>
        <v>53.576464029999997</v>
      </c>
      <c r="V349" s="6">
        <f>[1]Hybrid!U39</f>
        <v>57.50010485</v>
      </c>
      <c r="W349" s="6">
        <f>[1]Hybrid!V39</f>
        <v>61.611117780000001</v>
      </c>
      <c r="X349" s="6">
        <f>[1]Hybrid!W39</f>
        <v>65.92682379</v>
      </c>
      <c r="Y349" s="6">
        <f>[1]Hybrid!X39</f>
        <v>70.461260490000001</v>
      </c>
      <c r="Z349" s="6">
        <f>[1]Hybrid!Y39</f>
        <v>75.233232240000007</v>
      </c>
      <c r="AA349" s="6">
        <f>[1]Hybrid!Z39</f>
        <v>80.263260279999997</v>
      </c>
      <c r="AB349" s="6">
        <f>[1]Hybrid!AA39</f>
        <v>85.545778709999993</v>
      </c>
      <c r="AC349" s="6">
        <f>[1]Hybrid!AB39</f>
        <v>91.122633840000006</v>
      </c>
      <c r="AD349" s="6">
        <f>[1]Hybrid!AC39</f>
        <v>97.021232999999995</v>
      </c>
      <c r="AE349" s="6">
        <f>[1]Hybrid!AD39</f>
        <v>103.2717014</v>
      </c>
      <c r="AF349" s="6">
        <f>[1]Hybrid!AE39</f>
        <v>109.90533569999999</v>
      </c>
      <c r="AG349" s="6">
        <f>[1]Hybrid!AF39</f>
        <v>116.950098</v>
      </c>
      <c r="AH349" s="6">
        <f>[1]Hybrid!AG39</f>
        <v>124.4287892</v>
      </c>
      <c r="AI349" s="6">
        <f>[1]Hybrid!AH39</f>
        <v>132.3589657</v>
      </c>
      <c r="AJ349" s="6">
        <f>[1]Hybrid!AI39</f>
        <v>140.75317240000001</v>
      </c>
      <c r="AK349" s="6">
        <f>[1]Hybrid!AJ39</f>
        <v>149.6193663</v>
      </c>
      <c r="AL349" s="6">
        <f>[1]Hybrid!AK39</f>
        <v>158.96133320000001</v>
      </c>
    </row>
    <row r="350" spans="1:3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4.5933133340000003</v>
      </c>
      <c r="E350" s="6">
        <f>[1]Hybrid!D41</f>
        <v>5.810156374</v>
      </c>
      <c r="F350" s="6">
        <f>[1]Hybrid!E41</f>
        <v>7.0947831600000004</v>
      </c>
      <c r="G350" s="6">
        <f>[1]Hybrid!F41</f>
        <v>8.4441743650000003</v>
      </c>
      <c r="H350" s="6">
        <f>[1]Hybrid!G41</f>
        <v>9.8347908129999997</v>
      </c>
      <c r="I350" s="6">
        <f>[1]Hybrid!H41</f>
        <v>11.2396718</v>
      </c>
      <c r="J350" s="6">
        <f>[1]Hybrid!I41</f>
        <v>12.651940529999999</v>
      </c>
      <c r="K350" s="6">
        <f>[1]Hybrid!J41</f>
        <v>14.07769618</v>
      </c>
      <c r="L350" s="6">
        <f>[1]Hybrid!K41</f>
        <v>15.52762409</v>
      </c>
      <c r="M350" s="6">
        <f>[1]Hybrid!L41</f>
        <v>17.016259640000001</v>
      </c>
      <c r="N350" s="6">
        <f>[1]Hybrid!M41</f>
        <v>18.546047699999999</v>
      </c>
      <c r="O350" s="6">
        <f>[1]Hybrid!N41</f>
        <v>20.123806680000001</v>
      </c>
      <c r="P350" s="6">
        <f>[1]Hybrid!O41</f>
        <v>21.756686980000001</v>
      </c>
      <c r="Q350" s="6">
        <f>[1]Hybrid!P41</f>
        <v>23.452413910000001</v>
      </c>
      <c r="R350" s="6">
        <f>[1]Hybrid!Q41</f>
        <v>25.21984741</v>
      </c>
      <c r="S350" s="6">
        <f>[1]Hybrid!R41</f>
        <v>27.081354080000001</v>
      </c>
      <c r="T350" s="6">
        <f>[1]Hybrid!S41</f>
        <v>29.045258090000001</v>
      </c>
      <c r="U350" s="6">
        <f>[1]Hybrid!T41</f>
        <v>31.112710490000001</v>
      </c>
      <c r="V350" s="6">
        <f>[1]Hybrid!U41</f>
        <v>33.283412140000003</v>
      </c>
      <c r="W350" s="6">
        <f>[1]Hybrid!V41</f>
        <v>35.553788310000002</v>
      </c>
      <c r="X350" s="6">
        <f>[1]Hybrid!W41</f>
        <v>37.932022549999999</v>
      </c>
      <c r="Y350" s="6">
        <f>[1]Hybrid!X41</f>
        <v>40.423534680000003</v>
      </c>
      <c r="Z350" s="6">
        <f>[1]Hybrid!Y41</f>
        <v>43.03539361</v>
      </c>
      <c r="AA350" s="6">
        <f>[1]Hybrid!Z41</f>
        <v>45.774346749999999</v>
      </c>
      <c r="AB350" s="6">
        <f>[1]Hybrid!AA41</f>
        <v>48.631304290000003</v>
      </c>
      <c r="AC350" s="6">
        <f>[1]Hybrid!AB41</f>
        <v>51.62196144</v>
      </c>
      <c r="AD350" s="6">
        <f>[1]Hybrid!AC41</f>
        <v>54.752532709999997</v>
      </c>
      <c r="AE350" s="6">
        <f>[1]Hybrid!AD41</f>
        <v>58.029240590000001</v>
      </c>
      <c r="AF350" s="6">
        <f>[1]Hybrid!AE41</f>
        <v>61.457786390000003</v>
      </c>
      <c r="AG350" s="6">
        <f>[1]Hybrid!AF41</f>
        <v>65.041125690000001</v>
      </c>
      <c r="AH350" s="6">
        <f>[1]Hybrid!AG41</f>
        <v>68.778710529999998</v>
      </c>
      <c r="AI350" s="6">
        <f>[1]Hybrid!AH41</f>
        <v>72.666692280000007</v>
      </c>
      <c r="AJ350" s="6">
        <f>[1]Hybrid!AI41</f>
        <v>76.698304149999998</v>
      </c>
      <c r="AK350" s="6">
        <f>[1]Hybrid!AJ41</f>
        <v>80.86436784</v>
      </c>
      <c r="AL350" s="6">
        <f>[1]Hybrid!AK41</f>
        <v>85.153815820000005</v>
      </c>
    </row>
    <row r="351" spans="1:3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2.2526015140000002</v>
      </c>
      <c r="E351" s="6">
        <f>[1]Hybrid!D43</f>
        <v>2.8080577679999998</v>
      </c>
      <c r="F351" s="6">
        <f>[1]Hybrid!E43</f>
        <v>3.371380211</v>
      </c>
      <c r="G351" s="6">
        <f>[1]Hybrid!F43</f>
        <v>3.9362428519999999</v>
      </c>
      <c r="H351" s="6">
        <f>[1]Hybrid!G43</f>
        <v>4.4912238809999998</v>
      </c>
      <c r="I351" s="6">
        <f>[1]Hybrid!H43</f>
        <v>5.0237996909999998</v>
      </c>
      <c r="J351" s="6">
        <f>[1]Hybrid!I43</f>
        <v>5.5291772830000001</v>
      </c>
      <c r="K351" s="6">
        <f>[1]Hybrid!J43</f>
        <v>6.007517548</v>
      </c>
      <c r="L351" s="6">
        <f>[1]Hybrid!K43</f>
        <v>6.4607742440000004</v>
      </c>
      <c r="M351" s="6">
        <f>[1]Hybrid!L43</f>
        <v>6.8922743410000002</v>
      </c>
      <c r="N351" s="6">
        <f>[1]Hybrid!M43</f>
        <v>7.3019577050000004</v>
      </c>
      <c r="O351" s="6">
        <f>[1]Hybrid!N43</f>
        <v>7.6921547920000002</v>
      </c>
      <c r="P351" s="6">
        <f>[1]Hybrid!O43</f>
        <v>8.0659306849999997</v>
      </c>
      <c r="Q351" s="6">
        <f>[1]Hybrid!P43</f>
        <v>8.4266919940000005</v>
      </c>
      <c r="R351" s="6">
        <f>[1]Hybrid!Q43</f>
        <v>8.7779601320000005</v>
      </c>
      <c r="S351" s="6">
        <f>[1]Hybrid!R43</f>
        <v>9.1267856859999998</v>
      </c>
      <c r="T351" s="6">
        <f>[1]Hybrid!S43</f>
        <v>9.4769788170000009</v>
      </c>
      <c r="U351" s="6">
        <f>[1]Hybrid!T43</f>
        <v>9.8302051109999997</v>
      </c>
      <c r="V351" s="6">
        <f>[1]Hybrid!U43</f>
        <v>10.187086219999999</v>
      </c>
      <c r="W351" s="6">
        <f>[1]Hybrid!V43</f>
        <v>10.546771359999999</v>
      </c>
      <c r="X351" s="6">
        <f>[1]Hybrid!W43</f>
        <v>10.910222709999999</v>
      </c>
      <c r="Y351" s="6">
        <f>[1]Hybrid!X43</f>
        <v>11.277108370000001</v>
      </c>
      <c r="Z351" s="6">
        <f>[1]Hybrid!Y43</f>
        <v>11.646775959999999</v>
      </c>
      <c r="AA351" s="6">
        <f>[1]Hybrid!Z43</f>
        <v>12.017798600000001</v>
      </c>
      <c r="AB351" s="6">
        <f>[1]Hybrid!AA43</f>
        <v>12.38521798</v>
      </c>
      <c r="AC351" s="6">
        <f>[1]Hybrid!AB43</f>
        <v>12.74817189</v>
      </c>
      <c r="AD351" s="6">
        <f>[1]Hybrid!AC43</f>
        <v>13.10368053</v>
      </c>
      <c r="AE351" s="6">
        <f>[1]Hybrid!AD43</f>
        <v>13.448575979999999</v>
      </c>
      <c r="AF351" s="6">
        <f>[1]Hybrid!AE43</f>
        <v>13.779730669999999</v>
      </c>
      <c r="AG351" s="6">
        <f>[1]Hybrid!AF43</f>
        <v>14.09391785</v>
      </c>
      <c r="AH351" s="6">
        <f>[1]Hybrid!AG43</f>
        <v>14.38788111</v>
      </c>
      <c r="AI351" s="6">
        <f>[1]Hybrid!AH43</f>
        <v>14.6585143</v>
      </c>
      <c r="AJ351" s="6">
        <f>[1]Hybrid!AI43</f>
        <v>14.90302142</v>
      </c>
      <c r="AK351" s="6">
        <f>[1]Hybrid!AJ43</f>
        <v>15.119054370000001</v>
      </c>
      <c r="AL351" s="6">
        <f>[1]Hybrid!AK43</f>
        <v>15.30481415</v>
      </c>
    </row>
    <row r="352" spans="1:3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4.0900468630000004</v>
      </c>
      <c r="E352" s="6">
        <f>[1]Hybrid!D45</f>
        <v>5.1055183739999999</v>
      </c>
      <c r="F352" s="6">
        <f>[1]Hybrid!E45</f>
        <v>6.1108357590000004</v>
      </c>
      <c r="G352" s="6">
        <f>[1]Hybrid!F45</f>
        <v>7.0911333619999999</v>
      </c>
      <c r="H352" s="6">
        <f>[1]Hybrid!G45</f>
        <v>8.024915107</v>
      </c>
      <c r="I352" s="6">
        <f>[1]Hybrid!H45</f>
        <v>8.8903428410000007</v>
      </c>
      <c r="J352" s="6">
        <f>[1]Hybrid!I45</f>
        <v>9.6798823180000007</v>
      </c>
      <c r="K352" s="6">
        <f>[1]Hybrid!J45</f>
        <v>10.395039479999999</v>
      </c>
      <c r="L352" s="6">
        <f>[1]Hybrid!K45</f>
        <v>11.040624770000001</v>
      </c>
      <c r="M352" s="6">
        <f>[1]Hybrid!L45</f>
        <v>11.62369129</v>
      </c>
      <c r="N352" s="6">
        <f>[1]Hybrid!M45</f>
        <v>12.1467986</v>
      </c>
      <c r="O352" s="6">
        <f>[1]Hybrid!N45</f>
        <v>12.61674777</v>
      </c>
      <c r="P352" s="6">
        <f>[1]Hybrid!O45</f>
        <v>13.04163473</v>
      </c>
      <c r="Q352" s="6">
        <f>[1]Hybrid!P45</f>
        <v>13.429763210000001</v>
      </c>
      <c r="R352" s="6">
        <f>[1]Hybrid!Q45</f>
        <v>13.78899434</v>
      </c>
      <c r="S352" s="6">
        <f>[1]Hybrid!R45</f>
        <v>14.13129226</v>
      </c>
      <c r="T352" s="6">
        <f>[1]Hybrid!S45</f>
        <v>14.464054429999999</v>
      </c>
      <c r="U352" s="6">
        <f>[1]Hybrid!T45</f>
        <v>14.791258409999999</v>
      </c>
      <c r="V352" s="6">
        <f>[1]Hybrid!U45</f>
        <v>15.114780189999999</v>
      </c>
      <c r="W352" s="6">
        <f>[1]Hybrid!V45</f>
        <v>15.43392691</v>
      </c>
      <c r="X352" s="6">
        <f>[1]Hybrid!W45</f>
        <v>15.7495402</v>
      </c>
      <c r="Y352" s="6">
        <f>[1]Hybrid!X45</f>
        <v>16.06033596</v>
      </c>
      <c r="Z352" s="6">
        <f>[1]Hybrid!Y45</f>
        <v>16.364157550000002</v>
      </c>
      <c r="AA352" s="6">
        <f>[1]Hybrid!Z45</f>
        <v>16.657456759999999</v>
      </c>
      <c r="AB352" s="6">
        <f>[1]Hybrid!AA45</f>
        <v>16.932376080000001</v>
      </c>
      <c r="AC352" s="6">
        <f>[1]Hybrid!AB45</f>
        <v>17.185542760000001</v>
      </c>
      <c r="AD352" s="6">
        <f>[1]Hybrid!AC45</f>
        <v>17.411334459999999</v>
      </c>
      <c r="AE352" s="6">
        <f>[1]Hybrid!AD45</f>
        <v>17.604290800000001</v>
      </c>
      <c r="AF352" s="6">
        <f>[1]Hybrid!AE45</f>
        <v>17.759681960000002</v>
      </c>
      <c r="AG352" s="6">
        <f>[1]Hybrid!AF45</f>
        <v>17.873528660000002</v>
      </c>
      <c r="AH352" s="6">
        <f>[1]Hybrid!AG45</f>
        <v>17.942746660000001</v>
      </c>
      <c r="AI352" s="6">
        <f>[1]Hybrid!AH45</f>
        <v>17.965320049999999</v>
      </c>
      <c r="AJ352" s="6">
        <f>[1]Hybrid!AI45</f>
        <v>17.940381720000001</v>
      </c>
      <c r="AK352" s="6">
        <f>[1]Hybrid!AJ45</f>
        <v>17.868219209999999</v>
      </c>
      <c r="AL352" s="6">
        <f>[1]Hybrid!AK45</f>
        <v>17.750207899999999</v>
      </c>
    </row>
    <row r="353" spans="1:3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0.44916501640000001</v>
      </c>
      <c r="E353" s="6">
        <f>[1]Hybrid!D47</f>
        <v>0.47659230130000002</v>
      </c>
      <c r="F353" s="6">
        <f>[1]Hybrid!E47</f>
        <v>0.50644168160000003</v>
      </c>
      <c r="G353" s="6">
        <f>[1]Hybrid!F47</f>
        <v>0.53833556979999997</v>
      </c>
      <c r="H353" s="6">
        <f>[1]Hybrid!G47</f>
        <v>0.57151593379999999</v>
      </c>
      <c r="I353" s="6">
        <f>[1]Hybrid!H47</f>
        <v>0.60500661840000003</v>
      </c>
      <c r="J353" s="6">
        <f>[1]Hybrid!I47</f>
        <v>0.63838129990000003</v>
      </c>
      <c r="K353" s="6">
        <f>[1]Hybrid!J47</f>
        <v>0.67153738620000003</v>
      </c>
      <c r="L353" s="6">
        <f>[1]Hybrid!K47</f>
        <v>0.70445804069999995</v>
      </c>
      <c r="M353" s="6">
        <f>[1]Hybrid!L47</f>
        <v>0.737218924</v>
      </c>
      <c r="N353" s="6">
        <f>[1]Hybrid!M47</f>
        <v>0.76940867359999998</v>
      </c>
      <c r="O353" s="6">
        <f>[1]Hybrid!N47</f>
        <v>0.80075966659999998</v>
      </c>
      <c r="P353" s="6">
        <f>[1]Hybrid!O47</f>
        <v>0.83101423839999999</v>
      </c>
      <c r="Q353" s="6">
        <f>[1]Hybrid!P47</f>
        <v>0.85995955980000005</v>
      </c>
      <c r="R353" s="6">
        <f>[1]Hybrid!Q47</f>
        <v>0.88745806329999999</v>
      </c>
      <c r="S353" s="6">
        <f>[1]Hybrid!R47</f>
        <v>0.91388468590000005</v>
      </c>
      <c r="T353" s="6">
        <f>[1]Hybrid!S47</f>
        <v>0.93933628589999996</v>
      </c>
      <c r="U353" s="6">
        <f>[1]Hybrid!T47</f>
        <v>0.96379020240000002</v>
      </c>
      <c r="V353" s="6">
        <f>[1]Hybrid!U47</f>
        <v>0.9872301013</v>
      </c>
      <c r="W353" s="6">
        <f>[1]Hybrid!V47</f>
        <v>1.0095875510000001</v>
      </c>
      <c r="X353" s="6">
        <f>[1]Hybrid!W47</f>
        <v>1.031081167</v>
      </c>
      <c r="Y353" s="6">
        <f>[1]Hybrid!X47</f>
        <v>1.051850065</v>
      </c>
      <c r="Z353" s="6">
        <f>[1]Hybrid!Y47</f>
        <v>1.0720638849999999</v>
      </c>
      <c r="AA353" s="6">
        <f>[1]Hybrid!Z47</f>
        <v>1.0918903419999999</v>
      </c>
      <c r="AB353" s="6">
        <f>[1]Hybrid!AA47</f>
        <v>1.1112123220000001</v>
      </c>
      <c r="AC353" s="6">
        <f>[1]Hybrid!AB47</f>
        <v>1.130410106</v>
      </c>
      <c r="AD353" s="6">
        <f>[1]Hybrid!AC47</f>
        <v>1.149679211</v>
      </c>
      <c r="AE353" s="6">
        <f>[1]Hybrid!AD47</f>
        <v>1.169216869</v>
      </c>
      <c r="AF353" s="6">
        <f>[1]Hybrid!AE47</f>
        <v>1.189197864</v>
      </c>
      <c r="AG353" s="6">
        <f>[1]Hybrid!AF47</f>
        <v>1.209734852</v>
      </c>
      <c r="AH353" s="6">
        <f>[1]Hybrid!AG47</f>
        <v>1.2308704239999999</v>
      </c>
      <c r="AI353" s="6">
        <f>[1]Hybrid!AH47</f>
        <v>1.2525851960000001</v>
      </c>
      <c r="AJ353" s="6">
        <f>[1]Hybrid!AI47</f>
        <v>1.2748073820000001</v>
      </c>
      <c r="AK353" s="6">
        <f>[1]Hybrid!AJ47</f>
        <v>1.2974219840000001</v>
      </c>
      <c r="AL353" s="6">
        <f>[1]Hybrid!AK47</f>
        <v>1.320278171</v>
      </c>
    </row>
    <row r="354" spans="1:3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0.51209626850000001</v>
      </c>
      <c r="E354" s="6">
        <f>[1]Hybrid!D49</f>
        <v>0.53321929710000004</v>
      </c>
      <c r="F354" s="6">
        <f>[1]Hybrid!E49</f>
        <v>0.55686499300000003</v>
      </c>
      <c r="G354" s="6">
        <f>[1]Hybrid!F49</f>
        <v>0.58263347809999999</v>
      </c>
      <c r="H354" s="6">
        <f>[1]Hybrid!G49</f>
        <v>0.60978500660000001</v>
      </c>
      <c r="I354" s="6">
        <f>[1]Hybrid!H49</f>
        <v>0.63736520890000004</v>
      </c>
      <c r="J354" s="6">
        <f>[1]Hybrid!I49</f>
        <v>0.66493464589999995</v>
      </c>
      <c r="K354" s="6">
        <f>[1]Hybrid!J49</f>
        <v>0.69236302910000003</v>
      </c>
      <c r="L354" s="6">
        <f>[1]Hybrid!K49</f>
        <v>0.71960772350000002</v>
      </c>
      <c r="M354" s="6">
        <f>[1]Hybrid!L49</f>
        <v>0.74671914660000005</v>
      </c>
      <c r="N354" s="6">
        <f>[1]Hybrid!M49</f>
        <v>0.77329986969999998</v>
      </c>
      <c r="O354" s="6">
        <f>[1]Hybrid!N49</f>
        <v>0.79909929639999999</v>
      </c>
      <c r="P354" s="6">
        <f>[1]Hybrid!O49</f>
        <v>0.82388513240000005</v>
      </c>
      <c r="Q354" s="6">
        <f>[1]Hybrid!P49</f>
        <v>0.84747139149999995</v>
      </c>
      <c r="R354" s="6">
        <f>[1]Hybrid!Q49</f>
        <v>0.86974267270000005</v>
      </c>
      <c r="S354" s="6">
        <f>[1]Hybrid!R49</f>
        <v>0.89106349419999997</v>
      </c>
      <c r="T354" s="6">
        <f>[1]Hybrid!S49</f>
        <v>0.91154729639999998</v>
      </c>
      <c r="U354" s="6">
        <f>[1]Hybrid!T49</f>
        <v>0.9311900863</v>
      </c>
      <c r="V354" s="6">
        <f>[1]Hybrid!U49</f>
        <v>0.94998341019999999</v>
      </c>
      <c r="W354" s="6">
        <f>[1]Hybrid!V49</f>
        <v>0.96786162119999997</v>
      </c>
      <c r="X354" s="6">
        <f>[1]Hybrid!W49</f>
        <v>0.98501597809999997</v>
      </c>
      <c r="Y354" s="6">
        <f>[1]Hybrid!X49</f>
        <v>1.0015594720000001</v>
      </c>
      <c r="Z354" s="6">
        <f>[1]Hybrid!Y49</f>
        <v>1.0176290889999999</v>
      </c>
      <c r="AA354" s="6">
        <f>[1]Hybrid!Z49</f>
        <v>1.0333560719999999</v>
      </c>
      <c r="AB354" s="6">
        <f>[1]Hybrid!AA49</f>
        <v>1.048608312</v>
      </c>
      <c r="AC354" s="6">
        <f>[1]Hybrid!AB49</f>
        <v>1.0637048490000001</v>
      </c>
      <c r="AD354" s="6">
        <f>[1]Hybrid!AC49</f>
        <v>1.0787935500000001</v>
      </c>
      <c r="AE354" s="6">
        <f>[1]Hybrid!AD49</f>
        <v>1.0940218100000001</v>
      </c>
      <c r="AF354" s="6">
        <f>[1]Hybrid!AE49</f>
        <v>1.109516218</v>
      </c>
      <c r="AG354" s="6">
        <f>[1]Hybrid!AF49</f>
        <v>1.125347753</v>
      </c>
      <c r="AH354" s="6">
        <f>[1]Hybrid!AG49</f>
        <v>1.1415256439999999</v>
      </c>
      <c r="AI354" s="6">
        <f>[1]Hybrid!AH49</f>
        <v>1.158005628</v>
      </c>
      <c r="AJ354" s="6">
        <f>[1]Hybrid!AI49</f>
        <v>1.174699449</v>
      </c>
      <c r="AK354" s="6">
        <f>[1]Hybrid!AJ49</f>
        <v>1.191483989</v>
      </c>
      <c r="AL354" s="6">
        <f>[1]Hybrid!AK49</f>
        <v>1.2082087500000001</v>
      </c>
    </row>
    <row r="355" spans="1:3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0.41439094170000002</v>
      </c>
      <c r="E355" s="6">
        <f>[1]Hybrid!D51</f>
        <v>0.42516129870000002</v>
      </c>
      <c r="F355" s="6">
        <f>[1]Hybrid!E51</f>
        <v>0.43783104099999998</v>
      </c>
      <c r="G355" s="6">
        <f>[1]Hybrid!F51</f>
        <v>0.45209725709999998</v>
      </c>
      <c r="H355" s="6">
        <f>[1]Hybrid!G51</f>
        <v>0.46743914990000002</v>
      </c>
      <c r="I355" s="6">
        <f>[1]Hybrid!H51</f>
        <v>0.48318395260000002</v>
      </c>
      <c r="J355" s="6">
        <f>[1]Hybrid!I51</f>
        <v>0.49900675430000002</v>
      </c>
      <c r="K355" s="6">
        <f>[1]Hybrid!J51</f>
        <v>0.51479571909999999</v>
      </c>
      <c r="L355" s="6">
        <f>[1]Hybrid!K51</f>
        <v>0.53050343889999996</v>
      </c>
      <c r="M355" s="6">
        <f>[1]Hybrid!L51</f>
        <v>0.54614990340000003</v>
      </c>
      <c r="N355" s="6">
        <f>[1]Hybrid!M51</f>
        <v>0.56145831150000003</v>
      </c>
      <c r="O355" s="6">
        <f>[1]Hybrid!N51</f>
        <v>0.57625922870000001</v>
      </c>
      <c r="P355" s="6">
        <f>[1]Hybrid!O51</f>
        <v>0.59040149149999999</v>
      </c>
      <c r="Q355" s="6">
        <f>[1]Hybrid!P51</f>
        <v>0.60376796649999998</v>
      </c>
      <c r="R355" s="6">
        <f>[1]Hybrid!Q51</f>
        <v>0.6162891506</v>
      </c>
      <c r="S355" s="6">
        <f>[1]Hybrid!R51</f>
        <v>0.6282195263</v>
      </c>
      <c r="T355" s="6">
        <f>[1]Hybrid!S51</f>
        <v>0.63964998949999996</v>
      </c>
      <c r="U355" s="6">
        <f>[1]Hybrid!T51</f>
        <v>0.65058842269999995</v>
      </c>
      <c r="V355" s="6">
        <f>[1]Hybrid!U51</f>
        <v>0.66103287399999999</v>
      </c>
      <c r="W355" s="6">
        <f>[1]Hybrid!V51</f>
        <v>0.67093730309999999</v>
      </c>
      <c r="X355" s="6">
        <f>[1]Hybrid!W51</f>
        <v>0.68042148759999999</v>
      </c>
      <c r="Y355" s="6">
        <f>[1]Hybrid!X51</f>
        <v>0.68954997080000002</v>
      </c>
      <c r="Z355" s="6">
        <f>[1]Hybrid!Y51</f>
        <v>0.6984006613</v>
      </c>
      <c r="AA355" s="6">
        <f>[1]Hybrid!Z51</f>
        <v>0.70704522110000001</v>
      </c>
      <c r="AB355" s="6">
        <f>[1]Hybrid!AA51</f>
        <v>0.71537984700000001</v>
      </c>
      <c r="AC355" s="6">
        <f>[1]Hybrid!AB51</f>
        <v>0.72359625900000002</v>
      </c>
      <c r="AD355" s="6">
        <f>[1]Hybrid!AC51</f>
        <v>0.73177209450000003</v>
      </c>
      <c r="AE355" s="6">
        <f>[1]Hybrid!AD51</f>
        <v>0.73998372540000001</v>
      </c>
      <c r="AF355" s="6">
        <f>[1]Hybrid!AE51</f>
        <v>0.74829401149999997</v>
      </c>
      <c r="AG355" s="6">
        <f>[1]Hybrid!AF51</f>
        <v>0.75673031950000003</v>
      </c>
      <c r="AH355" s="6">
        <f>[1]Hybrid!AG51</f>
        <v>0.76528118649999999</v>
      </c>
      <c r="AI355" s="6">
        <f>[1]Hybrid!AH51</f>
        <v>0.7739023089</v>
      </c>
      <c r="AJ355" s="6">
        <f>[1]Hybrid!AI51</f>
        <v>0.78252325020000002</v>
      </c>
      <c r="AK355" s="6">
        <f>[1]Hybrid!AJ51</f>
        <v>0.79105386919999998</v>
      </c>
      <c r="AL355" s="6">
        <f>[1]Hybrid!AK51</f>
        <v>0.79938964629999998</v>
      </c>
    </row>
    <row r="356" spans="1:3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0.2522701617</v>
      </c>
      <c r="E356" s="6">
        <f>[1]Hybrid!D53</f>
        <v>0.25660728669999999</v>
      </c>
      <c r="F356" s="6">
        <f>[1]Hybrid!E53</f>
        <v>0.26191677520000001</v>
      </c>
      <c r="G356" s="6">
        <f>[1]Hybrid!F53</f>
        <v>0.26799905769999999</v>
      </c>
      <c r="H356" s="6">
        <f>[1]Hybrid!G53</f>
        <v>0.27455502770000001</v>
      </c>
      <c r="I356" s="6">
        <f>[1]Hybrid!H53</f>
        <v>0.2812069821</v>
      </c>
      <c r="J356" s="6">
        <f>[1]Hybrid!I53</f>
        <v>0.28776480040000002</v>
      </c>
      <c r="K356" s="6">
        <f>[1]Hybrid!J53</f>
        <v>0.29415680049999998</v>
      </c>
      <c r="L356" s="6">
        <f>[1]Hybrid!K53</f>
        <v>0.30035147099999998</v>
      </c>
      <c r="M356" s="6">
        <f>[1]Hybrid!L53</f>
        <v>0.3063572739</v>
      </c>
      <c r="N356" s="6">
        <f>[1]Hybrid!M53</f>
        <v>0.31204235130000002</v>
      </c>
      <c r="O356" s="6">
        <f>[1]Hybrid!N53</f>
        <v>0.31734272829999999</v>
      </c>
      <c r="P356" s="6">
        <f>[1]Hybrid!O53</f>
        <v>0.32221280610000003</v>
      </c>
      <c r="Q356" s="6">
        <f>[1]Hybrid!P53</f>
        <v>0.32662706229999999</v>
      </c>
      <c r="R356" s="6">
        <f>[1]Hybrid!Q53</f>
        <v>0.33058188300000002</v>
      </c>
      <c r="S356" s="6">
        <f>[1]Hybrid!R53</f>
        <v>0.33423014099999998</v>
      </c>
      <c r="T356" s="6">
        <f>[1]Hybrid!S53</f>
        <v>0.33764450099999999</v>
      </c>
      <c r="U356" s="6">
        <f>[1]Hybrid!T53</f>
        <v>0.34085012939999998</v>
      </c>
      <c r="V356" s="6">
        <f>[1]Hybrid!U53</f>
        <v>0.34385852659999999</v>
      </c>
      <c r="W356" s="6">
        <f>[1]Hybrid!V53</f>
        <v>0.34665205510000002</v>
      </c>
      <c r="X356" s="6">
        <f>[1]Hybrid!W53</f>
        <v>0.34928533569999998</v>
      </c>
      <c r="Y356" s="6">
        <f>[1]Hybrid!X53</f>
        <v>0.35178163299999998</v>
      </c>
      <c r="Z356" s="6">
        <f>[1]Hybrid!Y53</f>
        <v>0.35416612209999998</v>
      </c>
      <c r="AA356" s="6">
        <f>[1]Hybrid!Z53</f>
        <v>0.35645637949999998</v>
      </c>
      <c r="AB356" s="6">
        <f>[1]Hybrid!AA53</f>
        <v>0.35858425119999998</v>
      </c>
      <c r="AC356" s="6">
        <f>[1]Hybrid!AB53</f>
        <v>0.36061636889999998</v>
      </c>
      <c r="AD356" s="6">
        <f>[1]Hybrid!AC53</f>
        <v>0.3625643918</v>
      </c>
      <c r="AE356" s="6">
        <f>[1]Hybrid!AD53</f>
        <v>0.36443858559999998</v>
      </c>
      <c r="AF356" s="6">
        <f>[1]Hybrid!AE53</f>
        <v>0.36624459939999998</v>
      </c>
      <c r="AG356" s="6">
        <f>[1]Hybrid!AF53</f>
        <v>0.36797478979999998</v>
      </c>
      <c r="AH356" s="6">
        <f>[1]Hybrid!AG53</f>
        <v>0.36960769339999999</v>
      </c>
      <c r="AI356" s="6">
        <f>[1]Hybrid!AH53</f>
        <v>0.37111149770000001</v>
      </c>
      <c r="AJ356" s="6">
        <f>[1]Hybrid!AI53</f>
        <v>0.37244760719999997</v>
      </c>
      <c r="AK356" s="6">
        <f>[1]Hybrid!AJ53</f>
        <v>0.37357394799999999</v>
      </c>
      <c r="AL356" s="6">
        <f>[1]Hybrid!AK53</f>
        <v>0.37444764870000002</v>
      </c>
    </row>
    <row r="357" spans="1:3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0.1520386577</v>
      </c>
      <c r="E357" s="6">
        <f>[1]Hybrid!D55</f>
        <v>0.15477784</v>
      </c>
      <c r="F357" s="6">
        <f>[1]Hybrid!E55</f>
        <v>0.1580085376</v>
      </c>
      <c r="G357" s="6">
        <f>[1]Hybrid!F55</f>
        <v>0.1615955556</v>
      </c>
      <c r="H357" s="6">
        <f>[1]Hybrid!G55</f>
        <v>0.16535539360000001</v>
      </c>
      <c r="I357" s="6">
        <f>[1]Hybrid!H55</f>
        <v>0.16905889909999999</v>
      </c>
      <c r="J357" s="6">
        <f>[1]Hybrid!I55</f>
        <v>0.1725887807</v>
      </c>
      <c r="K357" s="6">
        <f>[1]Hybrid!J55</f>
        <v>0.17590033129999999</v>
      </c>
      <c r="L357" s="6">
        <f>[1]Hybrid!K55</f>
        <v>0.17897565679999999</v>
      </c>
      <c r="M357" s="6">
        <f>[1]Hybrid!L55</f>
        <v>0.18182251629999999</v>
      </c>
      <c r="N357" s="6">
        <f>[1]Hybrid!M55</f>
        <v>0.18437437479999999</v>
      </c>
      <c r="O357" s="6">
        <f>[1]Hybrid!N55</f>
        <v>0.18660954439999999</v>
      </c>
      <c r="P357" s="6">
        <f>[1]Hybrid!O55</f>
        <v>0.18852063059999999</v>
      </c>
      <c r="Q357" s="6">
        <f>[1]Hybrid!P55</f>
        <v>0.19011221919999999</v>
      </c>
      <c r="R357" s="6">
        <f>[1]Hybrid!Q55</f>
        <v>0.19139943300000001</v>
      </c>
      <c r="S357" s="6">
        <f>[1]Hybrid!R55</f>
        <v>0.1924812672</v>
      </c>
      <c r="T357" s="6">
        <f>[1]Hybrid!S55</f>
        <v>0.19341275250000001</v>
      </c>
      <c r="U357" s="6">
        <f>[1]Hybrid!T55</f>
        <v>0.19421932920000001</v>
      </c>
      <c r="V357" s="6">
        <f>[1]Hybrid!U55</f>
        <v>0.1949143216</v>
      </c>
      <c r="W357" s="6">
        <f>[1]Hybrid!V55</f>
        <v>0.19549132180000001</v>
      </c>
      <c r="X357" s="6">
        <f>[1]Hybrid!W55</f>
        <v>0.19597850450000001</v>
      </c>
      <c r="Y357" s="6">
        <f>[1]Hybrid!X55</f>
        <v>0.19638480280000001</v>
      </c>
      <c r="Z357" s="6">
        <f>[1]Hybrid!Y55</f>
        <v>0.1967178688</v>
      </c>
      <c r="AA357" s="6">
        <f>[1]Hybrid!Z55</f>
        <v>0.19697912240000001</v>
      </c>
      <c r="AB357" s="6">
        <f>[1]Hybrid!AA55</f>
        <v>0.1971242832</v>
      </c>
      <c r="AC357" s="6">
        <f>[1]Hybrid!AB55</f>
        <v>0.19717698810000001</v>
      </c>
      <c r="AD357" s="6">
        <f>[1]Hybrid!AC55</f>
        <v>0.19713212890000001</v>
      </c>
      <c r="AE357" s="6">
        <f>[1]Hybrid!AD55</f>
        <v>0.19698392079999999</v>
      </c>
      <c r="AF357" s="6">
        <f>[1]Hybrid!AE55</f>
        <v>0.19672545620000001</v>
      </c>
      <c r="AG357" s="6">
        <f>[1]Hybrid!AF55</f>
        <v>0.1963450612</v>
      </c>
      <c r="AH357" s="6">
        <f>[1]Hybrid!AG55</f>
        <v>0.19582653329999999</v>
      </c>
      <c r="AI357" s="6">
        <f>[1]Hybrid!AH55</f>
        <v>0.1951511957</v>
      </c>
      <c r="AJ357" s="6">
        <f>[1]Hybrid!AI55</f>
        <v>0.1942998333</v>
      </c>
      <c r="AK357" s="6">
        <f>[1]Hybrid!AJ55</f>
        <v>0.1932543816</v>
      </c>
      <c r="AL357" s="6">
        <f>[1]Hybrid!AK55</f>
        <v>0.19199920209999999</v>
      </c>
    </row>
    <row r="358" spans="1:3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7.52981494E-2</v>
      </c>
      <c r="E358" s="6">
        <f>[1]Hybrid!D57</f>
        <v>7.6310760800000002E-2</v>
      </c>
      <c r="F358" s="6">
        <f>[1]Hybrid!E57</f>
        <v>7.74217814E-2</v>
      </c>
      <c r="G358" s="6">
        <f>[1]Hybrid!F57</f>
        <v>7.8549448100000002E-2</v>
      </c>
      <c r="H358" s="6">
        <f>[1]Hybrid!G57</f>
        <v>7.9606691899999998E-2</v>
      </c>
      <c r="I358" s="6">
        <f>[1]Hybrid!H57</f>
        <v>8.04926319E-2</v>
      </c>
      <c r="J358" s="6">
        <f>[1]Hybrid!I57</f>
        <v>8.1158861799999996E-2</v>
      </c>
      <c r="K358" s="6">
        <f>[1]Hybrid!J57</f>
        <v>8.1592492099999997E-2</v>
      </c>
      <c r="L358" s="6">
        <f>[1]Hybrid!K57</f>
        <v>8.1795896199999996E-2</v>
      </c>
      <c r="M358" s="6">
        <f>[1]Hybrid!L57</f>
        <v>8.1784290999999995E-2</v>
      </c>
      <c r="N358" s="6">
        <f>[1]Hybrid!M57</f>
        <v>8.1551475600000006E-2</v>
      </c>
      <c r="O358" s="6">
        <f>[1]Hybrid!N57</f>
        <v>8.1113689700000005E-2</v>
      </c>
      <c r="P358" s="6">
        <f>[1]Hybrid!O57</f>
        <v>8.0494799500000005E-2</v>
      </c>
      <c r="Q358" s="6">
        <f>[1]Hybrid!P57</f>
        <v>7.9721583900000004E-2</v>
      </c>
      <c r="R358" s="6">
        <f>[1]Hybrid!Q57</f>
        <v>7.8820773900000002E-2</v>
      </c>
      <c r="S358" s="6">
        <f>[1]Hybrid!R57</f>
        <v>7.7842030800000003E-2</v>
      </c>
      <c r="T358" s="6">
        <f>[1]Hybrid!S57</f>
        <v>7.6818477400000001E-2</v>
      </c>
      <c r="U358" s="6">
        <f>[1]Hybrid!T57</f>
        <v>7.5769482700000002E-2</v>
      </c>
      <c r="V358" s="6">
        <f>[1]Hybrid!U57</f>
        <v>7.4705965599999993E-2</v>
      </c>
      <c r="W358" s="6">
        <f>[1]Hybrid!V57</f>
        <v>7.3629022599999996E-2</v>
      </c>
      <c r="X358" s="6">
        <f>[1]Hybrid!W57</f>
        <v>7.25463566E-2</v>
      </c>
      <c r="Y358" s="6">
        <f>[1]Hybrid!X57</f>
        <v>7.1457800299999999E-2</v>
      </c>
      <c r="Z358" s="6">
        <f>[1]Hybrid!Y57</f>
        <v>7.03609444E-2</v>
      </c>
      <c r="AA358" s="6">
        <f>[1]Hybrid!Z57</f>
        <v>6.9249960400000005E-2</v>
      </c>
      <c r="AB358" s="6">
        <f>[1]Hybrid!AA57</f>
        <v>6.8106126099999997E-2</v>
      </c>
      <c r="AC358" s="6">
        <f>[1]Hybrid!AB57</f>
        <v>6.6928064600000003E-2</v>
      </c>
      <c r="AD358" s="6">
        <f>[1]Hybrid!AC57</f>
        <v>6.5707433800000006E-2</v>
      </c>
      <c r="AE358" s="6">
        <f>[1]Hybrid!AD57</f>
        <v>6.4436872199999995E-2</v>
      </c>
      <c r="AF358" s="6">
        <f>[1]Hybrid!AE57</f>
        <v>6.3110878100000004E-2</v>
      </c>
      <c r="AG358" s="6">
        <f>[1]Hybrid!AF57</f>
        <v>6.17253423E-2</v>
      </c>
      <c r="AH358" s="6">
        <f>[1]Hybrid!AG57</f>
        <v>6.0277726599999998E-2</v>
      </c>
      <c r="AI358" s="6">
        <f>[1]Hybrid!AH57</f>
        <v>5.87674433E-2</v>
      </c>
      <c r="AJ358" s="6">
        <f>[1]Hybrid!AI57</f>
        <v>5.7196027900000002E-2</v>
      </c>
      <c r="AK358" s="6">
        <f>[1]Hybrid!AJ57</f>
        <v>5.5567143499999999E-2</v>
      </c>
      <c r="AL358" s="6">
        <f>[1]Hybrid!AK57</f>
        <v>5.3886420300000001E-2</v>
      </c>
    </row>
    <row r="359" spans="1:3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0.1358835652</v>
      </c>
      <c r="E359" s="6">
        <f>[1]Hybrid!D59</f>
        <v>0.13780468009999999</v>
      </c>
      <c r="F359" s="6">
        <f>[1]Hybrid!E59</f>
        <v>0.13966853700000001</v>
      </c>
      <c r="G359" s="6">
        <f>[1]Hybrid!F59</f>
        <v>0.14131160370000001</v>
      </c>
      <c r="H359" s="6">
        <f>[1]Hybrid!G59</f>
        <v>0.14258906299999999</v>
      </c>
      <c r="I359" s="6">
        <f>[1]Hybrid!H59</f>
        <v>0.14334308909999999</v>
      </c>
      <c r="J359" s="6">
        <f>[1]Hybrid!I59</f>
        <v>0.143512049</v>
      </c>
      <c r="K359" s="6">
        <f>[1]Hybrid!J59</f>
        <v>0.1431004652</v>
      </c>
      <c r="L359" s="6">
        <f>[1]Hybrid!K59</f>
        <v>0.1421427324</v>
      </c>
      <c r="M359" s="6">
        <f>[1]Hybrid!L59</f>
        <v>0.14069550589999999</v>
      </c>
      <c r="N359" s="6">
        <f>[1]Hybrid!M59</f>
        <v>0.13878887200000001</v>
      </c>
      <c r="O359" s="6">
        <f>[1]Hybrid!N59</f>
        <v>0.1364892899</v>
      </c>
      <c r="P359" s="6">
        <f>[1]Hybrid!O59</f>
        <v>0.13387256680000001</v>
      </c>
      <c r="Q359" s="6">
        <f>[1]Hybrid!P59</f>
        <v>0.13101279569999999</v>
      </c>
      <c r="R359" s="6">
        <f>[1]Hybrid!Q59</f>
        <v>0.12797627280000001</v>
      </c>
      <c r="S359" s="6">
        <f>[1]Hybrid!R59</f>
        <v>0.12485158740000001</v>
      </c>
      <c r="T359" s="6">
        <f>[1]Hybrid!S59</f>
        <v>0.12170069679999999</v>
      </c>
      <c r="U359" s="6">
        <f>[1]Hybrid!T59</f>
        <v>0.11856155879999999</v>
      </c>
      <c r="V359" s="6">
        <f>[1]Hybrid!U59</f>
        <v>0.1154555177</v>
      </c>
      <c r="W359" s="6">
        <f>[1]Hybrid!V59</f>
        <v>0.1123872442</v>
      </c>
      <c r="X359" s="6">
        <f>[1]Hybrid!W59</f>
        <v>0.1093654265</v>
      </c>
      <c r="Y359" s="6">
        <f>[1]Hybrid!X59</f>
        <v>0.1063871457</v>
      </c>
      <c r="Z359" s="6">
        <f>[1]Hybrid!Y59</f>
        <v>0.1034452934</v>
      </c>
      <c r="AA359" s="6">
        <f>[1]Hybrid!Z59</f>
        <v>0.1005277654</v>
      </c>
      <c r="AB359" s="6">
        <f>[1]Hybrid!AA59</f>
        <v>9.7608411000000006E-2</v>
      </c>
      <c r="AC359" s="6">
        <f>[1]Hybrid!AB59</f>
        <v>9.4680400900000003E-2</v>
      </c>
      <c r="AD359" s="6">
        <f>[1]Hybrid!AC59</f>
        <v>9.1731036899999993E-2</v>
      </c>
      <c r="AE359" s="6">
        <f>[1]Hybrid!AD59</f>
        <v>8.8750853800000001E-2</v>
      </c>
      <c r="AF359" s="6">
        <f>[1]Hybrid!AE59</f>
        <v>8.5735144700000002E-2</v>
      </c>
      <c r="AG359" s="6">
        <f>[1]Hybrid!AF59</f>
        <v>8.2683424300000002E-2</v>
      </c>
      <c r="AH359" s="6">
        <f>[1]Hybrid!AG59</f>
        <v>7.9599183300000001E-2</v>
      </c>
      <c r="AI359" s="6">
        <f>[1]Hybrid!AH59</f>
        <v>7.6489613499999998E-2</v>
      </c>
      <c r="AJ359" s="6">
        <f>[1]Hybrid!AI59</f>
        <v>7.3365022399999993E-2</v>
      </c>
      <c r="AK359" s="6">
        <f>[1]Hybrid!AJ59</f>
        <v>7.0238082699999996E-2</v>
      </c>
      <c r="AL359" s="6">
        <f>[1]Hybrid!AK59</f>
        <v>6.7122990100000002E-2</v>
      </c>
    </row>
    <row r="361" spans="1:3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</row>
    <row r="362" spans="1:3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69">D339+D346+D353</f>
        <v>7155.2985386964001</v>
      </c>
      <c r="E362" s="6">
        <f t="shared" si="69"/>
        <v>7266.2225282113004</v>
      </c>
      <c r="F362" s="6">
        <f t="shared" si="69"/>
        <v>7418.7650049216008</v>
      </c>
      <c r="G362" s="6">
        <f t="shared" si="69"/>
        <v>7607.0937735798007</v>
      </c>
      <c r="H362" s="6">
        <f t="shared" si="69"/>
        <v>7820.8685159537999</v>
      </c>
      <c r="I362" s="6">
        <f t="shared" si="69"/>
        <v>8047.3774899984001</v>
      </c>
      <c r="J362" s="6">
        <f t="shared" si="69"/>
        <v>8280.8388872398991</v>
      </c>
      <c r="K362" s="6">
        <f t="shared" si="69"/>
        <v>8519.5464233862003</v>
      </c>
      <c r="L362" s="6">
        <f t="shared" si="69"/>
        <v>8762.9157030407005</v>
      </c>
      <c r="M362" s="6">
        <f t="shared" si="69"/>
        <v>9011.5407752239989</v>
      </c>
      <c r="N362" s="6">
        <f t="shared" si="69"/>
        <v>9260.1637908035991</v>
      </c>
      <c r="O362" s="6">
        <f t="shared" si="69"/>
        <v>9505.3641197665984</v>
      </c>
      <c r="P362" s="6">
        <f t="shared" si="69"/>
        <v>9743.9051750384006</v>
      </c>
      <c r="Q362" s="6">
        <f t="shared" si="69"/>
        <v>9973.1486505598004</v>
      </c>
      <c r="R362" s="6">
        <f t="shared" si="69"/>
        <v>10191.414449763299</v>
      </c>
      <c r="S362" s="6">
        <f t="shared" si="69"/>
        <v>10403.249712785901</v>
      </c>
      <c r="T362" s="6">
        <f t="shared" si="69"/>
        <v>10609.681742085901</v>
      </c>
      <c r="U362" s="6">
        <f t="shared" si="69"/>
        <v>10810.2505300024</v>
      </c>
      <c r="V362" s="6">
        <f t="shared" si="69"/>
        <v>11004.596121001299</v>
      </c>
      <c r="W362" s="6">
        <f t="shared" si="69"/>
        <v>11191.750246451</v>
      </c>
      <c r="X362" s="6">
        <f t="shared" si="69"/>
        <v>11374.324351867001</v>
      </c>
      <c r="Y362" s="6">
        <f t="shared" si="69"/>
        <v>11553.958857365</v>
      </c>
      <c r="Z362" s="6">
        <f t="shared" si="69"/>
        <v>11732.693796284999</v>
      </c>
      <c r="AA362" s="6">
        <f t="shared" si="69"/>
        <v>11912.566055941999</v>
      </c>
      <c r="AB362" s="6">
        <f t="shared" si="69"/>
        <v>12092.084092522</v>
      </c>
      <c r="AC362" s="6">
        <f t="shared" si="69"/>
        <v>12276.021964805999</v>
      </c>
      <c r="AD362" s="6">
        <f t="shared" si="69"/>
        <v>12466.851453010999</v>
      </c>
      <c r="AE362" s="6">
        <f t="shared" si="69"/>
        <v>12667.102211568999</v>
      </c>
      <c r="AF362" s="6">
        <f t="shared" si="69"/>
        <v>12879.063097463999</v>
      </c>
      <c r="AG362" s="6">
        <f t="shared" si="69"/>
        <v>13104.284828352002</v>
      </c>
      <c r="AH362" s="6">
        <f t="shared" si="69"/>
        <v>13343.482988224001</v>
      </c>
      <c r="AI362" s="6">
        <f t="shared" si="69"/>
        <v>13596.642828196</v>
      </c>
      <c r="AJ362" s="6">
        <f t="shared" si="69"/>
        <v>13863.140644682</v>
      </c>
      <c r="AK362" s="6">
        <f t="shared" si="69"/>
        <v>14141.858400784</v>
      </c>
      <c r="AL362" s="6">
        <f t="shared" si="69"/>
        <v>14431.273256271001</v>
      </c>
    </row>
    <row r="363" spans="1:38" x14ac:dyDescent="0.35">
      <c r="B363" t="s">
        <v>97</v>
      </c>
      <c r="C363" s="6">
        <f t="shared" ref="C363:AL363" si="70">C340+C347+C354</f>
        <v>8263.1971436354015</v>
      </c>
      <c r="D363" s="6">
        <f t="shared" si="70"/>
        <v>8197.7938958084997</v>
      </c>
      <c r="E363" s="6">
        <f t="shared" si="70"/>
        <v>8199.1673344271003</v>
      </c>
      <c r="F363" s="6">
        <f t="shared" si="70"/>
        <v>8247.1568769829992</v>
      </c>
      <c r="G363" s="6">
        <f t="shared" si="70"/>
        <v>8335.3498545980983</v>
      </c>
      <c r="H363" s="6">
        <f t="shared" si="70"/>
        <v>8453.3385805966009</v>
      </c>
      <c r="I363" s="6">
        <f t="shared" si="70"/>
        <v>8588.4050514689006</v>
      </c>
      <c r="J363" s="6">
        <f t="shared" si="70"/>
        <v>8734.3594336558999</v>
      </c>
      <c r="K363" s="6">
        <f t="shared" si="70"/>
        <v>8888.9337685591017</v>
      </c>
      <c r="L363" s="6">
        <f t="shared" si="70"/>
        <v>9051.0263939534998</v>
      </c>
      <c r="M363" s="6">
        <f t="shared" si="70"/>
        <v>9220.7399555266002</v>
      </c>
      <c r="N363" s="6">
        <f t="shared" si="70"/>
        <v>9392.8131687696987</v>
      </c>
      <c r="O363" s="6">
        <f t="shared" si="70"/>
        <v>9563.8690298964011</v>
      </c>
      <c r="P363" s="6">
        <f t="shared" si="70"/>
        <v>9730.8238597323998</v>
      </c>
      <c r="Q363" s="6">
        <f t="shared" si="70"/>
        <v>9891.2170524915</v>
      </c>
      <c r="R363" s="6">
        <f t="shared" si="70"/>
        <v>10043.496279372701</v>
      </c>
      <c r="S363" s="6">
        <f t="shared" si="70"/>
        <v>10191.9532280942</v>
      </c>
      <c r="T363" s="6">
        <f t="shared" si="70"/>
        <v>10337.7000292964</v>
      </c>
      <c r="U363" s="6">
        <f t="shared" si="70"/>
        <v>10480.393672086298</v>
      </c>
      <c r="V363" s="6">
        <f t="shared" si="70"/>
        <v>10619.665460510201</v>
      </c>
      <c r="W363" s="6">
        <f t="shared" si="70"/>
        <v>10754.4817291212</v>
      </c>
      <c r="X363" s="6">
        <f t="shared" si="70"/>
        <v>10887.029793978099</v>
      </c>
      <c r="Y363" s="6">
        <f t="shared" si="70"/>
        <v>11018.549661671999</v>
      </c>
      <c r="Z363" s="6">
        <f t="shared" si="70"/>
        <v>11150.609411489</v>
      </c>
      <c r="AA363" s="6">
        <f t="shared" si="70"/>
        <v>11284.734599772</v>
      </c>
      <c r="AB363" s="6">
        <f t="shared" si="70"/>
        <v>11419.187671212001</v>
      </c>
      <c r="AC363" s="6">
        <f t="shared" si="70"/>
        <v>11557.937529649002</v>
      </c>
      <c r="AD363" s="6">
        <f t="shared" si="70"/>
        <v>11702.821580649999</v>
      </c>
      <c r="AE363" s="6">
        <f t="shared" si="70"/>
        <v>11855.71038011</v>
      </c>
      <c r="AF363" s="6">
        <f t="shared" si="70"/>
        <v>12018.254245918</v>
      </c>
      <c r="AG363" s="6">
        <f t="shared" si="70"/>
        <v>12191.443451253001</v>
      </c>
      <c r="AH363" s="6">
        <f t="shared" si="70"/>
        <v>12375.530820043999</v>
      </c>
      <c r="AI363" s="6">
        <f t="shared" si="70"/>
        <v>12570.136215428</v>
      </c>
      <c r="AJ363" s="6">
        <f t="shared" si="70"/>
        <v>12774.365060049</v>
      </c>
      <c r="AK363" s="6">
        <f t="shared" si="70"/>
        <v>12986.920657789</v>
      </c>
      <c r="AL363" s="6">
        <f t="shared" si="70"/>
        <v>13206.193785849999</v>
      </c>
    </row>
    <row r="364" spans="1:38" x14ac:dyDescent="0.35">
      <c r="B364" t="s">
        <v>98</v>
      </c>
      <c r="C364" s="6">
        <f t="shared" ref="C364:AL364" si="71">C341+C348+C355</f>
        <v>6787.4105911386005</v>
      </c>
      <c r="D364" s="6">
        <f t="shared" si="71"/>
        <v>6658.6304603116996</v>
      </c>
      <c r="E364" s="6">
        <f t="shared" si="71"/>
        <v>6581.7941035287004</v>
      </c>
      <c r="F364" s="6">
        <f t="shared" si="71"/>
        <v>6542.2400851510001</v>
      </c>
      <c r="G364" s="6">
        <f t="shared" si="71"/>
        <v>6534.9439716370998</v>
      </c>
      <c r="H364" s="6">
        <f t="shared" si="71"/>
        <v>6552.3461053599003</v>
      </c>
      <c r="I364" s="6">
        <f t="shared" si="71"/>
        <v>6585.2681572025995</v>
      </c>
      <c r="J364" s="6">
        <f t="shared" si="71"/>
        <v>6628.9695912643001</v>
      </c>
      <c r="K364" s="6">
        <f t="shared" si="71"/>
        <v>6681.4344683091003</v>
      </c>
      <c r="L364" s="6">
        <f t="shared" si="71"/>
        <v>6741.5175974989006</v>
      </c>
      <c r="M364" s="6">
        <f t="shared" si="71"/>
        <v>6808.9592117133998</v>
      </c>
      <c r="N364" s="6">
        <f t="shared" si="71"/>
        <v>6879.9582130515</v>
      </c>
      <c r="O364" s="6">
        <f t="shared" si="71"/>
        <v>6952.0974295487003</v>
      </c>
      <c r="P364" s="6">
        <f t="shared" si="71"/>
        <v>7023.2390037514997</v>
      </c>
      <c r="Q364" s="6">
        <f t="shared" si="71"/>
        <v>7091.7076229364993</v>
      </c>
      <c r="R364" s="6">
        <f t="shared" si="71"/>
        <v>7156.4485978506</v>
      </c>
      <c r="S364" s="6">
        <f t="shared" si="71"/>
        <v>7220.3620639262999</v>
      </c>
      <c r="T364" s="6">
        <f t="shared" si="71"/>
        <v>7284.2773887895</v>
      </c>
      <c r="U364" s="6">
        <f t="shared" si="71"/>
        <v>7348.0004221227</v>
      </c>
      <c r="V364" s="6">
        <f t="shared" si="71"/>
        <v>7411.242225774</v>
      </c>
      <c r="W364" s="6">
        <f t="shared" si="71"/>
        <v>7473.2036264031003</v>
      </c>
      <c r="X364" s="6">
        <f t="shared" si="71"/>
        <v>7535.1765193875999</v>
      </c>
      <c r="Y364" s="6">
        <f t="shared" si="71"/>
        <v>7597.7901883708</v>
      </c>
      <c r="Z364" s="6">
        <f t="shared" si="71"/>
        <v>7661.8676393612996</v>
      </c>
      <c r="AA364" s="6">
        <f t="shared" si="71"/>
        <v>7728.1799860211004</v>
      </c>
      <c r="AB364" s="6">
        <f t="shared" si="71"/>
        <v>7795.3243068470001</v>
      </c>
      <c r="AC364" s="6">
        <f t="shared" si="71"/>
        <v>7865.650559959</v>
      </c>
      <c r="AD364" s="6">
        <f t="shared" si="71"/>
        <v>7940.0891056945002</v>
      </c>
      <c r="AE364" s="6">
        <f t="shared" si="71"/>
        <v>8019.5837536253994</v>
      </c>
      <c r="AF364" s="6">
        <f t="shared" si="71"/>
        <v>8104.9376994114991</v>
      </c>
      <c r="AG364" s="6">
        <f t="shared" si="71"/>
        <v>8196.5334153194981</v>
      </c>
      <c r="AH364" s="6">
        <f t="shared" si="71"/>
        <v>8294.2888285864992</v>
      </c>
      <c r="AI364" s="6">
        <f t="shared" si="71"/>
        <v>8397.7317529088996</v>
      </c>
      <c r="AJ364" s="6">
        <f t="shared" si="71"/>
        <v>8506.0825542502007</v>
      </c>
      <c r="AK364" s="6">
        <f t="shared" si="71"/>
        <v>8618.3324395691998</v>
      </c>
      <c r="AL364" s="6">
        <f t="shared" si="71"/>
        <v>8733.3068036462992</v>
      </c>
    </row>
    <row r="365" spans="1:38" x14ac:dyDescent="0.35">
      <c r="B365" t="s">
        <v>99</v>
      </c>
      <c r="C365" s="6">
        <f t="shared" ref="C365:AL365" si="72">C342+C349+C356</f>
        <v>4165.6835237371006</v>
      </c>
      <c r="D365" s="6">
        <f t="shared" si="72"/>
        <v>4061.8898353437003</v>
      </c>
      <c r="E365" s="6">
        <f t="shared" si="72"/>
        <v>3987.6916984846998</v>
      </c>
      <c r="F365" s="6">
        <f t="shared" si="72"/>
        <v>3934.3458351452</v>
      </c>
      <c r="G365" s="6">
        <f t="shared" si="72"/>
        <v>3898.5843008676998</v>
      </c>
      <c r="H365" s="6">
        <f t="shared" si="72"/>
        <v>3876.0265250276998</v>
      </c>
      <c r="I365" s="6">
        <f t="shared" si="72"/>
        <v>3861.4655933421</v>
      </c>
      <c r="J365" s="6">
        <f t="shared" si="72"/>
        <v>3852.0810240604001</v>
      </c>
      <c r="K365" s="6">
        <f t="shared" si="72"/>
        <v>3846.5606820104999</v>
      </c>
      <c r="L365" s="6">
        <f t="shared" si="72"/>
        <v>3844.127998211</v>
      </c>
      <c r="M365" s="6">
        <f t="shared" si="72"/>
        <v>3844.5275574439002</v>
      </c>
      <c r="N365" s="6">
        <f t="shared" si="72"/>
        <v>3845.8407271513001</v>
      </c>
      <c r="O365" s="6">
        <f t="shared" si="72"/>
        <v>3847.0151389582998</v>
      </c>
      <c r="P365" s="6">
        <f t="shared" si="72"/>
        <v>3847.2521452361002</v>
      </c>
      <c r="Q365" s="6">
        <f t="shared" si="72"/>
        <v>3846.0218527422999</v>
      </c>
      <c r="R365" s="6">
        <f t="shared" si="72"/>
        <v>3843.0804501429998</v>
      </c>
      <c r="S365" s="6">
        <f t="shared" si="72"/>
        <v>3840.087902711</v>
      </c>
      <c r="T365" s="6">
        <f t="shared" si="72"/>
        <v>3837.7115972309998</v>
      </c>
      <c r="U365" s="6">
        <f t="shared" si="72"/>
        <v>3836.0445531594</v>
      </c>
      <c r="V365" s="6">
        <f t="shared" si="72"/>
        <v>3835.0273343765998</v>
      </c>
      <c r="W365" s="6">
        <f t="shared" si="72"/>
        <v>3834.2624828350999</v>
      </c>
      <c r="X365" s="6">
        <f t="shared" si="72"/>
        <v>3834.2526071257003</v>
      </c>
      <c r="Y365" s="6">
        <f t="shared" si="72"/>
        <v>3835.1266411229999</v>
      </c>
      <c r="Z365" s="6">
        <f t="shared" si="72"/>
        <v>3837.0493943621</v>
      </c>
      <c r="AA365" s="6">
        <f t="shared" si="72"/>
        <v>3840.1043066594998</v>
      </c>
      <c r="AB365" s="6">
        <f t="shared" si="72"/>
        <v>3843.3363589611999</v>
      </c>
      <c r="AC365" s="6">
        <f t="shared" si="72"/>
        <v>3847.4656372089003</v>
      </c>
      <c r="AD365" s="6">
        <f t="shared" si="72"/>
        <v>3852.5401823917996</v>
      </c>
      <c r="AE365" s="6">
        <f t="shared" si="72"/>
        <v>3858.6012329855998</v>
      </c>
      <c r="AF365" s="6">
        <f t="shared" si="72"/>
        <v>3865.6430142994</v>
      </c>
      <c r="AG365" s="6">
        <f t="shared" si="72"/>
        <v>3873.5052677897997</v>
      </c>
      <c r="AH365" s="6">
        <f t="shared" si="72"/>
        <v>3881.8670218934003</v>
      </c>
      <c r="AI365" s="6">
        <f t="shared" si="72"/>
        <v>3890.2896421976998</v>
      </c>
      <c r="AJ365" s="6">
        <f t="shared" si="72"/>
        <v>3898.2605690071996</v>
      </c>
      <c r="AK365" s="6">
        <f t="shared" si="72"/>
        <v>3905.2333972479996</v>
      </c>
      <c r="AL365" s="6">
        <f t="shared" si="72"/>
        <v>3910.6598908486999</v>
      </c>
    </row>
    <row r="366" spans="1:38" x14ac:dyDescent="0.35">
      <c r="B366" t="s">
        <v>100</v>
      </c>
      <c r="C366" s="6">
        <f t="shared" ref="C366:AL366" si="73">C343+C350+C357</f>
        <v>2507.3524895615005</v>
      </c>
      <c r="D366" s="6">
        <f t="shared" si="73"/>
        <v>2447.2315819916998</v>
      </c>
      <c r="E366" s="6">
        <f t="shared" si="73"/>
        <v>2404.088655214</v>
      </c>
      <c r="F366" s="6">
        <f t="shared" si="73"/>
        <v>2372.3547626976001</v>
      </c>
      <c r="G366" s="6">
        <f t="shared" si="73"/>
        <v>2349.9006079205997</v>
      </c>
      <c r="H366" s="6">
        <f t="shared" si="73"/>
        <v>2334.0662212065999</v>
      </c>
      <c r="I366" s="6">
        <f t="shared" si="73"/>
        <v>2321.7133986991003</v>
      </c>
      <c r="J366" s="6">
        <f t="shared" si="73"/>
        <v>2311.1272583107002</v>
      </c>
      <c r="K366" s="6">
        <f t="shared" si="73"/>
        <v>2301.5156095113002</v>
      </c>
      <c r="L366" s="6">
        <f t="shared" si="73"/>
        <v>2292.4388877468</v>
      </c>
      <c r="M366" s="6">
        <f t="shared" si="73"/>
        <v>2283.7884921563</v>
      </c>
      <c r="N366" s="6">
        <f t="shared" si="73"/>
        <v>2274.5746690748001</v>
      </c>
      <c r="O366" s="6">
        <f t="shared" si="73"/>
        <v>2264.3736222244002</v>
      </c>
      <c r="P366" s="6">
        <f t="shared" si="73"/>
        <v>2252.9494076105998</v>
      </c>
      <c r="Q366" s="6">
        <f t="shared" si="73"/>
        <v>2240.2226941291997</v>
      </c>
      <c r="R366" s="6">
        <f t="shared" si="73"/>
        <v>2226.2509018430001</v>
      </c>
      <c r="S366" s="6">
        <f t="shared" si="73"/>
        <v>2212.1108703472</v>
      </c>
      <c r="T366" s="6">
        <f t="shared" si="73"/>
        <v>2198.3336208425003</v>
      </c>
      <c r="U366" s="6">
        <f t="shared" si="73"/>
        <v>2185.0910268192006</v>
      </c>
      <c r="V366" s="6">
        <f t="shared" si="73"/>
        <v>2172.4149184616003</v>
      </c>
      <c r="W366" s="6">
        <f t="shared" si="73"/>
        <v>2160.1063686318003</v>
      </c>
      <c r="X366" s="6">
        <f t="shared" si="73"/>
        <v>2148.4003230544999</v>
      </c>
      <c r="Y366" s="6">
        <f t="shared" si="73"/>
        <v>2137.3032214827999</v>
      </c>
      <c r="Z366" s="6">
        <f t="shared" si="73"/>
        <v>2126.8144704788001</v>
      </c>
      <c r="AA366" s="6">
        <f t="shared" si="73"/>
        <v>2116.8652588723999</v>
      </c>
      <c r="AB366" s="6">
        <f t="shared" si="73"/>
        <v>2106.8338435732003</v>
      </c>
      <c r="AC366" s="6">
        <f t="shared" si="73"/>
        <v>2096.9465054281004</v>
      </c>
      <c r="AD366" s="6">
        <f t="shared" si="73"/>
        <v>2087.0790498389001</v>
      </c>
      <c r="AE366" s="6">
        <f t="shared" si="73"/>
        <v>2077.1055885107999</v>
      </c>
      <c r="AF366" s="6">
        <f t="shared" si="73"/>
        <v>2066.8923188461999</v>
      </c>
      <c r="AG366" s="6">
        <f t="shared" si="73"/>
        <v>2056.2516737512001</v>
      </c>
      <c r="AH366" s="6">
        <f t="shared" si="73"/>
        <v>2044.9448130633</v>
      </c>
      <c r="AI366" s="6">
        <f t="shared" si="73"/>
        <v>2032.7066284757</v>
      </c>
      <c r="AJ366" s="6">
        <f t="shared" si="73"/>
        <v>2019.2691239833</v>
      </c>
      <c r="AK366" s="6">
        <f t="shared" si="73"/>
        <v>2004.3816182215999</v>
      </c>
      <c r="AL366" s="6">
        <f t="shared" si="73"/>
        <v>1987.8257790221003</v>
      </c>
    </row>
    <row r="367" spans="1:38" x14ac:dyDescent="0.35">
      <c r="B367" t="s">
        <v>101</v>
      </c>
      <c r="C367" s="6">
        <f t="shared" ref="C367:AL367" si="74">C344+C351+C358</f>
        <v>1245.466605953</v>
      </c>
      <c r="D367" s="6">
        <f t="shared" si="74"/>
        <v>1212.9149376633998</v>
      </c>
      <c r="E367" s="6">
        <f t="shared" si="74"/>
        <v>1187.3336945287999</v>
      </c>
      <c r="F367" s="6">
        <f t="shared" si="74"/>
        <v>1165.7191969924002</v>
      </c>
      <c r="G367" s="6">
        <f t="shared" si="74"/>
        <v>1146.8569293001001</v>
      </c>
      <c r="H367" s="6">
        <f t="shared" si="74"/>
        <v>1129.4973045729</v>
      </c>
      <c r="I367" s="6">
        <f t="shared" si="74"/>
        <v>1112.2567923228999</v>
      </c>
      <c r="J367" s="6">
        <f t="shared" si="74"/>
        <v>1094.4158911448001</v>
      </c>
      <c r="K367" s="6">
        <f t="shared" si="74"/>
        <v>1075.7024600401</v>
      </c>
      <c r="L367" s="6">
        <f t="shared" si="74"/>
        <v>1056.0394411402001</v>
      </c>
      <c r="M367" s="6">
        <f t="shared" si="74"/>
        <v>1035.5119586320002</v>
      </c>
      <c r="N367" s="6">
        <f t="shared" si="74"/>
        <v>1013.9517441805999</v>
      </c>
      <c r="O367" s="6">
        <f t="shared" si="74"/>
        <v>991.46852888170008</v>
      </c>
      <c r="P367" s="6">
        <f t="shared" si="74"/>
        <v>968.26729818449996</v>
      </c>
      <c r="Q367" s="6">
        <f t="shared" si="74"/>
        <v>944.59009117789992</v>
      </c>
      <c r="R367" s="6">
        <f t="shared" si="74"/>
        <v>920.67984660590002</v>
      </c>
      <c r="S367" s="6">
        <f t="shared" si="74"/>
        <v>897.05725421679995</v>
      </c>
      <c r="T367" s="6">
        <f t="shared" si="74"/>
        <v>874.03986659440011</v>
      </c>
      <c r="U367" s="6">
        <f t="shared" si="74"/>
        <v>851.77959109370011</v>
      </c>
      <c r="V367" s="6">
        <f t="shared" si="74"/>
        <v>830.32941578559996</v>
      </c>
      <c r="W367" s="6">
        <f t="shared" si="74"/>
        <v>809.62798048260004</v>
      </c>
      <c r="X367" s="6">
        <f t="shared" si="74"/>
        <v>789.69990636659998</v>
      </c>
      <c r="Y367" s="6">
        <f t="shared" si="74"/>
        <v>770.47871917029988</v>
      </c>
      <c r="Z367" s="6">
        <f t="shared" si="74"/>
        <v>751.87596190440001</v>
      </c>
      <c r="AA367" s="6">
        <f t="shared" si="74"/>
        <v>733.76673806040003</v>
      </c>
      <c r="AB367" s="6">
        <f t="shared" si="74"/>
        <v>715.87440180609997</v>
      </c>
      <c r="AC367" s="6">
        <f t="shared" si="74"/>
        <v>698.14009965460002</v>
      </c>
      <c r="AD367" s="6">
        <f t="shared" si="74"/>
        <v>680.42343576379994</v>
      </c>
      <c r="AE367" s="6">
        <f t="shared" si="74"/>
        <v>662.59998305219995</v>
      </c>
      <c r="AF367" s="6">
        <f t="shared" si="74"/>
        <v>644.57145494810004</v>
      </c>
      <c r="AG367" s="6">
        <f t="shared" si="74"/>
        <v>626.25935549229996</v>
      </c>
      <c r="AH367" s="6">
        <f t="shared" si="74"/>
        <v>607.60666003660003</v>
      </c>
      <c r="AI367" s="6">
        <f t="shared" si="74"/>
        <v>588.58200774329998</v>
      </c>
      <c r="AJ367" s="6">
        <f t="shared" si="74"/>
        <v>569.1813856478999</v>
      </c>
      <c r="AK367" s="6">
        <f t="shared" si="74"/>
        <v>549.42779301349992</v>
      </c>
      <c r="AL367" s="6">
        <f t="shared" si="74"/>
        <v>529.36894867030003</v>
      </c>
    </row>
    <row r="368" spans="1:38" x14ac:dyDescent="0.35">
      <c r="B368" t="s">
        <v>102</v>
      </c>
      <c r="C368" s="6">
        <f t="shared" ref="C368:AL368" si="75">C345+C352+C359</f>
        <v>2242.8616504070001</v>
      </c>
      <c r="D368" s="6">
        <f t="shared" si="75"/>
        <v>2187.6696204282002</v>
      </c>
      <c r="E368" s="6">
        <f t="shared" si="75"/>
        <v>2142.7272500541003</v>
      </c>
      <c r="F368" s="6">
        <f t="shared" si="75"/>
        <v>2102.098963296</v>
      </c>
      <c r="G368" s="6">
        <f t="shared" si="75"/>
        <v>2063.4440549657002</v>
      </c>
      <c r="H368" s="6">
        <f t="shared" si="75"/>
        <v>2024.69730617</v>
      </c>
      <c r="I368" s="6">
        <f t="shared" si="75"/>
        <v>1983.6895929300999</v>
      </c>
      <c r="J368" s="6">
        <f t="shared" si="75"/>
        <v>1939.460869367</v>
      </c>
      <c r="K368" s="6">
        <f t="shared" si="75"/>
        <v>1891.8759329451998</v>
      </c>
      <c r="L368" s="6">
        <f t="shared" si="75"/>
        <v>1841.1724865024</v>
      </c>
      <c r="M368" s="6">
        <f t="shared" si="75"/>
        <v>1787.8629417959</v>
      </c>
      <c r="N368" s="6">
        <f t="shared" si="75"/>
        <v>1732.1417594720001</v>
      </c>
      <c r="O368" s="6">
        <f t="shared" si="75"/>
        <v>1674.6480810599001</v>
      </c>
      <c r="P368" s="6">
        <f t="shared" si="75"/>
        <v>1616.1338652968</v>
      </c>
      <c r="Q368" s="6">
        <f t="shared" si="75"/>
        <v>1557.3293830056998</v>
      </c>
      <c r="R368" s="6">
        <f t="shared" si="75"/>
        <v>1498.8705916128001</v>
      </c>
      <c r="S368" s="6">
        <f t="shared" si="75"/>
        <v>1441.6633838473999</v>
      </c>
      <c r="T368" s="6">
        <f t="shared" si="75"/>
        <v>1386.2883941268001</v>
      </c>
      <c r="U368" s="6">
        <f t="shared" si="75"/>
        <v>1333.0386359687998</v>
      </c>
      <c r="V368" s="6">
        <f t="shared" si="75"/>
        <v>1282.0129937076999</v>
      </c>
      <c r="W368" s="6">
        <f t="shared" si="75"/>
        <v>1233.1176311541999</v>
      </c>
      <c r="X368" s="6">
        <f t="shared" si="75"/>
        <v>1186.3187956265001</v>
      </c>
      <c r="Y368" s="6">
        <f t="shared" si="75"/>
        <v>1141.4515921057</v>
      </c>
      <c r="Z368" s="6">
        <f t="shared" si="75"/>
        <v>1098.3109398434001</v>
      </c>
      <c r="AA368" s="6">
        <f t="shared" si="75"/>
        <v>1056.6413985254001</v>
      </c>
      <c r="AB368" s="6">
        <f t="shared" si="75"/>
        <v>1016.026604291</v>
      </c>
      <c r="AC368" s="6">
        <f t="shared" si="75"/>
        <v>976.29701536089999</v>
      </c>
      <c r="AD368" s="6">
        <f t="shared" si="75"/>
        <v>937.21882609689999</v>
      </c>
      <c r="AE368" s="6">
        <f t="shared" si="75"/>
        <v>898.60519185379997</v>
      </c>
      <c r="AF368" s="6">
        <f t="shared" si="75"/>
        <v>860.3337111047</v>
      </c>
      <c r="AG368" s="6">
        <f t="shared" si="75"/>
        <v>822.33864648429994</v>
      </c>
      <c r="AH368" s="6">
        <f t="shared" si="75"/>
        <v>784.60692954330011</v>
      </c>
      <c r="AI368" s="6">
        <f t="shared" si="75"/>
        <v>747.17399336350002</v>
      </c>
      <c r="AJ368" s="6">
        <f t="shared" si="75"/>
        <v>710.11594844240005</v>
      </c>
      <c r="AK368" s="6">
        <f t="shared" si="75"/>
        <v>673.53989029270008</v>
      </c>
      <c r="AL368" s="6">
        <f t="shared" si="75"/>
        <v>637.57325349009989</v>
      </c>
    </row>
    <row r="370" spans="1:3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</row>
    <row r="371" spans="1:3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8.5159715200000008</v>
      </c>
      <c r="E371" s="6">
        <f>[1]Results!H104</f>
        <v>14.62076905</v>
      </c>
      <c r="F371" s="6">
        <f>[1]Results!I104</f>
        <v>21.22959187</v>
      </c>
      <c r="G371" s="6">
        <f>[1]Results!J104</f>
        <v>28.1926086</v>
      </c>
      <c r="H371" s="6">
        <f>[1]Results!K104</f>
        <v>34.92924447</v>
      </c>
      <c r="I371" s="6">
        <f>[1]Results!L104</f>
        <v>41.300974429999997</v>
      </c>
      <c r="J371" s="6">
        <f>[1]Results!M104</f>
        <v>48.103092740000001</v>
      </c>
      <c r="K371" s="6">
        <f>[1]Results!N104</f>
        <v>60.629301750000003</v>
      </c>
      <c r="L371" s="6">
        <f>[1]Results!O104</f>
        <v>81.1484655</v>
      </c>
      <c r="M371" s="6">
        <f>[1]Results!P104</f>
        <v>111.16511319999999</v>
      </c>
      <c r="N371" s="6">
        <f>[1]Results!Q104</f>
        <v>149.4996677</v>
      </c>
      <c r="O371" s="6">
        <f>[1]Results!R104</f>
        <v>190.43718860000001</v>
      </c>
      <c r="P371" s="6">
        <f>[1]Results!S104</f>
        <v>230.90942870000001</v>
      </c>
      <c r="Q371" s="6">
        <f>[1]Results!T104</f>
        <v>269.47169719999999</v>
      </c>
      <c r="R371" s="6">
        <f>[1]Results!U104</f>
        <v>305.5837214</v>
      </c>
      <c r="S371" s="6">
        <f>[1]Results!V104</f>
        <v>339.57003279999998</v>
      </c>
      <c r="T371" s="6">
        <f>[1]Results!W104</f>
        <v>372.76773509999998</v>
      </c>
      <c r="U371" s="6">
        <f>[1]Results!X104</f>
        <v>405.47702179999999</v>
      </c>
      <c r="V371" s="6">
        <f>[1]Results!Y104</f>
        <v>437.55961000000002</v>
      </c>
      <c r="W371" s="6">
        <f>[1]Results!Z104</f>
        <v>468.68839850000001</v>
      </c>
      <c r="X371" s="6">
        <f>[1]Results!AA104</f>
        <v>498.58452199999999</v>
      </c>
      <c r="Y371" s="6">
        <f>[1]Results!AB104</f>
        <v>526.9256097</v>
      </c>
      <c r="Z371" s="6">
        <f>[1]Results!AC104</f>
        <v>553.47093689999997</v>
      </c>
      <c r="AA371" s="6">
        <f>[1]Results!AD104</f>
        <v>578.05400569999995</v>
      </c>
      <c r="AB371" s="6">
        <f>[1]Results!AE104</f>
        <v>600.51130460000002</v>
      </c>
      <c r="AC371" s="6">
        <f>[1]Results!AF104</f>
        <v>620.92991119999999</v>
      </c>
      <c r="AD371" s="6">
        <f>[1]Results!AG104</f>
        <v>639.31283169999995</v>
      </c>
      <c r="AE371" s="6">
        <f>[1]Results!AH104</f>
        <v>655.76414550000004</v>
      </c>
      <c r="AF371" s="6">
        <f>[1]Results!AI104</f>
        <v>670.44713939999997</v>
      </c>
      <c r="AG371" s="6">
        <f>[1]Results!AJ104</f>
        <v>683.55557429999999</v>
      </c>
      <c r="AH371" s="6">
        <f>[1]Results!AK104</f>
        <v>695.28640250000001</v>
      </c>
      <c r="AI371" s="6">
        <f>[1]Results!AL104</f>
        <v>705.8226793</v>
      </c>
      <c r="AJ371" s="6">
        <f>[1]Results!AM104</f>
        <v>715.32945480000001</v>
      </c>
      <c r="AK371" s="6">
        <f>[1]Results!AN104</f>
        <v>723.95456879999995</v>
      </c>
      <c r="AL371" s="6">
        <f>[1]Results!AO104</f>
        <v>731.82653170000003</v>
      </c>
    </row>
    <row r="372" spans="1:38" x14ac:dyDescent="0.35">
      <c r="B372" t="s">
        <v>58</v>
      </c>
      <c r="C372" s="6">
        <f>[1]Results!F105</f>
        <v>68.80476281</v>
      </c>
      <c r="D372" s="6">
        <f>[1]Results!G105</f>
        <v>75.142112150000003</v>
      </c>
      <c r="E372" s="6">
        <f>[1]Results!H105</f>
        <v>80.773742799999994</v>
      </c>
      <c r="F372" s="6">
        <f>[1]Results!I105</f>
        <v>85.743141219999998</v>
      </c>
      <c r="G372" s="6">
        <f>[1]Results!J105</f>
        <v>90.387602299999998</v>
      </c>
      <c r="H372" s="6">
        <f>[1]Results!K105</f>
        <v>94.840936909999996</v>
      </c>
      <c r="I372" s="6">
        <f>[1]Results!L105</f>
        <v>98.58727949</v>
      </c>
      <c r="J372" s="6">
        <f>[1]Results!M105</f>
        <v>102.2551739</v>
      </c>
      <c r="K372" s="6">
        <f>[1]Results!N105</f>
        <v>106.4190303</v>
      </c>
      <c r="L372" s="6">
        <f>[1]Results!O105</f>
        <v>111.1994183</v>
      </c>
      <c r="M372" s="6">
        <f>[1]Results!P105</f>
        <v>117.86730900000001</v>
      </c>
      <c r="N372" s="6">
        <f>[1]Results!Q105</f>
        <v>124.3716033</v>
      </c>
      <c r="O372" s="6">
        <f>[1]Results!R105</f>
        <v>131.08297099999999</v>
      </c>
      <c r="P372" s="6">
        <f>[1]Results!S105</f>
        <v>137.66184809999999</v>
      </c>
      <c r="Q372" s="6">
        <f>[1]Results!T105</f>
        <v>143.9583672</v>
      </c>
      <c r="R372" s="6">
        <f>[1]Results!U105</f>
        <v>149.9294362</v>
      </c>
      <c r="S372" s="6">
        <f>[1]Results!V105</f>
        <v>155.62783329999999</v>
      </c>
      <c r="T372" s="6">
        <f>[1]Results!W105</f>
        <v>161.21466000000001</v>
      </c>
      <c r="U372" s="6">
        <f>[1]Results!X105</f>
        <v>166.73861210000001</v>
      </c>
      <c r="V372" s="6">
        <f>[1]Results!Y105</f>
        <v>172.1988131</v>
      </c>
      <c r="W372" s="6">
        <f>[1]Results!Z105</f>
        <v>176.88776569999999</v>
      </c>
      <c r="X372" s="6">
        <f>[1]Results!AA105</f>
        <v>182.14719049999999</v>
      </c>
      <c r="Y372" s="6">
        <f>[1]Results!AB105</f>
        <v>187.2731436</v>
      </c>
      <c r="Z372" s="6">
        <f>[1]Results!AC105</f>
        <v>192.24552449999999</v>
      </c>
      <c r="AA372" s="6">
        <f>[1]Results!AD105</f>
        <v>197.04954799999999</v>
      </c>
      <c r="AB372" s="6">
        <f>[1]Results!AE105</f>
        <v>199.80038959999999</v>
      </c>
      <c r="AC372" s="6">
        <f>[1]Results!AF105</f>
        <v>203.3496299</v>
      </c>
      <c r="AD372" s="6">
        <f>[1]Results!AG105</f>
        <v>206.7105813</v>
      </c>
      <c r="AE372" s="6">
        <f>[1]Results!AH105</f>
        <v>209.89023510000001</v>
      </c>
      <c r="AF372" s="6">
        <f>[1]Results!AI105</f>
        <v>212.90090609999999</v>
      </c>
      <c r="AG372" s="6">
        <f>[1]Results!AJ105</f>
        <v>215.75795650000001</v>
      </c>
      <c r="AH372" s="6">
        <f>[1]Results!AK105</f>
        <v>218.47753299999999</v>
      </c>
      <c r="AI372" s="6">
        <f>[1]Results!AL105</f>
        <v>221.07500300000001</v>
      </c>
      <c r="AJ372" s="6">
        <f>[1]Results!AM105</f>
        <v>223.5644283</v>
      </c>
      <c r="AK372" s="6">
        <f>[1]Results!AN105</f>
        <v>225.95874459999999</v>
      </c>
      <c r="AL372" s="6">
        <f>[1]Results!AO105</f>
        <v>228.2697028</v>
      </c>
    </row>
    <row r="373" spans="1:38" x14ac:dyDescent="0.35">
      <c r="B373" t="s">
        <v>59</v>
      </c>
      <c r="C373" s="6">
        <f>[1]Results!F106</f>
        <v>408.28039699999999</v>
      </c>
      <c r="D373" s="6">
        <f>[1]Results!G106</f>
        <v>422.15073510000002</v>
      </c>
      <c r="E373" s="6">
        <f>[1]Results!H106</f>
        <v>435.4278314</v>
      </c>
      <c r="F373" s="6">
        <f>[1]Results!I106</f>
        <v>447.4907417</v>
      </c>
      <c r="G373" s="6">
        <f>[1]Results!J106</f>
        <v>458.9422788</v>
      </c>
      <c r="H373" s="6">
        <f>[1]Results!K106</f>
        <v>470.00719420000001</v>
      </c>
      <c r="I373" s="6">
        <f>[1]Results!L106</f>
        <v>479.15420599999999</v>
      </c>
      <c r="J373" s="6">
        <f>[1]Results!M106</f>
        <v>488.1541924</v>
      </c>
      <c r="K373" s="6">
        <f>[1]Results!N106</f>
        <v>497.9688913</v>
      </c>
      <c r="L373" s="6">
        <f>[1]Results!O106</f>
        <v>507.85152890000001</v>
      </c>
      <c r="M373" s="6">
        <f>[1]Results!P106</f>
        <v>520.03097270000001</v>
      </c>
      <c r="N373" s="6">
        <f>[1]Results!Q106</f>
        <v>528.34412740000005</v>
      </c>
      <c r="O373" s="6">
        <f>[1]Results!R106</f>
        <v>536.00605080000003</v>
      </c>
      <c r="P373" s="6">
        <f>[1]Results!S106</f>
        <v>543.34079550000001</v>
      </c>
      <c r="Q373" s="6">
        <f>[1]Results!T106</f>
        <v>550.54529630000002</v>
      </c>
      <c r="R373" s="6">
        <f>[1]Results!U106</f>
        <v>557.71499719999997</v>
      </c>
      <c r="S373" s="6">
        <f>[1]Results!V106</f>
        <v>564.86876840000002</v>
      </c>
      <c r="T373" s="6">
        <f>[1]Results!W106</f>
        <v>571.94625110000004</v>
      </c>
      <c r="U373" s="6">
        <f>[1]Results!X106</f>
        <v>578.91828780000003</v>
      </c>
      <c r="V373" s="6">
        <f>[1]Results!Y106</f>
        <v>585.78174349999995</v>
      </c>
      <c r="W373" s="6">
        <f>[1]Results!Z106</f>
        <v>590.62133749999998</v>
      </c>
      <c r="X373" s="6">
        <f>[1]Results!AA106</f>
        <v>597.31664660000001</v>
      </c>
      <c r="Y373" s="6">
        <f>[1]Results!AB106</f>
        <v>603.9652135</v>
      </c>
      <c r="Z373" s="6">
        <f>[1]Results!AC106</f>
        <v>610.59238830000004</v>
      </c>
      <c r="AA373" s="6">
        <f>[1]Results!AD106</f>
        <v>617.22130749999997</v>
      </c>
      <c r="AB373" s="6">
        <f>[1]Results!AE106</f>
        <v>618.60596009999995</v>
      </c>
      <c r="AC373" s="6">
        <f>[1]Results!AF106</f>
        <v>622.81395669999995</v>
      </c>
      <c r="AD373" s="6">
        <f>[1]Results!AG106</f>
        <v>627.06217809999998</v>
      </c>
      <c r="AE373" s="6">
        <f>[1]Results!AH106</f>
        <v>631.35790250000002</v>
      </c>
      <c r="AF373" s="6">
        <f>[1]Results!AI106</f>
        <v>635.70404599999995</v>
      </c>
      <c r="AG373" s="6">
        <f>[1]Results!AJ106</f>
        <v>640.10055290000003</v>
      </c>
      <c r="AH373" s="6">
        <f>[1]Results!AK106</f>
        <v>644.5458208</v>
      </c>
      <c r="AI373" s="6">
        <f>[1]Results!AL106</f>
        <v>649.03778190000003</v>
      </c>
      <c r="AJ373" s="6">
        <f>[1]Results!AM106</f>
        <v>653.57442939999999</v>
      </c>
      <c r="AK373" s="6">
        <f>[1]Results!AN106</f>
        <v>658.15378109999995</v>
      </c>
      <c r="AL373" s="6">
        <f>[1]Results!AO106</f>
        <v>662.77399490000005</v>
      </c>
    </row>
    <row r="374" spans="1:38" x14ac:dyDescent="0.35">
      <c r="B374" t="s">
        <v>60</v>
      </c>
      <c r="C374" s="6">
        <f>[1]Results!F107</f>
        <v>954.38155940000001</v>
      </c>
      <c r="D374" s="6">
        <f>[1]Results!G107</f>
        <v>951.23402829999998</v>
      </c>
      <c r="E374" s="6">
        <f>[1]Results!H107</f>
        <v>950.12006399999996</v>
      </c>
      <c r="F374" s="6">
        <f>[1]Results!I107</f>
        <v>950.09858469999995</v>
      </c>
      <c r="G374" s="6">
        <f>[1]Results!J107</f>
        <v>950.76240680000001</v>
      </c>
      <c r="H374" s="6">
        <f>[1]Results!K107</f>
        <v>951.07427910000001</v>
      </c>
      <c r="I374" s="6">
        <f>[1]Results!L107</f>
        <v>950.80078700000001</v>
      </c>
      <c r="J374" s="6">
        <f>[1]Results!M107</f>
        <v>950.77927609999995</v>
      </c>
      <c r="K374" s="6">
        <f>[1]Results!N107</f>
        <v>959.997254</v>
      </c>
      <c r="L374" s="6">
        <f>[1]Results!O107</f>
        <v>978.56096579999996</v>
      </c>
      <c r="M374" s="6">
        <f>[1]Results!P107</f>
        <v>1001.505368</v>
      </c>
      <c r="N374" s="6">
        <f>[1]Results!Q107</f>
        <v>1022.603473</v>
      </c>
      <c r="O374" s="6">
        <f>[1]Results!R107</f>
        <v>1038.918118</v>
      </c>
      <c r="P374" s="6">
        <f>[1]Results!S107</f>
        <v>1050.6446679999999</v>
      </c>
      <c r="Q374" s="6">
        <f>[1]Results!T107</f>
        <v>1058.8264489999999</v>
      </c>
      <c r="R374" s="6">
        <f>[1]Results!U107</f>
        <v>1064.420388</v>
      </c>
      <c r="S374" s="6">
        <f>[1]Results!V107</f>
        <v>1068.228188</v>
      </c>
      <c r="T374" s="6">
        <f>[1]Results!W107</f>
        <v>1070.7472949999999</v>
      </c>
      <c r="U374" s="6">
        <f>[1]Results!X107</f>
        <v>1071.732702</v>
      </c>
      <c r="V374" s="6">
        <f>[1]Results!Y107</f>
        <v>1070.9834519999999</v>
      </c>
      <c r="W374" s="6">
        <f>[1]Results!Z107</f>
        <v>1068.5244540000001</v>
      </c>
      <c r="X374" s="6">
        <f>[1]Results!AA107</f>
        <v>1064.5772959999999</v>
      </c>
      <c r="Y374" s="6">
        <f>[1]Results!AB107</f>
        <v>1059.4780880000001</v>
      </c>
      <c r="Z374" s="6">
        <f>[1]Results!AC107</f>
        <v>1053.6088119999999</v>
      </c>
      <c r="AA374" s="6">
        <f>[1]Results!AD107</f>
        <v>1047.332899</v>
      </c>
      <c r="AB374" s="6">
        <f>[1]Results!AE107</f>
        <v>1040.962121</v>
      </c>
      <c r="AC374" s="6">
        <f>[1]Results!AF107</f>
        <v>1034.7423590000001</v>
      </c>
      <c r="AD374" s="6">
        <f>[1]Results!AG107</f>
        <v>1028.8501240000001</v>
      </c>
      <c r="AE374" s="6">
        <f>[1]Results!AH107</f>
        <v>1023.385725</v>
      </c>
      <c r="AF374" s="6">
        <f>[1]Results!AI107</f>
        <v>1018.375528</v>
      </c>
      <c r="AG374" s="6">
        <f>[1]Results!AJ107</f>
        <v>1013.797299</v>
      </c>
      <c r="AH374" s="6">
        <f>[1]Results!AK107</f>
        <v>1009.605455</v>
      </c>
      <c r="AI374" s="6">
        <f>[1]Results!AL107</f>
        <v>1005.748301</v>
      </c>
      <c r="AJ374" s="6">
        <f>[1]Results!AM107</f>
        <v>1002.174478</v>
      </c>
      <c r="AK374" s="6">
        <f>[1]Results!AN107</f>
        <v>998.83436529999994</v>
      </c>
      <c r="AL374" s="6">
        <f>[1]Results!AO107</f>
        <v>995.6831535</v>
      </c>
    </row>
    <row r="375" spans="1:38" x14ac:dyDescent="0.35">
      <c r="B375" t="s">
        <v>61</v>
      </c>
      <c r="C375" s="6">
        <f>[1]Results!F108</f>
        <v>878.79999729999997</v>
      </c>
      <c r="D375" s="6">
        <f>[1]Results!G108</f>
        <v>866.99024150000002</v>
      </c>
      <c r="E375" s="6">
        <f>[1]Results!H108</f>
        <v>855.87546950000001</v>
      </c>
      <c r="F375" s="6">
        <f>[1]Results!I108</f>
        <v>845.05580889999999</v>
      </c>
      <c r="G375" s="6">
        <f>[1]Results!J108</f>
        <v>834.14508430000001</v>
      </c>
      <c r="H375" s="6">
        <f>[1]Results!K108</f>
        <v>824.41437529999996</v>
      </c>
      <c r="I375" s="6">
        <f>[1]Results!L108</f>
        <v>815.87859300000002</v>
      </c>
      <c r="J375" s="6">
        <f>[1]Results!M108</f>
        <v>806.86848869999994</v>
      </c>
      <c r="K375" s="6">
        <f>[1]Results!N108</f>
        <v>781.51131829999997</v>
      </c>
      <c r="L375" s="6">
        <f>[1]Results!O108</f>
        <v>738.10043510000003</v>
      </c>
      <c r="M375" s="6">
        <f>[1]Results!P108</f>
        <v>680.62526609999998</v>
      </c>
      <c r="N375" s="6">
        <f>[1]Results!Q108</f>
        <v>616.76759479999998</v>
      </c>
      <c r="O375" s="6">
        <f>[1]Results!R108</f>
        <v>555.60892699999999</v>
      </c>
      <c r="P375" s="6">
        <f>[1]Results!S108</f>
        <v>500.04028260000001</v>
      </c>
      <c r="Q375" s="6">
        <f>[1]Results!T108</f>
        <v>450.40481519999997</v>
      </c>
      <c r="R375" s="6">
        <f>[1]Results!U108</f>
        <v>406.21898040000002</v>
      </c>
      <c r="S375" s="6">
        <f>[1]Results!V108</f>
        <v>366.27166570000003</v>
      </c>
      <c r="T375" s="6">
        <f>[1]Results!W108</f>
        <v>328.61732940000002</v>
      </c>
      <c r="U375" s="6">
        <f>[1]Results!X108</f>
        <v>293.17588619999998</v>
      </c>
      <c r="V375" s="6">
        <f>[1]Results!Y108</f>
        <v>260.2863936</v>
      </c>
      <c r="W375" s="6">
        <f>[1]Results!Z108</f>
        <v>230.22671690000001</v>
      </c>
      <c r="X375" s="6">
        <f>[1]Results!AA108</f>
        <v>203.10422120000001</v>
      </c>
      <c r="Y375" s="6">
        <f>[1]Results!AB108</f>
        <v>178.87337890000001</v>
      </c>
      <c r="Z375" s="6">
        <f>[1]Results!AC108</f>
        <v>157.38410769999999</v>
      </c>
      <c r="AA375" s="6">
        <f>[1]Results!AD108</f>
        <v>138.42885580000001</v>
      </c>
      <c r="AB375" s="6">
        <f>[1]Results!AE108</f>
        <v>121.7753053</v>
      </c>
      <c r="AC375" s="6">
        <f>[1]Results!AF108</f>
        <v>107.18568190000001</v>
      </c>
      <c r="AD375" s="6">
        <f>[1]Results!AG108</f>
        <v>94.430276230000004</v>
      </c>
      <c r="AE375" s="6">
        <f>[1]Results!AH108</f>
        <v>83.291437700000003</v>
      </c>
      <c r="AF375" s="6">
        <f>[1]Results!AI108</f>
        <v>73.566822930000001</v>
      </c>
      <c r="AG375" s="6">
        <f>[1]Results!AJ108</f>
        <v>65.073360199999996</v>
      </c>
      <c r="AH375" s="6">
        <f>[1]Results!AK108</f>
        <v>57.649430449999997</v>
      </c>
      <c r="AI375" s="6">
        <f>[1]Results!AL108</f>
        <v>51.154619109999999</v>
      </c>
      <c r="AJ375" s="6">
        <f>[1]Results!AM108</f>
        <v>45.4673236</v>
      </c>
      <c r="AK375" s="6">
        <f>[1]Results!AN108</f>
        <v>40.482592109999999</v>
      </c>
      <c r="AL375" s="6">
        <f>[1]Results!AO108</f>
        <v>36.110994509999998</v>
      </c>
    </row>
    <row r="376" spans="1:38" x14ac:dyDescent="0.35">
      <c r="B376" t="s">
        <v>62</v>
      </c>
      <c r="C376" s="6">
        <f>[1]Results!F109</f>
        <v>139.85209269999999</v>
      </c>
      <c r="D376" s="6">
        <f>[1]Results!G109</f>
        <v>137.96808909999999</v>
      </c>
      <c r="E376" s="6">
        <f>[1]Results!H109</f>
        <v>136.10853560000001</v>
      </c>
      <c r="F376" s="6">
        <f>[1]Results!I109</f>
        <v>134.27518789999999</v>
      </c>
      <c r="G376" s="6">
        <f>[1]Results!J109</f>
        <v>132.4713016</v>
      </c>
      <c r="H376" s="6">
        <f>[1]Results!K109</f>
        <v>130.68610709999999</v>
      </c>
      <c r="I376" s="6">
        <f>[1]Results!L109</f>
        <v>128.9222149</v>
      </c>
      <c r="J376" s="6">
        <f>[1]Results!M109</f>
        <v>127.19940339999999</v>
      </c>
      <c r="K376" s="6">
        <f>[1]Results!N109</f>
        <v>125.5708247</v>
      </c>
      <c r="L376" s="6">
        <f>[1]Results!O109</f>
        <v>123.9974878</v>
      </c>
      <c r="M376" s="6">
        <f>[1]Results!P109</f>
        <v>122.4450698</v>
      </c>
      <c r="N376" s="6">
        <f>[1]Results!Q109</f>
        <v>120.8831694</v>
      </c>
      <c r="O376" s="6">
        <f>[1]Results!R109</f>
        <v>119.2766939</v>
      </c>
      <c r="P376" s="6">
        <f>[1]Results!S109</f>
        <v>117.6225541</v>
      </c>
      <c r="Q376" s="6">
        <f>[1]Results!T109</f>
        <v>115.93097760000001</v>
      </c>
      <c r="R376" s="6">
        <f>[1]Results!U109</f>
        <v>114.2156961</v>
      </c>
      <c r="S376" s="6">
        <f>[1]Results!V109</f>
        <v>112.4893223</v>
      </c>
      <c r="T376" s="6">
        <f>[1]Results!W109</f>
        <v>110.7615631</v>
      </c>
      <c r="U376" s="6">
        <f>[1]Results!X109</f>
        <v>109.0376989</v>
      </c>
      <c r="V376" s="6">
        <f>[1]Results!Y109</f>
        <v>107.3220409</v>
      </c>
      <c r="W376" s="6">
        <f>[1]Results!Z109</f>
        <v>105.61926579999999</v>
      </c>
      <c r="X376" s="6">
        <f>[1]Results!AA109</f>
        <v>103.93439410000001</v>
      </c>
      <c r="Y376" s="6">
        <f>[1]Results!AB109</f>
        <v>102.27221400000001</v>
      </c>
      <c r="Z376" s="6">
        <f>[1]Results!AC109</f>
        <v>100.6365413</v>
      </c>
      <c r="AA376" s="6">
        <f>[1]Results!AD109</f>
        <v>99.029911049999995</v>
      </c>
      <c r="AB376" s="6">
        <f>[1]Results!AE109</f>
        <v>97.453840959999994</v>
      </c>
      <c r="AC376" s="6">
        <f>[1]Results!AF109</f>
        <v>95.909066039999999</v>
      </c>
      <c r="AD376" s="6">
        <f>[1]Results!AG109</f>
        <v>94.395752569999999</v>
      </c>
      <c r="AE376" s="6">
        <f>[1]Results!AH109</f>
        <v>92.913109640000002</v>
      </c>
      <c r="AF376" s="6">
        <f>[1]Results!AI109</f>
        <v>91.458847789999993</v>
      </c>
      <c r="AG376" s="6">
        <f>[1]Results!AJ109</f>
        <v>90.029474829999998</v>
      </c>
      <c r="AH376" s="6">
        <f>[1]Results!AK109</f>
        <v>88.620963829999994</v>
      </c>
      <c r="AI376" s="6">
        <f>[1]Results!AL109</f>
        <v>87.229317280000004</v>
      </c>
      <c r="AJ376" s="6">
        <f>[1]Results!AM109</f>
        <v>85.850618589999996</v>
      </c>
      <c r="AK376" s="6">
        <f>[1]Results!AN109</f>
        <v>84.480862079999994</v>
      </c>
      <c r="AL376" s="6">
        <f>[1]Results!AO109</f>
        <v>83.116065050000003</v>
      </c>
    </row>
    <row r="377" spans="1:38" x14ac:dyDescent="0.35">
      <c r="B377" t="s">
        <v>63</v>
      </c>
      <c r="C377" s="6">
        <f>[1]Results!F110</f>
        <v>3.874567114</v>
      </c>
      <c r="D377" s="6">
        <f>[1]Results!G110</f>
        <v>3.7251958549999999</v>
      </c>
      <c r="E377" s="6">
        <f>[1]Results!H110</f>
        <v>3.581694508</v>
      </c>
      <c r="F377" s="6">
        <f>[1]Results!I110</f>
        <v>3.44392845</v>
      </c>
      <c r="G377" s="6">
        <f>[1]Results!J110</f>
        <v>3.311931044</v>
      </c>
      <c r="H377" s="6">
        <f>[1]Results!K110</f>
        <v>3.1848629540000002</v>
      </c>
      <c r="I377" s="6">
        <f>[1]Results!L110</f>
        <v>3.0627348259999998</v>
      </c>
      <c r="J377" s="6">
        <f>[1]Results!M110</f>
        <v>2.9462214979999999</v>
      </c>
      <c r="K377" s="6">
        <f>[1]Results!N110</f>
        <v>2.8376572929999999</v>
      </c>
      <c r="L377" s="6">
        <f>[1]Results!O110</f>
        <v>2.7338734869999999</v>
      </c>
      <c r="M377" s="6">
        <f>[1]Results!P110</f>
        <v>2.6327817750000002</v>
      </c>
      <c r="N377" s="6">
        <f>[1]Results!Q110</f>
        <v>2.5330204030000001</v>
      </c>
      <c r="O377" s="6">
        <f>[1]Results!R110</f>
        <v>2.4333015699999998</v>
      </c>
      <c r="P377" s="6">
        <f>[1]Results!S110</f>
        <v>2.3341899920000002</v>
      </c>
      <c r="Q377" s="6">
        <f>[1]Results!T110</f>
        <v>2.2367042339999998</v>
      </c>
      <c r="R377" s="6">
        <f>[1]Results!U110</f>
        <v>2.141752522</v>
      </c>
      <c r="S377" s="6">
        <f>[1]Results!V110</f>
        <v>2.0500566340000002</v>
      </c>
      <c r="T377" s="6">
        <f>[1]Results!W110</f>
        <v>1.962259454</v>
      </c>
      <c r="U377" s="6">
        <f>[1]Results!X110</f>
        <v>1.8785464869999999</v>
      </c>
      <c r="V377" s="6">
        <f>[1]Results!Y110</f>
        <v>1.7989037910000001</v>
      </c>
      <c r="W377" s="6">
        <f>[1]Results!Z110</f>
        <v>1.723250806</v>
      </c>
      <c r="X377" s="6">
        <f>[1]Results!AA110</f>
        <v>1.651487843</v>
      </c>
      <c r="Y377" s="6">
        <f>[1]Results!AB110</f>
        <v>1.5835023340000001</v>
      </c>
      <c r="Z377" s="6">
        <f>[1]Results!AC110</f>
        <v>1.5191586960000001</v>
      </c>
      <c r="AA377" s="6">
        <f>[1]Results!AD110</f>
        <v>1.4582956149999999</v>
      </c>
      <c r="AB377" s="6">
        <f>[1]Results!AE110</f>
        <v>1.4007389750000001</v>
      </c>
      <c r="AC377" s="6">
        <f>[1]Results!AF110</f>
        <v>1.346310753</v>
      </c>
      <c r="AD377" s="6">
        <f>[1]Results!AG110</f>
        <v>1.294834826</v>
      </c>
      <c r="AE377" s="6">
        <f>[1]Results!AH110</f>
        <v>1.246121303</v>
      </c>
      <c r="AF377" s="6">
        <f>[1]Results!AI110</f>
        <v>1.199947396</v>
      </c>
      <c r="AG377" s="6">
        <f>[1]Results!AJ110</f>
        <v>1.1560694739999999</v>
      </c>
      <c r="AH377" s="6">
        <f>[1]Results!AK110</f>
        <v>1.114246525</v>
      </c>
      <c r="AI377" s="6">
        <f>[1]Results!AL110</f>
        <v>1.0742579910000001</v>
      </c>
      <c r="AJ377" s="6">
        <f>[1]Results!AM110</f>
        <v>1.0359035999999999</v>
      </c>
      <c r="AK377" s="6">
        <f>[1]Results!AN110</f>
        <v>0.99899646129999997</v>
      </c>
      <c r="AL377" s="6">
        <f>[1]Results!AO110</f>
        <v>0.96336563689999999</v>
      </c>
    </row>
    <row r="379" spans="1:3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</row>
    <row r="380" spans="1:3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8.5159714100000006</v>
      </c>
      <c r="E380" s="6">
        <f>[1]Results!H112</f>
        <v>14.62076879</v>
      </c>
      <c r="F380" s="6">
        <f>[1]Results!I112</f>
        <v>21.229591429999999</v>
      </c>
      <c r="G380" s="6">
        <f>[1]Results!J112</f>
        <v>28.19260796</v>
      </c>
      <c r="H380" s="6">
        <f>[1]Results!K112</f>
        <v>34.929243630000002</v>
      </c>
      <c r="I380" s="6">
        <f>[1]Results!L112</f>
        <v>41.300973399999997</v>
      </c>
      <c r="J380" s="6">
        <f>[1]Results!M112</f>
        <v>47.492134870000001</v>
      </c>
      <c r="K380" s="6">
        <f>[1]Results!N112</f>
        <v>53.687498230000003</v>
      </c>
      <c r="L380" s="6">
        <f>[1]Results!O112</f>
        <v>60.028859279999999</v>
      </c>
      <c r="M380" s="6">
        <f>[1]Results!P112</f>
        <v>66.671761489999994</v>
      </c>
      <c r="N380" s="6">
        <f>[1]Results!Q112</f>
        <v>73.633563420000002</v>
      </c>
      <c r="O380" s="6">
        <f>[1]Results!R112</f>
        <v>81.032246189999995</v>
      </c>
      <c r="P380" s="6">
        <f>[1]Results!S112</f>
        <v>88.198854389999994</v>
      </c>
      <c r="Q380" s="6">
        <f>[1]Results!T112</f>
        <v>95.080102650000001</v>
      </c>
      <c r="R380" s="6">
        <f>[1]Results!U112</f>
        <v>101.73440340000001</v>
      </c>
      <c r="S380" s="6">
        <f>[1]Results!V112</f>
        <v>108.3280951</v>
      </c>
      <c r="T380" s="6">
        <f>[1]Results!W112</f>
        <v>115.22536650000001</v>
      </c>
      <c r="U380" s="6">
        <f>[1]Results!X112</f>
        <v>120.7822996</v>
      </c>
      <c r="V380" s="6">
        <f>[1]Results!Y112</f>
        <v>125.67035370000001</v>
      </c>
      <c r="W380" s="6">
        <f>[1]Results!Z112</f>
        <v>130.17891370000001</v>
      </c>
      <c r="X380" s="6">
        <f>[1]Results!AA112</f>
        <v>134.49876710000001</v>
      </c>
      <c r="Y380" s="6">
        <f>[1]Results!AB112</f>
        <v>138.6655691</v>
      </c>
      <c r="Z380" s="6">
        <f>[1]Results!AC112</f>
        <v>142.70815769999999</v>
      </c>
      <c r="AA380" s="6">
        <f>[1]Results!AD112</f>
        <v>146.64112</v>
      </c>
      <c r="AB380" s="6">
        <f>[1]Results!AE112</f>
        <v>150.39167330000001</v>
      </c>
      <c r="AC380" s="6">
        <f>[1]Results!AF112</f>
        <v>154.07083420000001</v>
      </c>
      <c r="AD380" s="6">
        <f>[1]Results!AG112</f>
        <v>157.64031220000001</v>
      </c>
      <c r="AE380" s="6">
        <f>[1]Results!AH112</f>
        <v>161.10152360000001</v>
      </c>
      <c r="AF380" s="6">
        <f>[1]Results!AI112</f>
        <v>164.45965709999999</v>
      </c>
      <c r="AG380" s="6">
        <f>[1]Results!AJ112</f>
        <v>167.72652719999999</v>
      </c>
      <c r="AH380" s="6">
        <f>[1]Results!AK112</f>
        <v>170.9213829</v>
      </c>
      <c r="AI380" s="6">
        <f>[1]Results!AL112</f>
        <v>174.06964260000001</v>
      </c>
      <c r="AJ380" s="6">
        <f>[1]Results!AM112</f>
        <v>177.1991788</v>
      </c>
      <c r="AK380" s="6">
        <f>[1]Results!AN112</f>
        <v>180.3373254</v>
      </c>
      <c r="AL380" s="6">
        <f>[1]Results!AO112</f>
        <v>183.50823399999999</v>
      </c>
    </row>
    <row r="381" spans="1:38" x14ac:dyDescent="0.35">
      <c r="B381" t="s">
        <v>58</v>
      </c>
      <c r="C381" s="6">
        <f>[1]Results!F113</f>
        <v>68.80476281</v>
      </c>
      <c r="D381" s="6">
        <f>[1]Results!G113</f>
        <v>75.142112119999993</v>
      </c>
      <c r="E381" s="6">
        <f>[1]Results!H113</f>
        <v>80.773742740000003</v>
      </c>
      <c r="F381" s="6">
        <f>[1]Results!I113</f>
        <v>85.743141129999998</v>
      </c>
      <c r="G381" s="6">
        <f>[1]Results!J113</f>
        <v>90.387602169999994</v>
      </c>
      <c r="H381" s="6">
        <f>[1]Results!K113</f>
        <v>94.840936749999997</v>
      </c>
      <c r="I381" s="6">
        <f>[1]Results!L113</f>
        <v>98.587279289999998</v>
      </c>
      <c r="J381" s="6">
        <f>[1]Results!M113</f>
        <v>102.3177963</v>
      </c>
      <c r="K381" s="6">
        <f>[1]Results!N113</f>
        <v>106.06966509999999</v>
      </c>
      <c r="L381" s="6">
        <f>[1]Results!O113</f>
        <v>109.8700006</v>
      </c>
      <c r="M381" s="6">
        <f>[1]Results!P113</f>
        <v>114.779223</v>
      </c>
      <c r="N381" s="6">
        <f>[1]Results!Q113</f>
        <v>118.74334639999999</v>
      </c>
      <c r="O381" s="6">
        <f>[1]Results!R113</f>
        <v>122.8088736</v>
      </c>
      <c r="P381" s="6">
        <f>[1]Results!S113</f>
        <v>126.77731439999999</v>
      </c>
      <c r="Q381" s="6">
        <f>[1]Results!T113</f>
        <v>130.63288489999999</v>
      </c>
      <c r="R381" s="6">
        <f>[1]Results!U113</f>
        <v>134.39589319999999</v>
      </c>
      <c r="S381" s="6">
        <f>[1]Results!V113</f>
        <v>138.12374109999999</v>
      </c>
      <c r="T381" s="6">
        <f>[1]Results!W113</f>
        <v>141.94131400000001</v>
      </c>
      <c r="U381" s="6">
        <f>[1]Results!X113</f>
        <v>145.4263857</v>
      </c>
      <c r="V381" s="6">
        <f>[1]Results!Y113</f>
        <v>148.76725830000001</v>
      </c>
      <c r="W381" s="6">
        <f>[1]Results!Z113</f>
        <v>151.36812269999999</v>
      </c>
      <c r="X381" s="6">
        <f>[1]Results!AA113</f>
        <v>154.64322540000001</v>
      </c>
      <c r="Y381" s="6">
        <f>[1]Results!AB113</f>
        <v>157.9285519</v>
      </c>
      <c r="Z381" s="6">
        <f>[1]Results!AC113</f>
        <v>161.2361051</v>
      </c>
      <c r="AA381" s="6">
        <f>[1]Results!AD113</f>
        <v>164.57495900000001</v>
      </c>
      <c r="AB381" s="6">
        <f>[1]Results!AE113</f>
        <v>166.07443509999999</v>
      </c>
      <c r="AC381" s="6">
        <f>[1]Results!AF113</f>
        <v>168.60566460000001</v>
      </c>
      <c r="AD381" s="6">
        <f>[1]Results!AG113</f>
        <v>171.1805717</v>
      </c>
      <c r="AE381" s="6">
        <f>[1]Results!AH113</f>
        <v>173.80285789999999</v>
      </c>
      <c r="AF381" s="6">
        <f>[1]Results!AI113</f>
        <v>176.47358689999999</v>
      </c>
      <c r="AG381" s="6">
        <f>[1]Results!AJ113</f>
        <v>179.1896639</v>
      </c>
      <c r="AH381" s="6">
        <f>[1]Results!AK113</f>
        <v>181.94308799999999</v>
      </c>
      <c r="AI381" s="6">
        <f>[1]Results!AL113</f>
        <v>184.721315</v>
      </c>
      <c r="AJ381" s="6">
        <f>[1]Results!AM113</f>
        <v>187.5091788</v>
      </c>
      <c r="AK381" s="6">
        <f>[1]Results!AN113</f>
        <v>190.2908841</v>
      </c>
      <c r="AL381" s="6">
        <f>[1]Results!AO113</f>
        <v>193.0520215</v>
      </c>
    </row>
    <row r="382" spans="1:38" x14ac:dyDescent="0.35">
      <c r="B382" t="s">
        <v>59</v>
      </c>
      <c r="C382" s="6">
        <f>[1]Results!F114</f>
        <v>408.28039699999999</v>
      </c>
      <c r="D382" s="6">
        <f>[1]Results!G114</f>
        <v>422.15073510000002</v>
      </c>
      <c r="E382" s="6">
        <f>[1]Results!H114</f>
        <v>435.42783129999998</v>
      </c>
      <c r="F382" s="6">
        <f>[1]Results!I114</f>
        <v>447.49074159999998</v>
      </c>
      <c r="G382" s="6">
        <f>[1]Results!J114</f>
        <v>458.94227869999997</v>
      </c>
      <c r="H382" s="6">
        <f>[1]Results!K114</f>
        <v>470.00719400000003</v>
      </c>
      <c r="I382" s="6">
        <f>[1]Results!L114</f>
        <v>479.1542058</v>
      </c>
      <c r="J382" s="6">
        <f>[1]Results!M114</f>
        <v>488.27517979999999</v>
      </c>
      <c r="K382" s="6">
        <f>[1]Results!N114</f>
        <v>497.45276250000001</v>
      </c>
      <c r="L382" s="6">
        <f>[1]Results!O114</f>
        <v>506.74941209999997</v>
      </c>
      <c r="M382" s="6">
        <f>[1]Results!P114</f>
        <v>519.1315932</v>
      </c>
      <c r="N382" s="6">
        <f>[1]Results!Q114</f>
        <v>528.82277829999998</v>
      </c>
      <c r="O382" s="6">
        <f>[1]Results!R114</f>
        <v>538.75278409999999</v>
      </c>
      <c r="P382" s="6">
        <f>[1]Results!S114</f>
        <v>548.44386010000005</v>
      </c>
      <c r="Q382" s="6">
        <f>[1]Results!T114</f>
        <v>557.86087080000004</v>
      </c>
      <c r="R382" s="6">
        <f>[1]Results!U114</f>
        <v>567.05435869999997</v>
      </c>
      <c r="S382" s="6">
        <f>[1]Results!V114</f>
        <v>576.16337920000001</v>
      </c>
      <c r="T382" s="6">
        <f>[1]Results!W114</f>
        <v>585.49513520000005</v>
      </c>
      <c r="U382" s="6">
        <f>[1]Results!X114</f>
        <v>594.04915830000004</v>
      </c>
      <c r="V382" s="6">
        <f>[1]Results!Y114</f>
        <v>602.26097059999995</v>
      </c>
      <c r="W382" s="6">
        <f>[1]Results!Z114</f>
        <v>608.40853389999995</v>
      </c>
      <c r="X382" s="6">
        <f>[1]Results!AA114</f>
        <v>616.43548129999999</v>
      </c>
      <c r="Y382" s="6">
        <f>[1]Results!AB114</f>
        <v>624.46086609999998</v>
      </c>
      <c r="Z382" s="6">
        <f>[1]Results!AC114</f>
        <v>632.50585899999999</v>
      </c>
      <c r="AA382" s="6">
        <f>[1]Results!AD114</f>
        <v>640.58485020000001</v>
      </c>
      <c r="AB382" s="6">
        <f>[1]Results!AE114</f>
        <v>643.43521550000003</v>
      </c>
      <c r="AC382" s="6">
        <f>[1]Results!AF114</f>
        <v>649.10689630000002</v>
      </c>
      <c r="AD382" s="6">
        <f>[1]Results!AG114</f>
        <v>654.81712930000003</v>
      </c>
      <c r="AE382" s="6">
        <f>[1]Results!AH114</f>
        <v>660.57038750000004</v>
      </c>
      <c r="AF382" s="6">
        <f>[1]Results!AI114</f>
        <v>666.36866359999999</v>
      </c>
      <c r="AG382" s="6">
        <f>[1]Results!AJ114</f>
        <v>672.21014100000002</v>
      </c>
      <c r="AH382" s="6">
        <f>[1]Results!AK114</f>
        <v>678.08845120000001</v>
      </c>
      <c r="AI382" s="6">
        <f>[1]Results!AL114</f>
        <v>683.99292260000004</v>
      </c>
      <c r="AJ382" s="6">
        <f>[1]Results!AM114</f>
        <v>689.91028649999998</v>
      </c>
      <c r="AK382" s="6">
        <f>[1]Results!AN114</f>
        <v>695.82645079999998</v>
      </c>
      <c r="AL382" s="6">
        <f>[1]Results!AO114</f>
        <v>701.72833009999999</v>
      </c>
    </row>
    <row r="383" spans="1:38" x14ac:dyDescent="0.35">
      <c r="B383" t="s">
        <v>60</v>
      </c>
      <c r="C383" s="6">
        <f>[1]Results!F115</f>
        <v>954.38155940000001</v>
      </c>
      <c r="D383" s="6">
        <f>[1]Results!G115</f>
        <v>951.23402850000002</v>
      </c>
      <c r="E383" s="6">
        <f>[1]Results!H115</f>
        <v>950.12006450000001</v>
      </c>
      <c r="F383" s="6">
        <f>[1]Results!I115</f>
        <v>950.09858569999994</v>
      </c>
      <c r="G383" s="6">
        <f>[1]Results!J115</f>
        <v>950.76240840000003</v>
      </c>
      <c r="H383" s="6">
        <f>[1]Results!K115</f>
        <v>951.07428119999997</v>
      </c>
      <c r="I383" s="6">
        <f>[1]Results!L115</f>
        <v>950.80078960000003</v>
      </c>
      <c r="J383" s="6">
        <f>[1]Results!M115</f>
        <v>949.85362329999998</v>
      </c>
      <c r="K383" s="6">
        <f>[1]Results!N115</f>
        <v>948.29031139999995</v>
      </c>
      <c r="L383" s="6">
        <f>[1]Results!O115</f>
        <v>946.13693420000004</v>
      </c>
      <c r="M383" s="6">
        <f>[1]Results!P115</f>
        <v>943.39106530000004</v>
      </c>
      <c r="N383" s="6">
        <f>[1]Results!Q115</f>
        <v>940.03095199999996</v>
      </c>
      <c r="O383" s="6">
        <f>[1]Results!R115</f>
        <v>936.03949379999995</v>
      </c>
      <c r="P383" s="6">
        <f>[1]Results!S115</f>
        <v>932.56070990000001</v>
      </c>
      <c r="Q383" s="6">
        <f>[1]Results!T115</f>
        <v>929.58222109999997</v>
      </c>
      <c r="R383" s="6">
        <f>[1]Results!U115</f>
        <v>926.93620039999996</v>
      </c>
      <c r="S383" s="6">
        <f>[1]Results!V115</f>
        <v>924.32242169999995</v>
      </c>
      <c r="T383" s="6">
        <f>[1]Results!W115</f>
        <v>921.15973580000002</v>
      </c>
      <c r="U383" s="6">
        <f>[1]Results!X115</f>
        <v>919.86618880000003</v>
      </c>
      <c r="V383" s="6">
        <f>[1]Results!Y115</f>
        <v>919.14567030000001</v>
      </c>
      <c r="W383" s="6">
        <f>[1]Results!Z115</f>
        <v>918.54010000000005</v>
      </c>
      <c r="X383" s="6">
        <f>[1]Results!AA115</f>
        <v>917.91937329999996</v>
      </c>
      <c r="Y383" s="6">
        <f>[1]Results!AB115</f>
        <v>917.25576960000001</v>
      </c>
      <c r="Z383" s="6">
        <f>[1]Results!AC115</f>
        <v>916.54662399999995</v>
      </c>
      <c r="AA383" s="6">
        <f>[1]Results!AD115</f>
        <v>915.79000180000003</v>
      </c>
      <c r="AB383" s="6">
        <f>[1]Results!AE115</f>
        <v>914.99761460000002</v>
      </c>
      <c r="AC383" s="6">
        <f>[1]Results!AF115</f>
        <v>914.16676500000005</v>
      </c>
      <c r="AD383" s="6">
        <f>[1]Results!AG115</f>
        <v>913.29711110000005</v>
      </c>
      <c r="AE383" s="6">
        <f>[1]Results!AH115</f>
        <v>912.38843999999995</v>
      </c>
      <c r="AF383" s="6">
        <f>[1]Results!AI115</f>
        <v>911.44097980000004</v>
      </c>
      <c r="AG383" s="6">
        <f>[1]Results!AJ115</f>
        <v>910.45583409999995</v>
      </c>
      <c r="AH383" s="6">
        <f>[1]Results!AK115</f>
        <v>909.43555860000004</v>
      </c>
      <c r="AI383" s="6">
        <f>[1]Results!AL115</f>
        <v>908.38471860000004</v>
      </c>
      <c r="AJ383" s="6">
        <f>[1]Results!AM115</f>
        <v>907.30990880000002</v>
      </c>
      <c r="AK383" s="6">
        <f>[1]Results!AN115</f>
        <v>906.21902379999995</v>
      </c>
      <c r="AL383" s="6">
        <f>[1]Results!AO115</f>
        <v>905.12016010000002</v>
      </c>
    </row>
    <row r="384" spans="1:38" x14ac:dyDescent="0.35">
      <c r="B384" t="s">
        <v>61</v>
      </c>
      <c r="C384" s="6">
        <f>[1]Results!F116</f>
        <v>878.79999729999997</v>
      </c>
      <c r="D384" s="6">
        <f>[1]Results!G116</f>
        <v>866.99024150000002</v>
      </c>
      <c r="E384" s="6">
        <f>[1]Results!H116</f>
        <v>855.87546929999996</v>
      </c>
      <c r="F384" s="6">
        <f>[1]Results!I116</f>
        <v>845.05580850000001</v>
      </c>
      <c r="G384" s="6">
        <f>[1]Results!J116</f>
        <v>834.14508360000002</v>
      </c>
      <c r="H384" s="6">
        <f>[1]Results!K116</f>
        <v>824.41437440000004</v>
      </c>
      <c r="I384" s="6">
        <f>[1]Results!L116</f>
        <v>815.87859189999995</v>
      </c>
      <c r="J384" s="6">
        <f>[1]Results!M116</f>
        <v>808.23249190000001</v>
      </c>
      <c r="K384" s="6">
        <f>[1]Results!N116</f>
        <v>801.11213480000004</v>
      </c>
      <c r="L384" s="6">
        <f>[1]Results!O116</f>
        <v>794.2633869</v>
      </c>
      <c r="M384" s="6">
        <f>[1]Results!P116</f>
        <v>787.50314309999999</v>
      </c>
      <c r="N384" s="6">
        <f>[1]Results!Q116</f>
        <v>780.70001890000003</v>
      </c>
      <c r="O384" s="6">
        <f>[1]Results!R116</f>
        <v>773.75950950000004</v>
      </c>
      <c r="P384" s="6">
        <f>[1]Results!S116</f>
        <v>766.88550480000004</v>
      </c>
      <c r="Q384" s="6">
        <f>[1]Results!T116</f>
        <v>760.19539680000003</v>
      </c>
      <c r="R384" s="6">
        <f>[1]Results!U116</f>
        <v>753.72664239999995</v>
      </c>
      <c r="S384" s="6">
        <f>[1]Results!V116</f>
        <v>747.41576210000005</v>
      </c>
      <c r="T384" s="6">
        <f>[1]Results!W116</f>
        <v>741.04926680000005</v>
      </c>
      <c r="U384" s="6">
        <f>[1]Results!X116</f>
        <v>735.27285110000003</v>
      </c>
      <c r="V384" s="6">
        <f>[1]Results!Y116</f>
        <v>730.08262649999995</v>
      </c>
      <c r="W384" s="6">
        <f>[1]Results!Z116</f>
        <v>725.31798909999998</v>
      </c>
      <c r="X384" s="6">
        <f>[1]Results!AA116</f>
        <v>720.83333249999998</v>
      </c>
      <c r="Y384" s="6">
        <f>[1]Results!AB116</f>
        <v>716.53042530000005</v>
      </c>
      <c r="Z384" s="6">
        <f>[1]Results!AC116</f>
        <v>712.34962819999998</v>
      </c>
      <c r="AA384" s="6">
        <f>[1]Results!AD116</f>
        <v>708.25540209999997</v>
      </c>
      <c r="AB384" s="6">
        <f>[1]Results!AE116</f>
        <v>704.22973209999998</v>
      </c>
      <c r="AC384" s="6">
        <f>[1]Results!AF116</f>
        <v>700.26001050000002</v>
      </c>
      <c r="AD384" s="6">
        <f>[1]Results!AG116</f>
        <v>696.33824509999999</v>
      </c>
      <c r="AE384" s="6">
        <f>[1]Results!AH116</f>
        <v>692.45814819999998</v>
      </c>
      <c r="AF384" s="6">
        <f>[1]Results!AI116</f>
        <v>688.61470959999997</v>
      </c>
      <c r="AG384" s="6">
        <f>[1]Results!AJ116</f>
        <v>684.80367869999998</v>
      </c>
      <c r="AH384" s="6">
        <f>[1]Results!AK116</f>
        <v>681.02137240000002</v>
      </c>
      <c r="AI384" s="6">
        <f>[1]Results!AL116</f>
        <v>677.26453860000004</v>
      </c>
      <c r="AJ384" s="6">
        <f>[1]Results!AM116</f>
        <v>673.53027940000004</v>
      </c>
      <c r="AK384" s="6">
        <f>[1]Results!AN116</f>
        <v>669.81588920000002</v>
      </c>
      <c r="AL384" s="6">
        <f>[1]Results!AO116</f>
        <v>666.11868530000004</v>
      </c>
    </row>
    <row r="385" spans="1:38" x14ac:dyDescent="0.35">
      <c r="B385" t="s">
        <v>62</v>
      </c>
      <c r="C385" s="6">
        <f>[1]Results!F117</f>
        <v>139.85209269999999</v>
      </c>
      <c r="D385" s="6">
        <f>[1]Results!G117</f>
        <v>137.96808909999999</v>
      </c>
      <c r="E385" s="6">
        <f>[1]Results!H117</f>
        <v>136.10853560000001</v>
      </c>
      <c r="F385" s="6">
        <f>[1]Results!I117</f>
        <v>134.27518789999999</v>
      </c>
      <c r="G385" s="6">
        <f>[1]Results!J117</f>
        <v>132.4713016</v>
      </c>
      <c r="H385" s="6">
        <f>[1]Results!K117</f>
        <v>130.68610709999999</v>
      </c>
      <c r="I385" s="6">
        <f>[1]Results!L117</f>
        <v>128.92221480000001</v>
      </c>
      <c r="J385" s="6">
        <f>[1]Results!M117</f>
        <v>127.1890427</v>
      </c>
      <c r="K385" s="6">
        <f>[1]Results!N117</f>
        <v>125.4888219</v>
      </c>
      <c r="L385" s="6">
        <f>[1]Results!O117</f>
        <v>123.8187889</v>
      </c>
      <c r="M385" s="6">
        <f>[1]Results!P117</f>
        <v>122.1747644</v>
      </c>
      <c r="N385" s="6">
        <f>[1]Results!Q117</f>
        <v>120.5525825</v>
      </c>
      <c r="O385" s="6">
        <f>[1]Results!R117</f>
        <v>118.9485025</v>
      </c>
      <c r="P385" s="6">
        <f>[1]Results!S117</f>
        <v>117.3600309</v>
      </c>
      <c r="Q385" s="6">
        <f>[1]Results!T117</f>
        <v>115.7864885</v>
      </c>
      <c r="R385" s="6">
        <f>[1]Results!U117</f>
        <v>114.22903650000001</v>
      </c>
      <c r="S385" s="6">
        <f>[1]Results!V117</f>
        <v>112.68859380000001</v>
      </c>
      <c r="T385" s="6">
        <f>[1]Results!W117</f>
        <v>111.16348139999999</v>
      </c>
      <c r="U385" s="6">
        <f>[1]Results!X117</f>
        <v>109.656465</v>
      </c>
      <c r="V385" s="6">
        <f>[1]Results!Y117</f>
        <v>108.17222169999999</v>
      </c>
      <c r="W385" s="6">
        <f>[1]Results!Z117</f>
        <v>106.71535830000001</v>
      </c>
      <c r="X385" s="6">
        <f>[1]Results!AA117</f>
        <v>105.2893069</v>
      </c>
      <c r="Y385" s="6">
        <f>[1]Results!AB117</f>
        <v>103.8959752</v>
      </c>
      <c r="Z385" s="6">
        <f>[1]Results!AC117</f>
        <v>102.53597069999999</v>
      </c>
      <c r="AA385" s="6">
        <f>[1]Results!AD117</f>
        <v>101.2090444</v>
      </c>
      <c r="AB385" s="6">
        <f>[1]Results!AE117</f>
        <v>99.914262519999994</v>
      </c>
      <c r="AC385" s="6">
        <f>[1]Results!AF117</f>
        <v>98.650003639999994</v>
      </c>
      <c r="AD385" s="6">
        <f>[1]Results!AG117</f>
        <v>97.413960040000006</v>
      </c>
      <c r="AE385" s="6">
        <f>[1]Results!AH117</f>
        <v>96.203305150000006</v>
      </c>
      <c r="AF385" s="6">
        <f>[1]Results!AI117</f>
        <v>95.014835360000006</v>
      </c>
      <c r="AG385" s="6">
        <f>[1]Results!AJ117</f>
        <v>93.845047339999994</v>
      </c>
      <c r="AH385" s="6">
        <f>[1]Results!AK117</f>
        <v>92.69042469</v>
      </c>
      <c r="AI385" s="6">
        <f>[1]Results!AL117</f>
        <v>91.547663679999999</v>
      </c>
      <c r="AJ385" s="6">
        <f>[1]Results!AM117</f>
        <v>90.413814250000001</v>
      </c>
      <c r="AK385" s="6">
        <f>[1]Results!AN117</f>
        <v>89.286396359999998</v>
      </c>
      <c r="AL385" s="6">
        <f>[1]Results!AO117</f>
        <v>88.163466279999994</v>
      </c>
    </row>
    <row r="386" spans="1:38" x14ac:dyDescent="0.35">
      <c r="B386" t="s">
        <v>63</v>
      </c>
      <c r="C386" s="6">
        <f>[1]Results!F118</f>
        <v>3.874567114</v>
      </c>
      <c r="D386" s="6">
        <f>[1]Results!G118</f>
        <v>3.7251958549999999</v>
      </c>
      <c r="E386" s="6">
        <f>[1]Results!H118</f>
        <v>3.5816945069999999</v>
      </c>
      <c r="F386" s="6">
        <f>[1]Results!I118</f>
        <v>3.44392845</v>
      </c>
      <c r="G386" s="6">
        <f>[1]Results!J118</f>
        <v>3.311931043</v>
      </c>
      <c r="H386" s="6">
        <f>[1]Results!K118</f>
        <v>3.1848629530000001</v>
      </c>
      <c r="I386" s="6">
        <f>[1]Results!L118</f>
        <v>3.0627348240000001</v>
      </c>
      <c r="J386" s="6">
        <f>[1]Results!M118</f>
        <v>2.9455797700000002</v>
      </c>
      <c r="K386" s="6">
        <f>[1]Results!N118</f>
        <v>2.8330833929999999</v>
      </c>
      <c r="L386" s="6">
        <f>[1]Results!O118</f>
        <v>2.7247939080000001</v>
      </c>
      <c r="M386" s="6">
        <f>[1]Results!P118</f>
        <v>2.6203310200000001</v>
      </c>
      <c r="N386" s="6">
        <f>[1]Results!Q118</f>
        <v>2.5194156780000001</v>
      </c>
      <c r="O386" s="6">
        <f>[1]Results!R118</f>
        <v>2.421842598</v>
      </c>
      <c r="P386" s="6">
        <f>[1]Results!S118</f>
        <v>2.327493773</v>
      </c>
      <c r="Q386" s="6">
        <f>[1]Results!T118</f>
        <v>2.2363431980000001</v>
      </c>
      <c r="R386" s="6">
        <f>[1]Results!U118</f>
        <v>2.1484389739999998</v>
      </c>
      <c r="S386" s="6">
        <f>[1]Results!V118</f>
        <v>2.0638749829999998</v>
      </c>
      <c r="T386" s="6">
        <f>[1]Results!W118</f>
        <v>1.9827947990000001</v>
      </c>
      <c r="U386" s="6">
        <f>[1]Results!X118</f>
        <v>1.9054082080000001</v>
      </c>
      <c r="V386" s="6">
        <f>[1]Results!Y118</f>
        <v>1.8318575930000001</v>
      </c>
      <c r="W386" s="6">
        <f>[1]Results!Z118</f>
        <v>1.7621727570000001</v>
      </c>
      <c r="X386" s="6">
        <f>[1]Results!AA118</f>
        <v>1.696272832</v>
      </c>
      <c r="Y386" s="6">
        <f>[1]Results!AB118</f>
        <v>1.633993611</v>
      </c>
      <c r="Z386" s="6">
        <f>[1]Results!AC118</f>
        <v>1.5751259390000001</v>
      </c>
      <c r="AA386" s="6">
        <f>[1]Results!AD118</f>
        <v>1.5194465500000001</v>
      </c>
      <c r="AB386" s="6">
        <f>[1]Results!AE118</f>
        <v>1.466728805</v>
      </c>
      <c r="AC386" s="6">
        <f>[1]Results!AF118</f>
        <v>1.4167423320000001</v>
      </c>
      <c r="AD386" s="6">
        <f>[1]Results!AG118</f>
        <v>1.36925042</v>
      </c>
      <c r="AE386" s="6">
        <f>[1]Results!AH118</f>
        <v>1.3240160050000001</v>
      </c>
      <c r="AF386" s="6">
        <f>[1]Results!AI118</f>
        <v>1.280806506</v>
      </c>
      <c r="AG386" s="6">
        <f>[1]Results!AJ118</f>
        <v>1.2393959530000001</v>
      </c>
      <c r="AH386" s="6">
        <f>[1]Results!AK118</f>
        <v>1.1995753300000001</v>
      </c>
      <c r="AI386" s="6">
        <f>[1]Results!AL118</f>
        <v>1.161159665</v>
      </c>
      <c r="AJ386" s="6">
        <f>[1]Results!AM118</f>
        <v>1.123991392</v>
      </c>
      <c r="AK386" s="6">
        <f>[1]Results!AN118</f>
        <v>1.0879420849999999</v>
      </c>
      <c r="AL386" s="6">
        <f>[1]Results!AO118</f>
        <v>1.052912115</v>
      </c>
    </row>
    <row r="388" spans="1:38" x14ac:dyDescent="0.35">
      <c r="A388" s="12" t="s">
        <v>92</v>
      </c>
      <c r="B388" s="6" t="str">
        <f>[1]Emissions!A830</f>
        <v>ems_ci_co2_sagr_2</v>
      </c>
      <c r="C388" s="6">
        <f>[1]Emissions!B830</f>
        <v>14.16949179</v>
      </c>
      <c r="D388" s="6">
        <f>[1]Emissions!C830</f>
        <v>14.30325704</v>
      </c>
      <c r="E388" s="6">
        <f>[1]Emissions!D830</f>
        <v>14.46890951</v>
      </c>
      <c r="F388" s="6">
        <f>[1]Emissions!E830</f>
        <v>14.646546109999999</v>
      </c>
      <c r="G388" s="6">
        <f>[1]Emissions!F830</f>
        <v>14.90083128</v>
      </c>
      <c r="H388" s="6">
        <f>[1]Emissions!G830</f>
        <v>15.22194466</v>
      </c>
      <c r="I388" s="6">
        <f>[1]Emissions!H830</f>
        <v>15.573480269999999</v>
      </c>
      <c r="J388" s="6">
        <f>[1]Emissions!I830</f>
        <v>15.114423739999999</v>
      </c>
      <c r="K388" s="6">
        <f>[1]Emissions!J830</f>
        <v>14.578236710000001</v>
      </c>
      <c r="L388" s="6">
        <f>[1]Emissions!K830</f>
        <v>14.07717439</v>
      </c>
      <c r="M388" s="6">
        <f>[1]Emissions!L830</f>
        <v>13.579587099999999</v>
      </c>
      <c r="N388" s="6">
        <f>[1]Emissions!M830</f>
        <v>13.09114447</v>
      </c>
      <c r="O388" s="6">
        <f>[1]Emissions!N830</f>
        <v>12.603245940000001</v>
      </c>
      <c r="P388" s="6">
        <f>[1]Emissions!O830</f>
        <v>12.114842429999999</v>
      </c>
      <c r="Q388" s="6">
        <f>[1]Emissions!P830</f>
        <v>11.62980892</v>
      </c>
      <c r="R388" s="6">
        <f>[1]Emissions!Q830</f>
        <v>11.15029592</v>
      </c>
      <c r="S388" s="6">
        <f>[1]Emissions!R830</f>
        <v>10.666656359999999</v>
      </c>
      <c r="T388" s="6">
        <f>[1]Emissions!S830</f>
        <v>10.18723119</v>
      </c>
      <c r="U388" s="6">
        <f>[1]Emissions!T830</f>
        <v>9.718216709</v>
      </c>
      <c r="V388" s="6">
        <f>[1]Emissions!U830</f>
        <v>9.2624871590000009</v>
      </c>
      <c r="W388" s="6">
        <f>[1]Emissions!V830</f>
        <v>8.8193042419999994</v>
      </c>
      <c r="X388" s="6">
        <f>[1]Emissions!W830</f>
        <v>8.3904110599999999</v>
      </c>
      <c r="Y388" s="6">
        <f>[1]Emissions!X830</f>
        <v>7.9748332739999999</v>
      </c>
      <c r="Z388" s="6">
        <f>[1]Emissions!Y830</f>
        <v>7.5700043959999999</v>
      </c>
      <c r="AA388" s="6">
        <f>[1]Emissions!Z830</f>
        <v>7.1720320820000003</v>
      </c>
      <c r="AB388" s="6">
        <f>[1]Emissions!AA830</f>
        <v>6.7730716839999996</v>
      </c>
      <c r="AC388" s="6">
        <f>[1]Emissions!AB830</f>
        <v>6.3707432180000003</v>
      </c>
      <c r="AD388" s="6">
        <f>[1]Emissions!AC830</f>
        <v>5.962338463</v>
      </c>
      <c r="AE388" s="6">
        <f>[1]Emissions!AD830</f>
        <v>5.5424160149999997</v>
      </c>
      <c r="AF388" s="6">
        <f>[1]Emissions!AE830</f>
        <v>5.1033908959999996</v>
      </c>
      <c r="AG388" s="6">
        <f>[1]Emissions!AF830</f>
        <v>4.6366839620000002</v>
      </c>
      <c r="AH388" s="6">
        <f>[1]Emissions!AG830</f>
        <v>4.1335976390000004</v>
      </c>
      <c r="AI388" s="6">
        <f>[1]Emissions!AH830</f>
        <v>3.5852016959999999</v>
      </c>
      <c r="AJ388" s="6">
        <f>[1]Emissions!AI830</f>
        <v>2.981776983</v>
      </c>
      <c r="AK388" s="6">
        <f>[1]Emissions!AJ830</f>
        <v>2.3123165409999999</v>
      </c>
      <c r="AL388" s="6">
        <f>[1]Emissions!AK830</f>
        <v>1.5636619329999999</v>
      </c>
    </row>
    <row r="389" spans="1:38" x14ac:dyDescent="0.35">
      <c r="A389" t="s">
        <v>39</v>
      </c>
      <c r="B389" s="6" t="str">
        <f>[1]Emissions!A832</f>
        <v>ems_ci_co2_sfor_2</v>
      </c>
      <c r="C389" s="6">
        <f>[1]Emissions!B832</f>
        <v>0.53965023629999997</v>
      </c>
      <c r="D389" s="6">
        <f>[1]Emissions!C832</f>
        <v>0.53154748220000003</v>
      </c>
      <c r="E389" s="6">
        <f>[1]Emissions!D832</f>
        <v>0.52233007750000005</v>
      </c>
      <c r="F389" s="6">
        <f>[1]Emissions!E832</f>
        <v>0.51202028759999996</v>
      </c>
      <c r="G389" s="6">
        <f>[1]Emissions!F832</f>
        <v>0.5061719375</v>
      </c>
      <c r="H389" s="6">
        <f>[1]Emissions!G832</f>
        <v>0.50376176380000004</v>
      </c>
      <c r="I389" s="6">
        <f>[1]Emissions!H832</f>
        <v>0.50327254190000004</v>
      </c>
      <c r="J389" s="6">
        <f>[1]Emissions!I832</f>
        <v>0.47235250029999998</v>
      </c>
      <c r="K389" s="6">
        <f>[1]Emissions!J832</f>
        <v>0.4393244577</v>
      </c>
      <c r="L389" s="6">
        <f>[1]Emissions!K832</f>
        <v>0.40738037119999998</v>
      </c>
      <c r="M389" s="6">
        <f>[1]Emissions!L832</f>
        <v>0.37616960789999998</v>
      </c>
      <c r="N389" s="6">
        <f>[1]Emissions!M832</f>
        <v>0.34805335710000002</v>
      </c>
      <c r="O389" s="6">
        <f>[1]Emissions!N832</f>
        <v>0.32270649730000001</v>
      </c>
      <c r="P389" s="6">
        <f>[1]Emissions!O832</f>
        <v>0.29999082230000002</v>
      </c>
      <c r="Q389" s="6">
        <f>[1]Emissions!P832</f>
        <v>0.2797828007</v>
      </c>
      <c r="R389" s="6">
        <f>[1]Emissions!Q832</f>
        <v>0.2618108281</v>
      </c>
      <c r="S389" s="6">
        <f>[1]Emissions!R832</f>
        <v>0.2444839587</v>
      </c>
      <c r="T389" s="6">
        <f>[1]Emissions!S832</f>
        <v>0.22831922330000001</v>
      </c>
      <c r="U389" s="6">
        <f>[1]Emissions!T832</f>
        <v>0.21340904490000001</v>
      </c>
      <c r="V389" s="6">
        <f>[1]Emissions!U832</f>
        <v>0.19973501199999999</v>
      </c>
      <c r="W389" s="6">
        <f>[1]Emissions!V832</f>
        <v>0.1871883801</v>
      </c>
      <c r="X389" s="6">
        <f>[1]Emissions!W832</f>
        <v>0.17578108840000001</v>
      </c>
      <c r="Y389" s="6">
        <f>[1]Emissions!X832</f>
        <v>0.1654134961</v>
      </c>
      <c r="Z389" s="6">
        <f>[1]Emissions!Y832</f>
        <v>0.1559630045</v>
      </c>
      <c r="AA389" s="6">
        <f>[1]Emissions!Z832</f>
        <v>0.14729773709999999</v>
      </c>
      <c r="AB389" s="6">
        <f>[1]Emissions!AA832</f>
        <v>0.13917856840000001</v>
      </c>
      <c r="AC389" s="6">
        <f>[1]Emissions!AB832</f>
        <v>0.13171056110000001</v>
      </c>
      <c r="AD389" s="6">
        <f>[1]Emissions!AC832</f>
        <v>0.1247114804</v>
      </c>
      <c r="AE389" s="6">
        <f>[1]Emissions!AD832</f>
        <v>0.1180373621</v>
      </c>
      <c r="AF389" s="6">
        <f>[1]Emissions!AE832</f>
        <v>0.111524973</v>
      </c>
      <c r="AG389" s="6">
        <f>[1]Emissions!AF832</f>
        <v>0.1050064309</v>
      </c>
      <c r="AH389" s="6">
        <f>[1]Emissions!AG832</f>
        <v>9.8323942799999994E-2</v>
      </c>
      <c r="AI389" s="6">
        <f>[1]Emissions!AH832</f>
        <v>9.1319740299999994E-2</v>
      </c>
      <c r="AJ389" s="6">
        <f>[1]Emissions!AI832</f>
        <v>8.3814499900000006E-2</v>
      </c>
      <c r="AK389" s="6">
        <f>[1]Emissions!AJ832</f>
        <v>7.5589801200000001E-2</v>
      </c>
      <c r="AL389" s="6">
        <f>[1]Emissions!AK832</f>
        <v>6.6355049900000004E-2</v>
      </c>
    </row>
    <row r="390" spans="1:38" x14ac:dyDescent="0.35">
      <c r="B390" s="6" t="str">
        <f>[1]Emissions!A834</f>
        <v>ems_ci_co2_sfoo_2</v>
      </c>
      <c r="C390" s="6">
        <f>[1]Emissions!B834</f>
        <v>8.6183733500000006</v>
      </c>
      <c r="D390" s="6">
        <f>[1]Emissions!C834</f>
        <v>8.6008742229999999</v>
      </c>
      <c r="E390" s="6">
        <f>[1]Emissions!D834</f>
        <v>8.5955247900000007</v>
      </c>
      <c r="F390" s="6">
        <f>[1]Emissions!E834</f>
        <v>8.5823613460000008</v>
      </c>
      <c r="G390" s="6">
        <f>[1]Emissions!F834</f>
        <v>8.6464284429999996</v>
      </c>
      <c r="H390" s="6">
        <f>[1]Emissions!G834</f>
        <v>8.7724056929999996</v>
      </c>
      <c r="I390" s="6">
        <f>[1]Emissions!H834</f>
        <v>8.886424216</v>
      </c>
      <c r="J390" s="6">
        <f>[1]Emissions!I834</f>
        <v>8.4812928650000003</v>
      </c>
      <c r="K390" s="6">
        <f>[1]Emissions!J834</f>
        <v>8.0362908409999996</v>
      </c>
      <c r="L390" s="6">
        <f>[1]Emissions!K834</f>
        <v>7.6258634089999999</v>
      </c>
      <c r="M390" s="6">
        <f>[1]Emissions!L834</f>
        <v>7.2464516620000001</v>
      </c>
      <c r="N390" s="6">
        <f>[1]Emissions!M834</f>
        <v>6.9174335060000001</v>
      </c>
      <c r="O390" s="6">
        <f>[1]Emissions!N834</f>
        <v>6.619920553</v>
      </c>
      <c r="P390" s="6">
        <f>[1]Emissions!O834</f>
        <v>6.3427121719999997</v>
      </c>
      <c r="Q390" s="6">
        <f>[1]Emissions!P834</f>
        <v>6.0808724649999997</v>
      </c>
      <c r="R390" s="6">
        <f>[1]Emissions!Q834</f>
        <v>5.8316597960000003</v>
      </c>
      <c r="S390" s="6">
        <f>[1]Emissions!R834</f>
        <v>5.5932338350000004</v>
      </c>
      <c r="T390" s="6">
        <f>[1]Emissions!S834</f>
        <v>5.3662818339999996</v>
      </c>
      <c r="U390" s="6">
        <f>[1]Emissions!T834</f>
        <v>5.1516878659999996</v>
      </c>
      <c r="V390" s="6">
        <f>[1]Emissions!U834</f>
        <v>4.9499295500000002</v>
      </c>
      <c r="W390" s="6">
        <f>[1]Emissions!V834</f>
        <v>4.7601120510000001</v>
      </c>
      <c r="X390" s="6">
        <f>[1]Emissions!W834</f>
        <v>4.5836160140000004</v>
      </c>
      <c r="Y390" s="6">
        <f>[1]Emissions!X834</f>
        <v>4.4201257490000003</v>
      </c>
      <c r="Z390" s="6">
        <f>[1]Emissions!Y834</f>
        <v>4.2686691510000001</v>
      </c>
      <c r="AA390" s="6">
        <f>[1]Emissions!Z834</f>
        <v>4.127754221</v>
      </c>
      <c r="AB390" s="6">
        <f>[1]Emissions!AA834</f>
        <v>3.9932308860000001</v>
      </c>
      <c r="AC390" s="6">
        <f>[1]Emissions!AB834</f>
        <v>3.8650916249999998</v>
      </c>
      <c r="AD390" s="6">
        <f>[1]Emissions!AC834</f>
        <v>3.7427644889999998</v>
      </c>
      <c r="AE390" s="6">
        <f>[1]Emissions!AD834</f>
        <v>3.6239336990000002</v>
      </c>
      <c r="AF390" s="6">
        <f>[1]Emissions!AE834</f>
        <v>3.5050718889999999</v>
      </c>
      <c r="AG390" s="6">
        <f>[1]Emissions!AF834</f>
        <v>3.381955928</v>
      </c>
      <c r="AH390" s="6">
        <f>[1]Emissions!AG834</f>
        <v>3.2501910120000002</v>
      </c>
      <c r="AI390" s="6">
        <f>[1]Emissions!AH834</f>
        <v>3.105148598</v>
      </c>
      <c r="AJ390" s="6">
        <f>[1]Emissions!AI834</f>
        <v>2.9415768710000001</v>
      </c>
      <c r="AK390" s="6">
        <f>[1]Emissions!AJ834</f>
        <v>2.7534794520000001</v>
      </c>
      <c r="AL390" s="6">
        <f>[1]Emissions!AK834</f>
        <v>2.5337553050000001</v>
      </c>
    </row>
    <row r="391" spans="1:38" x14ac:dyDescent="0.35">
      <c r="B391" s="6" t="str">
        <f>[1]Emissions!A836</f>
        <v>ems_ci_co2_sveh_2</v>
      </c>
      <c r="C391" s="6">
        <f>[1]Emissions!B836</f>
        <v>1.1119214820000001</v>
      </c>
      <c r="D391" s="6">
        <f>[1]Emissions!C836</f>
        <v>1.111591985</v>
      </c>
      <c r="E391" s="6">
        <f>[1]Emissions!D836</f>
        <v>1.1069343359999999</v>
      </c>
      <c r="F391" s="6">
        <f>[1]Emissions!E836</f>
        <v>1.094192665</v>
      </c>
      <c r="G391" s="6">
        <f>[1]Emissions!F836</f>
        <v>1.09121723</v>
      </c>
      <c r="H391" s="6">
        <f>[1]Emissions!G836</f>
        <v>1.0985791709999999</v>
      </c>
      <c r="I391" s="6">
        <f>[1]Emissions!H836</f>
        <v>1.099873613</v>
      </c>
      <c r="J391" s="6">
        <f>[1]Emissions!I836</f>
        <v>1.006570953</v>
      </c>
      <c r="K391" s="6">
        <f>[1]Emissions!J836</f>
        <v>0.89793941519999998</v>
      </c>
      <c r="L391" s="6">
        <f>[1]Emissions!K836</f>
        <v>0.79612468950000004</v>
      </c>
      <c r="M391" s="6">
        <f>[1]Emissions!L836</f>
        <v>0.69802831089999995</v>
      </c>
      <c r="N391" s="6">
        <f>[1]Emissions!M836</f>
        <v>0.60813490520000002</v>
      </c>
      <c r="O391" s="6">
        <f>[1]Emissions!N836</f>
        <v>0.52676265519999999</v>
      </c>
      <c r="P391" s="6">
        <f>[1]Emissions!O836</f>
        <v>0.45446046089999997</v>
      </c>
      <c r="Q391" s="6">
        <f>[1]Emissions!P836</f>
        <v>0.39154909389999998</v>
      </c>
      <c r="R391" s="6">
        <f>[1]Emissions!Q836</f>
        <v>0.3375243919</v>
      </c>
      <c r="S391" s="6">
        <f>[1]Emissions!R836</f>
        <v>0.29168791729999999</v>
      </c>
      <c r="T391" s="6">
        <f>[1]Emissions!S836</f>
        <v>0.25314259620000001</v>
      </c>
      <c r="U391" s="6">
        <f>[1]Emissions!T836</f>
        <v>0.22085928169999999</v>
      </c>
      <c r="V391" s="6">
        <f>[1]Emissions!U836</f>
        <v>0.19395790539999999</v>
      </c>
      <c r="W391" s="6">
        <f>[1]Emissions!V836</f>
        <v>0.17169741860000001</v>
      </c>
      <c r="X391" s="6">
        <f>[1]Emissions!W836</f>
        <v>0.15342875410000001</v>
      </c>
      <c r="Y391" s="6">
        <f>[1]Emissions!X836</f>
        <v>0.1385503958</v>
      </c>
      <c r="Z391" s="6">
        <f>[1]Emissions!Y836</f>
        <v>0.12647746139999999</v>
      </c>
      <c r="AA391" s="6">
        <f>[1]Emissions!Z836</f>
        <v>0.11670097560000001</v>
      </c>
      <c r="AB391" s="6">
        <f>[1]Emissions!AA836</f>
        <v>0.1088022734</v>
      </c>
      <c r="AC391" s="6">
        <f>[1]Emissions!AB836</f>
        <v>0.10257246859999999</v>
      </c>
      <c r="AD391" s="6">
        <f>[1]Emissions!AC836</f>
        <v>9.7677784300000001E-2</v>
      </c>
      <c r="AE391" s="6">
        <f>[1]Emissions!AD836</f>
        <v>9.37299251E-2</v>
      </c>
      <c r="AF391" s="6">
        <f>[1]Emissions!AE836</f>
        <v>9.02699468E-2</v>
      </c>
      <c r="AG391" s="6">
        <f>[1]Emissions!AF836</f>
        <v>8.6830630899999997E-2</v>
      </c>
      <c r="AH391" s="6">
        <f>[1]Emissions!AG836</f>
        <v>8.2974934799999997E-2</v>
      </c>
      <c r="AI391" s="6">
        <f>[1]Emissions!AH836</f>
        <v>7.8245819199999997E-2</v>
      </c>
      <c r="AJ391" s="6">
        <f>[1]Emissions!AI836</f>
        <v>7.2083404099999998E-2</v>
      </c>
      <c r="AK391" s="6">
        <f>[1]Emissions!AJ836</f>
        <v>6.3809734800000004E-2</v>
      </c>
      <c r="AL391" s="6">
        <f>[1]Emissions!AK836</f>
        <v>5.2580022099999998E-2</v>
      </c>
    </row>
    <row r="392" spans="1:38" x14ac:dyDescent="0.35">
      <c r="B392" s="6" t="str">
        <f>[1]Emissions!A838</f>
        <v>ems_ci_co2_sgla_2</v>
      </c>
      <c r="C392" s="6">
        <f>[1]Emissions!B838</f>
        <v>7.7695963629999998</v>
      </c>
      <c r="D392" s="6">
        <f>[1]Emissions!C838</f>
        <v>7.8393649209999996</v>
      </c>
      <c r="E392" s="6">
        <f>[1]Emissions!D838</f>
        <v>7.9210754449999996</v>
      </c>
      <c r="F392" s="6">
        <f>[1]Emissions!E838</f>
        <v>7.9965591089999997</v>
      </c>
      <c r="G392" s="6">
        <f>[1]Emissions!F838</f>
        <v>8.1129649209999997</v>
      </c>
      <c r="H392" s="6">
        <f>[1]Emissions!G838</f>
        <v>8.2662444060000002</v>
      </c>
      <c r="I392" s="6">
        <f>[1]Emissions!H838</f>
        <v>8.4270313609999992</v>
      </c>
      <c r="J392" s="6">
        <f>[1]Emissions!I838</f>
        <v>8.2656281239999991</v>
      </c>
      <c r="K392" s="6">
        <f>[1]Emissions!J838</f>
        <v>8.0610773580000004</v>
      </c>
      <c r="L392" s="6">
        <f>[1]Emissions!K838</f>
        <v>7.875986105</v>
      </c>
      <c r="M392" s="6">
        <f>[1]Emissions!L838</f>
        <v>7.7009175460000003</v>
      </c>
      <c r="N392" s="6">
        <f>[1]Emissions!M838</f>
        <v>7.5464942490000002</v>
      </c>
      <c r="O392" s="6">
        <f>[1]Emissions!N838</f>
        <v>7.4060825479999997</v>
      </c>
      <c r="P392" s="6">
        <f>[1]Emissions!O838</f>
        <v>7.2770254630000002</v>
      </c>
      <c r="Q392" s="6">
        <f>[1]Emissions!P838</f>
        <v>7.1598008990000004</v>
      </c>
      <c r="R392" s="6">
        <f>[1]Emissions!Q838</f>
        <v>7.0543364530000003</v>
      </c>
      <c r="S392" s="6">
        <f>[1]Emissions!R838</f>
        <v>6.9545587360000001</v>
      </c>
      <c r="T392" s="6">
        <f>[1]Emissions!S838</f>
        <v>6.861374895</v>
      </c>
      <c r="U392" s="6">
        <f>[1]Emissions!T838</f>
        <v>6.7775397609999999</v>
      </c>
      <c r="V392" s="6">
        <f>[1]Emissions!U838</f>
        <v>6.7050279860000002</v>
      </c>
      <c r="W392" s="6">
        <f>[1]Emissions!V838</f>
        <v>6.644163732</v>
      </c>
      <c r="X392" s="6">
        <f>[1]Emissions!W838</f>
        <v>6.5972026970000002</v>
      </c>
      <c r="Y392" s="6">
        <f>[1]Emissions!X838</f>
        <v>6.5650706980000004</v>
      </c>
      <c r="Z392" s="6">
        <f>[1]Emissions!Y838</f>
        <v>6.5477850650000002</v>
      </c>
      <c r="AA392" s="6">
        <f>[1]Emissions!Z838</f>
        <v>6.5447111019999999</v>
      </c>
      <c r="AB392" s="6">
        <f>[1]Emissions!AA838</f>
        <v>6.5522570900000003</v>
      </c>
      <c r="AC392" s="6">
        <f>[1]Emissions!AB838</f>
        <v>6.5710552980000001</v>
      </c>
      <c r="AD392" s="6">
        <f>[1]Emissions!AC838</f>
        <v>6.602955959</v>
      </c>
      <c r="AE392" s="6">
        <f>[1]Emissions!AD838</f>
        <v>6.6474738909999997</v>
      </c>
      <c r="AF392" s="6">
        <f>[1]Emissions!AE838</f>
        <v>6.7027786689999997</v>
      </c>
      <c r="AG392" s="6">
        <f>[1]Emissions!AF838</f>
        <v>6.7666722750000003</v>
      </c>
      <c r="AH392" s="6">
        <f>[1]Emissions!AG838</f>
        <v>6.8376745249999997</v>
      </c>
      <c r="AI392" s="6">
        <f>[1]Emissions!AH838</f>
        <v>6.9151233559999996</v>
      </c>
      <c r="AJ392" s="6">
        <f>[1]Emissions!AI838</f>
        <v>6.9987445890000002</v>
      </c>
      <c r="AK392" s="6">
        <f>[1]Emissions!AJ838</f>
        <v>7.089149484</v>
      </c>
      <c r="AL392" s="6">
        <f>[1]Emissions!AK838</f>
        <v>7.1884086749999998</v>
      </c>
    </row>
    <row r="393" spans="1:38" x14ac:dyDescent="0.35">
      <c r="B393" s="6" t="str">
        <f>[1]Emissions!A840</f>
        <v>ems_ci_co2_spap_2</v>
      </c>
      <c r="C393" s="6">
        <f>[1]Emissions!B840</f>
        <v>2.533610962</v>
      </c>
      <c r="D393" s="6">
        <f>[1]Emissions!C840</f>
        <v>2.5595261599999999</v>
      </c>
      <c r="E393" s="6">
        <f>[1]Emissions!D840</f>
        <v>2.5887660829999999</v>
      </c>
      <c r="F393" s="6">
        <f>[1]Emissions!E840</f>
        <v>2.6134792189999998</v>
      </c>
      <c r="G393" s="6">
        <f>[1]Emissions!F840</f>
        <v>2.653367158</v>
      </c>
      <c r="H393" s="6">
        <f>[1]Emissions!G840</f>
        <v>2.7049752389999999</v>
      </c>
      <c r="I393" s="6">
        <f>[1]Emissions!H840</f>
        <v>2.752462317</v>
      </c>
      <c r="J393" s="6">
        <f>[1]Emissions!I840</f>
        <v>2.6708212499999999</v>
      </c>
      <c r="K393" s="6">
        <f>[1]Emissions!J840</f>
        <v>2.5803737579999999</v>
      </c>
      <c r="L393" s="6">
        <f>[1]Emissions!K840</f>
        <v>2.5072871129999998</v>
      </c>
      <c r="M393" s="6">
        <f>[1]Emissions!L840</f>
        <v>2.4383345670000001</v>
      </c>
      <c r="N393" s="6">
        <f>[1]Emissions!M840</f>
        <v>2.3727031369999998</v>
      </c>
      <c r="O393" s="6">
        <f>[1]Emissions!N840</f>
        <v>2.308108464</v>
      </c>
      <c r="P393" s="6">
        <f>[1]Emissions!O840</f>
        <v>2.2451265419999999</v>
      </c>
      <c r="Q393" s="6">
        <f>[1]Emissions!P840</f>
        <v>2.185424743</v>
      </c>
      <c r="R393" s="6">
        <f>[1]Emissions!Q840</f>
        <v>2.1296752720000001</v>
      </c>
      <c r="S393" s="6">
        <f>[1]Emissions!R840</f>
        <v>2.0761604359999999</v>
      </c>
      <c r="T393" s="6">
        <f>[1]Emissions!S840</f>
        <v>2.026386268</v>
      </c>
      <c r="U393" s="6">
        <f>[1]Emissions!T840</f>
        <v>1.9810557449999999</v>
      </c>
      <c r="V393" s="6">
        <f>[1]Emissions!U840</f>
        <v>1.940327202</v>
      </c>
      <c r="W393" s="6">
        <f>[1]Emissions!V840</f>
        <v>1.9039105220000001</v>
      </c>
      <c r="X393" s="6">
        <f>[1]Emissions!W840</f>
        <v>1.8721294470000001</v>
      </c>
      <c r="Y393" s="6">
        <f>[1]Emissions!X840</f>
        <v>1.8449298279999999</v>
      </c>
      <c r="Z393" s="6">
        <f>[1]Emissions!Y840</f>
        <v>1.8219827580000001</v>
      </c>
      <c r="AA393" s="6">
        <f>[1]Emissions!Z840</f>
        <v>1.8026991189999999</v>
      </c>
      <c r="AB393" s="6">
        <f>[1]Emissions!AA840</f>
        <v>1.785748114</v>
      </c>
      <c r="AC393" s="6">
        <f>[1]Emissions!AB840</f>
        <v>1.7714699920000001</v>
      </c>
      <c r="AD393" s="6">
        <f>[1]Emissions!AC840</f>
        <v>1.759717473</v>
      </c>
      <c r="AE393" s="6">
        <f>[1]Emissions!AD840</f>
        <v>1.7498985439999999</v>
      </c>
      <c r="AF393" s="6">
        <f>[1]Emissions!AE840</f>
        <v>1.740834759</v>
      </c>
      <c r="AG393" s="6">
        <f>[1]Emissions!AF840</f>
        <v>1.7311564989999999</v>
      </c>
      <c r="AH393" s="6">
        <f>[1]Emissions!AG840</f>
        <v>1.71971378</v>
      </c>
      <c r="AI393" s="6">
        <f>[1]Emissions!AH840</f>
        <v>1.7055645559999999</v>
      </c>
      <c r="AJ393" s="6">
        <f>[1]Emissions!AI840</f>
        <v>1.6877679160000001</v>
      </c>
      <c r="AK393" s="6">
        <f>[1]Emissions!AJ840</f>
        <v>1.665383936</v>
      </c>
      <c r="AL393" s="6">
        <f>[1]Emissions!AK840</f>
        <v>1.637464091</v>
      </c>
    </row>
    <row r="394" spans="1:38" x14ac:dyDescent="0.35">
      <c r="B394" s="6" t="str">
        <f>[1]Emissions!A842</f>
        <v>ems_ci_co2_sche_2</v>
      </c>
      <c r="C394" s="6">
        <f>[1]Emissions!B842</f>
        <v>13.59787135</v>
      </c>
      <c r="D394" s="6">
        <f>[1]Emissions!C842</f>
        <v>13.92087794</v>
      </c>
      <c r="E394" s="6">
        <f>[1]Emissions!D842</f>
        <v>14.277824170000001</v>
      </c>
      <c r="F394" s="6">
        <f>[1]Emissions!E842</f>
        <v>14.643037359999999</v>
      </c>
      <c r="G394" s="6">
        <f>[1]Emissions!F842</f>
        <v>15.031362590000001</v>
      </c>
      <c r="H394" s="6">
        <f>[1]Emissions!G842</f>
        <v>15.442164699999999</v>
      </c>
      <c r="I394" s="6">
        <f>[1]Emissions!H842</f>
        <v>15.846615180000001</v>
      </c>
      <c r="J394" s="6">
        <f>[1]Emissions!I842</f>
        <v>15.876093770000001</v>
      </c>
      <c r="K394" s="6">
        <f>[1]Emissions!J842</f>
        <v>15.862658619999999</v>
      </c>
      <c r="L394" s="6">
        <f>[1]Emissions!K842</f>
        <v>15.94685505</v>
      </c>
      <c r="M394" s="6">
        <f>[1]Emissions!L842</f>
        <v>16.002370840000001</v>
      </c>
      <c r="N394" s="6">
        <f>[1]Emissions!M842</f>
        <v>15.95489532</v>
      </c>
      <c r="O394" s="6">
        <f>[1]Emissions!N842</f>
        <v>15.825877630000001</v>
      </c>
      <c r="P394" s="6">
        <f>[1]Emissions!O842</f>
        <v>15.649132939999999</v>
      </c>
      <c r="Q394" s="6">
        <f>[1]Emissions!P842</f>
        <v>15.45854935</v>
      </c>
      <c r="R394" s="6">
        <f>[1]Emissions!Q842</f>
        <v>15.27239385</v>
      </c>
      <c r="S394" s="6">
        <f>[1]Emissions!R842</f>
        <v>15.10862217</v>
      </c>
      <c r="T394" s="6">
        <f>[1]Emissions!S842</f>
        <v>14.973284319999999</v>
      </c>
      <c r="U394" s="6">
        <f>[1]Emissions!T842</f>
        <v>14.87187786</v>
      </c>
      <c r="V394" s="6">
        <f>[1]Emissions!U842</f>
        <v>14.80503571</v>
      </c>
      <c r="W394" s="6">
        <f>[1]Emissions!V842</f>
        <v>14.770799200000001</v>
      </c>
      <c r="X394" s="6">
        <f>[1]Emissions!W842</f>
        <v>14.771091180000001</v>
      </c>
      <c r="Y394" s="6">
        <f>[1]Emissions!X842</f>
        <v>14.80637961</v>
      </c>
      <c r="Z394" s="6">
        <f>[1]Emissions!Y842</f>
        <v>14.874890389999999</v>
      </c>
      <c r="AA394" s="6">
        <f>[1]Emissions!Z842</f>
        <v>14.972414260000001</v>
      </c>
      <c r="AB394" s="6">
        <f>[1]Emissions!AA842</f>
        <v>15.090849560000001</v>
      </c>
      <c r="AC394" s="6">
        <f>[1]Emissions!AB842</f>
        <v>15.23204606</v>
      </c>
      <c r="AD394" s="6">
        <f>[1]Emissions!AC842</f>
        <v>15.40026432</v>
      </c>
      <c r="AE394" s="6">
        <f>[1]Emissions!AD842</f>
        <v>15.592988890000001</v>
      </c>
      <c r="AF394" s="6">
        <f>[1]Emissions!AE842</f>
        <v>15.80075972</v>
      </c>
      <c r="AG394" s="6">
        <f>[1]Emissions!AF842</f>
        <v>16.012223899999999</v>
      </c>
      <c r="AH394" s="6">
        <f>[1]Emissions!AG842</f>
        <v>16.219284219999999</v>
      </c>
      <c r="AI394" s="6">
        <f>[1]Emissions!AH842</f>
        <v>16.41685172</v>
      </c>
      <c r="AJ394" s="6">
        <f>[1]Emissions!AI842</f>
        <v>16.599908249999999</v>
      </c>
      <c r="AK394" s="6">
        <f>[1]Emissions!AJ842</f>
        <v>16.763657590000001</v>
      </c>
      <c r="AL394" s="6">
        <f>[1]Emissions!AK842</f>
        <v>16.903748029999999</v>
      </c>
    </row>
    <row r="395" spans="1:38" x14ac:dyDescent="0.35">
      <c r="B395" s="6" t="str">
        <f>[1]Emissions!A844</f>
        <v>ems_ci_co2_spla_2</v>
      </c>
      <c r="C395" s="6">
        <f>[1]Emissions!B844</f>
        <v>1.4824302970000001</v>
      </c>
      <c r="D395" s="6">
        <f>[1]Emissions!C844</f>
        <v>1.4894128390000001</v>
      </c>
      <c r="E395" s="6">
        <f>[1]Emissions!D844</f>
        <v>1.497058526</v>
      </c>
      <c r="F395" s="6">
        <f>[1]Emissions!E844</f>
        <v>1.499263311</v>
      </c>
      <c r="G395" s="6">
        <f>[1]Emissions!F844</f>
        <v>1.5133010440000001</v>
      </c>
      <c r="H395" s="6">
        <f>[1]Emissions!G844</f>
        <v>1.53705599</v>
      </c>
      <c r="I395" s="6">
        <f>[1]Emissions!H844</f>
        <v>1.563127275</v>
      </c>
      <c r="J395" s="6">
        <f>[1]Emissions!I844</f>
        <v>1.4803087100000001</v>
      </c>
      <c r="K395" s="6">
        <f>[1]Emissions!J844</f>
        <v>1.3920098729999999</v>
      </c>
      <c r="L395" s="6">
        <f>[1]Emissions!K844</f>
        <v>1.3162326639999999</v>
      </c>
      <c r="M395" s="6">
        <f>[1]Emissions!L844</f>
        <v>1.244384785</v>
      </c>
      <c r="N395" s="6">
        <f>[1]Emissions!M844</f>
        <v>1.176923546</v>
      </c>
      <c r="O395" s="6">
        <f>[1]Emissions!N844</f>
        <v>1.112793785</v>
      </c>
      <c r="P395" s="6">
        <f>[1]Emissions!O844</f>
        <v>1.0521941029999999</v>
      </c>
      <c r="Q395" s="6">
        <f>[1]Emissions!P844</f>
        <v>0.99574532159999996</v>
      </c>
      <c r="R395" s="6">
        <f>[1]Emissions!Q844</f>
        <v>0.94339021349999996</v>
      </c>
      <c r="S395" s="6">
        <f>[1]Emissions!R844</f>
        <v>0.89311849300000001</v>
      </c>
      <c r="T395" s="6">
        <f>[1]Emissions!S844</f>
        <v>0.84565774049999998</v>
      </c>
      <c r="U395" s="6">
        <f>[1]Emissions!T844</f>
        <v>0.80128955970000004</v>
      </c>
      <c r="V395" s="6">
        <f>[1]Emissions!U844</f>
        <v>0.75994444210000001</v>
      </c>
      <c r="W395" s="6">
        <f>[1]Emissions!V844</f>
        <v>0.72136331109999996</v>
      </c>
      <c r="X395" s="6">
        <f>[1]Emissions!W844</f>
        <v>0.68535352360000001</v>
      </c>
      <c r="Y395" s="6">
        <f>[1]Emissions!X844</f>
        <v>0.65161792190000001</v>
      </c>
      <c r="Z395" s="6">
        <f>[1]Emissions!Y844</f>
        <v>0.61970219670000004</v>
      </c>
      <c r="AA395" s="6">
        <f>[1]Emissions!Z844</f>
        <v>0.58904351659999998</v>
      </c>
      <c r="AB395" s="6">
        <f>[1]Emissions!AA844</f>
        <v>0.55894785179999995</v>
      </c>
      <c r="AC395" s="6">
        <f>[1]Emissions!AB844</f>
        <v>0.52907209290000001</v>
      </c>
      <c r="AD395" s="6">
        <f>[1]Emissions!AC844</f>
        <v>0.49897008180000002</v>
      </c>
      <c r="AE395" s="6">
        <f>[1]Emissions!AD844</f>
        <v>0.46796528230000001</v>
      </c>
      <c r="AF395" s="6">
        <f>[1]Emissions!AE844</f>
        <v>0.43516739580000002</v>
      </c>
      <c r="AG395" s="6">
        <f>[1]Emissions!AF844</f>
        <v>0.39965204040000002</v>
      </c>
      <c r="AH395" s="6">
        <f>[1]Emissions!AG844</f>
        <v>0.36057493309999999</v>
      </c>
      <c r="AI395" s="6">
        <f>[1]Emissions!AH844</f>
        <v>0.31710992830000001</v>
      </c>
      <c r="AJ395" s="6">
        <f>[1]Emissions!AI844</f>
        <v>0.2683310941</v>
      </c>
      <c r="AK395" s="6">
        <f>[1]Emissions!AJ844</f>
        <v>0.21314578410000001</v>
      </c>
      <c r="AL395" s="6">
        <f>[1]Emissions!AK844</f>
        <v>0.1501655663</v>
      </c>
    </row>
    <row r="396" spans="1:38" x14ac:dyDescent="0.35">
      <c r="B396" s="6" t="str">
        <f>[1]Emissions!A846</f>
        <v>ems_ci_co2_smet_2</v>
      </c>
      <c r="C396" s="6">
        <f>[1]Emissions!B846</f>
        <v>19.467183080000002</v>
      </c>
      <c r="D396" s="6">
        <f>[1]Emissions!C846</f>
        <v>19.626557949999999</v>
      </c>
      <c r="E396" s="6">
        <f>[1]Emissions!D846</f>
        <v>19.80657794</v>
      </c>
      <c r="F396" s="6">
        <f>[1]Emissions!E846</f>
        <v>19.915262739999999</v>
      </c>
      <c r="G396" s="6">
        <f>[1]Emissions!F846</f>
        <v>20.164043769999999</v>
      </c>
      <c r="H396" s="6">
        <f>[1]Emissions!G846</f>
        <v>20.523449970000001</v>
      </c>
      <c r="I396" s="6">
        <f>[1]Emissions!H846</f>
        <v>20.905779410000001</v>
      </c>
      <c r="J396" s="6">
        <f>[1]Emissions!I846</f>
        <v>20.310686560000001</v>
      </c>
      <c r="K396" s="6">
        <f>[1]Emissions!J846</f>
        <v>19.59793208</v>
      </c>
      <c r="L396" s="6">
        <f>[1]Emissions!K846</f>
        <v>19.018739719999999</v>
      </c>
      <c r="M396" s="6">
        <f>[1]Emissions!L846</f>
        <v>18.469233150000001</v>
      </c>
      <c r="N396" s="6">
        <f>[1]Emissions!M846</f>
        <v>17.982499539999999</v>
      </c>
      <c r="O396" s="6">
        <f>[1]Emissions!N846</f>
        <v>17.532402999999999</v>
      </c>
      <c r="P396" s="6">
        <f>[1]Emissions!O846</f>
        <v>17.119776460000001</v>
      </c>
      <c r="Q396" s="6">
        <f>[1]Emissions!P846</f>
        <v>16.756294199999999</v>
      </c>
      <c r="R396" s="6">
        <f>[1]Emissions!Q846</f>
        <v>16.444944100000001</v>
      </c>
      <c r="S396" s="6">
        <f>[1]Emissions!R846</f>
        <v>16.143460470000001</v>
      </c>
      <c r="T396" s="6">
        <f>[1]Emissions!S846</f>
        <v>15.871380309999999</v>
      </c>
      <c r="U396" s="6">
        <f>[1]Emissions!T846</f>
        <v>15.64024251</v>
      </c>
      <c r="V396" s="6">
        <f>[1]Emissions!U846</f>
        <v>15.453892290000001</v>
      </c>
      <c r="W396" s="6">
        <f>[1]Emissions!V846</f>
        <v>15.31234252</v>
      </c>
      <c r="X396" s="6">
        <f>[1]Emissions!W846</f>
        <v>15.21742762</v>
      </c>
      <c r="Y396" s="6">
        <f>[1]Emissions!X846</f>
        <v>15.17007705</v>
      </c>
      <c r="Z396" s="6">
        <f>[1]Emissions!Y846</f>
        <v>15.168600100000001</v>
      </c>
      <c r="AA396" s="6">
        <f>[1]Emissions!Z846</f>
        <v>15.20909325</v>
      </c>
      <c r="AB396" s="6">
        <f>[1]Emissions!AA846</f>
        <v>15.28451862</v>
      </c>
      <c r="AC396" s="6">
        <f>[1]Emissions!AB846</f>
        <v>15.39550466</v>
      </c>
      <c r="AD396" s="6">
        <f>[1]Emissions!AC846</f>
        <v>15.54532043</v>
      </c>
      <c r="AE396" s="6">
        <f>[1]Emissions!AD846</f>
        <v>15.73137223</v>
      </c>
      <c r="AF396" s="6">
        <f>[1]Emissions!AE846</f>
        <v>15.94554273</v>
      </c>
      <c r="AG396" s="6">
        <f>[1]Emissions!AF846</f>
        <v>16.178476740000001</v>
      </c>
      <c r="AH396" s="6">
        <f>[1]Emissions!AG846</f>
        <v>16.42405011</v>
      </c>
      <c r="AI396" s="6">
        <f>[1]Emissions!AH846</f>
        <v>16.6792406</v>
      </c>
      <c r="AJ396" s="6">
        <f>[1]Emissions!AI846</f>
        <v>16.94177792</v>
      </c>
      <c r="AK396" s="6">
        <f>[1]Emissions!AJ846</f>
        <v>17.210787060000001</v>
      </c>
      <c r="AL396" s="6">
        <f>[1]Emissions!AK846</f>
        <v>17.487579119999999</v>
      </c>
    </row>
    <row r="397" spans="1:38" x14ac:dyDescent="0.35">
      <c r="B397" s="6" t="str">
        <f>[1]Emissions!A848</f>
        <v>ems_ci_co2_sigo_2</v>
      </c>
      <c r="C397" s="6">
        <f>[1]Emissions!B848</f>
        <v>1.216511809</v>
      </c>
      <c r="D397" s="6">
        <f>[1]Emissions!C848</f>
        <v>1.2384862000000001</v>
      </c>
      <c r="E397" s="6">
        <f>[1]Emissions!D848</f>
        <v>1.260093796</v>
      </c>
      <c r="F397" s="6">
        <f>[1]Emissions!E848</f>
        <v>1.2772756190000001</v>
      </c>
      <c r="G397" s="6">
        <f>[1]Emissions!F848</f>
        <v>1.3009149959999999</v>
      </c>
      <c r="H397" s="6">
        <f>[1]Emissions!G848</f>
        <v>1.330423817</v>
      </c>
      <c r="I397" s="6">
        <f>[1]Emissions!H848</f>
        <v>1.3557297109999999</v>
      </c>
      <c r="J397" s="6">
        <f>[1]Emissions!I848</f>
        <v>1.2930937570000001</v>
      </c>
      <c r="K397" s="6">
        <f>[1]Emissions!J848</f>
        <v>1.22440916</v>
      </c>
      <c r="L397" s="6">
        <f>[1]Emissions!K848</f>
        <v>1.167100161</v>
      </c>
      <c r="M397" s="6">
        <f>[1]Emissions!L848</f>
        <v>1.1101635249999999</v>
      </c>
      <c r="N397" s="6">
        <f>[1]Emissions!M848</f>
        <v>1.052695597</v>
      </c>
      <c r="O397" s="6">
        <f>[1]Emissions!N848</f>
        <v>0.99455484419999995</v>
      </c>
      <c r="P397" s="6">
        <f>[1]Emissions!O848</f>
        <v>0.93726733620000002</v>
      </c>
      <c r="Q397" s="6">
        <f>[1]Emissions!P848</f>
        <v>0.88261191220000002</v>
      </c>
      <c r="R397" s="6">
        <f>[1]Emissions!Q848</f>
        <v>0.8312394864</v>
      </c>
      <c r="S397" s="6">
        <f>[1]Emissions!R848</f>
        <v>0.78339873339999999</v>
      </c>
      <c r="T397" s="6">
        <f>[1]Emissions!S848</f>
        <v>0.73962242099999997</v>
      </c>
      <c r="U397" s="6">
        <f>[1]Emissions!T848</f>
        <v>0.69979892769999996</v>
      </c>
      <c r="V397" s="6">
        <f>[1]Emissions!U848</f>
        <v>0.6635528235</v>
      </c>
      <c r="W397" s="6">
        <f>[1]Emissions!V848</f>
        <v>0.63051899280000001</v>
      </c>
      <c r="X397" s="6">
        <f>[1]Emissions!W848</f>
        <v>0.60040435280000004</v>
      </c>
      <c r="Y397" s="6">
        <f>[1]Emissions!X848</f>
        <v>0.57293007250000005</v>
      </c>
      <c r="Z397" s="6">
        <f>[1]Emissions!Y848</f>
        <v>0.54761382110000001</v>
      </c>
      <c r="AA397" s="6">
        <f>[1]Emissions!Z848</f>
        <v>0.52386896890000001</v>
      </c>
      <c r="AB397" s="6">
        <f>[1]Emissions!AA848</f>
        <v>0.50112942189999998</v>
      </c>
      <c r="AC397" s="6">
        <f>[1]Emissions!AB848</f>
        <v>0.47898916819999998</v>
      </c>
      <c r="AD397" s="6">
        <f>[1]Emissions!AC848</f>
        <v>0.45730688409999998</v>
      </c>
      <c r="AE397" s="6">
        <f>[1]Emissions!AD848</f>
        <v>0.4353818961</v>
      </c>
      <c r="AF397" s="6">
        <f>[1]Emissions!AE848</f>
        <v>0.41219818120000001</v>
      </c>
      <c r="AG397" s="6">
        <f>[1]Emissions!AF848</f>
        <v>0.38670095510000002</v>
      </c>
      <c r="AH397" s="6">
        <f>[1]Emissions!AG848</f>
        <v>0.35798057649999998</v>
      </c>
      <c r="AI397" s="6">
        <f>[1]Emissions!AH848</f>
        <v>0.32516035170000002</v>
      </c>
      <c r="AJ397" s="6">
        <f>[1]Emissions!AI848</f>
        <v>0.28719803179999998</v>
      </c>
      <c r="AK397" s="6">
        <f>[1]Emissions!AJ848</f>
        <v>0.24287804339999999</v>
      </c>
      <c r="AL397" s="6">
        <f>[1]Emissions!AK848</f>
        <v>0.19074536540000001</v>
      </c>
    </row>
    <row r="398" spans="1:38" x14ac:dyDescent="0.35">
      <c r="B398" s="6" t="str">
        <f>[1]Emissions!A850</f>
        <v>ems_ci_co2_scgo_2</v>
      </c>
      <c r="C398" s="6">
        <f>[1]Emissions!B850</f>
        <v>2.2734885010000001</v>
      </c>
      <c r="D398" s="6">
        <f>[1]Emissions!C850</f>
        <v>2.2896341960000002</v>
      </c>
      <c r="E398" s="6">
        <f>[1]Emissions!D850</f>
        <v>2.3088973749999999</v>
      </c>
      <c r="F398" s="6">
        <f>[1]Emissions!E850</f>
        <v>2.3252767049999998</v>
      </c>
      <c r="G398" s="6">
        <f>[1]Emissions!F850</f>
        <v>2.3562130219999999</v>
      </c>
      <c r="H398" s="6">
        <f>[1]Emissions!G850</f>
        <v>2.39976426</v>
      </c>
      <c r="I398" s="6">
        <f>[1]Emissions!H850</f>
        <v>2.4442503420000001</v>
      </c>
      <c r="J398" s="6">
        <f>[1]Emissions!I850</f>
        <v>2.36240819</v>
      </c>
      <c r="K398" s="6">
        <f>[1]Emissions!J850</f>
        <v>2.2653024799999999</v>
      </c>
      <c r="L398" s="6">
        <f>[1]Emissions!K850</f>
        <v>2.1768600770000002</v>
      </c>
      <c r="M398" s="6">
        <f>[1]Emissions!L850</f>
        <v>2.0903357809999998</v>
      </c>
      <c r="N398" s="6">
        <f>[1]Emissions!M850</f>
        <v>2.008995895</v>
      </c>
      <c r="O398" s="6">
        <f>[1]Emissions!N850</f>
        <v>1.9306371200000001</v>
      </c>
      <c r="P398" s="6">
        <f>[1]Emissions!O850</f>
        <v>1.855102977</v>
      </c>
      <c r="Q398" s="6">
        <f>[1]Emissions!P850</f>
        <v>1.7833701470000001</v>
      </c>
      <c r="R398" s="6">
        <f>[1]Emissions!Q850</f>
        <v>1.7158968210000001</v>
      </c>
      <c r="S398" s="6">
        <f>[1]Emissions!R850</f>
        <v>1.649741366</v>
      </c>
      <c r="T398" s="6">
        <f>[1]Emissions!S850</f>
        <v>1.5868136020000001</v>
      </c>
      <c r="U398" s="6">
        <f>[1]Emissions!T850</f>
        <v>1.5281721509999999</v>
      </c>
      <c r="V398" s="6">
        <f>[1]Emissions!U850</f>
        <v>1.4743236479999999</v>
      </c>
      <c r="W398" s="6">
        <f>[1]Emissions!V850</f>
        <v>1.4252934129999999</v>
      </c>
      <c r="X398" s="6">
        <f>[1]Emissions!W850</f>
        <v>1.3814531489999999</v>
      </c>
      <c r="Y398" s="6">
        <f>[1]Emissions!X850</f>
        <v>1.3427595670000001</v>
      </c>
      <c r="Z398" s="6">
        <f>[1]Emissions!Y850</f>
        <v>1.308914138</v>
      </c>
      <c r="AA398" s="6">
        <f>[1]Emissions!Z850</f>
        <v>1.2794414549999999</v>
      </c>
      <c r="AB398" s="6">
        <f>[1]Emissions!AA850</f>
        <v>1.2533192520000001</v>
      </c>
      <c r="AC398" s="6">
        <f>[1]Emissions!AB850</f>
        <v>1.2309383780000001</v>
      </c>
      <c r="AD398" s="6">
        <f>[1]Emissions!AC850</f>
        <v>1.211806425</v>
      </c>
      <c r="AE398" s="6">
        <f>[1]Emissions!AD850</f>
        <v>1.1952077590000001</v>
      </c>
      <c r="AF398" s="6">
        <f>[1]Emissions!AE850</f>
        <v>1.1800247269999999</v>
      </c>
      <c r="AG398" s="6">
        <f>[1]Emissions!AF850</f>
        <v>1.1649968500000001</v>
      </c>
      <c r="AH398" s="6">
        <f>[1]Emissions!AG850</f>
        <v>1.1489926029999999</v>
      </c>
      <c r="AI398" s="6">
        <f>[1]Emissions!AH850</f>
        <v>1.130982138</v>
      </c>
      <c r="AJ398" s="6">
        <f>[1]Emissions!AI850</f>
        <v>1.109867486</v>
      </c>
      <c r="AK398" s="6">
        <f>[1]Emissions!AJ850</f>
        <v>1.0844999870000001</v>
      </c>
      <c r="AL398" s="6">
        <f>[1]Emissions!AK850</f>
        <v>1.0536570510000001</v>
      </c>
    </row>
    <row r="399" spans="1:38" x14ac:dyDescent="0.35">
      <c r="B399" s="6" t="str">
        <f>[1]Emissions!A852</f>
        <v>ems_ci_co2_scon_2</v>
      </c>
      <c r="C399" s="6">
        <f>[1]Emissions!B852</f>
        <v>7.427060129</v>
      </c>
      <c r="D399" s="6">
        <f>[1]Emissions!C852</f>
        <v>7.102251388</v>
      </c>
      <c r="E399" s="6">
        <f>[1]Emissions!D852</f>
        <v>6.7602250939999999</v>
      </c>
      <c r="F399" s="6">
        <f>[1]Emissions!E852</f>
        <v>6.3689055760000004</v>
      </c>
      <c r="G399" s="6">
        <f>[1]Emissions!F852</f>
        <v>6.1585003499999997</v>
      </c>
      <c r="H399" s="6">
        <f>[1]Emissions!G852</f>
        <v>6.0993684239999997</v>
      </c>
      <c r="I399" s="6">
        <f>[1]Emissions!H852</f>
        <v>6.1263493909999998</v>
      </c>
      <c r="J399" s="6">
        <f>[1]Emissions!I852</f>
        <v>5.3642754139999997</v>
      </c>
      <c r="K399" s="6">
        <f>[1]Emissions!J852</f>
        <v>4.5543589820000001</v>
      </c>
      <c r="L399" s="6">
        <f>[1]Emissions!K852</f>
        <v>3.8392554149999998</v>
      </c>
      <c r="M399" s="6">
        <f>[1]Emissions!L852</f>
        <v>3.24822422</v>
      </c>
      <c r="N399" s="6">
        <f>[1]Emissions!M852</f>
        <v>2.8267213739999999</v>
      </c>
      <c r="O399" s="6">
        <f>[1]Emissions!N852</f>
        <v>2.51429832</v>
      </c>
      <c r="P399" s="6">
        <f>[1]Emissions!O852</f>
        <v>2.2704077919999999</v>
      </c>
      <c r="Q399" s="6">
        <f>[1]Emissions!P852</f>
        <v>2.0718831209999999</v>
      </c>
      <c r="R399" s="6">
        <f>[1]Emissions!Q852</f>
        <v>1.9052218460000001</v>
      </c>
      <c r="S399" s="6">
        <f>[1]Emissions!R852</f>
        <v>1.746443135</v>
      </c>
      <c r="T399" s="6">
        <f>[1]Emissions!S852</f>
        <v>1.5992324630000001</v>
      </c>
      <c r="U399" s="6">
        <f>[1]Emissions!T852</f>
        <v>1.4666768080000001</v>
      </c>
      <c r="V399" s="6">
        <f>[1]Emissions!U852</f>
        <v>1.350073512</v>
      </c>
      <c r="W399" s="6">
        <f>[1]Emissions!V852</f>
        <v>1.2493424099999999</v>
      </c>
      <c r="X399" s="6">
        <f>[1]Emissions!W852</f>
        <v>1.1640957780000001</v>
      </c>
      <c r="Y399" s="6">
        <f>[1]Emissions!X852</f>
        <v>1.0933034800000001</v>
      </c>
      <c r="Z399" s="6">
        <f>[1]Emissions!Y852</f>
        <v>1.0356211479999999</v>
      </c>
      <c r="AA399" s="6">
        <f>[1]Emissions!Z852</f>
        <v>0.98977961569999995</v>
      </c>
      <c r="AB399" s="6">
        <f>[1]Emissions!AA852</f>
        <v>0.95425921219999998</v>
      </c>
      <c r="AC399" s="6">
        <f>[1]Emissions!AB852</f>
        <v>0.92849176580000004</v>
      </c>
      <c r="AD399" s="6">
        <f>[1]Emissions!AC852</f>
        <v>0.91156142679999996</v>
      </c>
      <c r="AE399" s="6">
        <f>[1]Emissions!AD852</f>
        <v>0.90179130679999997</v>
      </c>
      <c r="AF399" s="6">
        <f>[1]Emissions!AE852</f>
        <v>0.89683951370000004</v>
      </c>
      <c r="AG399" s="6">
        <f>[1]Emissions!AF852</f>
        <v>0.89366867940000005</v>
      </c>
      <c r="AH399" s="6">
        <f>[1]Emissions!AG852</f>
        <v>0.8882430442</v>
      </c>
      <c r="AI399" s="6">
        <f>[1]Emissions!AH852</f>
        <v>0.87451001699999997</v>
      </c>
      <c r="AJ399" s="6">
        <f>[1]Emissions!AI852</f>
        <v>0.84245883340000005</v>
      </c>
      <c r="AK399" s="6">
        <f>[1]Emissions!AJ852</f>
        <v>0.77497129480000004</v>
      </c>
      <c r="AL399" s="6">
        <f>[1]Emissions!AK852</f>
        <v>0.64097276729999997</v>
      </c>
    </row>
    <row r="400" spans="1:38" x14ac:dyDescent="0.35">
      <c r="B400" s="6" t="str">
        <f>[1]Emissions!A854</f>
        <v>ems_ci_co2_srai_2</v>
      </c>
      <c r="C400" s="6">
        <f>[1]Emissions!B854</f>
        <v>1.7345464589999999</v>
      </c>
      <c r="D400" s="6">
        <f>[1]Emissions!C854</f>
        <v>1.761581359</v>
      </c>
      <c r="E400" s="6">
        <f>[1]Emissions!D854</f>
        <v>1.792174637</v>
      </c>
      <c r="F400" s="6">
        <f>[1]Emissions!E854</f>
        <v>1.8248408140000001</v>
      </c>
      <c r="G400" s="6">
        <f>[1]Emissions!F854</f>
        <v>1.8609368879999999</v>
      </c>
      <c r="H400" s="6">
        <f>[1]Emissions!G854</f>
        <v>1.9000925550000001</v>
      </c>
      <c r="I400" s="6">
        <f>[1]Emissions!H854</f>
        <v>1.940042244</v>
      </c>
      <c r="J400" s="6">
        <f>[1]Emissions!I854</f>
        <v>1.9030220870000001</v>
      </c>
      <c r="K400" s="6">
        <f>[1]Emissions!J854</f>
        <v>1.8606338360000001</v>
      </c>
      <c r="L400" s="6">
        <f>[1]Emissions!K854</f>
        <v>1.821971896</v>
      </c>
      <c r="M400" s="6">
        <f>[1]Emissions!L854</f>
        <v>1.7816099649999999</v>
      </c>
      <c r="N400" s="6">
        <f>[1]Emissions!M854</f>
        <v>1.735358908</v>
      </c>
      <c r="O400" s="6">
        <f>[1]Emissions!N854</f>
        <v>1.6838661239999999</v>
      </c>
      <c r="P400" s="6">
        <f>[1]Emissions!O854</f>
        <v>1.6285587349999999</v>
      </c>
      <c r="Q400" s="6">
        <f>[1]Emissions!P854</f>
        <v>1.571079385</v>
      </c>
      <c r="R400" s="6">
        <f>[1]Emissions!Q854</f>
        <v>1.5124731360000001</v>
      </c>
      <c r="S400" s="6">
        <f>[1]Emissions!R854</f>
        <v>1.453066486</v>
      </c>
      <c r="T400" s="6">
        <f>[1]Emissions!S854</f>
        <v>1.393695261</v>
      </c>
      <c r="U400" s="6">
        <f>[1]Emissions!T854</f>
        <v>1.33486664</v>
      </c>
      <c r="V400" s="6">
        <f>[1]Emissions!U854</f>
        <v>1.276726399</v>
      </c>
      <c r="W400" s="6">
        <f>[1]Emissions!V854</f>
        <v>1.2189716740000001</v>
      </c>
      <c r="X400" s="6">
        <f>[1]Emissions!W854</f>
        <v>1.1618971279999999</v>
      </c>
      <c r="Y400" s="6">
        <f>[1]Emissions!X854</f>
        <v>1.1052665859999999</v>
      </c>
      <c r="Z400" s="6">
        <f>[1]Emissions!Y854</f>
        <v>1.048762889</v>
      </c>
      <c r="AA400" s="6">
        <f>[1]Emissions!Z854</f>
        <v>0.99194671670000001</v>
      </c>
      <c r="AB400" s="6">
        <f>[1]Emissions!AA854</f>
        <v>0.93377254249999997</v>
      </c>
      <c r="AC400" s="6">
        <f>[1]Emissions!AB854</f>
        <v>0.87444184439999995</v>
      </c>
      <c r="AD400" s="6">
        <f>[1]Emissions!AC854</f>
        <v>0.81351753230000001</v>
      </c>
      <c r="AE400" s="6">
        <f>[1]Emissions!AD854</f>
        <v>0.75046709690000002</v>
      </c>
      <c r="AF400" s="6">
        <f>[1]Emissions!AE854</f>
        <v>0.68458746179999996</v>
      </c>
      <c r="AG400" s="6">
        <f>[1]Emissions!AF854</f>
        <v>0.6151318938</v>
      </c>
      <c r="AH400" s="6">
        <f>[1]Emissions!AG854</f>
        <v>0.54142223239999998</v>
      </c>
      <c r="AI400" s="6">
        <f>[1]Emissions!AH854</f>
        <v>0.46284963709999999</v>
      </c>
      <c r="AJ400" s="6">
        <f>[1]Emissions!AI854</f>
        <v>0.37883024430000001</v>
      </c>
      <c r="AK400" s="6">
        <f>[1]Emissions!AJ854</f>
        <v>0.2887748986</v>
      </c>
      <c r="AL400" s="6">
        <f>[1]Emissions!AK854</f>
        <v>0.19204952280000001</v>
      </c>
    </row>
    <row r="401" spans="2:38" x14ac:dyDescent="0.35">
      <c r="B401" s="6" t="str">
        <f>[1]Emissions!A856</f>
        <v>ems_ci_co2_sroa_2</v>
      </c>
      <c r="C401" s="6">
        <f>[1]Emissions!B856</f>
        <v>17.318265199999999</v>
      </c>
      <c r="D401" s="6">
        <f>[1]Emissions!C856</f>
        <v>17.591118760000001</v>
      </c>
      <c r="E401" s="6">
        <f>[1]Emissions!D856</f>
        <v>17.900236710000001</v>
      </c>
      <c r="F401" s="6">
        <f>[1]Emissions!E856</f>
        <v>18.230542889999999</v>
      </c>
      <c r="G401" s="6">
        <f>[1]Emissions!F856</f>
        <v>18.594189629999999</v>
      </c>
      <c r="H401" s="6">
        <f>[1]Emissions!G856</f>
        <v>18.987153559999999</v>
      </c>
      <c r="I401" s="6">
        <f>[1]Emissions!H856</f>
        <v>19.38744999</v>
      </c>
      <c r="J401" s="6">
        <f>[1]Emissions!I856</f>
        <v>19.023360499999999</v>
      </c>
      <c r="K401" s="6">
        <f>[1]Emissions!J856</f>
        <v>18.608920510000001</v>
      </c>
      <c r="L401" s="6">
        <f>[1]Emissions!K856</f>
        <v>18.23376863</v>
      </c>
      <c r="M401" s="6">
        <f>[1]Emissions!L856</f>
        <v>17.842554230000001</v>
      </c>
      <c r="N401" s="6">
        <f>[1]Emissions!M856</f>
        <v>17.391541960000001</v>
      </c>
      <c r="O401" s="6">
        <f>[1]Emissions!N856</f>
        <v>16.886969180000001</v>
      </c>
      <c r="P401" s="6">
        <f>[1]Emissions!O856</f>
        <v>16.343105909999998</v>
      </c>
      <c r="Q401" s="6">
        <f>[1]Emissions!P856</f>
        <v>15.77640251</v>
      </c>
      <c r="R401" s="6">
        <f>[1]Emissions!Q856</f>
        <v>15.19731913</v>
      </c>
      <c r="S401" s="6">
        <f>[1]Emissions!R856</f>
        <v>14.60937408</v>
      </c>
      <c r="T401" s="6">
        <f>[1]Emissions!S856</f>
        <v>14.02077139</v>
      </c>
      <c r="U401" s="6">
        <f>[1]Emissions!T856</f>
        <v>13.43648775</v>
      </c>
      <c r="V401" s="6">
        <f>[1]Emissions!U856</f>
        <v>12.857910889999999</v>
      </c>
      <c r="W401" s="6">
        <f>[1]Emissions!V856</f>
        <v>12.281931670000001</v>
      </c>
      <c r="X401" s="6">
        <f>[1]Emissions!W856</f>
        <v>11.71149861</v>
      </c>
      <c r="Y401" s="6">
        <f>[1]Emissions!X856</f>
        <v>11.14424474</v>
      </c>
      <c r="Z401" s="6">
        <f>[1]Emissions!Y856</f>
        <v>10.57702463</v>
      </c>
      <c r="AA401" s="6">
        <f>[1]Emissions!Z856</f>
        <v>10.005473869999999</v>
      </c>
      <c r="AB401" s="6">
        <f>[1]Emissions!AA856</f>
        <v>9.4191189269999995</v>
      </c>
      <c r="AC401" s="6">
        <f>[1]Emissions!AB856</f>
        <v>8.8200874599999999</v>
      </c>
      <c r="AD401" s="6">
        <f>[1]Emissions!AC856</f>
        <v>8.2041135329999992</v>
      </c>
      <c r="AE401" s="6">
        <f>[1]Emissions!AD856</f>
        <v>7.5660548600000004</v>
      </c>
      <c r="AF401" s="6">
        <f>[1]Emissions!AE856</f>
        <v>6.8990994969999999</v>
      </c>
      <c r="AG401" s="6">
        <f>[1]Emissions!AF856</f>
        <v>6.1960141440000003</v>
      </c>
      <c r="AH401" s="6">
        <f>[1]Emissions!AG856</f>
        <v>5.4502625120000001</v>
      </c>
      <c r="AI401" s="6">
        <f>[1]Emissions!AH856</f>
        <v>4.6560269600000002</v>
      </c>
      <c r="AJ401" s="6">
        <f>[1]Emissions!AI856</f>
        <v>3.8077805169999999</v>
      </c>
      <c r="AK401" s="6">
        <f>[1]Emissions!AJ856</f>
        <v>2.8999807579999999</v>
      </c>
      <c r="AL401" s="6">
        <f>[1]Emissions!AK856</f>
        <v>1.9266870300000001</v>
      </c>
    </row>
    <row r="402" spans="2:38" x14ac:dyDescent="0.35">
      <c r="B402" s="6" t="str">
        <f>[1]Emissions!A858</f>
        <v>ems_ci_co2_swat_2</v>
      </c>
      <c r="C402" s="6">
        <f>[1]Emissions!B858</f>
        <v>3.8248369960000002</v>
      </c>
      <c r="D402" s="6">
        <f>[1]Emissions!C858</f>
        <v>3.9509260629999998</v>
      </c>
      <c r="E402" s="6">
        <f>[1]Emissions!D858</f>
        <v>4.0834679820000002</v>
      </c>
      <c r="F402" s="6">
        <f>[1]Emissions!E858</f>
        <v>4.2127866249999997</v>
      </c>
      <c r="G402" s="6">
        <f>[1]Emissions!F858</f>
        <v>4.3444096930000002</v>
      </c>
      <c r="H402" s="6">
        <f>[1]Emissions!G858</f>
        <v>4.480414627</v>
      </c>
      <c r="I402" s="6">
        <f>[1]Emissions!H858</f>
        <v>4.6179203480000002</v>
      </c>
      <c r="J402" s="6">
        <f>[1]Emissions!I858</f>
        <v>4.5798591960000001</v>
      </c>
      <c r="K402" s="6">
        <f>[1]Emissions!J858</f>
        <v>4.54864333</v>
      </c>
      <c r="L402" s="6">
        <f>[1]Emissions!K858</f>
        <v>4.5733775420000002</v>
      </c>
      <c r="M402" s="6">
        <f>[1]Emissions!L858</f>
        <v>4.5933500890000003</v>
      </c>
      <c r="N402" s="6">
        <f>[1]Emissions!M858</f>
        <v>4.5688208289999999</v>
      </c>
      <c r="O402" s="6">
        <f>[1]Emissions!N858</f>
        <v>4.4995187059999999</v>
      </c>
      <c r="P402" s="6">
        <f>[1]Emissions!O858</f>
        <v>4.397361429</v>
      </c>
      <c r="Q402" s="6">
        <f>[1]Emissions!P858</f>
        <v>4.2770588729999997</v>
      </c>
      <c r="R402" s="6">
        <f>[1]Emissions!Q858</f>
        <v>4.1471535160000004</v>
      </c>
      <c r="S402" s="6">
        <f>[1]Emissions!R858</f>
        <v>4.0164433370000001</v>
      </c>
      <c r="T402" s="6">
        <f>[1]Emissions!S858</f>
        <v>3.8905186509999998</v>
      </c>
      <c r="U402" s="6">
        <f>[1]Emissions!T858</f>
        <v>3.7716038119999999</v>
      </c>
      <c r="V402" s="6">
        <f>[1]Emissions!U858</f>
        <v>3.658939545</v>
      </c>
      <c r="W402" s="6">
        <f>[1]Emissions!V858</f>
        <v>3.5512848039999998</v>
      </c>
      <c r="X402" s="6">
        <f>[1]Emissions!W858</f>
        <v>3.4477622700000001</v>
      </c>
      <c r="Y402" s="6">
        <f>[1]Emissions!X858</f>
        <v>3.3477541660000001</v>
      </c>
      <c r="Z402" s="6">
        <f>[1]Emissions!Y858</f>
        <v>3.2487556440000001</v>
      </c>
      <c r="AA402" s="6">
        <f>[1]Emissions!Z858</f>
        <v>3.147427617</v>
      </c>
      <c r="AB402" s="6">
        <f>[1]Emissions!AA858</f>
        <v>3.0410675130000002</v>
      </c>
      <c r="AC402" s="6">
        <f>[1]Emissions!AB858</f>
        <v>2.929888423</v>
      </c>
      <c r="AD402" s="6">
        <f>[1]Emissions!AC858</f>
        <v>2.8150914419999999</v>
      </c>
      <c r="AE402" s="6">
        <f>[1]Emissions!AD858</f>
        <v>2.6937836169999998</v>
      </c>
      <c r="AF402" s="6">
        <f>[1]Emissions!AE858</f>
        <v>2.5610294379999998</v>
      </c>
      <c r="AG402" s="6">
        <f>[1]Emissions!AF858</f>
        <v>2.4121343679999998</v>
      </c>
      <c r="AH402" s="6">
        <f>[1]Emissions!AG858</f>
        <v>2.2444135099999998</v>
      </c>
      <c r="AI402" s="6">
        <f>[1]Emissions!AH858</f>
        <v>2.0561793110000002</v>
      </c>
      <c r="AJ402" s="6">
        <f>[1]Emissions!AI858</f>
        <v>1.8449419650000001</v>
      </c>
      <c r="AK402" s="6">
        <f>[1]Emissions!AJ858</f>
        <v>1.607930082</v>
      </c>
      <c r="AL402" s="6">
        <f>[1]Emissions!AK858</f>
        <v>1.3422842820000001</v>
      </c>
    </row>
    <row r="403" spans="2:38" x14ac:dyDescent="0.35">
      <c r="B403" s="6" t="str">
        <f>[1]Emissions!A860</f>
        <v>ems_ci_co2_sair_2</v>
      </c>
      <c r="C403" s="6">
        <f>[1]Emissions!B860</f>
        <v>19.2035819</v>
      </c>
      <c r="D403" s="6">
        <f>[1]Emissions!C860</f>
        <v>19.617984190000001</v>
      </c>
      <c r="E403" s="6">
        <f>[1]Emissions!D860</f>
        <v>20.08474352</v>
      </c>
      <c r="F403" s="6">
        <f>[1]Emissions!E860</f>
        <v>20.55197239</v>
      </c>
      <c r="G403" s="6">
        <f>[1]Emissions!F860</f>
        <v>21.07688271</v>
      </c>
      <c r="H403" s="6">
        <f>[1]Emissions!G860</f>
        <v>21.67111899</v>
      </c>
      <c r="I403" s="6">
        <f>[1]Emissions!H860</f>
        <v>22.319580290000001</v>
      </c>
      <c r="J403" s="6">
        <f>[1]Emissions!I860</f>
        <v>22.01678184</v>
      </c>
      <c r="K403" s="6">
        <f>[1]Emissions!J860</f>
        <v>21.617341039999999</v>
      </c>
      <c r="L403" s="6">
        <f>[1]Emissions!K860</f>
        <v>21.33752454</v>
      </c>
      <c r="M403" s="6">
        <f>[1]Emissions!L860</f>
        <v>21.056665290000002</v>
      </c>
      <c r="N403" s="6">
        <f>[1]Emissions!M860</f>
        <v>20.715657849999999</v>
      </c>
      <c r="O403" s="6">
        <f>[1]Emissions!N860</f>
        <v>20.319098990000001</v>
      </c>
      <c r="P403" s="6">
        <f>[1]Emissions!O860</f>
        <v>19.875839939999999</v>
      </c>
      <c r="Q403" s="6">
        <f>[1]Emissions!P860</f>
        <v>19.40100228</v>
      </c>
      <c r="R403" s="6">
        <f>[1]Emissions!Q860</f>
        <v>18.90152994</v>
      </c>
      <c r="S403" s="6">
        <f>[1]Emissions!R860</f>
        <v>18.360202009999998</v>
      </c>
      <c r="T403" s="6">
        <f>[1]Emissions!S860</f>
        <v>17.795527459999999</v>
      </c>
      <c r="U403" s="6">
        <f>[1]Emissions!T860</f>
        <v>17.224679049999999</v>
      </c>
      <c r="V403" s="6">
        <f>[1]Emissions!U860</f>
        <v>16.658332779999999</v>
      </c>
      <c r="W403" s="6">
        <f>[1]Emissions!V860</f>
        <v>16.099666509999999</v>
      </c>
      <c r="X403" s="6">
        <f>[1]Emissions!W860</f>
        <v>15.556821129999999</v>
      </c>
      <c r="Y403" s="6">
        <f>[1]Emissions!X860</f>
        <v>15.031508349999999</v>
      </c>
      <c r="Z403" s="6">
        <f>[1]Emissions!Y860</f>
        <v>14.51946242</v>
      </c>
      <c r="AA403" s="6">
        <f>[1]Emissions!Z860</f>
        <v>14.01228233</v>
      </c>
      <c r="AB403" s="6">
        <f>[1]Emissions!AA860</f>
        <v>13.49377365</v>
      </c>
      <c r="AC403" s="6">
        <f>[1]Emissions!AB860</f>
        <v>12.96745877</v>
      </c>
      <c r="AD403" s="6">
        <f>[1]Emissions!AC860</f>
        <v>12.431015459999999</v>
      </c>
      <c r="AE403" s="6">
        <f>[1]Emissions!AD860</f>
        <v>11.875017570000001</v>
      </c>
      <c r="AF403" s="6">
        <f>[1]Emissions!AE860</f>
        <v>11.283954809999999</v>
      </c>
      <c r="AG403" s="6">
        <f>[1]Emissions!AF860</f>
        <v>10.640519790000001</v>
      </c>
      <c r="AH403" s="6">
        <f>[1]Emissions!AG860</f>
        <v>9.9297263410000003</v>
      </c>
      <c r="AI403" s="6">
        <f>[1]Emissions!AH860</f>
        <v>9.1377287200000001</v>
      </c>
      <c r="AJ403" s="6">
        <f>[1]Emissions!AI860</f>
        <v>8.2483488099999995</v>
      </c>
      <c r="AK403" s="6">
        <f>[1]Emissions!AJ860</f>
        <v>7.2428694199999999</v>
      </c>
      <c r="AL403" s="6">
        <f>[1]Emissions!AK860</f>
        <v>6.0989526830000003</v>
      </c>
    </row>
    <row r="404" spans="2:38" x14ac:dyDescent="0.35">
      <c r="B404" s="6" t="str">
        <f>[1]Emissions!A862</f>
        <v>ems_ci_co2_spri_2</v>
      </c>
      <c r="C404" s="6">
        <f>[1]Emissions!B862</f>
        <v>30.586880539999999</v>
      </c>
      <c r="D404" s="6">
        <f>[1]Emissions!C862</f>
        <v>30.29567321</v>
      </c>
      <c r="E404" s="6">
        <f>[1]Emissions!D862</f>
        <v>30.007517320000002</v>
      </c>
      <c r="F404" s="6">
        <f>[1]Emissions!E862</f>
        <v>29.594404229999999</v>
      </c>
      <c r="G404" s="6">
        <f>[1]Emissions!F862</f>
        <v>29.563877160000001</v>
      </c>
      <c r="H404" s="6">
        <f>[1]Emissions!G862</f>
        <v>29.82346944</v>
      </c>
      <c r="I404" s="6">
        <f>[1]Emissions!H862</f>
        <v>30.134136819999998</v>
      </c>
      <c r="J404" s="6">
        <f>[1]Emissions!I862</f>
        <v>27.997088869999999</v>
      </c>
      <c r="K404" s="6">
        <f>[1]Emissions!J862</f>
        <v>25.790384719999999</v>
      </c>
      <c r="L404" s="6">
        <f>[1]Emissions!K862</f>
        <v>23.811067210000001</v>
      </c>
      <c r="M404" s="6">
        <f>[1]Emissions!L862</f>
        <v>22.0489496</v>
      </c>
      <c r="N404" s="6">
        <f>[1]Emissions!M862</f>
        <v>20.606924920000001</v>
      </c>
      <c r="O404" s="6">
        <f>[1]Emissions!N862</f>
        <v>19.36760572</v>
      </c>
      <c r="P404" s="6">
        <f>[1]Emissions!O862</f>
        <v>18.264275139999999</v>
      </c>
      <c r="Q404" s="6">
        <f>[1]Emissions!P862</f>
        <v>17.262535530000001</v>
      </c>
      <c r="R404" s="6">
        <f>[1]Emissions!Q862</f>
        <v>16.340826499999999</v>
      </c>
      <c r="S404" s="6">
        <f>[1]Emissions!R862</f>
        <v>15.446984369999999</v>
      </c>
      <c r="T404" s="6">
        <f>[1]Emissions!S862</f>
        <v>14.596422090000001</v>
      </c>
      <c r="U404" s="6">
        <f>[1]Emissions!T862</f>
        <v>13.79711393</v>
      </c>
      <c r="V404" s="6">
        <f>[1]Emissions!U862</f>
        <v>13.051544160000001</v>
      </c>
      <c r="W404" s="6">
        <f>[1]Emissions!V862</f>
        <v>12.356018580000001</v>
      </c>
      <c r="X404" s="6">
        <f>[1]Emissions!W862</f>
        <v>11.71242052</v>
      </c>
      <c r="Y404" s="6">
        <f>[1]Emissions!X862</f>
        <v>11.11628436</v>
      </c>
      <c r="Z404" s="6">
        <f>[1]Emissions!Y862</f>
        <v>10.561511940000001</v>
      </c>
      <c r="AA404" s="6">
        <f>[1]Emissions!Z862</f>
        <v>10.04072989</v>
      </c>
      <c r="AB404" s="6">
        <f>[1]Emissions!AA862</f>
        <v>9.5397155359999992</v>
      </c>
      <c r="AC404" s="6">
        <f>[1]Emissions!AB862</f>
        <v>9.0578689650000008</v>
      </c>
      <c r="AD404" s="6">
        <f>[1]Emissions!AC862</f>
        <v>8.5872736320000005</v>
      </c>
      <c r="AE404" s="6">
        <f>[1]Emissions!AD862</f>
        <v>8.1172594629999999</v>
      </c>
      <c r="AF404" s="6">
        <f>[1]Emissions!AE862</f>
        <v>7.6340872319999997</v>
      </c>
      <c r="AG404" s="6">
        <f>[1]Emissions!AF862</f>
        <v>7.1219539019999996</v>
      </c>
      <c r="AH404" s="6">
        <f>[1]Emissions!AG862</f>
        <v>6.563798695</v>
      </c>
      <c r="AI404" s="6">
        <f>[1]Emissions!AH862</f>
        <v>5.9403359719999997</v>
      </c>
      <c r="AJ404" s="6">
        <f>[1]Emissions!AI862</f>
        <v>5.2279624299999998</v>
      </c>
      <c r="AK404" s="6">
        <f>[1]Emissions!AJ862</f>
        <v>4.3965163330000001</v>
      </c>
      <c r="AL404" s="6">
        <f>[1]Emissions!AK862</f>
        <v>3.404873861</v>
      </c>
    </row>
    <row r="405" spans="2:38" x14ac:dyDescent="0.35">
      <c r="B405" s="6" t="str">
        <f>[1]Emissions!A864</f>
        <v>ems_ci_co2_spub_2</v>
      </c>
      <c r="C405" s="6">
        <f>[1]Emissions!B864</f>
        <v>13.794241100000001</v>
      </c>
      <c r="D405" s="6">
        <f>[1]Emissions!C864</f>
        <v>13.41245554</v>
      </c>
      <c r="E405" s="6">
        <f>[1]Emissions!D864</f>
        <v>13.03887299</v>
      </c>
      <c r="F405" s="6">
        <f>[1]Emissions!E864</f>
        <v>12.60444247</v>
      </c>
      <c r="G405" s="6">
        <f>[1]Emissions!F864</f>
        <v>12.39253027</v>
      </c>
      <c r="H405" s="6">
        <f>[1]Emissions!G864</f>
        <v>12.334067409999999</v>
      </c>
      <c r="I405" s="6">
        <f>[1]Emissions!H864</f>
        <v>12.315460119999999</v>
      </c>
      <c r="J405" s="6">
        <f>[1]Emissions!I864</f>
        <v>11.23286644</v>
      </c>
      <c r="K405" s="6">
        <f>[1]Emissions!J864</f>
        <v>10.201255270000001</v>
      </c>
      <c r="L405" s="6">
        <f>[1]Emissions!K864</f>
        <v>9.2962786350000002</v>
      </c>
      <c r="M405" s="6">
        <f>[1]Emissions!L864</f>
        <v>8.528446271</v>
      </c>
      <c r="N405" s="6">
        <f>[1]Emissions!M864</f>
        <v>7.9264704899999998</v>
      </c>
      <c r="O405" s="6">
        <f>[1]Emissions!N864</f>
        <v>7.4363834469999999</v>
      </c>
      <c r="P405" s="6">
        <f>[1]Emissions!O864</f>
        <v>7.0200930369999996</v>
      </c>
      <c r="Q405" s="6">
        <f>[1]Emissions!P864</f>
        <v>6.6542256469999996</v>
      </c>
      <c r="R405" s="6">
        <f>[1]Emissions!Q864</f>
        <v>6.324095443</v>
      </c>
      <c r="S405" s="6">
        <f>[1]Emissions!R864</f>
        <v>6.0070871869999998</v>
      </c>
      <c r="T405" s="6">
        <f>[1]Emissions!S864</f>
        <v>5.7049491359999998</v>
      </c>
      <c r="U405" s="6">
        <f>[1]Emissions!T864</f>
        <v>5.4182970099999999</v>
      </c>
      <c r="V405" s="6">
        <f>[1]Emissions!U864</f>
        <v>5.1468418319999998</v>
      </c>
      <c r="W405" s="6">
        <f>[1]Emissions!V864</f>
        <v>4.8860802339999996</v>
      </c>
      <c r="X405" s="6">
        <f>[1]Emissions!W864</f>
        <v>4.6418131269999998</v>
      </c>
      <c r="Y405" s="6">
        <f>[1]Emissions!X864</f>
        <v>4.4096108149999997</v>
      </c>
      <c r="Z405" s="6">
        <f>[1]Emissions!Y864</f>
        <v>4.1872656690000003</v>
      </c>
      <c r="AA405" s="6">
        <f>[1]Emissions!Z864</f>
        <v>3.9726959860000002</v>
      </c>
      <c r="AB405" s="6">
        <f>[1]Emissions!AA864</f>
        <v>3.7561891250000001</v>
      </c>
      <c r="AC405" s="6">
        <f>[1]Emissions!AB864</f>
        <v>3.546854213</v>
      </c>
      <c r="AD405" s="6">
        <f>[1]Emissions!AC864</f>
        <v>3.3395640090000001</v>
      </c>
      <c r="AE405" s="6">
        <f>[1]Emissions!AD864</f>
        <v>3.1309659559999998</v>
      </c>
      <c r="AF405" s="6">
        <f>[1]Emissions!AE864</f>
        <v>2.9174326289999999</v>
      </c>
      <c r="AG405" s="6">
        <f>[1]Emissions!AF864</f>
        <v>2.6949164799999998</v>
      </c>
      <c r="AH405" s="6">
        <f>[1]Emissions!AG864</f>
        <v>2.4589425290000002</v>
      </c>
      <c r="AI405" s="6">
        <f>[1]Emissions!AH864</f>
        <v>2.2042679070000002</v>
      </c>
      <c r="AJ405" s="6">
        <f>[1]Emissions!AI864</f>
        <v>1.9242823170000001</v>
      </c>
      <c r="AK405" s="6">
        <f>[1]Emissions!AJ864</f>
        <v>1.610241354</v>
      </c>
      <c r="AL405" s="6">
        <f>[1]Emissions!AK864</f>
        <v>1.249489461</v>
      </c>
    </row>
    <row r="406" spans="2:38" x14ac:dyDescent="0.35">
      <c r="B406" s="6" t="str">
        <f>[1]Emissions!A866</f>
        <v>ems_ci_co2_smin_2</v>
      </c>
      <c r="C406" s="6">
        <f>[1]Emissions!B866</f>
        <v>1.049167145</v>
      </c>
      <c r="D406" s="6">
        <f>[1]Emissions!C866</f>
        <v>1.0656241719999999</v>
      </c>
      <c r="E406" s="6">
        <f>[1]Emissions!D866</f>
        <v>1.0846749120000001</v>
      </c>
      <c r="F406" s="6">
        <f>[1]Emissions!E866</f>
        <v>1.1049201230000001</v>
      </c>
      <c r="G406" s="6">
        <f>[1]Emissions!F866</f>
        <v>1.127434206</v>
      </c>
      <c r="H406" s="6">
        <f>[1]Emissions!G866</f>
        <v>1.152127176</v>
      </c>
      <c r="I406" s="6">
        <f>[1]Emissions!H866</f>
        <v>1.177771269</v>
      </c>
      <c r="J406" s="6">
        <f>[1]Emissions!I866</f>
        <v>1.1514828429999999</v>
      </c>
      <c r="K406" s="6">
        <f>[1]Emissions!J866</f>
        <v>1.121128213</v>
      </c>
      <c r="L406" s="6">
        <f>[1]Emissions!K866</f>
        <v>1.093413771</v>
      </c>
      <c r="M406" s="6">
        <f>[1]Emissions!L866</f>
        <v>1.065195694</v>
      </c>
      <c r="N406" s="6">
        <f>[1]Emissions!M866</f>
        <v>1.033639244</v>
      </c>
      <c r="O406" s="6">
        <f>[1]Emissions!N866</f>
        <v>0.99877561699999995</v>
      </c>
      <c r="P406" s="6">
        <f>[1]Emissions!O866</f>
        <v>0.96160431639999999</v>
      </c>
      <c r="Q406" s="6">
        <f>[1]Emissions!P866</f>
        <v>0.92335002519999998</v>
      </c>
      <c r="R406" s="6">
        <f>[1]Emissions!Q866</f>
        <v>0.88481798079999996</v>
      </c>
      <c r="S406" s="6">
        <f>[1]Emissions!R866</f>
        <v>0.84778779029999995</v>
      </c>
      <c r="T406" s="6">
        <f>[1]Emissions!S866</f>
        <v>0.81142489819999997</v>
      </c>
      <c r="U406" s="6">
        <f>[1]Emissions!T866</f>
        <v>0.77590637360000003</v>
      </c>
      <c r="V406" s="6">
        <f>[1]Emissions!U866</f>
        <v>0.74127688800000002</v>
      </c>
      <c r="W406" s="6">
        <f>[1]Emissions!V866</f>
        <v>0.70735831250000003</v>
      </c>
      <c r="X406" s="6">
        <f>[1]Emissions!W866</f>
        <v>0.67418263290000002</v>
      </c>
      <c r="Y406" s="6">
        <f>[1]Emissions!X866</f>
        <v>0.64160146790000006</v>
      </c>
      <c r="Z406" s="6">
        <f>[1]Emissions!Y866</f>
        <v>0.6093271348</v>
      </c>
      <c r="AA406" s="6">
        <f>[1]Emissions!Z866</f>
        <v>0.57698058610000003</v>
      </c>
      <c r="AB406" s="6">
        <f>[1]Emissions!AA866</f>
        <v>0.54393861669999999</v>
      </c>
      <c r="AC406" s="6">
        <f>[1]Emissions!AB866</f>
        <v>0.5098717545</v>
      </c>
      <c r="AD406" s="6">
        <f>[1]Emissions!AC866</f>
        <v>0.47485184559999999</v>
      </c>
      <c r="AE406" s="6">
        <f>[1]Emissions!AD866</f>
        <v>0.43852328750000003</v>
      </c>
      <c r="AF406" s="6">
        <f>[1]Emissions!AE866</f>
        <v>0.40037993350000001</v>
      </c>
      <c r="AG406" s="6">
        <f>[1]Emissions!AF866</f>
        <v>0.35992366529999997</v>
      </c>
      <c r="AH406" s="6">
        <f>[1]Emissions!AG866</f>
        <v>0.31676749100000001</v>
      </c>
      <c r="AI406" s="6">
        <f>[1]Emissions!AH866</f>
        <v>0.27060702930000002</v>
      </c>
      <c r="AJ406" s="6">
        <f>[1]Emissions!AI866</f>
        <v>0.22115542860000001</v>
      </c>
      <c r="AK406" s="6">
        <f>[1]Emissions!AJ866</f>
        <v>0.1681430126</v>
      </c>
      <c r="AL406" s="6">
        <f>[1]Emissions!AK866</f>
        <v>0.11130190650000001</v>
      </c>
    </row>
    <row r="407" spans="2:38" x14ac:dyDescent="0.35">
      <c r="B407" s="6" t="str">
        <f>[1]Emissions!A868</f>
        <v>ems_ci_co2_soil_2</v>
      </c>
      <c r="C407" s="6">
        <f>[1]Emissions!B868</f>
        <v>16.59683708</v>
      </c>
      <c r="D407" s="6">
        <f>[1]Emissions!C868</f>
        <v>16.745887830000001</v>
      </c>
      <c r="E407" s="6">
        <f>[1]Emissions!D868</f>
        <v>16.898454040000001</v>
      </c>
      <c r="F407" s="6">
        <f>[1]Emissions!E868</f>
        <v>17.062250460000001</v>
      </c>
      <c r="G407" s="6">
        <f>[1]Emissions!F868</f>
        <v>17.275774290000001</v>
      </c>
      <c r="H407" s="6">
        <f>[1]Emissions!G868</f>
        <v>17.53771133</v>
      </c>
      <c r="I407" s="6">
        <f>[1]Emissions!H868</f>
        <v>17.82934006</v>
      </c>
      <c r="J407" s="6">
        <f>[1]Emissions!I868</f>
        <v>17.654974979999999</v>
      </c>
      <c r="K407" s="6">
        <f>[1]Emissions!J868</f>
        <v>17.4267942</v>
      </c>
      <c r="L407" s="6">
        <f>[1]Emissions!K868</f>
        <v>17.248896800000001</v>
      </c>
      <c r="M407" s="6">
        <f>[1]Emissions!L868</f>
        <v>17.066044479999999</v>
      </c>
      <c r="N407" s="6">
        <f>[1]Emissions!M868</f>
        <v>16.84503569</v>
      </c>
      <c r="O407" s="6">
        <f>[1]Emissions!N868</f>
        <v>16.588749239999999</v>
      </c>
      <c r="P407" s="6">
        <f>[1]Emissions!O868</f>
        <v>16.308763299999999</v>
      </c>
      <c r="Q407" s="6">
        <f>[1]Emissions!P868</f>
        <v>16.019049389999999</v>
      </c>
      <c r="R407" s="6">
        <f>[1]Emissions!Q868</f>
        <v>15.72702086</v>
      </c>
      <c r="S407" s="6">
        <f>[1]Emissions!R868</f>
        <v>15.415078189999999</v>
      </c>
      <c r="T407" s="6">
        <f>[1]Emissions!S868</f>
        <v>15.10219936</v>
      </c>
      <c r="U407" s="6">
        <f>[1]Emissions!T868</f>
        <v>14.794944210000001</v>
      </c>
      <c r="V407" s="6">
        <f>[1]Emissions!U868</f>
        <v>14.49579005</v>
      </c>
      <c r="W407" s="6">
        <f>[1]Emissions!V868</f>
        <v>14.204642420000001</v>
      </c>
      <c r="X407" s="6">
        <f>[1]Emissions!W868</f>
        <v>13.924193280000001</v>
      </c>
      <c r="Y407" s="6">
        <f>[1]Emissions!X868</f>
        <v>13.65554393</v>
      </c>
      <c r="Z407" s="6">
        <f>[1]Emissions!Y868</f>
        <v>13.398238900000001</v>
      </c>
      <c r="AA407" s="6">
        <f>[1]Emissions!Z868</f>
        <v>13.15029515</v>
      </c>
      <c r="AB407" s="6">
        <f>[1]Emissions!AA868</f>
        <v>12.906172189999999</v>
      </c>
      <c r="AC407" s="6">
        <f>[1]Emissions!AB868</f>
        <v>12.673334949999999</v>
      </c>
      <c r="AD407" s="6">
        <f>[1]Emissions!AC868</f>
        <v>12.44850153</v>
      </c>
      <c r="AE407" s="6">
        <f>[1]Emissions!AD868</f>
        <v>12.22966227</v>
      </c>
      <c r="AF407" s="6">
        <f>[1]Emissions!AE868</f>
        <v>12.01167216</v>
      </c>
      <c r="AG407" s="6">
        <f>[1]Emissions!AF868</f>
        <v>11.78806795</v>
      </c>
      <c r="AH407" s="6">
        <f>[1]Emissions!AG868</f>
        <v>11.55362521</v>
      </c>
      <c r="AI407" s="6">
        <f>[1]Emissions!AH868</f>
        <v>11.304597429999999</v>
      </c>
      <c r="AJ407" s="6">
        <f>[1]Emissions!AI868</f>
        <v>11.037634710000001</v>
      </c>
      <c r="AK407" s="6">
        <f>[1]Emissions!AJ868</f>
        <v>10.749801140000001</v>
      </c>
      <c r="AL407" s="6">
        <f>[1]Emissions!AK868</f>
        <v>10.43884478</v>
      </c>
    </row>
    <row r="408" spans="2:38" x14ac:dyDescent="0.35">
      <c r="B408" s="6" t="str">
        <f>[1]Emissions!A870</f>
        <v>ems_ci_co2_sbfu_2</v>
      </c>
      <c r="C408" s="6">
        <f>[1]Emissions!B870</f>
        <v>3.8672089619999999</v>
      </c>
      <c r="D408" s="6">
        <f>[1]Emissions!C870</f>
        <v>3.8854669130000001</v>
      </c>
      <c r="E408" s="6">
        <f>[1]Emissions!D870</f>
        <v>3.900790942</v>
      </c>
      <c r="F408" s="6">
        <f>[1]Emissions!E870</f>
        <v>3.9202870949999999</v>
      </c>
      <c r="G408" s="6">
        <f>[1]Emissions!F870</f>
        <v>3.9522978659999999</v>
      </c>
      <c r="H408" s="6">
        <f>[1]Emissions!G870</f>
        <v>3.9964303889999999</v>
      </c>
      <c r="I408" s="6">
        <f>[1]Emissions!H870</f>
        <v>4.0488090110000003</v>
      </c>
      <c r="J408" s="6">
        <f>[1]Emissions!I870</f>
        <v>4.7282750560000002</v>
      </c>
      <c r="K408" s="6">
        <f>[1]Emissions!J870</f>
        <v>5.4707853970000002</v>
      </c>
      <c r="L408" s="6">
        <f>[1]Emissions!K870</f>
        <v>6.1970027859999997</v>
      </c>
      <c r="M408" s="6">
        <f>[1]Emissions!L870</f>
        <v>6.8902060900000004</v>
      </c>
      <c r="N408" s="6">
        <f>[1]Emissions!M870</f>
        <v>7.5454314699999996</v>
      </c>
      <c r="O408" s="6">
        <f>[1]Emissions!N870</f>
        <v>8.1585521120000006</v>
      </c>
      <c r="P408" s="6">
        <f>[1]Emissions!O870</f>
        <v>8.7264002900000008</v>
      </c>
      <c r="Q408" s="6">
        <f>[1]Emissions!P870</f>
        <v>9.2470755009999994</v>
      </c>
      <c r="R408" s="6">
        <f>[1]Emissions!Q870</f>
        <v>9.7184608430000008</v>
      </c>
      <c r="S408" s="6">
        <f>[1]Emissions!R870</f>
        <v>10.13456455</v>
      </c>
      <c r="T408" s="6">
        <f>[1]Emissions!S870</f>
        <v>10.49518101</v>
      </c>
      <c r="U408" s="6">
        <f>[1]Emissions!T870</f>
        <v>10.80052751</v>
      </c>
      <c r="V408" s="6">
        <f>[1]Emissions!U870</f>
        <v>11.049877479999999</v>
      </c>
      <c r="W408" s="6">
        <f>[1]Emissions!V870</f>
        <v>11.240882770000001</v>
      </c>
      <c r="X408" s="6">
        <f>[1]Emissions!W870</f>
        <v>11.37237973</v>
      </c>
      <c r="Y408" s="6">
        <f>[1]Emissions!X870</f>
        <v>11.44200938</v>
      </c>
      <c r="Z408" s="6">
        <f>[1]Emissions!Y870</f>
        <v>11.44617584</v>
      </c>
      <c r="AA408" s="6">
        <f>[1]Emissions!Z870</f>
        <v>11.37996465</v>
      </c>
      <c r="AB408" s="6">
        <f>[1]Emissions!AA870</f>
        <v>11.23524095</v>
      </c>
      <c r="AC408" s="6">
        <f>[1]Emissions!AB870</f>
        <v>11.007436480000001</v>
      </c>
      <c r="AD408" s="6">
        <f>[1]Emissions!AC870</f>
        <v>10.69038121</v>
      </c>
      <c r="AE408" s="6">
        <f>[1]Emissions!AD870</f>
        <v>10.27544428</v>
      </c>
      <c r="AF408" s="6">
        <f>[1]Emissions!AE870</f>
        <v>9.7512054280000005</v>
      </c>
      <c r="AG408" s="6">
        <f>[1]Emissions!AF870</f>
        <v>9.1040284160000002</v>
      </c>
      <c r="AH408" s="6">
        <f>[1]Emissions!AG870</f>
        <v>8.3188409369999992</v>
      </c>
      <c r="AI408" s="6">
        <f>[1]Emissions!AH870</f>
        <v>7.3789032250000002</v>
      </c>
      <c r="AJ408" s="6">
        <f>[1]Emissions!AI870</f>
        <v>6.2648360419999998</v>
      </c>
      <c r="AK408" s="6">
        <f>[1]Emissions!AJ870</f>
        <v>4.9538203430000003</v>
      </c>
      <c r="AL408" s="6">
        <f>[1]Emissions!AK870</f>
        <v>3.4180528899999998</v>
      </c>
    </row>
    <row r="409" spans="2:38" x14ac:dyDescent="0.35">
      <c r="B409" s="6" t="str">
        <f>[1]Emissions!A872</f>
        <v>ems_ci_co2_seoi_2</v>
      </c>
      <c r="C409" s="6">
        <f>[1]Emissions!B872</f>
        <v>3.0530849629999999</v>
      </c>
      <c r="D409" s="6">
        <f>[1]Emissions!C872</f>
        <v>3.099256102</v>
      </c>
      <c r="E409" s="6">
        <f>[1]Emissions!D872</f>
        <v>3.1442676629999999</v>
      </c>
      <c r="F409" s="6">
        <f>[1]Emissions!E872</f>
        <v>3.1928261259999999</v>
      </c>
      <c r="G409" s="6">
        <f>[1]Emissions!F872</f>
        <v>3.2380531370000001</v>
      </c>
      <c r="H409" s="6">
        <f>[1]Emissions!G872</f>
        <v>3.2836793260000001</v>
      </c>
      <c r="I409" s="6">
        <f>[1]Emissions!H872</f>
        <v>3.3321506840000001</v>
      </c>
      <c r="J409" s="6">
        <f>[1]Emissions!I872</f>
        <v>3.2779106169999999</v>
      </c>
      <c r="K409" s="6">
        <f>[1]Emissions!J872</f>
        <v>3.2264704829999999</v>
      </c>
      <c r="L409" s="6">
        <f>[1]Emissions!K872</f>
        <v>3.1763883210000001</v>
      </c>
      <c r="M409" s="6">
        <f>[1]Emissions!L872</f>
        <v>3.1145528140000001</v>
      </c>
      <c r="N409" s="6">
        <f>[1]Emissions!M872</f>
        <v>3.0251953039999999</v>
      </c>
      <c r="O409" s="6">
        <f>[1]Emissions!N872</f>
        <v>2.9163972419999999</v>
      </c>
      <c r="P409" s="6">
        <f>[1]Emissions!O872</f>
        <v>2.7968025440000002</v>
      </c>
      <c r="Q409" s="6">
        <f>[1]Emissions!P872</f>
        <v>2.6728052039999999</v>
      </c>
      <c r="R409" s="6">
        <f>[1]Emissions!Q872</f>
        <v>2.5478764549999999</v>
      </c>
      <c r="S409" s="6">
        <f>[1]Emissions!R872</f>
        <v>2.4234766049999998</v>
      </c>
      <c r="T409" s="6">
        <f>[1]Emissions!S872</f>
        <v>2.3010178720000001</v>
      </c>
      <c r="U409" s="6">
        <f>[1]Emissions!T872</f>
        <v>2.180552257</v>
      </c>
      <c r="V409" s="6">
        <f>[1]Emissions!U872</f>
        <v>2.0620631810000001</v>
      </c>
      <c r="W409" s="6">
        <f>[1]Emissions!V872</f>
        <v>1.9451701589999999</v>
      </c>
      <c r="X409" s="6">
        <f>[1]Emissions!W872</f>
        <v>1.830408904</v>
      </c>
      <c r="Y409" s="6">
        <f>[1]Emissions!X872</f>
        <v>1.7175918590000001</v>
      </c>
      <c r="Z409" s="6">
        <f>[1]Emissions!Y872</f>
        <v>1.6061756650000001</v>
      </c>
      <c r="AA409" s="6">
        <f>[1]Emissions!Z872</f>
        <v>1.495396561</v>
      </c>
      <c r="AB409" s="6">
        <f>[1]Emissions!AA872</f>
        <v>1.3837272329999999</v>
      </c>
      <c r="AC409" s="6">
        <f>[1]Emissions!AB872</f>
        <v>1.2715898910000001</v>
      </c>
      <c r="AD409" s="6">
        <f>[1]Emissions!AC872</f>
        <v>1.158389168</v>
      </c>
      <c r="AE409" s="6">
        <f>[1]Emissions!AD872</f>
        <v>1.043379222</v>
      </c>
      <c r="AF409" s="6">
        <f>[1]Emissions!AE872</f>
        <v>0.9257255754</v>
      </c>
      <c r="AG409" s="6">
        <f>[1]Emissions!AF872</f>
        <v>0.80483357200000005</v>
      </c>
      <c r="AH409" s="6">
        <f>[1]Emissions!AG872</f>
        <v>0.68067125979999998</v>
      </c>
      <c r="AI409" s="6">
        <f>[1]Emissions!AH872</f>
        <v>0.55391117430000003</v>
      </c>
      <c r="AJ409" s="6">
        <f>[1]Emissions!AI872</f>
        <v>0.42609194560000002</v>
      </c>
      <c r="AK409" s="6">
        <f>[1]Emissions!AJ872</f>
        <v>0.30009323230000001</v>
      </c>
      <c r="AL409" s="6">
        <f>[1]Emissions!AK872</f>
        <v>0.18100787979999999</v>
      </c>
    </row>
    <row r="410" spans="2:38" x14ac:dyDescent="0.35">
      <c r="B410" s="6" t="str">
        <f>[1]Emissions!A874</f>
        <v>ems_ci_co2_sega_2</v>
      </c>
      <c r="C410" s="6">
        <f>[1]Emissions!B874</f>
        <v>3.6124779720000002</v>
      </c>
      <c r="D410" s="6">
        <f>[1]Emissions!C874</f>
        <v>3.667261737</v>
      </c>
      <c r="E410" s="6">
        <f>[1]Emissions!D874</f>
        <v>3.7206829020000001</v>
      </c>
      <c r="F410" s="6">
        <f>[1]Emissions!E874</f>
        <v>3.7783330959999999</v>
      </c>
      <c r="G410" s="6">
        <f>[1]Emissions!F874</f>
        <v>3.83198003</v>
      </c>
      <c r="H410" s="6">
        <f>[1]Emissions!G874</f>
        <v>3.8860562409999999</v>
      </c>
      <c r="I410" s="6">
        <f>[1]Emissions!H874</f>
        <v>3.9434520059999998</v>
      </c>
      <c r="J410" s="6">
        <f>[1]Emissions!I874</f>
        <v>3.8676494840000002</v>
      </c>
      <c r="K410" s="6">
        <f>[1]Emissions!J874</f>
        <v>3.794094319</v>
      </c>
      <c r="L410" s="6">
        <f>[1]Emissions!K874</f>
        <v>3.721575504</v>
      </c>
      <c r="M410" s="6">
        <f>[1]Emissions!L874</f>
        <v>3.634796959</v>
      </c>
      <c r="N410" s="6">
        <f>[1]Emissions!M874</f>
        <v>3.5155668000000002</v>
      </c>
      <c r="O410" s="6">
        <f>[1]Emissions!N874</f>
        <v>3.3736470719999998</v>
      </c>
      <c r="P410" s="6">
        <f>[1]Emissions!O874</f>
        <v>3.2193145689999998</v>
      </c>
      <c r="Q410" s="6">
        <f>[1]Emissions!P874</f>
        <v>3.0601010290000001</v>
      </c>
      <c r="R410" s="6">
        <f>[1]Emissions!Q874</f>
        <v>2.9000702779999998</v>
      </c>
      <c r="S410" s="6">
        <f>[1]Emissions!R874</f>
        <v>2.7409288159999998</v>
      </c>
      <c r="T410" s="6">
        <f>[1]Emissions!S874</f>
        <v>2.5842856369999998</v>
      </c>
      <c r="U410" s="6">
        <f>[1]Emissions!T874</f>
        <v>2.4301895359999999</v>
      </c>
      <c r="V410" s="6">
        <f>[1]Emissions!U874</f>
        <v>2.2786099900000001</v>
      </c>
      <c r="W410" s="6">
        <f>[1]Emissions!V874</f>
        <v>2.1291159780000002</v>
      </c>
      <c r="X410" s="6">
        <f>[1]Emissions!W874</f>
        <v>1.982282224</v>
      </c>
      <c r="Y410" s="6">
        <f>[1]Emissions!X874</f>
        <v>1.837879203</v>
      </c>
      <c r="Z410" s="6">
        <f>[1]Emissions!Y874</f>
        <v>1.6953040690000001</v>
      </c>
      <c r="AA410" s="6">
        <f>[1]Emissions!Z874</f>
        <v>1.553751163</v>
      </c>
      <c r="AB410" s="6">
        <f>[1]Emissions!AA874</f>
        <v>1.4116877670000001</v>
      </c>
      <c r="AC410" s="6">
        <f>[1]Emissions!AB874</f>
        <v>1.2696655859999999</v>
      </c>
      <c r="AD410" s="6">
        <f>[1]Emissions!AC874</f>
        <v>1.127243945</v>
      </c>
      <c r="AE410" s="6">
        <f>[1]Emissions!AD874</f>
        <v>0.98395983330000003</v>
      </c>
      <c r="AF410" s="6">
        <f>[1]Emissions!AE874</f>
        <v>0.83947215880000003</v>
      </c>
      <c r="AG410" s="6">
        <f>[1]Emissions!AF874</f>
        <v>0.69398130349999998</v>
      </c>
      <c r="AH410" s="6">
        <f>[1]Emissions!AG874</f>
        <v>0.54864276960000002</v>
      </c>
      <c r="AI410" s="6">
        <f>[1]Emissions!AH874</f>
        <v>0.40585179069999999</v>
      </c>
      <c r="AJ410" s="6">
        <f>[1]Emissions!AI874</f>
        <v>0.26966387689999999</v>
      </c>
      <c r="AK410" s="6">
        <f>[1]Emissions!AJ874</f>
        <v>0.14668012650000001</v>
      </c>
      <c r="AL410" s="6">
        <f>[1]Emissions!AK874</f>
        <v>4.7559242799999998E-2</v>
      </c>
    </row>
    <row r="411" spans="2:38" x14ac:dyDescent="0.35">
      <c r="B411" s="6" t="str">
        <f>[1]Emissions!A876</f>
        <v>ems_ci_co2_seco_2</v>
      </c>
      <c r="C411" s="6">
        <f>[1]Emissions!B876</f>
        <v>7.4463073450000001</v>
      </c>
      <c r="D411" s="6">
        <f>[1]Emissions!C876</f>
        <v>7.559231703</v>
      </c>
      <c r="E411" s="6">
        <f>[1]Emissions!D876</f>
        <v>7.6693473660000002</v>
      </c>
      <c r="F411" s="6">
        <f>[1]Emissions!E876</f>
        <v>7.7881802200000001</v>
      </c>
      <c r="G411" s="6">
        <f>[1]Emissions!F876</f>
        <v>7.8987612560000002</v>
      </c>
      <c r="H411" s="6">
        <f>[1]Emissions!G876</f>
        <v>8.0102271510000005</v>
      </c>
      <c r="I411" s="6">
        <f>[1]Emissions!H876</f>
        <v>8.1285355540000008</v>
      </c>
      <c r="J411" s="6">
        <f>[1]Emissions!I876</f>
        <v>8.2399470739999998</v>
      </c>
      <c r="K411" s="6">
        <f>[1]Emissions!J876</f>
        <v>8.3641236659999993</v>
      </c>
      <c r="L411" s="6">
        <f>[1]Emissions!K876</f>
        <v>8.499612484</v>
      </c>
      <c r="M411" s="6">
        <f>[1]Emissions!L876</f>
        <v>8.6114362080000006</v>
      </c>
      <c r="N411" s="6">
        <f>[1]Emissions!M876</f>
        <v>8.6520699879999992</v>
      </c>
      <c r="O411" s="6">
        <f>[1]Emissions!N876</f>
        <v>8.6378904569999992</v>
      </c>
      <c r="P411" s="6">
        <f>[1]Emissions!O876</f>
        <v>8.5894023819999994</v>
      </c>
      <c r="Q411" s="6">
        <f>[1]Emissions!P876</f>
        <v>8.5230656220000007</v>
      </c>
      <c r="R411" s="6">
        <f>[1]Emissions!Q876</f>
        <v>8.4482607590000001</v>
      </c>
      <c r="S411" s="6">
        <f>[1]Emissions!R876</f>
        <v>8.3689765989999998</v>
      </c>
      <c r="T411" s="6">
        <f>[1]Emissions!S876</f>
        <v>8.2896959910000003</v>
      </c>
      <c r="U411" s="6">
        <f>[1]Emissions!T876</f>
        <v>8.2105856779999993</v>
      </c>
      <c r="V411" s="6">
        <f>[1]Emissions!U876</f>
        <v>8.1315671179999995</v>
      </c>
      <c r="W411" s="6">
        <f>[1]Emissions!V876</f>
        <v>8.0510289769999996</v>
      </c>
      <c r="X411" s="6">
        <f>[1]Emissions!W876</f>
        <v>7.9709960930000001</v>
      </c>
      <c r="Y411" s="6">
        <f>[1]Emissions!X876</f>
        <v>7.8905894700000001</v>
      </c>
      <c r="Z411" s="6">
        <f>[1]Emissions!Y876</f>
        <v>7.8069569120000004</v>
      </c>
      <c r="AA411" s="6">
        <f>[1]Emissions!Z876</f>
        <v>7.7153477480000001</v>
      </c>
      <c r="AB411" s="6">
        <f>[1]Emissions!AA876</f>
        <v>7.6054826860000002</v>
      </c>
      <c r="AC411" s="6">
        <f>[1]Emissions!AB876</f>
        <v>7.475541411</v>
      </c>
      <c r="AD411" s="6">
        <f>[1]Emissions!AC876</f>
        <v>7.3165237230000004</v>
      </c>
      <c r="AE411" s="6">
        <f>[1]Emissions!AD876</f>
        <v>7.1151725939999997</v>
      </c>
      <c r="AF411" s="6">
        <f>[1]Emissions!AE876</f>
        <v>6.8524160250000001</v>
      </c>
      <c r="AG411" s="6">
        <f>[1]Emissions!AF876</f>
        <v>6.503008297</v>
      </c>
      <c r="AH411" s="6">
        <f>[1]Emissions!AG876</f>
        <v>6.0347378870000004</v>
      </c>
      <c r="AI411" s="6">
        <f>[1]Emissions!AH876</f>
        <v>5.4049338520000001</v>
      </c>
      <c r="AJ411" s="6">
        <f>[1]Emissions!AI876</f>
        <v>4.5537246930000004</v>
      </c>
      <c r="AK411" s="6">
        <f>[1]Emissions!AJ876</f>
        <v>3.39344015</v>
      </c>
      <c r="AL411" s="6">
        <f>[1]Emissions!AK876</f>
        <v>1.785573952</v>
      </c>
    </row>
    <row r="412" spans="2:38" x14ac:dyDescent="0.35">
      <c r="B412" s="6" t="str">
        <f>[1]Emissions!A878</f>
        <v>ems_ci_co2_sech_2</v>
      </c>
      <c r="C412" s="6">
        <f>[1]Emissions!B878</f>
        <v>9.6588429310000006</v>
      </c>
      <c r="D412" s="6">
        <f>[1]Emissions!C878</f>
        <v>9.7801727599999992</v>
      </c>
      <c r="E412" s="6">
        <f>[1]Emissions!D878</f>
        <v>9.8998296719999992</v>
      </c>
      <c r="F412" s="6">
        <f>[1]Emissions!E878</f>
        <v>10.02382766</v>
      </c>
      <c r="G412" s="6">
        <f>[1]Emissions!F878</f>
        <v>10.143474100000001</v>
      </c>
      <c r="H412" s="6">
        <f>[1]Emissions!G878</f>
        <v>10.269926890000001</v>
      </c>
      <c r="I412" s="6">
        <f>[1]Emissions!H878</f>
        <v>10.39553274</v>
      </c>
      <c r="J412" s="6">
        <f>[1]Emissions!I878</f>
        <v>10.452641440000001</v>
      </c>
      <c r="K412" s="6">
        <f>[1]Emissions!J878</f>
        <v>10.525611420000001</v>
      </c>
      <c r="L412" s="6">
        <f>[1]Emissions!K878</f>
        <v>10.62546875</v>
      </c>
      <c r="M412" s="6">
        <f>[1]Emissions!L878</f>
        <v>10.73773465</v>
      </c>
      <c r="N412" s="6">
        <f>[1]Emissions!M878</f>
        <v>10.812772409999999</v>
      </c>
      <c r="O412" s="6">
        <f>[1]Emissions!N878</f>
        <v>10.858844619999999</v>
      </c>
      <c r="P412" s="6">
        <f>[1]Emissions!O878</f>
        <v>10.886198930000001</v>
      </c>
      <c r="Q412" s="6">
        <f>[1]Emissions!P878</f>
        <v>10.904518680000001</v>
      </c>
      <c r="R412" s="6">
        <f>[1]Emissions!Q878</f>
        <v>10.920676370000001</v>
      </c>
      <c r="S412" s="6">
        <f>[1]Emissions!R878</f>
        <v>10.94203385</v>
      </c>
      <c r="T412" s="6">
        <f>[1]Emissions!S878</f>
        <v>10.97240173</v>
      </c>
      <c r="U412" s="6">
        <f>[1]Emissions!T878</f>
        <v>11.01367971</v>
      </c>
      <c r="V412" s="6">
        <f>[1]Emissions!U878</f>
        <v>11.0686439</v>
      </c>
      <c r="W412" s="6">
        <f>[1]Emissions!V878</f>
        <v>11.136597890000001</v>
      </c>
      <c r="X412" s="6">
        <f>[1]Emissions!W878</f>
        <v>11.229002059999999</v>
      </c>
      <c r="Y412" s="6">
        <f>[1]Emissions!X878</f>
        <v>11.350698830000001</v>
      </c>
      <c r="Z412" s="6">
        <f>[1]Emissions!Y878</f>
        <v>11.50617592</v>
      </c>
      <c r="AA412" s="6">
        <f>[1]Emissions!Z878</f>
        <v>11.699979020000001</v>
      </c>
      <c r="AB412" s="6">
        <f>[1]Emissions!AA878</f>
        <v>11.92552373</v>
      </c>
      <c r="AC412" s="6">
        <f>[1]Emissions!AB878</f>
        <v>12.20335916</v>
      </c>
      <c r="AD412" s="6">
        <f>[1]Emissions!AC878</f>
        <v>12.543127999999999</v>
      </c>
      <c r="AE412" s="6">
        <f>[1]Emissions!AD878</f>
        <v>12.95435876</v>
      </c>
      <c r="AF412" s="6">
        <f>[1]Emissions!AE878</f>
        <v>13.446646510000001</v>
      </c>
      <c r="AG412" s="6">
        <f>[1]Emissions!AF878</f>
        <v>14.031579989999999</v>
      </c>
      <c r="AH412" s="6">
        <f>[1]Emissions!AG878</f>
        <v>14.72619576</v>
      </c>
      <c r="AI412" s="6">
        <f>[1]Emissions!AH878</f>
        <v>15.555656409999999</v>
      </c>
      <c r="AJ412" s="6">
        <f>[1]Emissions!AI878</f>
        <v>16.556011170000001</v>
      </c>
      <c r="AK412" s="6">
        <f>[1]Emissions!AJ878</f>
        <v>17.780565469999999</v>
      </c>
      <c r="AL412" s="6">
        <f>[1]Emissions!AK878</f>
        <v>19.310748329999999</v>
      </c>
    </row>
    <row r="413" spans="2:38" x14ac:dyDescent="0.35">
      <c r="B413" s="6" t="str">
        <f>[1]Emissions!A880</f>
        <v>ems_ci_co2_seot_2</v>
      </c>
      <c r="C413" s="6">
        <f>[1]Emissions!B880</f>
        <v>1.3202878659999999</v>
      </c>
      <c r="D413" s="6">
        <f>[1]Emissions!C880</f>
        <v>1.3351625970000001</v>
      </c>
      <c r="E413" s="6">
        <f>[1]Emissions!D880</f>
        <v>1.348855393</v>
      </c>
      <c r="F413" s="6">
        <f>[1]Emissions!E880</f>
        <v>1.362341091</v>
      </c>
      <c r="G413" s="6">
        <f>[1]Emissions!F880</f>
        <v>1.3768401429999999</v>
      </c>
      <c r="H413" s="6">
        <f>[1]Emissions!G880</f>
        <v>1.3932335039999999</v>
      </c>
      <c r="I413" s="6">
        <f>[1]Emissions!H880</f>
        <v>1.4112934319999999</v>
      </c>
      <c r="J413" s="6">
        <f>[1]Emissions!I880</f>
        <v>1.426237478</v>
      </c>
      <c r="K413" s="6">
        <f>[1]Emissions!J880</f>
        <v>1.4431261769999999</v>
      </c>
      <c r="L413" s="6">
        <f>[1]Emissions!K880</f>
        <v>1.4624433299999999</v>
      </c>
      <c r="M413" s="6">
        <f>[1]Emissions!L880</f>
        <v>1.479147387</v>
      </c>
      <c r="N413" s="6">
        <f>[1]Emissions!M880</f>
        <v>1.4885816359999999</v>
      </c>
      <c r="O413" s="6">
        <f>[1]Emissions!N880</f>
        <v>1.4925716899999999</v>
      </c>
      <c r="P413" s="6">
        <f>[1]Emissions!O880</f>
        <v>1.493911714</v>
      </c>
      <c r="Q413" s="6">
        <f>[1]Emissions!P880</f>
        <v>1.49499056</v>
      </c>
      <c r="R413" s="6">
        <f>[1]Emissions!Q880</f>
        <v>1.4972127909999999</v>
      </c>
      <c r="S413" s="6">
        <f>[1]Emissions!R880</f>
        <v>1.5000165560000001</v>
      </c>
      <c r="T413" s="6">
        <f>[1]Emissions!S880</f>
        <v>1.504895511</v>
      </c>
      <c r="U413" s="6">
        <f>[1]Emissions!T880</f>
        <v>1.5124194959999999</v>
      </c>
      <c r="V413" s="6">
        <f>[1]Emissions!U880</f>
        <v>1.5230765639999999</v>
      </c>
      <c r="W413" s="6">
        <f>[1]Emissions!V880</f>
        <v>1.5371161739999999</v>
      </c>
      <c r="X413" s="6">
        <f>[1]Emissions!W880</f>
        <v>1.5555916729999999</v>
      </c>
      <c r="Y413" s="6">
        <f>[1]Emissions!X880</f>
        <v>1.5791993120000001</v>
      </c>
      <c r="Z413" s="6">
        <f>[1]Emissions!Y880</f>
        <v>1.6084810439999999</v>
      </c>
      <c r="AA413" s="6">
        <f>[1]Emissions!Z880</f>
        <v>1.643879477</v>
      </c>
      <c r="AB413" s="6">
        <f>[1]Emissions!AA880</f>
        <v>1.6849915099999999</v>
      </c>
      <c r="AC413" s="6">
        <f>[1]Emissions!AB880</f>
        <v>1.7337073949999999</v>
      </c>
      <c r="AD413" s="6">
        <f>[1]Emissions!AC880</f>
        <v>1.7910982310000001</v>
      </c>
      <c r="AE413" s="6">
        <f>[1]Emissions!AD880</f>
        <v>1.8581860910000001</v>
      </c>
      <c r="AF413" s="6">
        <f>[1]Emissions!AE880</f>
        <v>1.935821199</v>
      </c>
      <c r="AG413" s="6">
        <f>[1]Emissions!AF880</f>
        <v>2.0249638019999998</v>
      </c>
      <c r="AH413" s="6">
        <f>[1]Emissions!AG880</f>
        <v>2.127203443</v>
      </c>
      <c r="AI413" s="6">
        <f>[1]Emissions!AH880</f>
        <v>2.2450944009999998</v>
      </c>
      <c r="AJ413" s="6">
        <f>[1]Emissions!AI880</f>
        <v>2.3823441609999998</v>
      </c>
      <c r="AK413" s="6">
        <f>[1]Emissions!AJ880</f>
        <v>2.5444643500000002</v>
      </c>
      <c r="AL413" s="6">
        <f>[1]Emissions!AK880</f>
        <v>2.739916338</v>
      </c>
    </row>
    <row r="414" spans="2:38" x14ac:dyDescent="0.35">
      <c r="B414" s="6" t="str">
        <f>[1]Emissions!A882</f>
        <v>ems_y_co2_sagr_2</v>
      </c>
      <c r="C414" s="6">
        <f>[1]Emissions!B882</f>
        <v>2.7534944400000001E-2</v>
      </c>
      <c r="D414" s="6">
        <f>[1]Emissions!C882</f>
        <v>2.8000791099999998E-2</v>
      </c>
      <c r="E414" s="6">
        <f>[1]Emissions!D882</f>
        <v>2.8553087000000001E-2</v>
      </c>
      <c r="F414" s="6">
        <f>[1]Emissions!E882</f>
        <v>2.9187306999999999E-2</v>
      </c>
      <c r="G414" s="6">
        <f>[1]Emissions!F882</f>
        <v>2.9887357E-2</v>
      </c>
      <c r="H414" s="6">
        <f>[1]Emissions!G882</f>
        <v>3.06469779E-2</v>
      </c>
      <c r="I414" s="6">
        <f>[1]Emissions!H882</f>
        <v>3.1438939300000003E-2</v>
      </c>
      <c r="J414" s="6">
        <f>[1]Emissions!I882</f>
        <v>3.2128166600000001E-2</v>
      </c>
      <c r="K414" s="6">
        <f>[1]Emissions!J882</f>
        <v>3.2801510899999997E-2</v>
      </c>
      <c r="L414" s="6">
        <f>[1]Emissions!K882</f>
        <v>3.3621082900000002E-2</v>
      </c>
      <c r="M414" s="6">
        <f>[1]Emissions!L882</f>
        <v>3.4445857199999999E-2</v>
      </c>
      <c r="N414" s="6">
        <f>[1]Emissions!M882</f>
        <v>3.5149242300000001E-2</v>
      </c>
      <c r="O414" s="6">
        <f>[1]Emissions!N882</f>
        <v>3.5752108800000001E-2</v>
      </c>
      <c r="P414" s="6">
        <f>[1]Emissions!O882</f>
        <v>3.6279306599999998E-2</v>
      </c>
      <c r="Q414" s="6">
        <f>[1]Emissions!P882</f>
        <v>3.6762136799999998E-2</v>
      </c>
      <c r="R414" s="6">
        <f>[1]Emissions!Q882</f>
        <v>3.72213869E-2</v>
      </c>
      <c r="S414" s="6">
        <f>[1]Emissions!R882</f>
        <v>3.7684225500000001E-2</v>
      </c>
      <c r="T414" s="6">
        <f>[1]Emissions!S882</f>
        <v>3.8163102800000001E-2</v>
      </c>
      <c r="U414" s="6">
        <f>[1]Emissions!T882</f>
        <v>3.8674602600000003E-2</v>
      </c>
      <c r="V414" s="6">
        <f>[1]Emissions!U882</f>
        <v>3.9230911299999997E-2</v>
      </c>
      <c r="W414" s="6">
        <f>[1]Emissions!V882</f>
        <v>3.9834087999999997E-2</v>
      </c>
      <c r="X414" s="6">
        <f>[1]Emissions!W882</f>
        <v>4.0504353299999997E-2</v>
      </c>
      <c r="Y414" s="6">
        <f>[1]Emissions!X882</f>
        <v>4.12523152E-2</v>
      </c>
      <c r="Z414" s="6">
        <f>[1]Emissions!Y882</f>
        <v>4.2085297799999997E-2</v>
      </c>
      <c r="AA414" s="6">
        <f>[1]Emissions!Z882</f>
        <v>4.3005759800000001E-2</v>
      </c>
      <c r="AB414" s="6">
        <f>[1]Emissions!AA882</f>
        <v>4.3989969199999999E-2</v>
      </c>
      <c r="AC414" s="6">
        <f>[1]Emissions!AB882</f>
        <v>4.5053164999999999E-2</v>
      </c>
      <c r="AD414" s="6">
        <f>[1]Emissions!AC882</f>
        <v>4.6212618499999997E-2</v>
      </c>
      <c r="AE414" s="6">
        <f>[1]Emissions!AD882</f>
        <v>4.7474582899999999E-2</v>
      </c>
      <c r="AF414" s="6">
        <f>[1]Emissions!AE882</f>
        <v>4.8834454200000002E-2</v>
      </c>
      <c r="AG414" s="6">
        <f>[1]Emissions!AF882</f>
        <v>5.02813935E-2</v>
      </c>
      <c r="AH414" s="6">
        <f>[1]Emissions!AG882</f>
        <v>5.1804954299999997E-2</v>
      </c>
      <c r="AI414" s="6">
        <f>[1]Emissions!AH882</f>
        <v>5.3396829600000001E-2</v>
      </c>
      <c r="AJ414" s="6">
        <f>[1]Emissions!AI882</f>
        <v>5.5049773199999999E-2</v>
      </c>
      <c r="AK414" s="6">
        <f>[1]Emissions!AJ882</f>
        <v>5.6757762000000003E-2</v>
      </c>
      <c r="AL414" s="6">
        <f>[1]Emissions!AK882</f>
        <v>5.8516633800000002E-2</v>
      </c>
    </row>
    <row r="415" spans="2:38" x14ac:dyDescent="0.35">
      <c r="B415" s="6" t="str">
        <f>[1]Emissions!A883</f>
        <v>ems_mat_co2_spub_2</v>
      </c>
      <c r="C415" s="6">
        <f>[1]Emissions!B883</f>
        <v>4.2805170859999997</v>
      </c>
      <c r="D415" s="6">
        <f>[1]Emissions!C883</f>
        <v>4.3431138960000002</v>
      </c>
      <c r="E415" s="6">
        <f>[1]Emissions!D883</f>
        <v>4.4131624839999999</v>
      </c>
      <c r="F415" s="6">
        <f>[1]Emissions!E883</f>
        <v>4.4872506120000004</v>
      </c>
      <c r="G415" s="6">
        <f>[1]Emissions!F883</f>
        <v>4.5645146700000003</v>
      </c>
      <c r="H415" s="6">
        <f>[1]Emissions!G883</f>
        <v>4.6446188450000001</v>
      </c>
      <c r="I415" s="6">
        <f>[1]Emissions!H883</f>
        <v>4.7237514950000001</v>
      </c>
      <c r="J415" s="6">
        <f>[1]Emissions!I883</f>
        <v>4.8032700029999997</v>
      </c>
      <c r="K415" s="6">
        <f>[1]Emissions!J883</f>
        <v>4.8840128739999997</v>
      </c>
      <c r="L415" s="6">
        <f>[1]Emissions!K883</f>
        <v>4.9697677630000001</v>
      </c>
      <c r="M415" s="6">
        <f>[1]Emissions!L883</f>
        <v>5.0641307099999997</v>
      </c>
      <c r="N415" s="6">
        <f>[1]Emissions!M883</f>
        <v>5.152661954</v>
      </c>
      <c r="O415" s="6">
        <f>[1]Emissions!N883</f>
        <v>5.2392077270000001</v>
      </c>
      <c r="P415" s="6">
        <f>[1]Emissions!O883</f>
        <v>5.3245190579999999</v>
      </c>
      <c r="Q415" s="6">
        <f>[1]Emissions!P883</f>
        <v>5.4093404500000002</v>
      </c>
      <c r="R415" s="6">
        <f>[1]Emissions!Q883</f>
        <v>5.4943732130000003</v>
      </c>
      <c r="S415" s="6">
        <f>[1]Emissions!R883</f>
        <v>5.5804963010000002</v>
      </c>
      <c r="T415" s="6">
        <f>[1]Emissions!S883</f>
        <v>5.6684469210000001</v>
      </c>
      <c r="U415" s="6">
        <f>[1]Emissions!T883</f>
        <v>5.7588928260000003</v>
      </c>
      <c r="V415" s="6">
        <f>[1]Emissions!U883</f>
        <v>5.8523700410000004</v>
      </c>
      <c r="W415" s="6">
        <f>[1]Emissions!V883</f>
        <v>5.9448212060000003</v>
      </c>
      <c r="X415" s="6">
        <f>[1]Emissions!W883</f>
        <v>6.0449023339999997</v>
      </c>
      <c r="Y415" s="6">
        <f>[1]Emissions!X883</f>
        <v>6.1498187399999997</v>
      </c>
      <c r="Z415" s="6">
        <f>[1]Emissions!Y883</f>
        <v>6.2595391019999997</v>
      </c>
      <c r="AA415" s="6">
        <f>[1]Emissions!Z883</f>
        <v>6.374256591</v>
      </c>
      <c r="AB415" s="6">
        <f>[1]Emissions!AA883</f>
        <v>6.4809238560000004</v>
      </c>
      <c r="AC415" s="6">
        <f>[1]Emissions!AB883</f>
        <v>6.5975470789999999</v>
      </c>
      <c r="AD415" s="6">
        <f>[1]Emissions!AC883</f>
        <v>6.7200985390000003</v>
      </c>
      <c r="AE415" s="6">
        <f>[1]Emissions!AD883</f>
        <v>6.8483991319999999</v>
      </c>
      <c r="AF415" s="6">
        <f>[1]Emissions!AE883</f>
        <v>6.9825321770000004</v>
      </c>
      <c r="AG415" s="6">
        <f>[1]Emissions!AF883</f>
        <v>7.1224547960000004</v>
      </c>
      <c r="AH415" s="6">
        <f>[1]Emissions!AG883</f>
        <v>7.2680953920000002</v>
      </c>
      <c r="AI415" s="6">
        <f>[1]Emissions!AH883</f>
        <v>7.4194590260000002</v>
      </c>
      <c r="AJ415" s="6">
        <f>[1]Emissions!AI883</f>
        <v>7.5766950460000002</v>
      </c>
      <c r="AK415" s="6">
        <f>[1]Emissions!AJ883</f>
        <v>7.7401529880000002</v>
      </c>
      <c r="AL415" s="6">
        <f>[1]Emissions!AK883</f>
        <v>7.9104805120000004</v>
      </c>
    </row>
    <row r="416" spans="2:38" x14ac:dyDescent="0.35">
      <c r="B416" s="6" t="str">
        <f>[1]Emissions!A884</f>
        <v>ems_mat_co2_sgla_2</v>
      </c>
      <c r="C416" s="6">
        <f>[1]Emissions!B884</f>
        <v>10.94636216</v>
      </c>
      <c r="D416" s="6">
        <f>[1]Emissions!C884</f>
        <v>11.14064881</v>
      </c>
      <c r="E416" s="6">
        <f>[1]Emissions!D884</f>
        <v>11.367151809999999</v>
      </c>
      <c r="F416" s="6">
        <f>[1]Emissions!E884</f>
        <v>11.61341799</v>
      </c>
      <c r="G416" s="6">
        <f>[1]Emissions!F884</f>
        <v>11.881290399999999</v>
      </c>
      <c r="H416" s="6">
        <f>[1]Emissions!G884</f>
        <v>12.17149577</v>
      </c>
      <c r="I416" s="6">
        <f>[1]Emissions!H884</f>
        <v>12.47664705</v>
      </c>
      <c r="J416" s="6">
        <f>[1]Emissions!I884</f>
        <v>12.718026289999999</v>
      </c>
      <c r="K416" s="6">
        <f>[1]Emissions!J884</f>
        <v>12.934295329999999</v>
      </c>
      <c r="L416" s="6">
        <f>[1]Emissions!K884</f>
        <v>13.18478927</v>
      </c>
      <c r="M416" s="6">
        <f>[1]Emissions!L884</f>
        <v>13.439073260000001</v>
      </c>
      <c r="N416" s="6">
        <f>[1]Emissions!M884</f>
        <v>13.66793352</v>
      </c>
      <c r="O416" s="6">
        <f>[1]Emissions!N884</f>
        <v>13.87527912</v>
      </c>
      <c r="P416" s="6">
        <f>[1]Emissions!O884</f>
        <v>14.070669779999999</v>
      </c>
      <c r="Q416" s="6">
        <f>[1]Emissions!P884</f>
        <v>14.265718359999999</v>
      </c>
      <c r="R416" s="6">
        <f>[1]Emissions!Q884</f>
        <v>14.468236989999999</v>
      </c>
      <c r="S416" s="6">
        <f>[1]Emissions!R884</f>
        <v>14.68321111</v>
      </c>
      <c r="T416" s="6">
        <f>[1]Emissions!S884</f>
        <v>14.9122428</v>
      </c>
      <c r="U416" s="6">
        <f>[1]Emissions!T884</f>
        <v>15.161035419999999</v>
      </c>
      <c r="V416" s="6">
        <f>[1]Emissions!U884</f>
        <v>15.434542309999999</v>
      </c>
      <c r="W416" s="6">
        <f>[1]Emissions!V884</f>
        <v>15.73449098</v>
      </c>
      <c r="X416" s="6">
        <f>[1]Emissions!W884</f>
        <v>16.067785000000001</v>
      </c>
      <c r="Y416" s="6">
        <f>[1]Emissions!X884</f>
        <v>16.438887900000001</v>
      </c>
      <c r="Z416" s="6">
        <f>[1]Emissions!Y884</f>
        <v>16.850700870000001</v>
      </c>
      <c r="AA416" s="6">
        <f>[1]Emissions!Z884</f>
        <v>17.304619720000002</v>
      </c>
      <c r="AB416" s="6">
        <f>[1]Emissions!AA884</f>
        <v>17.7937677</v>
      </c>
      <c r="AC416" s="6">
        <f>[1]Emissions!AB884</f>
        <v>18.322136910000001</v>
      </c>
      <c r="AD416" s="6">
        <f>[1]Emissions!AC884</f>
        <v>18.897883010000001</v>
      </c>
      <c r="AE416" s="6">
        <f>[1]Emissions!AD884</f>
        <v>19.52464226</v>
      </c>
      <c r="AF416" s="6">
        <f>[1]Emissions!AE884</f>
        <v>20.20323531</v>
      </c>
      <c r="AG416" s="6">
        <f>[1]Emissions!AF884</f>
        <v>20.93377903</v>
      </c>
      <c r="AH416" s="6">
        <f>[1]Emissions!AG884</f>
        <v>21.718590849999998</v>
      </c>
      <c r="AI416" s="6">
        <f>[1]Emissions!AH884</f>
        <v>22.56319693</v>
      </c>
      <c r="AJ416" s="6">
        <f>[1]Emissions!AI884</f>
        <v>23.4762129</v>
      </c>
      <c r="AK416" s="6">
        <f>[1]Emissions!AJ884</f>
        <v>24.471298409999999</v>
      </c>
      <c r="AL416" s="6">
        <f>[1]Emissions!AK884</f>
        <v>25.57023053</v>
      </c>
    </row>
    <row r="418" spans="1:38" x14ac:dyDescent="0.35">
      <c r="A418" s="12" t="s">
        <v>92</v>
      </c>
      <c r="B418" t="s">
        <v>7</v>
      </c>
      <c r="C418" s="6">
        <f>C388+C389+C414</f>
        <v>14.7366769707</v>
      </c>
      <c r="D418" s="6">
        <f t="shared" ref="D418:AL418" si="76">D388+D389+D414</f>
        <v>14.862805313300001</v>
      </c>
      <c r="E418" s="6">
        <f t="shared" si="76"/>
        <v>15.0197926745</v>
      </c>
      <c r="F418" s="6">
        <f t="shared" si="76"/>
        <v>15.1877537046</v>
      </c>
      <c r="G418" s="6">
        <f t="shared" si="76"/>
        <v>15.4368905745</v>
      </c>
      <c r="H418" s="6">
        <f t="shared" si="76"/>
        <v>15.7563534017</v>
      </c>
      <c r="I418" s="6">
        <f t="shared" si="76"/>
        <v>16.1081917512</v>
      </c>
      <c r="J418" s="6">
        <f t="shared" si="76"/>
        <v>15.618904406899999</v>
      </c>
      <c r="K418" s="6">
        <f t="shared" si="76"/>
        <v>15.050362678600001</v>
      </c>
      <c r="L418" s="6">
        <f t="shared" si="76"/>
        <v>14.5181758441</v>
      </c>
      <c r="M418" s="6">
        <f t="shared" si="76"/>
        <v>13.990202565099999</v>
      </c>
      <c r="N418" s="6">
        <f t="shared" si="76"/>
        <v>13.474347069399998</v>
      </c>
      <c r="O418" s="6">
        <f t="shared" si="76"/>
        <v>12.961704546100002</v>
      </c>
      <c r="P418" s="6">
        <f t="shared" si="76"/>
        <v>12.451112558899998</v>
      </c>
      <c r="Q418" s="6">
        <f t="shared" si="76"/>
        <v>11.9463538575</v>
      </c>
      <c r="R418" s="6">
        <f t="shared" si="76"/>
        <v>11.449328135</v>
      </c>
      <c r="S418" s="6">
        <f t="shared" si="76"/>
        <v>10.948824544199999</v>
      </c>
      <c r="T418" s="6">
        <f t="shared" si="76"/>
        <v>10.453713516100001</v>
      </c>
      <c r="U418" s="6">
        <f t="shared" si="76"/>
        <v>9.970300356500001</v>
      </c>
      <c r="V418" s="6">
        <f t="shared" si="76"/>
        <v>9.5014530823000012</v>
      </c>
      <c r="W418" s="6">
        <f t="shared" si="76"/>
        <v>9.0463267100999989</v>
      </c>
      <c r="X418" s="6">
        <f t="shared" si="76"/>
        <v>8.6066965017000001</v>
      </c>
      <c r="Y418" s="6">
        <f t="shared" si="76"/>
        <v>8.1814990852999987</v>
      </c>
      <c r="Z418" s="6">
        <f t="shared" si="76"/>
        <v>7.7680526983</v>
      </c>
      <c r="AA418" s="6">
        <f t="shared" si="76"/>
        <v>7.3623355788999998</v>
      </c>
      <c r="AB418" s="6">
        <f t="shared" si="76"/>
        <v>6.9562402215999999</v>
      </c>
      <c r="AC418" s="6">
        <f t="shared" si="76"/>
        <v>6.5475069441000002</v>
      </c>
      <c r="AD418" s="6">
        <f t="shared" si="76"/>
        <v>6.1332625619000005</v>
      </c>
      <c r="AE418" s="6">
        <f t="shared" si="76"/>
        <v>5.7079279599999992</v>
      </c>
      <c r="AF418" s="6">
        <f t="shared" si="76"/>
        <v>5.2637503231999991</v>
      </c>
      <c r="AG418" s="6">
        <f t="shared" si="76"/>
        <v>4.7919717863999995</v>
      </c>
      <c r="AH418" s="6">
        <f t="shared" si="76"/>
        <v>4.2837265360999996</v>
      </c>
      <c r="AI418" s="6">
        <f t="shared" si="76"/>
        <v>3.7299182658999999</v>
      </c>
      <c r="AJ418" s="6">
        <f t="shared" si="76"/>
        <v>3.1206412560999999</v>
      </c>
      <c r="AK418" s="6">
        <f t="shared" si="76"/>
        <v>2.4446641042000001</v>
      </c>
      <c r="AL418" s="6">
        <f t="shared" si="76"/>
        <v>1.6885336167</v>
      </c>
    </row>
    <row r="419" spans="1:38" x14ac:dyDescent="0.35">
      <c r="A419" t="s">
        <v>39</v>
      </c>
      <c r="B419" t="s">
        <v>64</v>
      </c>
      <c r="C419" s="6">
        <f>C390</f>
        <v>8.6183733500000006</v>
      </c>
      <c r="D419" s="6">
        <f t="shared" ref="D419:AL419" si="77">D390</f>
        <v>8.6008742229999999</v>
      </c>
      <c r="E419" s="6">
        <f t="shared" si="77"/>
        <v>8.5955247900000007</v>
      </c>
      <c r="F419" s="6">
        <f t="shared" si="77"/>
        <v>8.5823613460000008</v>
      </c>
      <c r="G419" s="6">
        <f t="shared" si="77"/>
        <v>8.6464284429999996</v>
      </c>
      <c r="H419" s="6">
        <f t="shared" si="77"/>
        <v>8.7724056929999996</v>
      </c>
      <c r="I419" s="6">
        <f t="shared" si="77"/>
        <v>8.886424216</v>
      </c>
      <c r="J419" s="6">
        <f t="shared" si="77"/>
        <v>8.4812928650000003</v>
      </c>
      <c r="K419" s="6">
        <f t="shared" si="77"/>
        <v>8.0362908409999996</v>
      </c>
      <c r="L419" s="6">
        <f t="shared" si="77"/>
        <v>7.6258634089999999</v>
      </c>
      <c r="M419" s="6">
        <f t="shared" si="77"/>
        <v>7.2464516620000001</v>
      </c>
      <c r="N419" s="6">
        <f t="shared" si="77"/>
        <v>6.9174335060000001</v>
      </c>
      <c r="O419" s="6">
        <f t="shared" si="77"/>
        <v>6.619920553</v>
      </c>
      <c r="P419" s="6">
        <f t="shared" si="77"/>
        <v>6.3427121719999997</v>
      </c>
      <c r="Q419" s="6">
        <f t="shared" si="77"/>
        <v>6.0808724649999997</v>
      </c>
      <c r="R419" s="6">
        <f t="shared" si="77"/>
        <v>5.8316597960000003</v>
      </c>
      <c r="S419" s="6">
        <f t="shared" si="77"/>
        <v>5.5932338350000004</v>
      </c>
      <c r="T419" s="6">
        <f t="shared" si="77"/>
        <v>5.3662818339999996</v>
      </c>
      <c r="U419" s="6">
        <f t="shared" si="77"/>
        <v>5.1516878659999996</v>
      </c>
      <c r="V419" s="6">
        <f t="shared" si="77"/>
        <v>4.9499295500000002</v>
      </c>
      <c r="W419" s="6">
        <f t="shared" si="77"/>
        <v>4.7601120510000001</v>
      </c>
      <c r="X419" s="6">
        <f t="shared" si="77"/>
        <v>4.5836160140000004</v>
      </c>
      <c r="Y419" s="6">
        <f t="shared" si="77"/>
        <v>4.4201257490000003</v>
      </c>
      <c r="Z419" s="6">
        <f t="shared" si="77"/>
        <v>4.2686691510000001</v>
      </c>
      <c r="AA419" s="6">
        <f t="shared" si="77"/>
        <v>4.127754221</v>
      </c>
      <c r="AB419" s="6">
        <f t="shared" si="77"/>
        <v>3.9932308860000001</v>
      </c>
      <c r="AC419" s="6">
        <f t="shared" si="77"/>
        <v>3.8650916249999998</v>
      </c>
      <c r="AD419" s="6">
        <f t="shared" si="77"/>
        <v>3.7427644889999998</v>
      </c>
      <c r="AE419" s="6">
        <f t="shared" si="77"/>
        <v>3.6239336990000002</v>
      </c>
      <c r="AF419" s="6">
        <f t="shared" si="77"/>
        <v>3.5050718889999999</v>
      </c>
      <c r="AG419" s="6">
        <f t="shared" si="77"/>
        <v>3.381955928</v>
      </c>
      <c r="AH419" s="6">
        <f t="shared" si="77"/>
        <v>3.2501910120000002</v>
      </c>
      <c r="AI419" s="6">
        <f t="shared" si="77"/>
        <v>3.105148598</v>
      </c>
      <c r="AJ419" s="6">
        <f t="shared" si="77"/>
        <v>2.9415768710000001</v>
      </c>
      <c r="AK419" s="6">
        <f t="shared" si="77"/>
        <v>2.7534794520000001</v>
      </c>
      <c r="AL419" s="6">
        <f t="shared" si="77"/>
        <v>2.5337553050000001</v>
      </c>
    </row>
    <row r="420" spans="1:38" x14ac:dyDescent="0.35">
      <c r="B420" t="s">
        <v>65</v>
      </c>
      <c r="C420" s="6">
        <f>C392+C416</f>
        <v>18.715958522999998</v>
      </c>
      <c r="D420" s="6">
        <f t="shared" ref="D420:AL420" si="78">D392+D416</f>
        <v>18.980013731</v>
      </c>
      <c r="E420" s="6">
        <f t="shared" si="78"/>
        <v>19.288227254999999</v>
      </c>
      <c r="F420" s="6">
        <f t="shared" si="78"/>
        <v>19.609977098999998</v>
      </c>
      <c r="G420" s="6">
        <f t="shared" si="78"/>
        <v>19.994255320999997</v>
      </c>
      <c r="H420" s="6">
        <f t="shared" si="78"/>
        <v>20.437740175999998</v>
      </c>
      <c r="I420" s="6">
        <f t="shared" si="78"/>
        <v>20.903678411000001</v>
      </c>
      <c r="J420" s="6">
        <f t="shared" si="78"/>
        <v>20.983654414</v>
      </c>
      <c r="K420" s="6">
        <f t="shared" si="78"/>
        <v>20.995372688</v>
      </c>
      <c r="L420" s="6">
        <f t="shared" si="78"/>
        <v>21.060775374999999</v>
      </c>
      <c r="M420" s="6">
        <f t="shared" si="78"/>
        <v>21.139990806</v>
      </c>
      <c r="N420" s="6">
        <f t="shared" si="78"/>
        <v>21.214427769</v>
      </c>
      <c r="O420" s="6">
        <f t="shared" si="78"/>
        <v>21.281361667999999</v>
      </c>
      <c r="P420" s="6">
        <f t="shared" si="78"/>
        <v>21.347695243</v>
      </c>
      <c r="Q420" s="6">
        <f t="shared" si="78"/>
        <v>21.425519258999998</v>
      </c>
      <c r="R420" s="6">
        <f t="shared" si="78"/>
        <v>21.522573442999999</v>
      </c>
      <c r="S420" s="6">
        <f t="shared" si="78"/>
        <v>21.637769846000001</v>
      </c>
      <c r="T420" s="6">
        <f t="shared" si="78"/>
        <v>21.773617694999999</v>
      </c>
      <c r="U420" s="6">
        <f t="shared" si="78"/>
        <v>21.938575180999997</v>
      </c>
      <c r="V420" s="6">
        <f t="shared" si="78"/>
        <v>22.139570295999999</v>
      </c>
      <c r="W420" s="6">
        <f t="shared" si="78"/>
        <v>22.378654711999999</v>
      </c>
      <c r="X420" s="6">
        <f t="shared" si="78"/>
        <v>22.664987697000001</v>
      </c>
      <c r="Y420" s="6">
        <f t="shared" si="78"/>
        <v>23.003958598000001</v>
      </c>
      <c r="Z420" s="6">
        <f t="shared" si="78"/>
        <v>23.398485935</v>
      </c>
      <c r="AA420" s="6">
        <f t="shared" si="78"/>
        <v>23.849330822000002</v>
      </c>
      <c r="AB420" s="6">
        <f t="shared" si="78"/>
        <v>24.346024790000001</v>
      </c>
      <c r="AC420" s="6">
        <f t="shared" si="78"/>
        <v>24.893192208000002</v>
      </c>
      <c r="AD420" s="6">
        <f t="shared" si="78"/>
        <v>25.500838969</v>
      </c>
      <c r="AE420" s="6">
        <f t="shared" si="78"/>
        <v>26.172116151000001</v>
      </c>
      <c r="AF420" s="6">
        <f t="shared" si="78"/>
        <v>26.906013979000001</v>
      </c>
      <c r="AG420" s="6">
        <f t="shared" si="78"/>
        <v>27.700451305000001</v>
      </c>
      <c r="AH420" s="6">
        <f t="shared" si="78"/>
        <v>28.556265374999999</v>
      </c>
      <c r="AI420" s="6">
        <f t="shared" si="78"/>
        <v>29.478320285999999</v>
      </c>
      <c r="AJ420" s="6">
        <f t="shared" si="78"/>
        <v>30.474957489000001</v>
      </c>
      <c r="AK420" s="6">
        <f t="shared" si="78"/>
        <v>31.560447893999999</v>
      </c>
      <c r="AL420" s="6">
        <f t="shared" si="78"/>
        <v>32.758639205000001</v>
      </c>
    </row>
    <row r="421" spans="1:38" x14ac:dyDescent="0.35">
      <c r="B421" t="s">
        <v>66</v>
      </c>
      <c r="C421" s="6">
        <f>C394</f>
        <v>13.59787135</v>
      </c>
      <c r="D421" s="6">
        <f t="shared" ref="D421:AL421" si="79">D394</f>
        <v>13.92087794</v>
      </c>
      <c r="E421" s="6">
        <f t="shared" si="79"/>
        <v>14.277824170000001</v>
      </c>
      <c r="F421" s="6">
        <f t="shared" si="79"/>
        <v>14.643037359999999</v>
      </c>
      <c r="G421" s="6">
        <f t="shared" si="79"/>
        <v>15.031362590000001</v>
      </c>
      <c r="H421" s="6">
        <f t="shared" si="79"/>
        <v>15.442164699999999</v>
      </c>
      <c r="I421" s="6">
        <f t="shared" si="79"/>
        <v>15.846615180000001</v>
      </c>
      <c r="J421" s="6">
        <f t="shared" si="79"/>
        <v>15.876093770000001</v>
      </c>
      <c r="K421" s="6">
        <f t="shared" si="79"/>
        <v>15.862658619999999</v>
      </c>
      <c r="L421" s="6">
        <f t="shared" si="79"/>
        <v>15.94685505</v>
      </c>
      <c r="M421" s="6">
        <f t="shared" si="79"/>
        <v>16.002370840000001</v>
      </c>
      <c r="N421" s="6">
        <f t="shared" si="79"/>
        <v>15.95489532</v>
      </c>
      <c r="O421" s="6">
        <f t="shared" si="79"/>
        <v>15.825877630000001</v>
      </c>
      <c r="P421" s="6">
        <f t="shared" si="79"/>
        <v>15.649132939999999</v>
      </c>
      <c r="Q421" s="6">
        <f t="shared" si="79"/>
        <v>15.45854935</v>
      </c>
      <c r="R421" s="6">
        <f t="shared" si="79"/>
        <v>15.27239385</v>
      </c>
      <c r="S421" s="6">
        <f t="shared" si="79"/>
        <v>15.10862217</v>
      </c>
      <c r="T421" s="6">
        <f t="shared" si="79"/>
        <v>14.973284319999999</v>
      </c>
      <c r="U421" s="6">
        <f t="shared" si="79"/>
        <v>14.87187786</v>
      </c>
      <c r="V421" s="6">
        <f t="shared" si="79"/>
        <v>14.80503571</v>
      </c>
      <c r="W421" s="6">
        <f t="shared" si="79"/>
        <v>14.770799200000001</v>
      </c>
      <c r="X421" s="6">
        <f t="shared" si="79"/>
        <v>14.771091180000001</v>
      </c>
      <c r="Y421" s="6">
        <f t="shared" si="79"/>
        <v>14.80637961</v>
      </c>
      <c r="Z421" s="6">
        <f t="shared" si="79"/>
        <v>14.874890389999999</v>
      </c>
      <c r="AA421" s="6">
        <f t="shared" si="79"/>
        <v>14.972414260000001</v>
      </c>
      <c r="AB421" s="6">
        <f t="shared" si="79"/>
        <v>15.090849560000001</v>
      </c>
      <c r="AC421" s="6">
        <f t="shared" si="79"/>
        <v>15.23204606</v>
      </c>
      <c r="AD421" s="6">
        <f t="shared" si="79"/>
        <v>15.40026432</v>
      </c>
      <c r="AE421" s="6">
        <f t="shared" si="79"/>
        <v>15.592988890000001</v>
      </c>
      <c r="AF421" s="6">
        <f t="shared" si="79"/>
        <v>15.80075972</v>
      </c>
      <c r="AG421" s="6">
        <f t="shared" si="79"/>
        <v>16.012223899999999</v>
      </c>
      <c r="AH421" s="6">
        <f t="shared" si="79"/>
        <v>16.219284219999999</v>
      </c>
      <c r="AI421" s="6">
        <f t="shared" si="79"/>
        <v>16.41685172</v>
      </c>
      <c r="AJ421" s="6">
        <f t="shared" si="79"/>
        <v>16.599908249999999</v>
      </c>
      <c r="AK421" s="6">
        <f t="shared" si="79"/>
        <v>16.763657590000001</v>
      </c>
      <c r="AL421" s="6">
        <f t="shared" si="79"/>
        <v>16.903748029999999</v>
      </c>
    </row>
    <row r="422" spans="1:38" x14ac:dyDescent="0.35">
      <c r="B422" t="s">
        <v>67</v>
      </c>
      <c r="C422" s="6">
        <f>C396</f>
        <v>19.467183080000002</v>
      </c>
      <c r="D422" s="6">
        <f t="shared" ref="D422:AL422" si="80">D396</f>
        <v>19.626557949999999</v>
      </c>
      <c r="E422" s="6">
        <f t="shared" si="80"/>
        <v>19.80657794</v>
      </c>
      <c r="F422" s="6">
        <f t="shared" si="80"/>
        <v>19.915262739999999</v>
      </c>
      <c r="G422" s="6">
        <f t="shared" si="80"/>
        <v>20.164043769999999</v>
      </c>
      <c r="H422" s="6">
        <f t="shared" si="80"/>
        <v>20.523449970000001</v>
      </c>
      <c r="I422" s="6">
        <f t="shared" si="80"/>
        <v>20.905779410000001</v>
      </c>
      <c r="J422" s="6">
        <f t="shared" si="80"/>
        <v>20.310686560000001</v>
      </c>
      <c r="K422" s="6">
        <f t="shared" si="80"/>
        <v>19.59793208</v>
      </c>
      <c r="L422" s="6">
        <f t="shared" si="80"/>
        <v>19.018739719999999</v>
      </c>
      <c r="M422" s="6">
        <f t="shared" si="80"/>
        <v>18.469233150000001</v>
      </c>
      <c r="N422" s="6">
        <f t="shared" si="80"/>
        <v>17.982499539999999</v>
      </c>
      <c r="O422" s="6">
        <f t="shared" si="80"/>
        <v>17.532402999999999</v>
      </c>
      <c r="P422" s="6">
        <f t="shared" si="80"/>
        <v>17.119776460000001</v>
      </c>
      <c r="Q422" s="6">
        <f t="shared" si="80"/>
        <v>16.756294199999999</v>
      </c>
      <c r="R422" s="6">
        <f t="shared" si="80"/>
        <v>16.444944100000001</v>
      </c>
      <c r="S422" s="6">
        <f t="shared" si="80"/>
        <v>16.143460470000001</v>
      </c>
      <c r="T422" s="6">
        <f t="shared" si="80"/>
        <v>15.871380309999999</v>
      </c>
      <c r="U422" s="6">
        <f t="shared" si="80"/>
        <v>15.64024251</v>
      </c>
      <c r="V422" s="6">
        <f t="shared" si="80"/>
        <v>15.453892290000001</v>
      </c>
      <c r="W422" s="6">
        <f t="shared" si="80"/>
        <v>15.31234252</v>
      </c>
      <c r="X422" s="6">
        <f t="shared" si="80"/>
        <v>15.21742762</v>
      </c>
      <c r="Y422" s="6">
        <f t="shared" si="80"/>
        <v>15.17007705</v>
      </c>
      <c r="Z422" s="6">
        <f t="shared" si="80"/>
        <v>15.168600100000001</v>
      </c>
      <c r="AA422" s="6">
        <f t="shared" si="80"/>
        <v>15.20909325</v>
      </c>
      <c r="AB422" s="6">
        <f t="shared" si="80"/>
        <v>15.28451862</v>
      </c>
      <c r="AC422" s="6">
        <f t="shared" si="80"/>
        <v>15.39550466</v>
      </c>
      <c r="AD422" s="6">
        <f t="shared" si="80"/>
        <v>15.54532043</v>
      </c>
      <c r="AE422" s="6">
        <f t="shared" si="80"/>
        <v>15.73137223</v>
      </c>
      <c r="AF422" s="6">
        <f t="shared" si="80"/>
        <v>15.94554273</v>
      </c>
      <c r="AG422" s="6">
        <f t="shared" si="80"/>
        <v>16.178476740000001</v>
      </c>
      <c r="AH422" s="6">
        <f t="shared" si="80"/>
        <v>16.42405011</v>
      </c>
      <c r="AI422" s="6">
        <f t="shared" si="80"/>
        <v>16.6792406</v>
      </c>
      <c r="AJ422" s="6">
        <f t="shared" si="80"/>
        <v>16.94177792</v>
      </c>
      <c r="AK422" s="6">
        <f t="shared" si="80"/>
        <v>17.210787060000001</v>
      </c>
      <c r="AL422" s="6">
        <f t="shared" si="80"/>
        <v>17.487579119999999</v>
      </c>
    </row>
    <row r="423" spans="1:38" x14ac:dyDescent="0.35">
      <c r="B423" t="s">
        <v>71</v>
      </c>
      <c r="C423" s="6">
        <f>C391+C393+C395+C397+C398+C399</f>
        <v>16.045023180000001</v>
      </c>
      <c r="D423" s="6">
        <f t="shared" ref="D423:AL423" si="81">D391+D393+D395+D397+D398+D399</f>
        <v>15.790902767999999</v>
      </c>
      <c r="E423" s="6">
        <f t="shared" si="81"/>
        <v>15.521975209999997</v>
      </c>
      <c r="F423" s="6">
        <f t="shared" si="81"/>
        <v>15.178393095000001</v>
      </c>
      <c r="G423" s="6">
        <f t="shared" si="81"/>
        <v>15.073513800000001</v>
      </c>
      <c r="H423" s="6">
        <f t="shared" si="81"/>
        <v>15.170166901</v>
      </c>
      <c r="I423" s="6">
        <f t="shared" si="81"/>
        <v>15.341792649</v>
      </c>
      <c r="J423" s="6">
        <f t="shared" si="81"/>
        <v>14.177478274</v>
      </c>
      <c r="K423" s="6">
        <f t="shared" si="81"/>
        <v>12.914393668199999</v>
      </c>
      <c r="L423" s="6">
        <f t="shared" si="81"/>
        <v>11.8028601195</v>
      </c>
      <c r="M423" s="6">
        <f t="shared" si="81"/>
        <v>10.829471188900001</v>
      </c>
      <c r="N423" s="6">
        <f t="shared" si="81"/>
        <v>10.046174454199999</v>
      </c>
      <c r="O423" s="6">
        <f t="shared" si="81"/>
        <v>9.3871551883999995</v>
      </c>
      <c r="P423" s="6">
        <f t="shared" si="81"/>
        <v>8.8145592111000006</v>
      </c>
      <c r="Q423" s="6">
        <f t="shared" si="81"/>
        <v>8.3105843387</v>
      </c>
      <c r="R423" s="6">
        <f t="shared" si="81"/>
        <v>7.8629480308000002</v>
      </c>
      <c r="S423" s="6">
        <f t="shared" si="81"/>
        <v>7.4405500806999996</v>
      </c>
      <c r="T423" s="6">
        <f t="shared" si="81"/>
        <v>7.0508550906999998</v>
      </c>
      <c r="U423" s="6">
        <f t="shared" si="81"/>
        <v>6.6978524730999993</v>
      </c>
      <c r="V423" s="6">
        <f t="shared" si="81"/>
        <v>6.3821795329999995</v>
      </c>
      <c r="W423" s="6">
        <f t="shared" si="81"/>
        <v>6.1021260674999995</v>
      </c>
      <c r="X423" s="6">
        <f t="shared" si="81"/>
        <v>5.8568650044999995</v>
      </c>
      <c r="Y423" s="6">
        <f t="shared" si="81"/>
        <v>5.6440912652000002</v>
      </c>
      <c r="Z423" s="6">
        <f t="shared" si="81"/>
        <v>5.4603115231999997</v>
      </c>
      <c r="AA423" s="6">
        <f t="shared" si="81"/>
        <v>5.3015336507999997</v>
      </c>
      <c r="AB423" s="6">
        <f t="shared" si="81"/>
        <v>5.1622061253</v>
      </c>
      <c r="AC423" s="6">
        <f t="shared" si="81"/>
        <v>5.0415338654999999</v>
      </c>
      <c r="AD423" s="6">
        <f t="shared" si="81"/>
        <v>4.9370400749999996</v>
      </c>
      <c r="AE423" s="6">
        <f t="shared" si="81"/>
        <v>4.8439747133000006</v>
      </c>
      <c r="AF423" s="6">
        <f t="shared" si="81"/>
        <v>4.7553345235000002</v>
      </c>
      <c r="AG423" s="6">
        <f t="shared" si="81"/>
        <v>4.6630056548000001</v>
      </c>
      <c r="AH423" s="6">
        <f t="shared" si="81"/>
        <v>4.5584798716000003</v>
      </c>
      <c r="AI423" s="6">
        <f t="shared" si="81"/>
        <v>4.4315728102000005</v>
      </c>
      <c r="AJ423" s="6">
        <f t="shared" si="81"/>
        <v>4.2677067654000007</v>
      </c>
      <c r="AK423" s="6">
        <f t="shared" si="81"/>
        <v>4.0446887801000004</v>
      </c>
      <c r="AL423" s="6">
        <f t="shared" si="81"/>
        <v>3.7255848631000004</v>
      </c>
    </row>
    <row r="424" spans="1:38" x14ac:dyDescent="0.35">
      <c r="B424" t="s">
        <v>68</v>
      </c>
      <c r="C424" s="6">
        <f>C401</f>
        <v>17.318265199999999</v>
      </c>
      <c r="D424" s="6">
        <f t="shared" ref="D424:AL424" si="82">D401</f>
        <v>17.591118760000001</v>
      </c>
      <c r="E424" s="6">
        <f t="shared" si="82"/>
        <v>17.900236710000001</v>
      </c>
      <c r="F424" s="6">
        <f t="shared" si="82"/>
        <v>18.230542889999999</v>
      </c>
      <c r="G424" s="6">
        <f t="shared" si="82"/>
        <v>18.594189629999999</v>
      </c>
      <c r="H424" s="6">
        <f t="shared" si="82"/>
        <v>18.987153559999999</v>
      </c>
      <c r="I424" s="6">
        <f t="shared" si="82"/>
        <v>19.38744999</v>
      </c>
      <c r="J424" s="6">
        <f t="shared" si="82"/>
        <v>19.023360499999999</v>
      </c>
      <c r="K424" s="6">
        <f t="shared" si="82"/>
        <v>18.608920510000001</v>
      </c>
      <c r="L424" s="6">
        <f t="shared" si="82"/>
        <v>18.23376863</v>
      </c>
      <c r="M424" s="6">
        <f t="shared" si="82"/>
        <v>17.842554230000001</v>
      </c>
      <c r="N424" s="6">
        <f t="shared" si="82"/>
        <v>17.391541960000001</v>
      </c>
      <c r="O424" s="6">
        <f t="shared" si="82"/>
        <v>16.886969180000001</v>
      </c>
      <c r="P424" s="6">
        <f t="shared" si="82"/>
        <v>16.343105909999998</v>
      </c>
      <c r="Q424" s="6">
        <f t="shared" si="82"/>
        <v>15.77640251</v>
      </c>
      <c r="R424" s="6">
        <f t="shared" si="82"/>
        <v>15.19731913</v>
      </c>
      <c r="S424" s="6">
        <f t="shared" si="82"/>
        <v>14.60937408</v>
      </c>
      <c r="T424" s="6">
        <f t="shared" si="82"/>
        <v>14.02077139</v>
      </c>
      <c r="U424" s="6">
        <f t="shared" si="82"/>
        <v>13.43648775</v>
      </c>
      <c r="V424" s="6">
        <f t="shared" si="82"/>
        <v>12.857910889999999</v>
      </c>
      <c r="W424" s="6">
        <f t="shared" si="82"/>
        <v>12.281931670000001</v>
      </c>
      <c r="X424" s="6">
        <f t="shared" si="82"/>
        <v>11.71149861</v>
      </c>
      <c r="Y424" s="6">
        <f t="shared" si="82"/>
        <v>11.14424474</v>
      </c>
      <c r="Z424" s="6">
        <f t="shared" si="82"/>
        <v>10.57702463</v>
      </c>
      <c r="AA424" s="6">
        <f t="shared" si="82"/>
        <v>10.005473869999999</v>
      </c>
      <c r="AB424" s="6">
        <f t="shared" si="82"/>
        <v>9.4191189269999995</v>
      </c>
      <c r="AC424" s="6">
        <f t="shared" si="82"/>
        <v>8.8200874599999999</v>
      </c>
      <c r="AD424" s="6">
        <f t="shared" si="82"/>
        <v>8.2041135329999992</v>
      </c>
      <c r="AE424" s="6">
        <f t="shared" si="82"/>
        <v>7.5660548600000004</v>
      </c>
      <c r="AF424" s="6">
        <f t="shared" si="82"/>
        <v>6.8990994969999999</v>
      </c>
      <c r="AG424" s="6">
        <f t="shared" si="82"/>
        <v>6.1960141440000003</v>
      </c>
      <c r="AH424" s="6">
        <f t="shared" si="82"/>
        <v>5.4502625120000001</v>
      </c>
      <c r="AI424" s="6">
        <f t="shared" si="82"/>
        <v>4.6560269600000002</v>
      </c>
      <c r="AJ424" s="6">
        <f t="shared" si="82"/>
        <v>3.8077805169999999</v>
      </c>
      <c r="AK424" s="6">
        <f t="shared" si="82"/>
        <v>2.8999807579999999</v>
      </c>
      <c r="AL424" s="6">
        <f t="shared" si="82"/>
        <v>1.9266870300000001</v>
      </c>
    </row>
    <row r="425" spans="1:38" x14ac:dyDescent="0.35">
      <c r="B425" t="s">
        <v>69</v>
      </c>
      <c r="C425" s="6">
        <f>C403</f>
        <v>19.2035819</v>
      </c>
      <c r="D425" s="6">
        <f t="shared" ref="D425:AL425" si="83">D403</f>
        <v>19.617984190000001</v>
      </c>
      <c r="E425" s="6">
        <f t="shared" si="83"/>
        <v>20.08474352</v>
      </c>
      <c r="F425" s="6">
        <f t="shared" si="83"/>
        <v>20.55197239</v>
      </c>
      <c r="G425" s="6">
        <f t="shared" si="83"/>
        <v>21.07688271</v>
      </c>
      <c r="H425" s="6">
        <f t="shared" si="83"/>
        <v>21.67111899</v>
      </c>
      <c r="I425" s="6">
        <f t="shared" si="83"/>
        <v>22.319580290000001</v>
      </c>
      <c r="J425" s="6">
        <f t="shared" si="83"/>
        <v>22.01678184</v>
      </c>
      <c r="K425" s="6">
        <f t="shared" si="83"/>
        <v>21.617341039999999</v>
      </c>
      <c r="L425" s="6">
        <f t="shared" si="83"/>
        <v>21.33752454</v>
      </c>
      <c r="M425" s="6">
        <f t="shared" si="83"/>
        <v>21.056665290000002</v>
      </c>
      <c r="N425" s="6">
        <f t="shared" si="83"/>
        <v>20.715657849999999</v>
      </c>
      <c r="O425" s="6">
        <f t="shared" si="83"/>
        <v>20.319098990000001</v>
      </c>
      <c r="P425" s="6">
        <f t="shared" si="83"/>
        <v>19.875839939999999</v>
      </c>
      <c r="Q425" s="6">
        <f t="shared" si="83"/>
        <v>19.40100228</v>
      </c>
      <c r="R425" s="6">
        <f t="shared" si="83"/>
        <v>18.90152994</v>
      </c>
      <c r="S425" s="6">
        <f t="shared" si="83"/>
        <v>18.360202009999998</v>
      </c>
      <c r="T425" s="6">
        <f t="shared" si="83"/>
        <v>17.795527459999999</v>
      </c>
      <c r="U425" s="6">
        <f t="shared" si="83"/>
        <v>17.224679049999999</v>
      </c>
      <c r="V425" s="6">
        <f t="shared" si="83"/>
        <v>16.658332779999999</v>
      </c>
      <c r="W425" s="6">
        <f t="shared" si="83"/>
        <v>16.099666509999999</v>
      </c>
      <c r="X425" s="6">
        <f t="shared" si="83"/>
        <v>15.556821129999999</v>
      </c>
      <c r="Y425" s="6">
        <f t="shared" si="83"/>
        <v>15.031508349999999</v>
      </c>
      <c r="Z425" s="6">
        <f t="shared" si="83"/>
        <v>14.51946242</v>
      </c>
      <c r="AA425" s="6">
        <f t="shared" si="83"/>
        <v>14.01228233</v>
      </c>
      <c r="AB425" s="6">
        <f t="shared" si="83"/>
        <v>13.49377365</v>
      </c>
      <c r="AC425" s="6">
        <f t="shared" si="83"/>
        <v>12.96745877</v>
      </c>
      <c r="AD425" s="6">
        <f t="shared" si="83"/>
        <v>12.431015459999999</v>
      </c>
      <c r="AE425" s="6">
        <f t="shared" si="83"/>
        <v>11.875017570000001</v>
      </c>
      <c r="AF425" s="6">
        <f t="shared" si="83"/>
        <v>11.283954809999999</v>
      </c>
      <c r="AG425" s="6">
        <f t="shared" si="83"/>
        <v>10.640519790000001</v>
      </c>
      <c r="AH425" s="6">
        <f t="shared" si="83"/>
        <v>9.9297263410000003</v>
      </c>
      <c r="AI425" s="6">
        <f t="shared" si="83"/>
        <v>9.1377287200000001</v>
      </c>
      <c r="AJ425" s="6">
        <f t="shared" si="83"/>
        <v>8.2483488099999995</v>
      </c>
      <c r="AK425" s="6">
        <f t="shared" si="83"/>
        <v>7.2428694199999999</v>
      </c>
      <c r="AL425" s="6">
        <f t="shared" si="83"/>
        <v>6.0989526830000003</v>
      </c>
    </row>
    <row r="426" spans="1:38" x14ac:dyDescent="0.35">
      <c r="B426" t="s">
        <v>70</v>
      </c>
      <c r="C426" s="6">
        <f>C402+C400</f>
        <v>5.5593834549999999</v>
      </c>
      <c r="D426" s="6">
        <f t="shared" ref="D426:AL426" si="84">D402+D400</f>
        <v>5.7125074219999998</v>
      </c>
      <c r="E426" s="6">
        <f t="shared" si="84"/>
        <v>5.8756426190000006</v>
      </c>
      <c r="F426" s="6">
        <f t="shared" si="84"/>
        <v>6.0376274389999995</v>
      </c>
      <c r="G426" s="6">
        <f t="shared" si="84"/>
        <v>6.2053465810000006</v>
      </c>
      <c r="H426" s="6">
        <f t="shared" si="84"/>
        <v>6.3805071820000006</v>
      </c>
      <c r="I426" s="6">
        <f t="shared" si="84"/>
        <v>6.557962592</v>
      </c>
      <c r="J426" s="6">
        <f t="shared" si="84"/>
        <v>6.4828812830000002</v>
      </c>
      <c r="K426" s="6">
        <f t="shared" si="84"/>
        <v>6.4092771659999999</v>
      </c>
      <c r="L426" s="6">
        <f t="shared" si="84"/>
        <v>6.3953494380000002</v>
      </c>
      <c r="M426" s="6">
        <f t="shared" si="84"/>
        <v>6.3749600540000007</v>
      </c>
      <c r="N426" s="6">
        <f t="shared" si="84"/>
        <v>6.3041797370000001</v>
      </c>
      <c r="O426" s="6">
        <f t="shared" si="84"/>
        <v>6.1833848299999996</v>
      </c>
      <c r="P426" s="6">
        <f t="shared" si="84"/>
        <v>6.0259201640000004</v>
      </c>
      <c r="Q426" s="6">
        <f t="shared" si="84"/>
        <v>5.8481382579999996</v>
      </c>
      <c r="R426" s="6">
        <f t="shared" si="84"/>
        <v>5.659626652</v>
      </c>
      <c r="S426" s="6">
        <f t="shared" si="84"/>
        <v>5.4695098230000001</v>
      </c>
      <c r="T426" s="6">
        <f t="shared" si="84"/>
        <v>5.2842139120000002</v>
      </c>
      <c r="U426" s="6">
        <f t="shared" si="84"/>
        <v>5.1064704519999999</v>
      </c>
      <c r="V426" s="6">
        <f t="shared" si="84"/>
        <v>4.9356659440000001</v>
      </c>
      <c r="W426" s="6">
        <f t="shared" si="84"/>
        <v>4.7702564780000003</v>
      </c>
      <c r="X426" s="6">
        <f t="shared" si="84"/>
        <v>4.6096593979999998</v>
      </c>
      <c r="Y426" s="6">
        <f t="shared" si="84"/>
        <v>4.4530207520000005</v>
      </c>
      <c r="Z426" s="6">
        <f t="shared" si="84"/>
        <v>4.2975185329999999</v>
      </c>
      <c r="AA426" s="6">
        <f t="shared" si="84"/>
        <v>4.1393743337000002</v>
      </c>
      <c r="AB426" s="6">
        <f t="shared" si="84"/>
        <v>3.9748400555000001</v>
      </c>
      <c r="AC426" s="6">
        <f t="shared" si="84"/>
        <v>3.8043302674000001</v>
      </c>
      <c r="AD426" s="6">
        <f t="shared" si="84"/>
        <v>3.6286089743000001</v>
      </c>
      <c r="AE426" s="6">
        <f t="shared" si="84"/>
        <v>3.4442507138999998</v>
      </c>
      <c r="AF426" s="6">
        <f t="shared" si="84"/>
        <v>3.2456168997999999</v>
      </c>
      <c r="AG426" s="6">
        <f t="shared" si="84"/>
        <v>3.0272662617999999</v>
      </c>
      <c r="AH426" s="6">
        <f t="shared" si="84"/>
        <v>2.7858357423999998</v>
      </c>
      <c r="AI426" s="6">
        <f t="shared" si="84"/>
        <v>2.5190289481000003</v>
      </c>
      <c r="AJ426" s="6">
        <f t="shared" si="84"/>
        <v>2.2237722092999999</v>
      </c>
      <c r="AK426" s="6">
        <f t="shared" si="84"/>
        <v>1.8967049806</v>
      </c>
      <c r="AL426" s="6">
        <f t="shared" si="84"/>
        <v>1.5343338048000001</v>
      </c>
    </row>
    <row r="427" spans="1:38" x14ac:dyDescent="0.35">
      <c r="B427" t="s">
        <v>10</v>
      </c>
      <c r="C427" s="6">
        <f>C404+C405+C415</f>
        <v>48.661638726000007</v>
      </c>
      <c r="D427" s="6">
        <f t="shared" ref="D427:AL427" si="85">D404+D405+D415</f>
        <v>48.051242645999999</v>
      </c>
      <c r="E427" s="6">
        <f t="shared" si="85"/>
        <v>47.459552793999997</v>
      </c>
      <c r="F427" s="6">
        <f t="shared" si="85"/>
        <v>46.686097312000001</v>
      </c>
      <c r="G427" s="6">
        <f t="shared" si="85"/>
        <v>46.5209221</v>
      </c>
      <c r="H427" s="6">
        <f t="shared" si="85"/>
        <v>46.802155694999996</v>
      </c>
      <c r="I427" s="6">
        <f t="shared" si="85"/>
        <v>47.173348435000001</v>
      </c>
      <c r="J427" s="6">
        <f t="shared" si="85"/>
        <v>44.033225313000003</v>
      </c>
      <c r="K427" s="6">
        <f t="shared" si="85"/>
        <v>40.875652863999996</v>
      </c>
      <c r="L427" s="6">
        <f t="shared" si="85"/>
        <v>38.077113607999998</v>
      </c>
      <c r="M427" s="6">
        <f t="shared" si="85"/>
        <v>35.641526581000001</v>
      </c>
      <c r="N427" s="6">
        <f t="shared" si="85"/>
        <v>33.686057364</v>
      </c>
      <c r="O427" s="6">
        <f t="shared" si="85"/>
        <v>32.043196894000005</v>
      </c>
      <c r="P427" s="6">
        <f t="shared" si="85"/>
        <v>30.608887234999997</v>
      </c>
      <c r="Q427" s="6">
        <f t="shared" si="85"/>
        <v>29.326101627</v>
      </c>
      <c r="R427" s="6">
        <f t="shared" si="85"/>
        <v>28.159295155999999</v>
      </c>
      <c r="S427" s="6">
        <f t="shared" si="85"/>
        <v>27.034567857999999</v>
      </c>
      <c r="T427" s="6">
        <f t="shared" si="85"/>
        <v>25.969818147000002</v>
      </c>
      <c r="U427" s="6">
        <f t="shared" si="85"/>
        <v>24.974303765999998</v>
      </c>
      <c r="V427" s="6">
        <f t="shared" si="85"/>
        <v>24.050756032999999</v>
      </c>
      <c r="W427" s="6">
        <f t="shared" si="85"/>
        <v>23.186920020000002</v>
      </c>
      <c r="X427" s="6">
        <f t="shared" si="85"/>
        <v>22.399135981000001</v>
      </c>
      <c r="Y427" s="6">
        <f t="shared" si="85"/>
        <v>21.675713914999999</v>
      </c>
      <c r="Z427" s="6">
        <f t="shared" si="85"/>
        <v>21.008316710999999</v>
      </c>
      <c r="AA427" s="6">
        <f t="shared" si="85"/>
        <v>20.387682466999998</v>
      </c>
      <c r="AB427" s="6">
        <f t="shared" si="85"/>
        <v>19.776828516999998</v>
      </c>
      <c r="AC427" s="6">
        <f t="shared" si="85"/>
        <v>19.202270257000002</v>
      </c>
      <c r="AD427" s="6">
        <f t="shared" si="85"/>
        <v>18.646936180000001</v>
      </c>
      <c r="AE427" s="6">
        <f t="shared" si="85"/>
        <v>18.096624551000001</v>
      </c>
      <c r="AF427" s="6">
        <f t="shared" si="85"/>
        <v>17.534052037999999</v>
      </c>
      <c r="AG427" s="6">
        <f t="shared" si="85"/>
        <v>16.939325178000001</v>
      </c>
      <c r="AH427" s="6">
        <f t="shared" si="85"/>
        <v>16.290836616</v>
      </c>
      <c r="AI427" s="6">
        <f t="shared" si="85"/>
        <v>15.564062905</v>
      </c>
      <c r="AJ427" s="6">
        <f t="shared" si="85"/>
        <v>14.728939793</v>
      </c>
      <c r="AK427" s="6">
        <f t="shared" si="85"/>
        <v>13.746910675000001</v>
      </c>
      <c r="AL427" s="6">
        <f t="shared" si="85"/>
        <v>12.564843834000001</v>
      </c>
    </row>
    <row r="428" spans="1:38" x14ac:dyDescent="0.35">
      <c r="B428" t="s">
        <v>29</v>
      </c>
      <c r="C428" s="6">
        <f>C407+C408+C406</f>
        <v>21.513213186999998</v>
      </c>
      <c r="D428" s="6">
        <f t="shared" ref="D428:AL428" si="86">D407+D408+D406</f>
        <v>21.696978915000003</v>
      </c>
      <c r="E428" s="6">
        <f t="shared" si="86"/>
        <v>21.883919894000002</v>
      </c>
      <c r="F428" s="6">
        <f t="shared" si="86"/>
        <v>22.087457678</v>
      </c>
      <c r="G428" s="6">
        <f t="shared" si="86"/>
        <v>22.355506362</v>
      </c>
      <c r="H428" s="6">
        <f t="shared" si="86"/>
        <v>22.686268895000001</v>
      </c>
      <c r="I428" s="6">
        <f t="shared" si="86"/>
        <v>23.05592034</v>
      </c>
      <c r="J428" s="6">
        <f t="shared" si="86"/>
        <v>23.534732879</v>
      </c>
      <c r="K428" s="6">
        <f t="shared" si="86"/>
        <v>24.018707809999999</v>
      </c>
      <c r="L428" s="6">
        <f t="shared" si="86"/>
        <v>24.539313357000001</v>
      </c>
      <c r="M428" s="6">
        <f t="shared" si="86"/>
        <v>25.021446263999998</v>
      </c>
      <c r="N428" s="6">
        <f t="shared" si="86"/>
        <v>25.424106404</v>
      </c>
      <c r="O428" s="6">
        <f t="shared" si="86"/>
        <v>25.746076969000001</v>
      </c>
      <c r="P428" s="6">
        <f t="shared" si="86"/>
        <v>25.996767906399999</v>
      </c>
      <c r="Q428" s="6">
        <f t="shared" si="86"/>
        <v>26.189474916199998</v>
      </c>
      <c r="R428" s="6">
        <f t="shared" si="86"/>
        <v>26.3302996838</v>
      </c>
      <c r="S428" s="6">
        <f t="shared" si="86"/>
        <v>26.397430530299999</v>
      </c>
      <c r="T428" s="6">
        <f t="shared" si="86"/>
        <v>26.408805268199998</v>
      </c>
      <c r="U428" s="6">
        <f t="shared" si="86"/>
        <v>26.371378093600001</v>
      </c>
      <c r="V428" s="6">
        <f t="shared" si="86"/>
        <v>26.286944418000001</v>
      </c>
      <c r="W428" s="6">
        <f t="shared" si="86"/>
        <v>26.1528835025</v>
      </c>
      <c r="X428" s="6">
        <f t="shared" si="86"/>
        <v>25.970755642900002</v>
      </c>
      <c r="Y428" s="6">
        <f t="shared" si="86"/>
        <v>25.739154777900001</v>
      </c>
      <c r="Z428" s="6">
        <f t="shared" si="86"/>
        <v>25.453741874800002</v>
      </c>
      <c r="AA428" s="6">
        <f t="shared" si="86"/>
        <v>25.107240386099999</v>
      </c>
      <c r="AB428" s="6">
        <f t="shared" si="86"/>
        <v>24.685351756699998</v>
      </c>
      <c r="AC428" s="6">
        <f t="shared" si="86"/>
        <v>24.190643184500001</v>
      </c>
      <c r="AD428" s="6">
        <f t="shared" si="86"/>
        <v>23.6137345856</v>
      </c>
      <c r="AE428" s="6">
        <f t="shared" si="86"/>
        <v>22.943629837500001</v>
      </c>
      <c r="AF428" s="6">
        <f t="shared" si="86"/>
        <v>22.1632575215</v>
      </c>
      <c r="AG428" s="6">
        <f t="shared" si="86"/>
        <v>21.252020031299999</v>
      </c>
      <c r="AH428" s="6">
        <f t="shared" si="86"/>
        <v>20.189233637999997</v>
      </c>
      <c r="AI428" s="6">
        <f t="shared" si="86"/>
        <v>18.954107684299998</v>
      </c>
      <c r="AJ428" s="6">
        <f t="shared" si="86"/>
        <v>17.523626180600001</v>
      </c>
      <c r="AK428" s="6">
        <f t="shared" si="86"/>
        <v>15.871764495600001</v>
      </c>
      <c r="AL428" s="6">
        <f t="shared" si="86"/>
        <v>13.9681995765</v>
      </c>
    </row>
    <row r="429" spans="1:38" x14ac:dyDescent="0.35">
      <c r="B429" t="s">
        <v>33</v>
      </c>
      <c r="C429" s="6">
        <f>SUM(C409:C413)</f>
        <v>25.091001077000001</v>
      </c>
      <c r="D429" s="6">
        <f t="shared" ref="D429:AL429" si="87">SUM(D409:D413)</f>
        <v>25.441084899</v>
      </c>
      <c r="E429" s="6">
        <f t="shared" si="87"/>
        <v>25.782982996000001</v>
      </c>
      <c r="F429" s="6">
        <f t="shared" si="87"/>
        <v>26.145508193000001</v>
      </c>
      <c r="G429" s="6">
        <f t="shared" si="87"/>
        <v>26.489108666</v>
      </c>
      <c r="H429" s="6">
        <f t="shared" si="87"/>
        <v>26.843123112000001</v>
      </c>
      <c r="I429" s="6">
        <f t="shared" si="87"/>
        <v>27.210964416000003</v>
      </c>
      <c r="J429" s="6">
        <f t="shared" si="87"/>
        <v>27.264386093000002</v>
      </c>
      <c r="K429" s="6">
        <f t="shared" si="87"/>
        <v>27.353426065000001</v>
      </c>
      <c r="L429" s="6">
        <f t="shared" si="87"/>
        <v>27.485488388999997</v>
      </c>
      <c r="M429" s="6">
        <f t="shared" si="87"/>
        <v>27.577668018000001</v>
      </c>
      <c r="N429" s="6">
        <f t="shared" si="87"/>
        <v>27.494186137999996</v>
      </c>
      <c r="O429" s="6">
        <f t="shared" si="87"/>
        <v>27.279351080999994</v>
      </c>
      <c r="P429" s="6">
        <f t="shared" si="87"/>
        <v>26.985630139000001</v>
      </c>
      <c r="Q429" s="6">
        <f t="shared" si="87"/>
        <v>26.655481095000003</v>
      </c>
      <c r="R429" s="6">
        <f t="shared" si="87"/>
        <v>26.314096653</v>
      </c>
      <c r="S429" s="6">
        <f t="shared" si="87"/>
        <v>25.975432425999998</v>
      </c>
      <c r="T429" s="6">
        <f t="shared" si="87"/>
        <v>25.652296741000001</v>
      </c>
      <c r="U429" s="6">
        <f t="shared" si="87"/>
        <v>25.347426677000001</v>
      </c>
      <c r="V429" s="6">
        <f t="shared" si="87"/>
        <v>25.063960753</v>
      </c>
      <c r="W429" s="6">
        <f t="shared" si="87"/>
        <v>24.799029178000001</v>
      </c>
      <c r="X429" s="6">
        <f t="shared" si="87"/>
        <v>24.568280953999999</v>
      </c>
      <c r="Y429" s="6">
        <f t="shared" si="87"/>
        <v>24.375958674000003</v>
      </c>
      <c r="Z429" s="6">
        <f t="shared" si="87"/>
        <v>24.223093610000003</v>
      </c>
      <c r="AA429" s="6">
        <f t="shared" si="87"/>
        <v>24.108353968999999</v>
      </c>
      <c r="AB429" s="6">
        <f t="shared" si="87"/>
        <v>24.011412926000002</v>
      </c>
      <c r="AC429" s="6">
        <f t="shared" si="87"/>
        <v>23.953863442999999</v>
      </c>
      <c r="AD429" s="6">
        <f t="shared" si="87"/>
        <v>23.936383067000001</v>
      </c>
      <c r="AE429" s="6">
        <f t="shared" si="87"/>
        <v>23.9550565003</v>
      </c>
      <c r="AF429" s="6">
        <f t="shared" si="87"/>
        <v>24.000081468200001</v>
      </c>
      <c r="AG429" s="6">
        <f t="shared" si="87"/>
        <v>24.058366964499999</v>
      </c>
      <c r="AH429" s="6">
        <f t="shared" si="87"/>
        <v>24.117451119399998</v>
      </c>
      <c r="AI429" s="6">
        <f t="shared" si="87"/>
        <v>24.165447627999999</v>
      </c>
      <c r="AJ429" s="6">
        <f t="shared" si="87"/>
        <v>24.187835846500001</v>
      </c>
      <c r="AK429" s="6">
        <f t="shared" si="87"/>
        <v>24.165243328799995</v>
      </c>
      <c r="AL429" s="6">
        <f t="shared" si="87"/>
        <v>24.064805742600001</v>
      </c>
    </row>
    <row r="431" spans="1:3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38" x14ac:dyDescent="0.35">
      <c r="A432" t="s">
        <v>39</v>
      </c>
      <c r="B432" t="s">
        <v>7</v>
      </c>
      <c r="C432" s="6">
        <f>H418</f>
        <v>15.7563534017</v>
      </c>
      <c r="D432" s="6">
        <f>R418</f>
        <v>11.449328135</v>
      </c>
      <c r="E432" s="6">
        <f>AB418</f>
        <v>6.9562402215999999</v>
      </c>
      <c r="F432" s="6">
        <f>AL418</f>
        <v>1.6885336167</v>
      </c>
    </row>
    <row r="433" spans="1:38" x14ac:dyDescent="0.35">
      <c r="B433" t="s">
        <v>64</v>
      </c>
      <c r="C433" s="6">
        <f t="shared" ref="C433:C443" si="88">H419</f>
        <v>8.7724056929999996</v>
      </c>
      <c r="D433" s="6">
        <f t="shared" ref="D433:D443" si="89">R419</f>
        <v>5.8316597960000003</v>
      </c>
      <c r="E433" s="6">
        <f t="shared" ref="E433:E443" si="90">AB419</f>
        <v>3.9932308860000001</v>
      </c>
      <c r="F433" s="6">
        <f t="shared" ref="F433:F443" si="91">AL419</f>
        <v>2.5337553050000001</v>
      </c>
    </row>
    <row r="434" spans="1:38" x14ac:dyDescent="0.35">
      <c r="B434" t="s">
        <v>65</v>
      </c>
      <c r="C434" s="6">
        <f t="shared" si="88"/>
        <v>20.437740175999998</v>
      </c>
      <c r="D434" s="6">
        <f t="shared" si="89"/>
        <v>21.522573442999999</v>
      </c>
      <c r="E434" s="6">
        <f t="shared" si="90"/>
        <v>24.346024790000001</v>
      </c>
      <c r="F434" s="6">
        <f t="shared" si="91"/>
        <v>32.758639205000001</v>
      </c>
    </row>
    <row r="435" spans="1:38" x14ac:dyDescent="0.35">
      <c r="B435" t="s">
        <v>66</v>
      </c>
      <c r="C435" s="6">
        <f t="shared" si="88"/>
        <v>15.442164699999999</v>
      </c>
      <c r="D435" s="6">
        <f t="shared" si="89"/>
        <v>15.27239385</v>
      </c>
      <c r="E435" s="6">
        <f t="shared" si="90"/>
        <v>15.090849560000001</v>
      </c>
      <c r="F435" s="6">
        <f t="shared" si="91"/>
        <v>16.903748029999999</v>
      </c>
    </row>
    <row r="436" spans="1:38" x14ac:dyDescent="0.35">
      <c r="B436" t="s">
        <v>67</v>
      </c>
      <c r="C436" s="6">
        <f t="shared" si="88"/>
        <v>20.523449970000001</v>
      </c>
      <c r="D436" s="6">
        <f t="shared" si="89"/>
        <v>16.444944100000001</v>
      </c>
      <c r="E436" s="6">
        <f t="shared" si="90"/>
        <v>15.28451862</v>
      </c>
      <c r="F436" s="6">
        <f t="shared" si="91"/>
        <v>17.487579119999999</v>
      </c>
    </row>
    <row r="437" spans="1:38" x14ac:dyDescent="0.35">
      <c r="B437" t="s">
        <v>71</v>
      </c>
      <c r="C437" s="6">
        <f t="shared" si="88"/>
        <v>15.170166901</v>
      </c>
      <c r="D437" s="6">
        <f t="shared" si="89"/>
        <v>7.8629480308000002</v>
      </c>
      <c r="E437" s="6">
        <f t="shared" si="90"/>
        <v>5.1622061253</v>
      </c>
      <c r="F437" s="6">
        <f t="shared" si="91"/>
        <v>3.7255848631000004</v>
      </c>
    </row>
    <row r="438" spans="1:38" x14ac:dyDescent="0.35">
      <c r="B438" t="s">
        <v>68</v>
      </c>
      <c r="C438" s="6">
        <f t="shared" si="88"/>
        <v>18.987153559999999</v>
      </c>
      <c r="D438" s="6">
        <f t="shared" si="89"/>
        <v>15.19731913</v>
      </c>
      <c r="E438" s="6">
        <f t="shared" si="90"/>
        <v>9.4191189269999995</v>
      </c>
      <c r="F438" s="6">
        <f t="shared" si="91"/>
        <v>1.9266870300000001</v>
      </c>
    </row>
    <row r="439" spans="1:38" x14ac:dyDescent="0.35">
      <c r="B439" t="s">
        <v>69</v>
      </c>
      <c r="C439" s="6">
        <f t="shared" si="88"/>
        <v>21.67111899</v>
      </c>
      <c r="D439" s="6">
        <f t="shared" si="89"/>
        <v>18.90152994</v>
      </c>
      <c r="E439" s="6">
        <f t="shared" si="90"/>
        <v>13.49377365</v>
      </c>
      <c r="F439" s="6">
        <f t="shared" si="91"/>
        <v>6.0989526830000003</v>
      </c>
    </row>
    <row r="440" spans="1:38" x14ac:dyDescent="0.35">
      <c r="B440" t="s">
        <v>70</v>
      </c>
      <c r="C440" s="6">
        <f t="shared" si="88"/>
        <v>6.3805071820000006</v>
      </c>
      <c r="D440" s="6">
        <f t="shared" si="89"/>
        <v>5.659626652</v>
      </c>
      <c r="E440" s="6">
        <f t="shared" si="90"/>
        <v>3.9748400555000001</v>
      </c>
      <c r="F440" s="6">
        <f t="shared" si="91"/>
        <v>1.5343338048000001</v>
      </c>
    </row>
    <row r="441" spans="1:38" x14ac:dyDescent="0.35">
      <c r="B441" t="s">
        <v>10</v>
      </c>
      <c r="C441" s="6">
        <f t="shared" si="88"/>
        <v>46.802155694999996</v>
      </c>
      <c r="D441" s="6">
        <f t="shared" si="89"/>
        <v>28.159295155999999</v>
      </c>
      <c r="E441" s="6">
        <f t="shared" si="90"/>
        <v>19.776828516999998</v>
      </c>
      <c r="F441" s="6">
        <f t="shared" si="91"/>
        <v>12.564843834000001</v>
      </c>
    </row>
    <row r="442" spans="1:38" x14ac:dyDescent="0.35">
      <c r="B442" t="s">
        <v>29</v>
      </c>
      <c r="C442" s="6">
        <f t="shared" si="88"/>
        <v>22.686268895000001</v>
      </c>
      <c r="D442" s="6">
        <f t="shared" si="89"/>
        <v>26.3302996838</v>
      </c>
      <c r="E442" s="6">
        <f t="shared" si="90"/>
        <v>24.685351756699998</v>
      </c>
      <c r="F442" s="6">
        <f t="shared" si="91"/>
        <v>13.9681995765</v>
      </c>
    </row>
    <row r="443" spans="1:38" x14ac:dyDescent="0.35">
      <c r="B443" t="s">
        <v>33</v>
      </c>
      <c r="C443" s="6">
        <f t="shared" si="88"/>
        <v>26.843123112000001</v>
      </c>
      <c r="D443" s="6">
        <f t="shared" si="89"/>
        <v>26.314096653</v>
      </c>
      <c r="E443" s="6">
        <f t="shared" si="90"/>
        <v>24.011412926000002</v>
      </c>
      <c r="F443" s="6">
        <f t="shared" si="91"/>
        <v>24.064805742600001</v>
      </c>
    </row>
    <row r="445" spans="1:38" x14ac:dyDescent="0.35">
      <c r="A445" s="12" t="s">
        <v>93</v>
      </c>
      <c r="B445" t="s">
        <v>73</v>
      </c>
      <c r="C445" s="6">
        <f>[1]Results!F281</f>
        <v>161.694278</v>
      </c>
      <c r="D445" s="6">
        <f>[1]Results!G281</f>
        <v>162.56035790000001</v>
      </c>
      <c r="E445" s="6">
        <f>[1]Results!H281</f>
        <v>163.5037744</v>
      </c>
      <c r="F445" s="6">
        <f>[1]Results!I281</f>
        <v>164.4875127</v>
      </c>
      <c r="G445" s="6">
        <f>[1]Results!J281</f>
        <v>166.08890919999999</v>
      </c>
      <c r="H445" s="6">
        <f>[1]Results!K281</f>
        <v>168.2065844</v>
      </c>
      <c r="I445" s="6">
        <f>[1]Results!L281</f>
        <v>170.3682201</v>
      </c>
      <c r="J445" s="6">
        <f>[1]Results!M281</f>
        <v>170.44844409999999</v>
      </c>
      <c r="K445" s="6">
        <f>[1]Results!N281</f>
        <v>170.1835222</v>
      </c>
      <c r="L445" s="6">
        <f>[1]Results!O281</f>
        <v>170.36272940000001</v>
      </c>
      <c r="M445" s="6">
        <f>[1]Results!P281</f>
        <v>170.58770949999999</v>
      </c>
      <c r="N445" s="6">
        <f>[1]Results!Q281</f>
        <v>170.6197114</v>
      </c>
      <c r="O445" s="6">
        <f>[1]Results!R281</f>
        <v>170.47898259999999</v>
      </c>
      <c r="P445" s="6">
        <f>[1]Results!S281</f>
        <v>170.2552349</v>
      </c>
      <c r="Q445" s="6">
        <f>[1]Results!T281</f>
        <v>170.06128630000001</v>
      </c>
      <c r="R445" s="6">
        <f>[1]Results!U281</f>
        <v>169.96166049999999</v>
      </c>
      <c r="S445" s="6">
        <f>[1]Results!V281</f>
        <v>169.99725989999999</v>
      </c>
      <c r="T445" s="6">
        <f>[1]Results!W281</f>
        <v>170.1943028</v>
      </c>
      <c r="U445" s="6">
        <f>[1]Results!X281</f>
        <v>170.5962068</v>
      </c>
      <c r="V445" s="6">
        <f>[1]Results!Y281</f>
        <v>171.2414972</v>
      </c>
      <c r="W445" s="6">
        <f>[1]Results!Z281</f>
        <v>172.12940259999999</v>
      </c>
      <c r="X445" s="6">
        <f>[1]Results!AA281</f>
        <v>173.36146650000001</v>
      </c>
      <c r="Y445" s="6">
        <f>[1]Results!AB281</f>
        <v>174.96918410000001</v>
      </c>
      <c r="Z445" s="6">
        <f>[1]Results!AC281</f>
        <v>176.97688120000001</v>
      </c>
      <c r="AA445" s="6">
        <f>[1]Results!AD281</f>
        <v>179.3981508</v>
      </c>
      <c r="AB445" s="6">
        <f>[1]Results!AE281</f>
        <v>182.13088980000001</v>
      </c>
      <c r="AC445" s="6">
        <f>[1]Results!AF281</f>
        <v>185.31930249999999</v>
      </c>
      <c r="AD445" s="6">
        <f>[1]Results!AG281</f>
        <v>189.01768659999999</v>
      </c>
      <c r="AE445" s="6">
        <f>[1]Results!AH281</f>
        <v>193.2531357</v>
      </c>
      <c r="AF445" s="6">
        <f>[1]Results!AI281</f>
        <v>198.01643079999999</v>
      </c>
      <c r="AG445" s="6">
        <f>[1]Results!AJ281</f>
        <v>203.28643539999999</v>
      </c>
      <c r="AH445" s="6">
        <f>[1]Results!AK281</f>
        <v>209.06421330000001</v>
      </c>
      <c r="AI445" s="6">
        <f>[1]Results!AL281</f>
        <v>215.38052329999999</v>
      </c>
      <c r="AJ445" s="6">
        <f>[1]Results!AM281</f>
        <v>222.28838049999999</v>
      </c>
      <c r="AK445" s="6">
        <f>[1]Results!AN281</f>
        <v>229.8820825</v>
      </c>
      <c r="AL445" s="6">
        <f>[1]Results!AO281</f>
        <v>238.3284625</v>
      </c>
    </row>
    <row r="446" spans="1:38" x14ac:dyDescent="0.35">
      <c r="A446" t="s">
        <v>39</v>
      </c>
      <c r="B446" s="6" t="str">
        <f>[1]Results!E282</f>
        <v>CF_toe_ccoa_2</v>
      </c>
      <c r="C446" s="6">
        <f>[1]Results!F282</f>
        <v>5.4028819029999999</v>
      </c>
      <c r="D446" s="6">
        <f>[1]Results!G282</f>
        <v>5.4417643299999998</v>
      </c>
      <c r="E446" s="6">
        <f>[1]Results!H282</f>
        <v>5.4869099500000003</v>
      </c>
      <c r="F446" s="6">
        <f>[1]Results!I282</f>
        <v>5.5157433400000002</v>
      </c>
      <c r="G446" s="6">
        <f>[1]Results!J282</f>
        <v>5.5836629550000003</v>
      </c>
      <c r="H446" s="6">
        <f>[1]Results!K282</f>
        <v>5.6822486789999997</v>
      </c>
      <c r="I446" s="6">
        <f>[1]Results!L282</f>
        <v>5.7931502889999997</v>
      </c>
      <c r="J446" s="6">
        <f>[1]Results!M282</f>
        <v>5.6864711630000002</v>
      </c>
      <c r="K446" s="6">
        <f>[1]Results!N282</f>
        <v>5.5459079259999999</v>
      </c>
      <c r="L446" s="6">
        <f>[1]Results!O282</f>
        <v>5.4358420619999999</v>
      </c>
      <c r="M446" s="6">
        <f>[1]Results!P282</f>
        <v>5.3298127099999997</v>
      </c>
      <c r="N446" s="6">
        <f>[1]Results!Q282</f>
        <v>5.236475328</v>
      </c>
      <c r="O446" s="6">
        <f>[1]Results!R282</f>
        <v>5.1497445820000003</v>
      </c>
      <c r="P446" s="6">
        <f>[1]Results!S282</f>
        <v>5.0703202479999998</v>
      </c>
      <c r="Q446" s="6">
        <f>[1]Results!T282</f>
        <v>5.0018012709999997</v>
      </c>
      <c r="R446" s="6">
        <f>[1]Results!U282</f>
        <v>4.9455317430000001</v>
      </c>
      <c r="S446" s="6">
        <f>[1]Results!V282</f>
        <v>4.8895358140000003</v>
      </c>
      <c r="T446" s="6">
        <f>[1]Results!W282</f>
        <v>4.8398783849999996</v>
      </c>
      <c r="U446" s="6">
        <f>[1]Results!X282</f>
        <v>4.8005603819999996</v>
      </c>
      <c r="V446" s="6">
        <f>[1]Results!Y282</f>
        <v>4.7734204059999996</v>
      </c>
      <c r="W446" s="6">
        <f>[1]Results!Z282</f>
        <v>4.7590040350000002</v>
      </c>
      <c r="X446" s="6">
        <f>[1]Results!AA282</f>
        <v>4.7586378749999998</v>
      </c>
      <c r="Y446" s="6">
        <f>[1]Results!AB282</f>
        <v>4.773137438</v>
      </c>
      <c r="Z446" s="6">
        <f>[1]Results!AC282</f>
        <v>4.8025233900000002</v>
      </c>
      <c r="AA446" s="6">
        <f>[1]Results!AD282</f>
        <v>4.8461388640000003</v>
      </c>
      <c r="AB446" s="6">
        <f>[1]Results!AE282</f>
        <v>4.9019888490000003</v>
      </c>
      <c r="AC446" s="6">
        <f>[1]Results!AF282</f>
        <v>4.9708925009999998</v>
      </c>
      <c r="AD446" s="6">
        <f>[1]Results!AG282</f>
        <v>5.0544632309999997</v>
      </c>
      <c r="AE446" s="6">
        <f>[1]Results!AH282</f>
        <v>5.152439963</v>
      </c>
      <c r="AF446" s="6">
        <f>[1]Results!AI282</f>
        <v>5.2628198780000002</v>
      </c>
      <c r="AG446" s="6">
        <f>[1]Results!AJ282</f>
        <v>5.3831477559999996</v>
      </c>
      <c r="AH446" s="6">
        <f>[1]Results!AK282</f>
        <v>5.5119283460000004</v>
      </c>
      <c r="AI446" s="6">
        <f>[1]Results!AL282</f>
        <v>5.6486535690000004</v>
      </c>
      <c r="AJ446" s="6">
        <f>[1]Results!AM282</f>
        <v>5.7931166530000002</v>
      </c>
      <c r="AK446" s="6">
        <f>[1]Results!AN282</f>
        <v>5.945704836</v>
      </c>
      <c r="AL446" s="6">
        <f>[1]Results!AO282</f>
        <v>6.1077716009999996</v>
      </c>
    </row>
    <row r="447" spans="1:38" x14ac:dyDescent="0.35">
      <c r="B447" s="6" t="s">
        <v>74</v>
      </c>
      <c r="C447" s="6">
        <f>C448+C449+C450</f>
        <v>62.123682370400005</v>
      </c>
      <c r="D447" s="6">
        <f t="shared" ref="D447:AL447" si="92">D448+D449+D450</f>
        <v>62.404461386900003</v>
      </c>
      <c r="E447" s="6">
        <f t="shared" si="92"/>
        <v>62.687870123599993</v>
      </c>
      <c r="F447" s="6">
        <f t="shared" si="92"/>
        <v>63.039076237000003</v>
      </c>
      <c r="G447" s="6">
        <f t="shared" si="92"/>
        <v>63.628681200300001</v>
      </c>
      <c r="H447" s="6">
        <f t="shared" si="92"/>
        <v>64.430276147900003</v>
      </c>
      <c r="I447" s="6">
        <f t="shared" si="92"/>
        <v>65.345104052300002</v>
      </c>
      <c r="J447" s="6">
        <f t="shared" si="92"/>
        <v>65.642334163000001</v>
      </c>
      <c r="K447" s="6">
        <f t="shared" si="92"/>
        <v>65.784153943899994</v>
      </c>
      <c r="L447" s="6">
        <f t="shared" si="92"/>
        <v>66.035845751500005</v>
      </c>
      <c r="M447" s="6">
        <f t="shared" si="92"/>
        <v>66.296134351199996</v>
      </c>
      <c r="N447" s="6">
        <f t="shared" si="92"/>
        <v>66.534901918900005</v>
      </c>
      <c r="O447" s="6">
        <f t="shared" si="92"/>
        <v>66.746003371699999</v>
      </c>
      <c r="P447" s="6">
        <f t="shared" si="92"/>
        <v>66.939024072099997</v>
      </c>
      <c r="Q447" s="6">
        <f t="shared" si="92"/>
        <v>67.133972662600002</v>
      </c>
      <c r="R447" s="6">
        <f t="shared" si="92"/>
        <v>67.341632031900005</v>
      </c>
      <c r="S447" s="6">
        <f t="shared" si="92"/>
        <v>67.5384476519</v>
      </c>
      <c r="T447" s="6">
        <f t="shared" si="92"/>
        <v>67.752372450799996</v>
      </c>
      <c r="U447" s="6">
        <f t="shared" si="92"/>
        <v>68.009079498899993</v>
      </c>
      <c r="V447" s="6">
        <f t="shared" si="92"/>
        <v>68.327499652300006</v>
      </c>
      <c r="W447" s="6">
        <f t="shared" si="92"/>
        <v>68.712088612200006</v>
      </c>
      <c r="X447" s="6">
        <f t="shared" si="92"/>
        <v>69.195295618299994</v>
      </c>
      <c r="Y447" s="6">
        <f t="shared" si="92"/>
        <v>69.792762395300002</v>
      </c>
      <c r="Z447" s="6">
        <f t="shared" si="92"/>
        <v>70.516365302500006</v>
      </c>
      <c r="AA447" s="6">
        <f t="shared" si="92"/>
        <v>71.373716292799998</v>
      </c>
      <c r="AB447" s="6">
        <f t="shared" si="92"/>
        <v>72.337683094100001</v>
      </c>
      <c r="AC447" s="6">
        <f t="shared" si="92"/>
        <v>73.452879688699994</v>
      </c>
      <c r="AD447" s="6">
        <f t="shared" si="92"/>
        <v>74.741916261600011</v>
      </c>
      <c r="AE447" s="6">
        <f t="shared" si="92"/>
        <v>76.221242726</v>
      </c>
      <c r="AF447" s="6">
        <f t="shared" si="92"/>
        <v>77.896955297999995</v>
      </c>
      <c r="AG447" s="6">
        <f t="shared" si="92"/>
        <v>79.771615904899988</v>
      </c>
      <c r="AH447" s="6">
        <f t="shared" si="92"/>
        <v>81.855440391000002</v>
      </c>
      <c r="AI447" s="6">
        <f t="shared" si="92"/>
        <v>84.170525236899991</v>
      </c>
      <c r="AJ447" s="6">
        <f t="shared" si="92"/>
        <v>86.751001180900005</v>
      </c>
      <c r="AK447" s="6">
        <f t="shared" si="92"/>
        <v>89.652001890899996</v>
      </c>
      <c r="AL447" s="6">
        <f t="shared" si="92"/>
        <v>92.965875352699996</v>
      </c>
    </row>
    <row r="448" spans="1:38" x14ac:dyDescent="0.35">
      <c r="B448" s="6" t="str">
        <f>[1]Results!E285</f>
        <v>CF_toe_ccoi_2</v>
      </c>
      <c r="C448" s="6">
        <f>[1]Results!F285</f>
        <v>8.3953620399999998E-2</v>
      </c>
      <c r="D448" s="6">
        <f>[1]Results!G285</f>
        <v>8.4487726900000004E-2</v>
      </c>
      <c r="E448" s="6">
        <f>[1]Results!H285</f>
        <v>8.5096733600000002E-2</v>
      </c>
      <c r="F448" s="6">
        <f>[1]Results!I285</f>
        <v>8.5569667000000002E-2</v>
      </c>
      <c r="G448" s="6">
        <f>[1]Results!J285</f>
        <v>8.6607630300000002E-2</v>
      </c>
      <c r="H448" s="6">
        <f>[1]Results!K285</f>
        <v>8.8118457900000002E-2</v>
      </c>
      <c r="I448" s="6">
        <f>[1]Results!L285</f>
        <v>8.9341862300000005E-2</v>
      </c>
      <c r="J448" s="6">
        <f>[1]Results!M285</f>
        <v>8.7874883000000001E-2</v>
      </c>
      <c r="K448" s="6">
        <f>[1]Results!N285</f>
        <v>8.5906913900000006E-2</v>
      </c>
      <c r="L448" s="6">
        <f>[1]Results!O285</f>
        <v>8.4336401500000005E-2</v>
      </c>
      <c r="M448" s="6">
        <f>[1]Results!P285</f>
        <v>8.2923241199999997E-2</v>
      </c>
      <c r="N448" s="6">
        <f>[1]Results!Q285</f>
        <v>8.17042189E-2</v>
      </c>
      <c r="O448" s="6">
        <f>[1]Results!R285</f>
        <v>8.0564281700000004E-2</v>
      </c>
      <c r="P448" s="6">
        <f>[1]Results!S285</f>
        <v>7.9480792100000003E-2</v>
      </c>
      <c r="Q448" s="6">
        <f>[1]Results!T285</f>
        <v>7.8485562600000003E-2</v>
      </c>
      <c r="R448" s="6">
        <f>[1]Results!U285</f>
        <v>7.7596101900000006E-2</v>
      </c>
      <c r="S448" s="6">
        <f>[1]Results!V285</f>
        <v>7.6855001899999997E-2</v>
      </c>
      <c r="T448" s="6">
        <f>[1]Results!W285</f>
        <v>7.6266440800000002E-2</v>
      </c>
      <c r="U448" s="6">
        <f>[1]Results!X285</f>
        <v>7.5848628900000006E-2</v>
      </c>
      <c r="V448" s="6">
        <f>[1]Results!Y285</f>
        <v>7.56134423E-2</v>
      </c>
      <c r="W448" s="6">
        <f>[1]Results!Z285</f>
        <v>7.5558632200000003E-2</v>
      </c>
      <c r="X448" s="6">
        <f>[1]Results!AA285</f>
        <v>7.5717658300000004E-2</v>
      </c>
      <c r="Y448" s="6">
        <f>[1]Results!AB285</f>
        <v>7.6104705300000006E-2</v>
      </c>
      <c r="Z448" s="6">
        <f>[1]Results!AC285</f>
        <v>7.6725222499999995E-2</v>
      </c>
      <c r="AA448" s="6">
        <f>[1]Results!AD285</f>
        <v>7.7575812800000005E-2</v>
      </c>
      <c r="AB448" s="6">
        <f>[1]Results!AE285</f>
        <v>7.86159741E-2</v>
      </c>
      <c r="AC448" s="6">
        <f>[1]Results!AF285</f>
        <v>7.9893198700000001E-2</v>
      </c>
      <c r="AD448" s="6">
        <f>[1]Results!AG285</f>
        <v>8.1440271600000003E-2</v>
      </c>
      <c r="AE448" s="6">
        <f>[1]Results!AH285</f>
        <v>8.3265785999999994E-2</v>
      </c>
      <c r="AF448" s="6">
        <f>[1]Results!AI285</f>
        <v>8.5352988000000005E-2</v>
      </c>
      <c r="AG448" s="6">
        <f>[1]Results!AJ285</f>
        <v>8.7677744899999993E-2</v>
      </c>
      <c r="AH448" s="6">
        <f>[1]Results!AK285</f>
        <v>9.0232540999999999E-2</v>
      </c>
      <c r="AI448" s="6">
        <f>[1]Results!AL285</f>
        <v>9.3029906900000001E-2</v>
      </c>
      <c r="AJ448" s="6">
        <f>[1]Results!AM285</f>
        <v>9.6094160900000003E-2</v>
      </c>
      <c r="AK448" s="6">
        <f>[1]Results!AN285</f>
        <v>9.9474450899999997E-2</v>
      </c>
      <c r="AL448" s="6">
        <f>[1]Results!AO285</f>
        <v>0.1032660727</v>
      </c>
    </row>
    <row r="449" spans="1:38" x14ac:dyDescent="0.35">
      <c r="B449" s="6" t="str">
        <f>[1]Results!E288</f>
        <v>CF_toe_cfut_2</v>
      </c>
      <c r="C449" s="6">
        <f>[1]Results!F288</f>
        <v>47.250386450000001</v>
      </c>
      <c r="D449" s="6">
        <f>[1]Results!G288</f>
        <v>47.454178390000003</v>
      </c>
      <c r="E449" s="6">
        <f>[1]Results!H288</f>
        <v>47.664633569999999</v>
      </c>
      <c r="F449" s="6">
        <f>[1]Results!I288</f>
        <v>47.948648009999999</v>
      </c>
      <c r="G449" s="6">
        <f>[1]Results!J288</f>
        <v>48.426721260000001</v>
      </c>
      <c r="H449" s="6">
        <f>[1]Results!K288</f>
        <v>49.07871188</v>
      </c>
      <c r="I449" s="6">
        <f>[1]Results!L288</f>
        <v>49.835805049999998</v>
      </c>
      <c r="J449" s="6">
        <f>[1]Results!M288</f>
        <v>50.177500549999998</v>
      </c>
      <c r="K449" s="6">
        <f>[1]Results!N288</f>
        <v>50.421549759999998</v>
      </c>
      <c r="L449" s="6">
        <f>[1]Results!O288</f>
        <v>50.780576910000001</v>
      </c>
      <c r="M449" s="6">
        <f>[1]Results!P288</f>
        <v>51.172807630000001</v>
      </c>
      <c r="N449" s="6">
        <f>[1]Results!Q288</f>
        <v>51.561140199999997</v>
      </c>
      <c r="O449" s="6">
        <f>[1]Results!R288</f>
        <v>51.927047299999998</v>
      </c>
      <c r="P449" s="6">
        <f>[1]Results!S288</f>
        <v>52.266564809999998</v>
      </c>
      <c r="Q449" s="6">
        <f>[1]Results!T288</f>
        <v>52.589047479999998</v>
      </c>
      <c r="R449" s="6">
        <f>[1]Results!U288</f>
        <v>52.900719860000002</v>
      </c>
      <c r="S449" s="6">
        <f>[1]Results!V288</f>
        <v>53.181804720000002</v>
      </c>
      <c r="T449" s="6">
        <f>[1]Results!W288</f>
        <v>53.457785149999999</v>
      </c>
      <c r="U449" s="6">
        <f>[1]Results!X288</f>
        <v>53.752634049999998</v>
      </c>
      <c r="V449" s="6">
        <f>[1]Results!Y288</f>
        <v>54.08344632</v>
      </c>
      <c r="W449" s="6">
        <f>[1]Results!Z288</f>
        <v>54.45630525</v>
      </c>
      <c r="X449" s="6">
        <f>[1]Results!AA288</f>
        <v>54.894156629999998</v>
      </c>
      <c r="Y449" s="6">
        <f>[1]Results!AB288</f>
        <v>55.41023182</v>
      </c>
      <c r="Z449" s="6">
        <f>[1]Results!AC288</f>
        <v>56.014710309999998</v>
      </c>
      <c r="AA449" s="6">
        <f>[1]Results!AD288</f>
        <v>56.714194910000003</v>
      </c>
      <c r="AB449" s="6">
        <f>[1]Results!AE288</f>
        <v>57.492584620000002</v>
      </c>
      <c r="AC449" s="6">
        <f>[1]Results!AF288</f>
        <v>58.379992399999999</v>
      </c>
      <c r="AD449" s="6">
        <f>[1]Results!AG288</f>
        <v>59.395774950000003</v>
      </c>
      <c r="AE449" s="6">
        <f>[1]Results!AH288</f>
        <v>60.553795340000001</v>
      </c>
      <c r="AF449" s="6">
        <f>[1]Results!AI288</f>
        <v>61.859716290000001</v>
      </c>
      <c r="AG449" s="6">
        <f>[1]Results!AJ288</f>
        <v>63.316399099999998</v>
      </c>
      <c r="AH449" s="6">
        <f>[1]Results!AK288</f>
        <v>64.932859480000005</v>
      </c>
      <c r="AI449" s="6">
        <f>[1]Results!AL288</f>
        <v>66.727429529999995</v>
      </c>
      <c r="AJ449" s="6">
        <f>[1]Results!AM288</f>
        <v>68.727493350000003</v>
      </c>
      <c r="AK449" s="6">
        <f>[1]Results!AN288</f>
        <v>70.976800499999996</v>
      </c>
      <c r="AL449" s="6">
        <f>[1]Results!AO288</f>
        <v>73.548354369999998</v>
      </c>
    </row>
    <row r="450" spans="1:38" x14ac:dyDescent="0.35">
      <c r="B450" s="6" t="str">
        <f>[1]Results!E291</f>
        <v>CF_toe_cfuh_2</v>
      </c>
      <c r="C450" s="6">
        <f>[1]Results!F291</f>
        <v>14.789342299999999</v>
      </c>
      <c r="D450" s="6">
        <f>[1]Results!G291</f>
        <v>14.86579527</v>
      </c>
      <c r="E450" s="6">
        <f>[1]Results!H291</f>
        <v>14.93813982</v>
      </c>
      <c r="F450" s="6">
        <f>[1]Results!I291</f>
        <v>15.004858560000001</v>
      </c>
      <c r="G450" s="6">
        <f>[1]Results!J291</f>
        <v>15.11535231</v>
      </c>
      <c r="H450" s="6">
        <f>[1]Results!K291</f>
        <v>15.26344581</v>
      </c>
      <c r="I450" s="6">
        <f>[1]Results!L291</f>
        <v>15.419957139999999</v>
      </c>
      <c r="J450" s="6">
        <f>[1]Results!M291</f>
        <v>15.37695873</v>
      </c>
      <c r="K450" s="6">
        <f>[1]Results!N291</f>
        <v>15.27669727</v>
      </c>
      <c r="L450" s="6">
        <f>[1]Results!O291</f>
        <v>15.17093244</v>
      </c>
      <c r="M450" s="6">
        <f>[1]Results!P291</f>
        <v>15.04040348</v>
      </c>
      <c r="N450" s="6">
        <f>[1]Results!Q291</f>
        <v>14.8920575</v>
      </c>
      <c r="O450" s="6">
        <f>[1]Results!R291</f>
        <v>14.73839179</v>
      </c>
      <c r="P450" s="6">
        <f>[1]Results!S291</f>
        <v>14.59297847</v>
      </c>
      <c r="Q450" s="6">
        <f>[1]Results!T291</f>
        <v>14.466439619999999</v>
      </c>
      <c r="R450" s="6">
        <f>[1]Results!U291</f>
        <v>14.36331607</v>
      </c>
      <c r="S450" s="6">
        <f>[1]Results!V291</f>
        <v>14.279787929999999</v>
      </c>
      <c r="T450" s="6">
        <f>[1]Results!W291</f>
        <v>14.21832086</v>
      </c>
      <c r="U450" s="6">
        <f>[1]Results!X291</f>
        <v>14.18059682</v>
      </c>
      <c r="V450" s="6">
        <f>[1]Results!Y291</f>
        <v>14.16843989</v>
      </c>
      <c r="W450" s="6">
        <f>[1]Results!Z291</f>
        <v>14.180224730000001</v>
      </c>
      <c r="X450" s="6">
        <f>[1]Results!AA291</f>
        <v>14.22542133</v>
      </c>
      <c r="Y450" s="6">
        <f>[1]Results!AB291</f>
        <v>14.30642587</v>
      </c>
      <c r="Z450" s="6">
        <f>[1]Results!AC291</f>
        <v>14.42492977</v>
      </c>
      <c r="AA450" s="6">
        <f>[1]Results!AD291</f>
        <v>14.58194557</v>
      </c>
      <c r="AB450" s="6">
        <f>[1]Results!AE291</f>
        <v>14.7664825</v>
      </c>
      <c r="AC450" s="6">
        <f>[1]Results!AF291</f>
        <v>14.99299409</v>
      </c>
      <c r="AD450" s="6">
        <f>[1]Results!AG291</f>
        <v>15.26470104</v>
      </c>
      <c r="AE450" s="6">
        <f>[1]Results!AH291</f>
        <v>15.584181600000001</v>
      </c>
      <c r="AF450" s="6">
        <f>[1]Results!AI291</f>
        <v>15.95188602</v>
      </c>
      <c r="AG450" s="6">
        <f>[1]Results!AJ291</f>
        <v>16.367539059999999</v>
      </c>
      <c r="AH450" s="6">
        <f>[1]Results!AK291</f>
        <v>16.832348369999998</v>
      </c>
      <c r="AI450" s="6">
        <f>[1]Results!AL291</f>
        <v>17.350065799999999</v>
      </c>
      <c r="AJ450" s="6">
        <f>[1]Results!AM291</f>
        <v>17.92741367</v>
      </c>
      <c r="AK450" s="6">
        <f>[1]Results!AN291</f>
        <v>18.575726939999999</v>
      </c>
      <c r="AL450" s="6">
        <f>[1]Results!AO291</f>
        <v>19.314254909999999</v>
      </c>
    </row>
    <row r="451" spans="1:38" x14ac:dyDescent="0.35">
      <c r="B451" s="6" t="str">
        <f>[1]Results!E293</f>
        <v>CF_toe_cgas_2</v>
      </c>
      <c r="C451" s="6">
        <f>[1]Results!F293</f>
        <v>34.131798230000001</v>
      </c>
      <c r="D451" s="6">
        <f>[1]Results!G293</f>
        <v>33.929933200000001</v>
      </c>
      <c r="E451" s="6">
        <f>[1]Results!H293</f>
        <v>33.779355010000003</v>
      </c>
      <c r="F451" s="6">
        <f>[1]Results!I293</f>
        <v>33.555110650000003</v>
      </c>
      <c r="G451" s="6">
        <f>[1]Results!J293</f>
        <v>33.647932879999999</v>
      </c>
      <c r="H451" s="6">
        <f>[1]Results!K293</f>
        <v>33.940239400000003</v>
      </c>
      <c r="I451" s="6">
        <f>[1]Results!L293</f>
        <v>34.084864469999999</v>
      </c>
      <c r="J451" s="6">
        <f>[1]Results!M293</f>
        <v>32.989752109999998</v>
      </c>
      <c r="K451" s="6">
        <f>[1]Results!N293</f>
        <v>31.9131456</v>
      </c>
      <c r="L451" s="6">
        <f>[1]Results!O293</f>
        <v>31.073389580000001</v>
      </c>
      <c r="M451" s="6">
        <f>[1]Results!P293</f>
        <v>30.39337128</v>
      </c>
      <c r="N451" s="6">
        <f>[1]Results!Q293</f>
        <v>29.918490569999999</v>
      </c>
      <c r="O451" s="6">
        <f>[1]Results!R293</f>
        <v>29.5441763</v>
      </c>
      <c r="P451" s="6">
        <f>[1]Results!S293</f>
        <v>29.231415089999999</v>
      </c>
      <c r="Q451" s="6">
        <f>[1]Results!T293</f>
        <v>28.9729919</v>
      </c>
      <c r="R451" s="6">
        <f>[1]Results!U293</f>
        <v>28.766245139999999</v>
      </c>
      <c r="S451" s="6">
        <f>[1]Results!V293</f>
        <v>28.634771579999999</v>
      </c>
      <c r="T451" s="6">
        <f>[1]Results!W293</f>
        <v>28.57143258</v>
      </c>
      <c r="U451" s="6">
        <f>[1]Results!X293</f>
        <v>28.57554373</v>
      </c>
      <c r="V451" s="6">
        <f>[1]Results!Y293</f>
        <v>28.6479122</v>
      </c>
      <c r="W451" s="6">
        <f>[1]Results!Z293</f>
        <v>28.782966420000001</v>
      </c>
      <c r="X451" s="6">
        <f>[1]Results!AA293</f>
        <v>28.999557540000001</v>
      </c>
      <c r="Y451" s="6">
        <f>[1]Results!AB293</f>
        <v>29.29809358</v>
      </c>
      <c r="Z451" s="6">
        <f>[1]Results!AC293</f>
        <v>29.68089642</v>
      </c>
      <c r="AA451" s="6">
        <f>[1]Results!AD293</f>
        <v>30.150859799999999</v>
      </c>
      <c r="AB451" s="6">
        <f>[1]Results!AE293</f>
        <v>30.687518140000002</v>
      </c>
      <c r="AC451" s="6">
        <f>[1]Results!AF293</f>
        <v>31.325276590000001</v>
      </c>
      <c r="AD451" s="6">
        <f>[1]Results!AG293</f>
        <v>32.077785140000003</v>
      </c>
      <c r="AE451" s="6">
        <f>[1]Results!AH293</f>
        <v>32.954943290000003</v>
      </c>
      <c r="AF451" s="6">
        <f>[1]Results!AI293</f>
        <v>33.962201399999998</v>
      </c>
      <c r="AG451" s="6">
        <f>[1]Results!AJ293</f>
        <v>35.10483327</v>
      </c>
      <c r="AH451" s="6">
        <f>[1]Results!AK293</f>
        <v>36.394388470000003</v>
      </c>
      <c r="AI451" s="6">
        <f>[1]Results!AL293</f>
        <v>37.850784089999998</v>
      </c>
      <c r="AJ451" s="6">
        <f>[1]Results!AM293</f>
        <v>39.50194698</v>
      </c>
      <c r="AK451" s="6">
        <f>[1]Results!AN293</f>
        <v>41.389245000000003</v>
      </c>
      <c r="AL451" s="6">
        <f>[1]Results!AO293</f>
        <v>43.576637640000001</v>
      </c>
    </row>
    <row r="452" spans="1:38" x14ac:dyDescent="0.35">
      <c r="B452" s="6" t="str">
        <f>[1]Results!E299</f>
        <v>CF_toe_cele_2</v>
      </c>
      <c r="C452" s="6">
        <f>[1]Results!F299</f>
        <v>38.0292125</v>
      </c>
      <c r="D452" s="6">
        <f>[1]Results!G299</f>
        <v>38.591823099999999</v>
      </c>
      <c r="E452" s="6">
        <f>[1]Results!H299</f>
        <v>39.149834990000002</v>
      </c>
      <c r="F452" s="6">
        <f>[1]Results!I299</f>
        <v>39.77689213</v>
      </c>
      <c r="G452" s="6">
        <f>[1]Results!J299</f>
        <v>40.360251099999999</v>
      </c>
      <c r="H452" s="6">
        <f>[1]Results!K299</f>
        <v>40.963831149999997</v>
      </c>
      <c r="I452" s="6">
        <f>[1]Results!L299</f>
        <v>41.61658079</v>
      </c>
      <c r="J452" s="6">
        <f>[1]Results!M299</f>
        <v>42.59322272</v>
      </c>
      <c r="K452" s="6">
        <f>[1]Results!N299</f>
        <v>43.47354773</v>
      </c>
      <c r="L452" s="6">
        <f>[1]Results!O299</f>
        <v>44.373541600000003</v>
      </c>
      <c r="M452" s="6">
        <f>[1]Results!P299</f>
        <v>45.175988050000001</v>
      </c>
      <c r="N452" s="6">
        <f>[1]Results!Q299</f>
        <v>45.646250049999999</v>
      </c>
      <c r="O452" s="6">
        <f>[1]Results!R299</f>
        <v>45.906073280000001</v>
      </c>
      <c r="P452" s="6">
        <f>[1]Results!S299</f>
        <v>46.04754243</v>
      </c>
      <c r="Q452" s="6">
        <f>[1]Results!T299</f>
        <v>46.140897690000003</v>
      </c>
      <c r="R452" s="6">
        <f>[1]Results!U299</f>
        <v>46.227758899999998</v>
      </c>
      <c r="S452" s="6">
        <f>[1]Results!V299</f>
        <v>46.366384940000003</v>
      </c>
      <c r="T452" s="6">
        <f>[1]Results!W299</f>
        <v>46.545398980000002</v>
      </c>
      <c r="U452" s="6">
        <f>[1]Results!X299</f>
        <v>46.770820149999999</v>
      </c>
      <c r="V452" s="6">
        <f>[1]Results!Y299</f>
        <v>47.054928859999997</v>
      </c>
      <c r="W452" s="6">
        <f>[1]Results!Z299</f>
        <v>47.401072890000002</v>
      </c>
      <c r="X452" s="6">
        <f>[1]Results!AA299</f>
        <v>47.84290266</v>
      </c>
      <c r="Y452" s="6">
        <f>[1]Results!AB299</f>
        <v>48.392795569999997</v>
      </c>
      <c r="Z452" s="6">
        <f>[1]Results!AC299</f>
        <v>49.059939</v>
      </c>
      <c r="AA452" s="6">
        <f>[1]Results!AD299</f>
        <v>49.849153909999998</v>
      </c>
      <c r="AB452" s="6">
        <f>[1]Results!AE299</f>
        <v>50.729389959999999</v>
      </c>
      <c r="AC452" s="6">
        <f>[1]Results!AF299</f>
        <v>51.742057940000002</v>
      </c>
      <c r="AD452" s="6">
        <f>[1]Results!AG299</f>
        <v>52.897729490000003</v>
      </c>
      <c r="AE452" s="6">
        <f>[1]Results!AH299</f>
        <v>54.197621699999999</v>
      </c>
      <c r="AF452" s="6">
        <f>[1]Results!AI299</f>
        <v>55.630034379999998</v>
      </c>
      <c r="AG452" s="6">
        <f>[1]Results!AJ299</f>
        <v>57.177731340000001</v>
      </c>
      <c r="AH452" s="6">
        <f>[1]Results!AK299</f>
        <v>58.827560759999997</v>
      </c>
      <c r="AI452" s="6">
        <f>[1]Results!AL299</f>
        <v>60.571796910000003</v>
      </c>
      <c r="AJ452" s="6">
        <f>[1]Results!AM299</f>
        <v>62.40417515</v>
      </c>
      <c r="AK452" s="6">
        <f>[1]Results!AN299</f>
        <v>64.323095660000007</v>
      </c>
      <c r="AL452" s="6">
        <f>[1]Results!AO299</f>
        <v>66.336220789999999</v>
      </c>
    </row>
    <row r="453" spans="1:38" x14ac:dyDescent="0.35">
      <c r="B453" s="6" t="s">
        <v>75</v>
      </c>
      <c r="C453" s="6">
        <f>SUM(C454:C456)</f>
        <v>22.006702949000001</v>
      </c>
      <c r="D453" s="6">
        <f t="shared" ref="D453:AL453" si="93">SUM(D454:D456)</f>
        <v>22.192375852999998</v>
      </c>
      <c r="E453" s="6">
        <f t="shared" si="93"/>
        <v>22.3998043</v>
      </c>
      <c r="F453" s="6">
        <f t="shared" si="93"/>
        <v>22.600690350000001</v>
      </c>
      <c r="G453" s="6">
        <f t="shared" si="93"/>
        <v>22.868381092</v>
      </c>
      <c r="H453" s="6">
        <f t="shared" si="93"/>
        <v>23.189989040999997</v>
      </c>
      <c r="I453" s="6">
        <f t="shared" si="93"/>
        <v>23.528520461999999</v>
      </c>
      <c r="J453" s="6">
        <f t="shared" si="93"/>
        <v>23.536663923999999</v>
      </c>
      <c r="K453" s="6">
        <f t="shared" si="93"/>
        <v>23.466766997000001</v>
      </c>
      <c r="L453" s="6">
        <f t="shared" si="93"/>
        <v>23.444110408999997</v>
      </c>
      <c r="M453" s="6">
        <f t="shared" si="93"/>
        <v>23.392403166999998</v>
      </c>
      <c r="N453" s="6">
        <f t="shared" si="93"/>
        <v>23.283593574000001</v>
      </c>
      <c r="O453" s="6">
        <f t="shared" si="93"/>
        <v>23.132985054999999</v>
      </c>
      <c r="P453" s="6">
        <f t="shared" si="93"/>
        <v>22.966933040999997</v>
      </c>
      <c r="Q453" s="6">
        <f t="shared" si="93"/>
        <v>22.811622745000001</v>
      </c>
      <c r="R453" s="6">
        <f t="shared" si="93"/>
        <v>22.680492698000002</v>
      </c>
      <c r="S453" s="6">
        <f t="shared" si="93"/>
        <v>22.56811995</v>
      </c>
      <c r="T453" s="6">
        <f t="shared" si="93"/>
        <v>22.485220407</v>
      </c>
      <c r="U453" s="6">
        <f t="shared" si="93"/>
        <v>22.440203038</v>
      </c>
      <c r="V453" s="6">
        <f t="shared" si="93"/>
        <v>22.437736027</v>
      </c>
      <c r="W453" s="6">
        <f t="shared" si="93"/>
        <v>22.474270598</v>
      </c>
      <c r="X453" s="6">
        <f t="shared" si="93"/>
        <v>22.565072837000002</v>
      </c>
      <c r="Y453" s="6">
        <f t="shared" si="93"/>
        <v>22.712395155999999</v>
      </c>
      <c r="Z453" s="6">
        <f t="shared" si="93"/>
        <v>22.917157039999999</v>
      </c>
      <c r="AA453" s="6">
        <f t="shared" si="93"/>
        <v>23.178281943999998</v>
      </c>
      <c r="AB453" s="6">
        <f t="shared" si="93"/>
        <v>23.474309754</v>
      </c>
      <c r="AC453" s="6">
        <f t="shared" si="93"/>
        <v>23.82819581</v>
      </c>
      <c r="AD453" s="6">
        <f t="shared" si="93"/>
        <v>24.245792489999999</v>
      </c>
      <c r="AE453" s="6">
        <f t="shared" si="93"/>
        <v>24.726887986999998</v>
      </c>
      <c r="AF453" s="6">
        <f t="shared" si="93"/>
        <v>25.264419855</v>
      </c>
      <c r="AG453" s="6">
        <f t="shared" si="93"/>
        <v>25.849107150999998</v>
      </c>
      <c r="AH453" s="6">
        <f t="shared" si="93"/>
        <v>26.474895289000003</v>
      </c>
      <c r="AI453" s="6">
        <f t="shared" si="93"/>
        <v>27.138763515000001</v>
      </c>
      <c r="AJ453" s="6">
        <f t="shared" si="93"/>
        <v>27.838140550999999</v>
      </c>
      <c r="AK453" s="6">
        <f t="shared" si="93"/>
        <v>28.572035072000002</v>
      </c>
      <c r="AL453" s="6">
        <f t="shared" si="93"/>
        <v>29.341957117</v>
      </c>
    </row>
    <row r="454" spans="1:38" x14ac:dyDescent="0.35">
      <c r="B454" s="6" t="str">
        <f>[1]Results!E309</f>
        <v>CF_toe_chea_2</v>
      </c>
      <c r="C454" s="6">
        <f>[1]Results!F309</f>
        <v>5.1300730300000001</v>
      </c>
      <c r="D454" s="6">
        <f>[1]Results!G309</f>
        <v>5.1908649349999996</v>
      </c>
      <c r="E454" s="6">
        <f>[1]Results!H309</f>
        <v>5.2540962630000001</v>
      </c>
      <c r="F454" s="6">
        <f>[1]Results!I309</f>
        <v>5.3161463649999998</v>
      </c>
      <c r="G454" s="6">
        <f>[1]Results!J309</f>
        <v>5.3821779159999998</v>
      </c>
      <c r="H454" s="6">
        <f>[1]Results!K309</f>
        <v>5.4572244269999999</v>
      </c>
      <c r="I454" s="6">
        <f>[1]Results!L309</f>
        <v>5.528191005</v>
      </c>
      <c r="J454" s="6">
        <f>[1]Results!M309</f>
        <v>5.5644791189999996</v>
      </c>
      <c r="K454" s="6">
        <f>[1]Results!N309</f>
        <v>5.5807805730000002</v>
      </c>
      <c r="L454" s="6">
        <f>[1]Results!O309</f>
        <v>5.6138896049999998</v>
      </c>
      <c r="M454" s="6">
        <f>[1]Results!P309</f>
        <v>5.663478853</v>
      </c>
      <c r="N454" s="6">
        <f>[1]Results!Q309</f>
        <v>5.7099324649999996</v>
      </c>
      <c r="O454" s="6">
        <f>[1]Results!R309</f>
        <v>5.7549792909999997</v>
      </c>
      <c r="P454" s="6">
        <f>[1]Results!S309</f>
        <v>5.7975031579999996</v>
      </c>
      <c r="Q454" s="6">
        <f>[1]Results!T309</f>
        <v>5.837810835</v>
      </c>
      <c r="R454" s="6">
        <f>[1]Results!U309</f>
        <v>5.876447486</v>
      </c>
      <c r="S454" s="6">
        <f>[1]Results!V309</f>
        <v>5.9172670959999998</v>
      </c>
      <c r="T454" s="6">
        <f>[1]Results!W309</f>
        <v>5.9593263829999996</v>
      </c>
      <c r="U454" s="6">
        <f>[1]Results!X309</f>
        <v>6.0030402179999998</v>
      </c>
      <c r="V454" s="6">
        <f>[1]Results!Y309</f>
        <v>6.049067934</v>
      </c>
      <c r="W454" s="6">
        <f>[1]Results!Z309</f>
        <v>6.09435196</v>
      </c>
      <c r="X454" s="6">
        <f>[1]Results!AA309</f>
        <v>6.1465277260000004</v>
      </c>
      <c r="Y454" s="6">
        <f>[1]Results!AB309</f>
        <v>6.205778209</v>
      </c>
      <c r="Z454" s="6">
        <f>[1]Results!AC309</f>
        <v>6.2728760880000003</v>
      </c>
      <c r="AA454" s="6">
        <f>[1]Results!AD309</f>
        <v>6.3486954710000001</v>
      </c>
      <c r="AB454" s="6">
        <f>[1]Results!AE309</f>
        <v>6.4230683270000002</v>
      </c>
      <c r="AC454" s="6">
        <f>[1]Results!AF309</f>
        <v>6.5099277390000001</v>
      </c>
      <c r="AD454" s="6">
        <f>[1]Results!AG309</f>
        <v>6.6102218610000003</v>
      </c>
      <c r="AE454" s="6">
        <f>[1]Results!AH309</f>
        <v>6.7245551209999999</v>
      </c>
      <c r="AF454" s="6">
        <f>[1]Results!AI309</f>
        <v>6.8527330969999998</v>
      </c>
      <c r="AG454" s="6">
        <f>[1]Results!AJ309</f>
        <v>6.9942968609999996</v>
      </c>
      <c r="AH454" s="6">
        <f>[1]Results!AK309</f>
        <v>7.1492308539999998</v>
      </c>
      <c r="AI454" s="6">
        <f>[1]Results!AL309</f>
        <v>7.3177015269999997</v>
      </c>
      <c r="AJ454" s="6">
        <f>[1]Results!AM309</f>
        <v>7.5000637059999997</v>
      </c>
      <c r="AK454" s="6">
        <f>[1]Results!AN309</f>
        <v>7.6974287370000001</v>
      </c>
      <c r="AL454" s="6">
        <f>[1]Results!AO309</f>
        <v>7.9118936770000001</v>
      </c>
    </row>
    <row r="455" spans="1:38" x14ac:dyDescent="0.35">
      <c r="B455" s="6" t="str">
        <f>[1]Results!E311</f>
        <v>CF_toe_cbio_2</v>
      </c>
      <c r="C455" s="6">
        <f>[1]Results!F311</f>
        <v>8.1755841379999996</v>
      </c>
      <c r="D455" s="6">
        <f>[1]Results!G311</f>
        <v>8.1045385169999999</v>
      </c>
      <c r="E455" s="6">
        <f>[1]Results!H311</f>
        <v>8.0306456379999993</v>
      </c>
      <c r="F455" s="6">
        <f>[1]Results!I311</f>
        <v>7.944790534</v>
      </c>
      <c r="G455" s="6">
        <f>[1]Results!J311</f>
        <v>7.906079428</v>
      </c>
      <c r="H455" s="6">
        <f>[1]Results!K311</f>
        <v>7.8959381110000004</v>
      </c>
      <c r="I455" s="6">
        <f>[1]Results!L311</f>
        <v>7.9012156969999996</v>
      </c>
      <c r="J455" s="6">
        <f>[1]Results!M311</f>
        <v>7.7209294750000002</v>
      </c>
      <c r="K455" s="6">
        <f>[1]Results!N311</f>
        <v>7.5123285639999997</v>
      </c>
      <c r="L455" s="6">
        <f>[1]Results!O311</f>
        <v>7.2769323840000002</v>
      </c>
      <c r="M455" s="6">
        <f>[1]Results!P311</f>
        <v>7.0109702739999999</v>
      </c>
      <c r="N455" s="6">
        <f>[1]Results!Q311</f>
        <v>6.751216909</v>
      </c>
      <c r="O455" s="6">
        <f>[1]Results!R311</f>
        <v>6.4999608240000004</v>
      </c>
      <c r="P455" s="6">
        <f>[1]Results!S311</f>
        <v>6.265402023</v>
      </c>
      <c r="Q455" s="6">
        <f>[1]Results!T311</f>
        <v>6.0528488899999999</v>
      </c>
      <c r="R455" s="6">
        <f>[1]Results!U311</f>
        <v>5.8635133420000001</v>
      </c>
      <c r="S455" s="6">
        <f>[1]Results!V311</f>
        <v>5.6799422740000001</v>
      </c>
      <c r="T455" s="6">
        <f>[1]Results!W311</f>
        <v>5.5071336540000004</v>
      </c>
      <c r="U455" s="6">
        <f>[1]Results!X311</f>
        <v>5.3470981899999996</v>
      </c>
      <c r="V455" s="6">
        <f>[1]Results!Y311</f>
        <v>5.2013482529999999</v>
      </c>
      <c r="W455" s="6">
        <f>[1]Results!Z311</f>
        <v>5.069079458</v>
      </c>
      <c r="X455" s="6">
        <f>[1]Results!AA311</f>
        <v>4.9546035609999999</v>
      </c>
      <c r="Y455" s="6">
        <f>[1]Results!AB311</f>
        <v>4.8578134869999996</v>
      </c>
      <c r="Z455" s="6">
        <f>[1]Results!AC311</f>
        <v>4.7784064620000004</v>
      </c>
      <c r="AA455" s="6">
        <f>[1]Results!AD311</f>
        <v>4.7158251729999998</v>
      </c>
      <c r="AB455" s="6">
        <f>[1]Results!AE311</f>
        <v>4.6637711370000003</v>
      </c>
      <c r="AC455" s="6">
        <f>[1]Results!AF311</f>
        <v>4.6280147610000002</v>
      </c>
      <c r="AD455" s="6">
        <f>[1]Results!AG311</f>
        <v>4.6079573089999997</v>
      </c>
      <c r="AE455" s="6">
        <f>[1]Results!AH311</f>
        <v>4.6026433759999996</v>
      </c>
      <c r="AF455" s="6">
        <f>[1]Results!AI311</f>
        <v>4.6106336680000002</v>
      </c>
      <c r="AG455" s="6">
        <f>[1]Results!AJ311</f>
        <v>4.63035482</v>
      </c>
      <c r="AH455" s="6">
        <f>[1]Results!AK311</f>
        <v>4.6605625049999997</v>
      </c>
      <c r="AI455" s="6">
        <f>[1]Results!AL311</f>
        <v>4.7003741679999997</v>
      </c>
      <c r="AJ455" s="6">
        <f>[1]Results!AM311</f>
        <v>4.749064035</v>
      </c>
      <c r="AK455" s="6">
        <f>[1]Results!AN311</f>
        <v>4.8062311050000002</v>
      </c>
      <c r="AL455" s="6">
        <f>[1]Results!AO311</f>
        <v>4.8719481499999997</v>
      </c>
    </row>
    <row r="456" spans="1:38" x14ac:dyDescent="0.35">
      <c r="B456" s="6" t="str">
        <f>[1]Results!E314</f>
        <v>CF_toe_cote_2</v>
      </c>
      <c r="C456" s="6">
        <f>[1]Results!F314</f>
        <v>8.7010457809999995</v>
      </c>
      <c r="D456" s="6">
        <f>[1]Results!G314</f>
        <v>8.8969724009999993</v>
      </c>
      <c r="E456" s="6">
        <f>[1]Results!H314</f>
        <v>9.1150623989999993</v>
      </c>
      <c r="F456" s="6">
        <f>[1]Results!I314</f>
        <v>9.339753451</v>
      </c>
      <c r="G456" s="6">
        <f>[1]Results!J314</f>
        <v>9.5801237480000001</v>
      </c>
      <c r="H456" s="6">
        <f>[1]Results!K314</f>
        <v>9.8368265029999993</v>
      </c>
      <c r="I456" s="6">
        <f>[1]Results!L314</f>
        <v>10.09911376</v>
      </c>
      <c r="J456" s="6">
        <f>[1]Results!M314</f>
        <v>10.251255329999999</v>
      </c>
      <c r="K456" s="6">
        <f>[1]Results!N314</f>
        <v>10.37365786</v>
      </c>
      <c r="L456" s="6">
        <f>[1]Results!O314</f>
        <v>10.553288419999999</v>
      </c>
      <c r="M456" s="6">
        <f>[1]Results!P314</f>
        <v>10.71795404</v>
      </c>
      <c r="N456" s="6">
        <f>[1]Results!Q314</f>
        <v>10.8224442</v>
      </c>
      <c r="O456" s="6">
        <f>[1]Results!R314</f>
        <v>10.878044940000001</v>
      </c>
      <c r="P456" s="6">
        <f>[1]Results!S314</f>
        <v>10.904027859999999</v>
      </c>
      <c r="Q456" s="6">
        <f>[1]Results!T314</f>
        <v>10.92096302</v>
      </c>
      <c r="R456" s="6">
        <f>[1]Results!U314</f>
        <v>10.940531869999999</v>
      </c>
      <c r="S456" s="6">
        <f>[1]Results!V314</f>
        <v>10.97091058</v>
      </c>
      <c r="T456" s="6">
        <f>[1]Results!W314</f>
        <v>11.018760370000001</v>
      </c>
      <c r="U456" s="6">
        <f>[1]Results!X314</f>
        <v>11.090064630000001</v>
      </c>
      <c r="V456" s="6">
        <f>[1]Results!Y314</f>
        <v>11.187319840000001</v>
      </c>
      <c r="W456" s="6">
        <f>[1]Results!Z314</f>
        <v>11.31083918</v>
      </c>
      <c r="X456" s="6">
        <f>[1]Results!AA314</f>
        <v>11.463941549999999</v>
      </c>
      <c r="Y456" s="6">
        <f>[1]Results!AB314</f>
        <v>11.64880346</v>
      </c>
      <c r="Z456" s="6">
        <f>[1]Results!AC314</f>
        <v>11.865874489999999</v>
      </c>
      <c r="AA456" s="6">
        <f>[1]Results!AD314</f>
        <v>12.1137613</v>
      </c>
      <c r="AB456" s="6">
        <f>[1]Results!AE314</f>
        <v>12.38747029</v>
      </c>
      <c r="AC456" s="6">
        <f>[1]Results!AF314</f>
        <v>12.690253309999999</v>
      </c>
      <c r="AD456" s="6">
        <f>[1]Results!AG314</f>
        <v>13.02761332</v>
      </c>
      <c r="AE456" s="6">
        <f>[1]Results!AH314</f>
        <v>13.39968949</v>
      </c>
      <c r="AF456" s="6">
        <f>[1]Results!AI314</f>
        <v>13.80105309</v>
      </c>
      <c r="AG456" s="6">
        <f>[1]Results!AJ314</f>
        <v>14.224455470000001</v>
      </c>
      <c r="AH456" s="6">
        <f>[1]Results!AK314</f>
        <v>14.665101930000001</v>
      </c>
      <c r="AI456" s="6">
        <f>[1]Results!AL314</f>
        <v>15.120687820000001</v>
      </c>
      <c r="AJ456" s="6">
        <f>[1]Results!AM314</f>
        <v>15.58901281</v>
      </c>
      <c r="AK456" s="6">
        <f>[1]Results!AN314</f>
        <v>16.068375230000001</v>
      </c>
      <c r="AL456" s="6">
        <f>[1]Results!AO314</f>
        <v>16.55811529</v>
      </c>
    </row>
    <row r="457" spans="1:3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spans="1:38" x14ac:dyDescent="0.35">
      <c r="A458" s="12" t="s">
        <v>93</v>
      </c>
      <c r="B458" s="6" t="str">
        <f>[1]Results!E317</f>
        <v>CF_toe_0</v>
      </c>
      <c r="C458" s="6">
        <f>[1]Results!F317</f>
        <v>161.694278</v>
      </c>
      <c r="D458" s="6">
        <f>[1]Results!G317</f>
        <v>162.5603581</v>
      </c>
      <c r="E458" s="6">
        <f>[1]Results!H317</f>
        <v>163.5037748</v>
      </c>
      <c r="F458" s="6">
        <f>[1]Results!I317</f>
        <v>164.48751329999999</v>
      </c>
      <c r="G458" s="6">
        <f>[1]Results!J317</f>
        <v>166.0889099</v>
      </c>
      <c r="H458" s="6">
        <f>[1]Results!K317</f>
        <v>168.20658520000001</v>
      </c>
      <c r="I458" s="6">
        <f>[1]Results!L317</f>
        <v>170.36822079999999</v>
      </c>
      <c r="J458" s="6">
        <f>[1]Results!M317</f>
        <v>172.53202659999999</v>
      </c>
      <c r="K458" s="6">
        <f>[1]Results!N317</f>
        <v>174.70423170000001</v>
      </c>
      <c r="L458" s="6">
        <f>[1]Results!O317</f>
        <v>176.8893966</v>
      </c>
      <c r="M458" s="6">
        <f>[1]Results!P317</f>
        <v>179.04627500000001</v>
      </c>
      <c r="N458" s="6">
        <f>[1]Results!Q317</f>
        <v>180.73530790000001</v>
      </c>
      <c r="O458" s="6">
        <f>[1]Results!R317</f>
        <v>182.0309115</v>
      </c>
      <c r="P458" s="6">
        <f>[1]Results!S317</f>
        <v>183.025712</v>
      </c>
      <c r="Q458" s="6">
        <f>[1]Results!T317</f>
        <v>183.82264559999999</v>
      </c>
      <c r="R458" s="6">
        <f>[1]Results!U317</f>
        <v>184.5175931</v>
      </c>
      <c r="S458" s="6">
        <f>[1]Results!V317</f>
        <v>185.41387779999999</v>
      </c>
      <c r="T458" s="6">
        <f>[1]Results!W317</f>
        <v>186.55140610000001</v>
      </c>
      <c r="U458" s="6">
        <f>[1]Results!X317</f>
        <v>187.977282</v>
      </c>
      <c r="V458" s="6">
        <f>[1]Results!Y317</f>
        <v>189.70395669999999</v>
      </c>
      <c r="W458" s="6">
        <f>[1]Results!Z317</f>
        <v>191.69626650000001</v>
      </c>
      <c r="X458" s="6">
        <f>[1]Results!AA317</f>
        <v>194.02784919999999</v>
      </c>
      <c r="Y458" s="6">
        <f>[1]Results!AB317</f>
        <v>196.7083451</v>
      </c>
      <c r="Z458" s="6">
        <f>[1]Results!AC317</f>
        <v>199.7486293</v>
      </c>
      <c r="AA458" s="6">
        <f>[1]Results!AD317</f>
        <v>203.14912939999999</v>
      </c>
      <c r="AB458" s="6">
        <f>[1]Results!AE317</f>
        <v>206.7866683</v>
      </c>
      <c r="AC458" s="6">
        <f>[1]Results!AF317</f>
        <v>210.79011819999999</v>
      </c>
      <c r="AD458" s="6">
        <f>[1]Results!AG317</f>
        <v>215.172279</v>
      </c>
      <c r="AE458" s="6">
        <f>[1]Results!AH317</f>
        <v>219.93427199999999</v>
      </c>
      <c r="AF458" s="6">
        <f>[1]Results!AI317</f>
        <v>225.0327188</v>
      </c>
      <c r="AG458" s="6">
        <f>[1]Results!AJ317</f>
        <v>230.3995457</v>
      </c>
      <c r="AH458" s="6">
        <f>[1]Results!AK317</f>
        <v>235.96876829999999</v>
      </c>
      <c r="AI458" s="6">
        <f>[1]Results!AL317</f>
        <v>241.6813756</v>
      </c>
      <c r="AJ458" s="6">
        <f>[1]Results!AM317</f>
        <v>247.481977</v>
      </c>
      <c r="AK458" s="6">
        <f>[1]Results!AN317</f>
        <v>253.31634410000001</v>
      </c>
      <c r="AL458" s="6">
        <f>[1]Results!AO317</f>
        <v>259.13033539999998</v>
      </c>
    </row>
    <row r="459" spans="1:38" x14ac:dyDescent="0.35">
      <c r="A459" t="s">
        <v>38</v>
      </c>
      <c r="B459" s="6" t="str">
        <f>[1]Results!E318</f>
        <v>CF_toe_ccoa_0</v>
      </c>
      <c r="C459" s="6">
        <f>[1]Results!F318</f>
        <v>5.4028819019999998</v>
      </c>
      <c r="D459" s="6">
        <f>[1]Results!G318</f>
        <v>5.4417643299999998</v>
      </c>
      <c r="E459" s="6">
        <f>[1]Results!H318</f>
        <v>5.4869099500000003</v>
      </c>
      <c r="F459" s="6">
        <f>[1]Results!I318</f>
        <v>5.5157433400000002</v>
      </c>
      <c r="G459" s="6">
        <f>[1]Results!J318</f>
        <v>5.5836629550000003</v>
      </c>
      <c r="H459" s="6">
        <f>[1]Results!K318</f>
        <v>5.6822486789999997</v>
      </c>
      <c r="I459" s="6">
        <f>[1]Results!L318</f>
        <v>5.7931502889999997</v>
      </c>
      <c r="J459" s="6">
        <f>[1]Results!M318</f>
        <v>5.904596551</v>
      </c>
      <c r="K459" s="6">
        <f>[1]Results!N318</f>
        <v>6.015123902</v>
      </c>
      <c r="L459" s="6">
        <f>[1]Results!O318</f>
        <v>6.1248755160000004</v>
      </c>
      <c r="M459" s="6">
        <f>[1]Results!P318</f>
        <v>6.2281093280000004</v>
      </c>
      <c r="N459" s="6">
        <f>[1]Results!Q318</f>
        <v>6.3013899200000001</v>
      </c>
      <c r="O459" s="6">
        <f>[1]Results!R318</f>
        <v>6.3521947839999999</v>
      </c>
      <c r="P459" s="6">
        <f>[1]Results!S318</f>
        <v>6.3883249879999999</v>
      </c>
      <c r="Q459" s="6">
        <f>[1]Results!T318</f>
        <v>6.4173612169999998</v>
      </c>
      <c r="R459" s="6">
        <f>[1]Results!U318</f>
        <v>6.4454470449999999</v>
      </c>
      <c r="S459" s="6">
        <f>[1]Results!V318</f>
        <v>6.4876812959999999</v>
      </c>
      <c r="T459" s="6">
        <f>[1]Results!W318</f>
        <v>6.5497212930000002</v>
      </c>
      <c r="U459" s="6">
        <f>[1]Results!X318</f>
        <v>6.6334619149999998</v>
      </c>
      <c r="V459" s="6">
        <f>[1]Results!Y318</f>
        <v>6.7385375099999996</v>
      </c>
      <c r="W459" s="6">
        <f>[1]Results!Z318</f>
        <v>6.8635617849999999</v>
      </c>
      <c r="X459" s="6">
        <f>[1]Results!AA318</f>
        <v>7.0087065050000001</v>
      </c>
      <c r="Y459" s="6">
        <f>[1]Results!AB318</f>
        <v>7.1741720170000001</v>
      </c>
      <c r="Z459" s="6">
        <f>[1]Results!AC318</f>
        <v>7.3598138500000001</v>
      </c>
      <c r="AA459" s="6">
        <f>[1]Results!AD318</f>
        <v>7.5646970170000003</v>
      </c>
      <c r="AB459" s="6">
        <f>[1]Results!AE318</f>
        <v>7.7859858180000003</v>
      </c>
      <c r="AC459" s="6">
        <f>[1]Results!AF318</f>
        <v>8.0250149289999992</v>
      </c>
      <c r="AD459" s="6">
        <f>[1]Results!AG318</f>
        <v>8.2827825239999999</v>
      </c>
      <c r="AE459" s="6">
        <f>[1]Results!AH318</f>
        <v>8.5591897039999996</v>
      </c>
      <c r="AF459" s="6">
        <f>[1]Results!AI318</f>
        <v>8.8512613210000008</v>
      </c>
      <c r="AG459" s="6">
        <f>[1]Results!AJ318</f>
        <v>9.1547819869999998</v>
      </c>
      <c r="AH459" s="6">
        <f>[1]Results!AK318</f>
        <v>9.4662108790000001</v>
      </c>
      <c r="AI459" s="6">
        <f>[1]Results!AL318</f>
        <v>9.7829812169999997</v>
      </c>
      <c r="AJ459" s="6">
        <f>[1]Results!AM318</f>
        <v>10.102926610000001</v>
      </c>
      <c r="AK459" s="6">
        <f>[1]Results!AN318</f>
        <v>10.42398427</v>
      </c>
      <c r="AL459" s="6">
        <f>[1]Results!AO318</f>
        <v>10.744065020000001</v>
      </c>
    </row>
    <row r="460" spans="1:38" x14ac:dyDescent="0.35">
      <c r="B460" s="6" t="s">
        <v>74</v>
      </c>
      <c r="C460" s="6">
        <f>C461+C462+C463</f>
        <v>62.123682370400005</v>
      </c>
      <c r="D460" s="6">
        <f t="shared" ref="D460:AI460" si="94">D461+D462+D463</f>
        <v>62.404461386900003</v>
      </c>
      <c r="E460" s="6">
        <f t="shared" si="94"/>
        <v>62.687870113700001</v>
      </c>
      <c r="F460" s="6">
        <f t="shared" si="94"/>
        <v>63.039076217100003</v>
      </c>
      <c r="G460" s="6">
        <f t="shared" si="94"/>
        <v>63.628681180400001</v>
      </c>
      <c r="H460" s="6">
        <f t="shared" si="94"/>
        <v>64.430276128000003</v>
      </c>
      <c r="I460" s="6">
        <f t="shared" si="94"/>
        <v>65.345104022399994</v>
      </c>
      <c r="J460" s="6">
        <f t="shared" si="94"/>
        <v>66.305532419499997</v>
      </c>
      <c r="K460" s="6">
        <f t="shared" si="94"/>
        <v>67.287421603500007</v>
      </c>
      <c r="L460" s="6">
        <f t="shared" si="94"/>
        <v>68.281723375799999</v>
      </c>
      <c r="M460" s="6">
        <f t="shared" si="94"/>
        <v>69.269935058200005</v>
      </c>
      <c r="N460" s="6">
        <f t="shared" si="94"/>
        <v>70.114866481099995</v>
      </c>
      <c r="O460" s="6">
        <f t="shared" si="94"/>
        <v>70.829972740599999</v>
      </c>
      <c r="P460" s="6">
        <f t="shared" si="94"/>
        <v>71.435934187000001</v>
      </c>
      <c r="Q460" s="6">
        <f t="shared" si="94"/>
        <v>71.958896659700002</v>
      </c>
      <c r="R460" s="6">
        <f t="shared" si="94"/>
        <v>72.42534653509999</v>
      </c>
      <c r="S460" s="6">
        <f t="shared" si="94"/>
        <v>72.904351802299999</v>
      </c>
      <c r="T460" s="6">
        <f t="shared" si="94"/>
        <v>73.438416640500009</v>
      </c>
      <c r="U460" s="6">
        <f t="shared" si="94"/>
        <v>74.050287405299997</v>
      </c>
      <c r="V460" s="6">
        <f t="shared" si="94"/>
        <v>74.7475687429</v>
      </c>
      <c r="W460" s="6">
        <f t="shared" si="94"/>
        <v>75.521162369100011</v>
      </c>
      <c r="X460" s="6">
        <f t="shared" si="94"/>
        <v>76.392785714300004</v>
      </c>
      <c r="Y460" s="6">
        <f t="shared" si="94"/>
        <v>77.367939790700007</v>
      </c>
      <c r="Z460" s="6">
        <f t="shared" si="94"/>
        <v>78.452414849799993</v>
      </c>
      <c r="AA460" s="6">
        <f t="shared" si="94"/>
        <v>79.648445675799991</v>
      </c>
      <c r="AB460" s="6">
        <f t="shared" si="94"/>
        <v>80.920660750499991</v>
      </c>
      <c r="AC460" s="6">
        <f t="shared" si="94"/>
        <v>82.306201295400001</v>
      </c>
      <c r="AD460" s="6">
        <f t="shared" si="94"/>
        <v>83.813598736399996</v>
      </c>
      <c r="AE460" s="6">
        <f t="shared" si="94"/>
        <v>85.447000664900017</v>
      </c>
      <c r="AF460" s="6">
        <f t="shared" si="94"/>
        <v>87.196464318099999</v>
      </c>
      <c r="AG460" s="6">
        <f t="shared" si="94"/>
        <v>89.043169611599993</v>
      </c>
      <c r="AH460" s="6">
        <f t="shared" si="94"/>
        <v>90.967443843699996</v>
      </c>
      <c r="AI460" s="6">
        <f t="shared" si="94"/>
        <v>92.950532390500001</v>
      </c>
      <c r="AJ460" s="6">
        <f>AJ461+AJ462+AJ463</f>
        <v>94.973397850300003</v>
      </c>
      <c r="AK460" s="6">
        <f t="shared" ref="AK460" si="95">AK461+AK462+AK463</f>
        <v>97.016392866399997</v>
      </c>
      <c r="AL460" s="6">
        <f t="shared" ref="AL460" si="96">AL461+AL462+AL463</f>
        <v>99.059094648499993</v>
      </c>
    </row>
    <row r="461" spans="1:38" x14ac:dyDescent="0.35">
      <c r="B461" s="6" t="str">
        <f>[1]Results!E321</f>
        <v>CF_toe_ccoi_0</v>
      </c>
      <c r="C461" s="6">
        <f>[1]Results!F321</f>
        <v>8.3953620399999998E-2</v>
      </c>
      <c r="D461" s="6">
        <f>[1]Results!G321</f>
        <v>8.4487726900000004E-2</v>
      </c>
      <c r="E461" s="6">
        <f>[1]Results!H321</f>
        <v>8.5096733699999996E-2</v>
      </c>
      <c r="F461" s="6">
        <f>[1]Results!I321</f>
        <v>8.5569667099999996E-2</v>
      </c>
      <c r="G461" s="6">
        <f>[1]Results!J321</f>
        <v>8.6607630399999996E-2</v>
      </c>
      <c r="H461" s="6">
        <f>[1]Results!K321</f>
        <v>8.8118457999999997E-2</v>
      </c>
      <c r="I461" s="6">
        <f>[1]Results!L321</f>
        <v>8.9341862399999999E-2</v>
      </c>
      <c r="J461" s="6">
        <f>[1]Results!M321</f>
        <v>9.0342719500000002E-2</v>
      </c>
      <c r="K461" s="6">
        <f>[1]Results!N321</f>
        <v>9.1212743499999999E-2</v>
      </c>
      <c r="L461" s="6">
        <f>[1]Results!O321</f>
        <v>9.2012485800000002E-2</v>
      </c>
      <c r="M461" s="6">
        <f>[1]Results!P321</f>
        <v>9.2722118199999995E-2</v>
      </c>
      <c r="N461" s="6">
        <f>[1]Results!Q321</f>
        <v>9.3046341099999999E-2</v>
      </c>
      <c r="O461" s="6">
        <f>[1]Results!R321</f>
        <v>9.3060580599999998E-2</v>
      </c>
      <c r="P461" s="6">
        <f>[1]Results!S321</f>
        <v>9.2841646999999999E-2</v>
      </c>
      <c r="Q461" s="6">
        <f>[1]Results!T321</f>
        <v>9.2474109700000001E-2</v>
      </c>
      <c r="R461" s="6">
        <f>[1]Results!U321</f>
        <v>9.20368451E-2</v>
      </c>
      <c r="S461" s="6">
        <f>[1]Results!V321</f>
        <v>9.1979032299999999E-2</v>
      </c>
      <c r="T461" s="6">
        <f>[1]Results!W321</f>
        <v>9.2250730500000003E-2</v>
      </c>
      <c r="U461" s="6">
        <f>[1]Results!X321</f>
        <v>9.2823295299999997E-2</v>
      </c>
      <c r="V461" s="6">
        <f>[1]Results!Y321</f>
        <v>9.3675742899999997E-2</v>
      </c>
      <c r="W461" s="6">
        <f>[1]Results!Z321</f>
        <v>9.4779959100000005E-2</v>
      </c>
      <c r="X461" s="6">
        <f>[1]Results!AA321</f>
        <v>9.6160374300000004E-2</v>
      </c>
      <c r="Y461" s="6">
        <f>[1]Results!AB321</f>
        <v>9.7822180699999997E-2</v>
      </c>
      <c r="Z461" s="6">
        <f>[1]Results!AC321</f>
        <v>9.9771509800000005E-2</v>
      </c>
      <c r="AA461" s="6">
        <f>[1]Results!AD321</f>
        <v>0.10200695579999999</v>
      </c>
      <c r="AB461" s="6">
        <f>[1]Results!AE321</f>
        <v>0.10447493049999999</v>
      </c>
      <c r="AC461" s="6">
        <f>[1]Results!AF321</f>
        <v>0.1072320254</v>
      </c>
      <c r="AD461" s="6">
        <f>[1]Results!AG321</f>
        <v>0.1102906964</v>
      </c>
      <c r="AE461" s="6">
        <f>[1]Results!AH321</f>
        <v>0.1136542649</v>
      </c>
      <c r="AF461" s="6">
        <f>[1]Results!AI321</f>
        <v>0.11729335809999999</v>
      </c>
      <c r="AG461" s="6">
        <f>[1]Results!AJ321</f>
        <v>0.1211596316</v>
      </c>
      <c r="AH461" s="6">
        <f>[1]Results!AK321</f>
        <v>0.12520543370000001</v>
      </c>
      <c r="AI461" s="6">
        <f>[1]Results!AL321</f>
        <v>0.1293883005</v>
      </c>
      <c r="AJ461" s="6">
        <f>[1]Results!AM321</f>
        <v>0.13366667030000001</v>
      </c>
      <c r="AK461" s="6">
        <f>[1]Results!AN321</f>
        <v>0.1379979764</v>
      </c>
      <c r="AL461" s="6">
        <f>[1]Results!AO321</f>
        <v>0.1423379585</v>
      </c>
    </row>
    <row r="462" spans="1:38" x14ac:dyDescent="0.35">
      <c r="B462" s="6" t="str">
        <f>[1]Results!E324</f>
        <v>CF_toe_cfut_0</v>
      </c>
      <c r="C462" s="6">
        <f>[1]Results!F324</f>
        <v>47.250386450000001</v>
      </c>
      <c r="D462" s="6">
        <f>[1]Results!G324</f>
        <v>47.454178390000003</v>
      </c>
      <c r="E462" s="6">
        <f>[1]Results!H324</f>
        <v>47.664633559999999</v>
      </c>
      <c r="F462" s="6">
        <f>[1]Results!I324</f>
        <v>47.948647999999999</v>
      </c>
      <c r="G462" s="6">
        <f>[1]Results!J324</f>
        <v>48.42672125</v>
      </c>
      <c r="H462" s="6">
        <f>[1]Results!K324</f>
        <v>49.078711869999999</v>
      </c>
      <c r="I462" s="6">
        <f>[1]Results!L324</f>
        <v>49.835805030000003</v>
      </c>
      <c r="J462" s="6">
        <f>[1]Results!M324</f>
        <v>50.642800970000003</v>
      </c>
      <c r="K462" s="6">
        <f>[1]Results!N324</f>
        <v>51.475016119999999</v>
      </c>
      <c r="L462" s="6">
        <f>[1]Results!O324</f>
        <v>52.321227159999999</v>
      </c>
      <c r="M462" s="6">
        <f>[1]Results!P324</f>
        <v>53.162007610000003</v>
      </c>
      <c r="N462" s="6">
        <f>[1]Results!Q324</f>
        <v>53.89355578</v>
      </c>
      <c r="O462" s="6">
        <f>[1]Results!R324</f>
        <v>54.524306850000002</v>
      </c>
      <c r="P462" s="6">
        <f>[1]Results!S324</f>
        <v>55.067749450000001</v>
      </c>
      <c r="Q462" s="6">
        <f>[1]Results!T324</f>
        <v>55.542700259999997</v>
      </c>
      <c r="R462" s="6">
        <f>[1]Results!U324</f>
        <v>55.969112719999998</v>
      </c>
      <c r="S462" s="6">
        <f>[1]Results!V324</f>
        <v>56.392937709999998</v>
      </c>
      <c r="T462" s="6">
        <f>[1]Results!W324</f>
        <v>56.849757840000002</v>
      </c>
      <c r="U462" s="6">
        <f>[1]Results!X324</f>
        <v>57.358826219999997</v>
      </c>
      <c r="V462" s="6">
        <f>[1]Results!Y324</f>
        <v>57.928297870000002</v>
      </c>
      <c r="W462" s="6">
        <f>[1]Results!Z324</f>
        <v>58.554567970000001</v>
      </c>
      <c r="X462" s="6">
        <f>[1]Results!AA324</f>
        <v>59.25300867</v>
      </c>
      <c r="Y462" s="6">
        <f>[1]Results!AB324</f>
        <v>60.030094570000003</v>
      </c>
      <c r="Z462" s="6">
        <f>[1]Results!AC324</f>
        <v>60.891373309999999</v>
      </c>
      <c r="AA462" s="6">
        <f>[1]Results!AD324</f>
        <v>61.839076079999998</v>
      </c>
      <c r="AB462" s="6">
        <f>[1]Results!AE324</f>
        <v>62.850276090000001</v>
      </c>
      <c r="AC462" s="6">
        <f>[1]Results!AF324</f>
        <v>63.948070049999998</v>
      </c>
      <c r="AD462" s="6">
        <f>[1]Results!AG324</f>
        <v>65.139770229999996</v>
      </c>
      <c r="AE462" s="6">
        <f>[1]Results!AH324</f>
        <v>66.428947750000006</v>
      </c>
      <c r="AF462" s="6">
        <f>[1]Results!AI324</f>
        <v>67.808094760000003</v>
      </c>
      <c r="AG462" s="6">
        <f>[1]Results!AJ324</f>
        <v>69.26275158</v>
      </c>
      <c r="AH462" s="6">
        <f>[1]Results!AK324</f>
        <v>70.777698119999997</v>
      </c>
      <c r="AI462" s="6">
        <f>[1]Results!AL324</f>
        <v>72.338530840000004</v>
      </c>
      <c r="AJ462" s="6">
        <f>[1]Results!AM324</f>
        <v>73.930470720000002</v>
      </c>
      <c r="AK462" s="6">
        <f>[1]Results!AN324</f>
        <v>75.537974669999997</v>
      </c>
      <c r="AL462" s="6">
        <f>[1]Results!AO324</f>
        <v>77.144734310000004</v>
      </c>
    </row>
    <row r="463" spans="1:38" x14ac:dyDescent="0.35">
      <c r="B463" s="6" t="str">
        <f>[1]Results!E327</f>
        <v>CF_toe_cfuh_0</v>
      </c>
      <c r="C463" s="6">
        <f>[1]Results!F327</f>
        <v>14.789342299999999</v>
      </c>
      <c r="D463" s="6">
        <f>[1]Results!G327</f>
        <v>14.86579527</v>
      </c>
      <c r="E463" s="6">
        <f>[1]Results!H327</f>
        <v>14.93813982</v>
      </c>
      <c r="F463" s="6">
        <f>[1]Results!I327</f>
        <v>15.00485855</v>
      </c>
      <c r="G463" s="6">
        <f>[1]Results!J327</f>
        <v>15.1153523</v>
      </c>
      <c r="H463" s="6">
        <f>[1]Results!K327</f>
        <v>15.2634458</v>
      </c>
      <c r="I463" s="6">
        <f>[1]Results!L327</f>
        <v>15.41995713</v>
      </c>
      <c r="J463" s="6">
        <f>[1]Results!M327</f>
        <v>15.57238873</v>
      </c>
      <c r="K463" s="6">
        <f>[1]Results!N327</f>
        <v>15.721192739999999</v>
      </c>
      <c r="L463" s="6">
        <f>[1]Results!O327</f>
        <v>15.868483729999999</v>
      </c>
      <c r="M463" s="6">
        <f>[1]Results!P327</f>
        <v>16.015205330000001</v>
      </c>
      <c r="N463" s="6">
        <f>[1]Results!Q327</f>
        <v>16.128264359999999</v>
      </c>
      <c r="O463" s="6">
        <f>[1]Results!R327</f>
        <v>16.212605310000001</v>
      </c>
      <c r="P463" s="6">
        <f>[1]Results!S327</f>
        <v>16.27534309</v>
      </c>
      <c r="Q463" s="6">
        <f>[1]Results!T327</f>
        <v>16.323722289999999</v>
      </c>
      <c r="R463" s="6">
        <f>[1]Results!U327</f>
        <v>16.364196969999998</v>
      </c>
      <c r="S463" s="6">
        <f>[1]Results!V327</f>
        <v>16.419435060000001</v>
      </c>
      <c r="T463" s="6">
        <f>[1]Results!W327</f>
        <v>16.496408070000001</v>
      </c>
      <c r="U463" s="6">
        <f>[1]Results!X327</f>
        <v>16.598637889999999</v>
      </c>
      <c r="V463" s="6">
        <f>[1]Results!Y327</f>
        <v>16.725595129999999</v>
      </c>
      <c r="W463" s="6">
        <f>[1]Results!Z327</f>
        <v>16.871814440000001</v>
      </c>
      <c r="X463" s="6">
        <f>[1]Results!AA327</f>
        <v>17.043616669999999</v>
      </c>
      <c r="Y463" s="6">
        <f>[1]Results!AB327</f>
        <v>17.240023040000001</v>
      </c>
      <c r="Z463" s="6">
        <f>[1]Results!AC327</f>
        <v>17.461270030000001</v>
      </c>
      <c r="AA463" s="6">
        <f>[1]Results!AD327</f>
        <v>17.707362639999999</v>
      </c>
      <c r="AB463" s="6">
        <f>[1]Results!AE327</f>
        <v>17.96590973</v>
      </c>
      <c r="AC463" s="6">
        <f>[1]Results!AF327</f>
        <v>18.250899220000001</v>
      </c>
      <c r="AD463" s="6">
        <f>[1]Results!AG327</f>
        <v>18.56353781</v>
      </c>
      <c r="AE463" s="6">
        <f>[1]Results!AH327</f>
        <v>18.904398650000001</v>
      </c>
      <c r="AF463" s="6">
        <f>[1]Results!AI327</f>
        <v>19.2710762</v>
      </c>
      <c r="AG463" s="6">
        <f>[1]Results!AJ327</f>
        <v>19.659258399999999</v>
      </c>
      <c r="AH463" s="6">
        <f>[1]Results!AK327</f>
        <v>20.06454029</v>
      </c>
      <c r="AI463" s="6">
        <f>[1]Results!AL327</f>
        <v>20.48261325</v>
      </c>
      <c r="AJ463" s="6">
        <f>[1]Results!AM327</f>
        <v>20.909260459999999</v>
      </c>
      <c r="AK463" s="6">
        <f>[1]Results!AN327</f>
        <v>21.340420219999999</v>
      </c>
      <c r="AL463" s="6">
        <f>[1]Results!AO327</f>
        <v>21.772022379999999</v>
      </c>
    </row>
    <row r="464" spans="1:38" x14ac:dyDescent="0.35">
      <c r="B464" s="6" t="str">
        <f>[1]Results!E329</f>
        <v>CF_toe_cgas_0</v>
      </c>
      <c r="C464" s="6">
        <f>[1]Results!F329</f>
        <v>34.131798310000001</v>
      </c>
      <c r="D464" s="6">
        <f>[1]Results!G329</f>
        <v>33.929933460000001</v>
      </c>
      <c r="E464" s="6">
        <f>[1]Results!H329</f>
        <v>33.779355440000003</v>
      </c>
      <c r="F464" s="6">
        <f>[1]Results!I329</f>
        <v>33.555111250000003</v>
      </c>
      <c r="G464" s="6">
        <f>[1]Results!J329</f>
        <v>33.64793358</v>
      </c>
      <c r="H464" s="6">
        <f>[1]Results!K329</f>
        <v>33.940240170000003</v>
      </c>
      <c r="I464" s="6">
        <f>[1]Results!L329</f>
        <v>34.084865260000001</v>
      </c>
      <c r="J464" s="6">
        <f>[1]Results!M329</f>
        <v>34.138685449999997</v>
      </c>
      <c r="K464" s="6">
        <f>[1]Results!N329</f>
        <v>34.157497900000003</v>
      </c>
      <c r="L464" s="6">
        <f>[1]Results!O329</f>
        <v>34.167268079999999</v>
      </c>
      <c r="M464" s="6">
        <f>[1]Results!P329</f>
        <v>34.175391529999999</v>
      </c>
      <c r="N464" s="6">
        <f>[1]Results!Q329</f>
        <v>34.09728647</v>
      </c>
      <c r="O464" s="6">
        <f>[1]Results!R329</f>
        <v>33.954123590000002</v>
      </c>
      <c r="P464" s="6">
        <f>[1]Results!S329</f>
        <v>33.767364399999998</v>
      </c>
      <c r="Q464" s="6">
        <f>[1]Results!T329</f>
        <v>33.557113190000003</v>
      </c>
      <c r="R464" s="6">
        <f>[1]Results!U329</f>
        <v>33.340361850000001</v>
      </c>
      <c r="S464" s="6">
        <f>[1]Results!V329</f>
        <v>33.299966089999998</v>
      </c>
      <c r="T464" s="6">
        <f>[1]Results!W329</f>
        <v>33.37545935</v>
      </c>
      <c r="U464" s="6">
        <f>[1]Results!X329</f>
        <v>33.543436560000004</v>
      </c>
      <c r="V464" s="6">
        <f>[1]Results!Y329</f>
        <v>33.78701203</v>
      </c>
      <c r="W464" s="6">
        <f>[1]Results!Z329</f>
        <v>34.086678810000002</v>
      </c>
      <c r="X464" s="6">
        <f>[1]Results!AA329</f>
        <v>34.454020270000001</v>
      </c>
      <c r="Y464" s="6">
        <f>[1]Results!AB329</f>
        <v>34.886654200000002</v>
      </c>
      <c r="Z464" s="6">
        <f>[1]Results!AC329</f>
        <v>35.384941730000001</v>
      </c>
      <c r="AA464" s="6">
        <f>[1]Results!AD329</f>
        <v>35.948267819999998</v>
      </c>
      <c r="AB464" s="6">
        <f>[1]Results!AE329</f>
        <v>36.548897750000002</v>
      </c>
      <c r="AC464" s="6">
        <f>[1]Results!AF329</f>
        <v>37.218863730000002</v>
      </c>
      <c r="AD464" s="6">
        <f>[1]Results!AG329</f>
        <v>37.960035920000003</v>
      </c>
      <c r="AE464" s="6">
        <f>[1]Results!AH329</f>
        <v>38.773218819999997</v>
      </c>
      <c r="AF464" s="6">
        <f>[1]Results!AI329</f>
        <v>39.651993359999999</v>
      </c>
      <c r="AG464" s="6">
        <f>[1]Results!AJ329</f>
        <v>40.585352659999998</v>
      </c>
      <c r="AH464" s="6">
        <f>[1]Results!AK329</f>
        <v>41.562316670000001</v>
      </c>
      <c r="AI464" s="6">
        <f>[1]Results!AL329</f>
        <v>42.572038329999998</v>
      </c>
      <c r="AJ464" s="6">
        <f>[1]Results!AM329</f>
        <v>43.604468730000001</v>
      </c>
      <c r="AK464" s="6">
        <f>[1]Results!AN329</f>
        <v>44.649744349999999</v>
      </c>
      <c r="AL464" s="6">
        <f>[1]Results!AO329</f>
        <v>45.697839129999998</v>
      </c>
    </row>
    <row r="465" spans="1:38" x14ac:dyDescent="0.35">
      <c r="B465" s="6" t="str">
        <f>[1]Results!E335</f>
        <v>CF_toe_cele_0</v>
      </c>
      <c r="C465" s="6">
        <f>[1]Results!F335</f>
        <v>38.029212489999999</v>
      </c>
      <c r="D465" s="6">
        <f>[1]Results!G335</f>
        <v>38.591823089999998</v>
      </c>
      <c r="E465" s="6">
        <f>[1]Results!H335</f>
        <v>39.149834980000001</v>
      </c>
      <c r="F465" s="6">
        <f>[1]Results!I335</f>
        <v>39.776892109999999</v>
      </c>
      <c r="G465" s="6">
        <f>[1]Results!J335</f>
        <v>40.360251079999998</v>
      </c>
      <c r="H465" s="6">
        <f>[1]Results!K335</f>
        <v>40.963831130000003</v>
      </c>
      <c r="I465" s="6">
        <f>[1]Results!L335</f>
        <v>41.61658078</v>
      </c>
      <c r="J465" s="6">
        <f>[1]Results!M335</f>
        <v>42.315707410000002</v>
      </c>
      <c r="K465" s="6">
        <f>[1]Results!N335</f>
        <v>43.041437549999998</v>
      </c>
      <c r="L465" s="6">
        <f>[1]Results!O335</f>
        <v>43.781826289999998</v>
      </c>
      <c r="M465" s="6">
        <f>[1]Results!P335</f>
        <v>44.51842027</v>
      </c>
      <c r="N465" s="6">
        <f>[1]Results!Q335</f>
        <v>45.132856339999996</v>
      </c>
      <c r="O465" s="6">
        <f>[1]Results!R335</f>
        <v>45.635594220000002</v>
      </c>
      <c r="P465" s="6">
        <f>[1]Results!S335</f>
        <v>46.047995190000002</v>
      </c>
      <c r="Q465" s="6">
        <f>[1]Results!T335</f>
        <v>46.398911200000001</v>
      </c>
      <c r="R465" s="6">
        <f>[1]Results!U335</f>
        <v>46.718032000000001</v>
      </c>
      <c r="S465" s="6">
        <f>[1]Results!V335</f>
        <v>47.013624739999997</v>
      </c>
      <c r="T465" s="6">
        <f>[1]Results!W335</f>
        <v>47.321982329999997</v>
      </c>
      <c r="U465" s="6">
        <f>[1]Results!X335</f>
        <v>47.678036910000003</v>
      </c>
      <c r="V465" s="6">
        <f>[1]Results!Y335</f>
        <v>48.102130129999999</v>
      </c>
      <c r="W465" s="6">
        <f>[1]Results!Z335</f>
        <v>48.597012049999996</v>
      </c>
      <c r="X465" s="6">
        <f>[1]Results!AA335</f>
        <v>49.190626039999998</v>
      </c>
      <c r="Y465" s="6">
        <f>[1]Results!AB335</f>
        <v>49.890005789999996</v>
      </c>
      <c r="Z465" s="6">
        <f>[1]Results!AC335</f>
        <v>50.70064842</v>
      </c>
      <c r="AA465" s="6">
        <f>[1]Results!AD335</f>
        <v>51.624688890000002</v>
      </c>
      <c r="AB465" s="6">
        <f>[1]Results!AE335</f>
        <v>52.62937445</v>
      </c>
      <c r="AC465" s="6">
        <f>[1]Results!AF335</f>
        <v>53.749386520000002</v>
      </c>
      <c r="AD465" s="6">
        <f>[1]Results!AG335</f>
        <v>54.985118759999999</v>
      </c>
      <c r="AE465" s="6">
        <f>[1]Results!AH335</f>
        <v>56.334030380000002</v>
      </c>
      <c r="AF465" s="6">
        <f>[1]Results!AI335</f>
        <v>57.780689940000002</v>
      </c>
      <c r="AG465" s="6">
        <f>[1]Results!AJ335</f>
        <v>59.302859929999997</v>
      </c>
      <c r="AH465" s="6">
        <f>[1]Results!AK335</f>
        <v>60.8788524</v>
      </c>
      <c r="AI465" s="6">
        <f>[1]Results!AL335</f>
        <v>62.489655829999997</v>
      </c>
      <c r="AJ465" s="6">
        <f>[1]Results!AM335</f>
        <v>64.117827399999996</v>
      </c>
      <c r="AK465" s="6">
        <f>[1]Results!AN335</f>
        <v>65.746951429999996</v>
      </c>
      <c r="AL465" s="6">
        <f>[1]Results!AO335</f>
        <v>67.361483079999999</v>
      </c>
    </row>
    <row r="466" spans="1:38" x14ac:dyDescent="0.35">
      <c r="B466" s="6" t="s">
        <v>75</v>
      </c>
      <c r="C466" s="6">
        <f>SUM(C467:C469)</f>
        <v>22.006702949999998</v>
      </c>
      <c r="D466" s="6">
        <f t="shared" ref="D466:AL466" si="97">SUM(D467:D469)</f>
        <v>22.192375859999999</v>
      </c>
      <c r="E466" s="6">
        <f t="shared" si="97"/>
        <v>22.399804314000001</v>
      </c>
      <c r="F466" s="6">
        <f t="shared" si="97"/>
        <v>22.600690370999999</v>
      </c>
      <c r="G466" s="6">
        <f t="shared" si="97"/>
        <v>22.868381118000002</v>
      </c>
      <c r="H466" s="6">
        <f t="shared" si="97"/>
        <v>23.189989071999996</v>
      </c>
      <c r="I466" s="6">
        <f t="shared" si="97"/>
        <v>23.528520493999999</v>
      </c>
      <c r="J466" s="6">
        <f t="shared" si="97"/>
        <v>23.867504754999999</v>
      </c>
      <c r="K466" s="6">
        <f t="shared" si="97"/>
        <v>24.202750700999999</v>
      </c>
      <c r="L466" s="6">
        <f t="shared" si="97"/>
        <v>24.533703362000001</v>
      </c>
      <c r="M466" s="6">
        <f t="shared" si="97"/>
        <v>24.854418837000001</v>
      </c>
      <c r="N466" s="6">
        <f t="shared" si="97"/>
        <v>25.088908670999999</v>
      </c>
      <c r="O466" s="6">
        <f t="shared" si="97"/>
        <v>25.259026118000001</v>
      </c>
      <c r="P466" s="6">
        <f t="shared" si="97"/>
        <v>25.386093222</v>
      </c>
      <c r="Q466" s="6">
        <f t="shared" si="97"/>
        <v>25.490363375000001</v>
      </c>
      <c r="R466" s="6">
        <f t="shared" si="97"/>
        <v>25.588405672999997</v>
      </c>
      <c r="S466" s="6">
        <f t="shared" si="97"/>
        <v>25.708253869000004</v>
      </c>
      <c r="T466" s="6">
        <f t="shared" si="97"/>
        <v>25.865826454</v>
      </c>
      <c r="U466" s="6">
        <f t="shared" si="97"/>
        <v>26.072059190000001</v>
      </c>
      <c r="V466" s="6">
        <f t="shared" si="97"/>
        <v>26.328708263999999</v>
      </c>
      <c r="W466" s="6">
        <f t="shared" si="97"/>
        <v>26.627851462000002</v>
      </c>
      <c r="X466" s="6">
        <f t="shared" si="97"/>
        <v>26.981710622999998</v>
      </c>
      <c r="Y466" s="6">
        <f t="shared" si="97"/>
        <v>27.389573275</v>
      </c>
      <c r="Z466" s="6">
        <f t="shared" si="97"/>
        <v>27.850810491000001</v>
      </c>
      <c r="AA466" s="6">
        <f t="shared" si="97"/>
        <v>28.363030044999999</v>
      </c>
      <c r="AB466" s="6">
        <f t="shared" si="97"/>
        <v>28.901749528</v>
      </c>
      <c r="AC466" s="6">
        <f t="shared" si="97"/>
        <v>29.490651763999999</v>
      </c>
      <c r="AD466" s="6">
        <f t="shared" si="97"/>
        <v>30.130743045999999</v>
      </c>
      <c r="AE466" s="6">
        <f t="shared" si="97"/>
        <v>30.820832424999999</v>
      </c>
      <c r="AF466" s="6">
        <f t="shared" si="97"/>
        <v>31.552309875000002</v>
      </c>
      <c r="AG466" s="6">
        <f t="shared" si="97"/>
        <v>32.313381519000004</v>
      </c>
      <c r="AH466" s="6">
        <f t="shared" si="97"/>
        <v>33.093944554000004</v>
      </c>
      <c r="AI466" s="6">
        <f t="shared" si="97"/>
        <v>33.886167800000003</v>
      </c>
      <c r="AJ466" s="6">
        <f t="shared" si="97"/>
        <v>34.683356398000001</v>
      </c>
      <c r="AK466" s="6">
        <f t="shared" si="97"/>
        <v>35.479271218999997</v>
      </c>
      <c r="AL466" s="6">
        <f t="shared" si="97"/>
        <v>36.267853488</v>
      </c>
    </row>
    <row r="467" spans="1:38" x14ac:dyDescent="0.35">
      <c r="B467" s="6" t="str">
        <f>[1]Results!E345</f>
        <v>CF_toe_chea_0</v>
      </c>
      <c r="C467" s="6">
        <f>[1]Results!F345</f>
        <v>5.1300730310000002</v>
      </c>
      <c r="D467" s="6">
        <f>[1]Results!G345</f>
        <v>5.1908649420000001</v>
      </c>
      <c r="E467" s="6">
        <f>[1]Results!H345</f>
        <v>5.2540962760000003</v>
      </c>
      <c r="F467" s="6">
        <f>[1]Results!I345</f>
        <v>5.3161463849999997</v>
      </c>
      <c r="G467" s="6">
        <f>[1]Results!J345</f>
        <v>5.3821779410000001</v>
      </c>
      <c r="H467" s="6">
        <f>[1]Results!K345</f>
        <v>5.4572244559999996</v>
      </c>
      <c r="I467" s="6">
        <f>[1]Results!L345</f>
        <v>5.5281910359999999</v>
      </c>
      <c r="J467" s="6">
        <f>[1]Results!M345</f>
        <v>5.5945057450000002</v>
      </c>
      <c r="K467" s="6">
        <f>[1]Results!N345</f>
        <v>5.6569371830000001</v>
      </c>
      <c r="L467" s="6">
        <f>[1]Results!O345</f>
        <v>5.7169529270000004</v>
      </c>
      <c r="M467" s="6">
        <f>[1]Results!P345</f>
        <v>5.7795986170000004</v>
      </c>
      <c r="N467" s="6">
        <f>[1]Results!Q345</f>
        <v>5.8277507699999997</v>
      </c>
      <c r="O467" s="6">
        <f>[1]Results!R345</f>
        <v>5.8654190560000004</v>
      </c>
      <c r="P467" s="6">
        <f>[1]Results!S345</f>
        <v>5.8958791719999999</v>
      </c>
      <c r="Q467" s="6">
        <f>[1]Results!T345</f>
        <v>5.9219389690000002</v>
      </c>
      <c r="R467" s="6">
        <f>[1]Results!U345</f>
        <v>5.9459124729999999</v>
      </c>
      <c r="S467" s="6">
        <f>[1]Results!V345</f>
        <v>5.9768494360000002</v>
      </c>
      <c r="T467" s="6">
        <f>[1]Results!W345</f>
        <v>6.016575134</v>
      </c>
      <c r="U467" s="6">
        <f>[1]Results!X345</f>
        <v>6.0651725360000004</v>
      </c>
      <c r="V467" s="6">
        <f>[1]Results!Y345</f>
        <v>6.1213712070000001</v>
      </c>
      <c r="W467" s="6">
        <f>[1]Results!Z345</f>
        <v>6.1805894739999996</v>
      </c>
      <c r="X467" s="6">
        <f>[1]Results!AA345</f>
        <v>6.2494098810000001</v>
      </c>
      <c r="Y467" s="6">
        <f>[1]Results!AB345</f>
        <v>6.3269441779999998</v>
      </c>
      <c r="Z467" s="6">
        <f>[1]Results!AC345</f>
        <v>6.4129207929999996</v>
      </c>
      <c r="AA467" s="6">
        <f>[1]Results!AD345</f>
        <v>6.5070952960000001</v>
      </c>
      <c r="AB467" s="6">
        <f>[1]Results!AE345</f>
        <v>6.5980667549999996</v>
      </c>
      <c r="AC467" s="6">
        <f>[1]Results!AF345</f>
        <v>6.6986512439999997</v>
      </c>
      <c r="AD467" s="6">
        <f>[1]Results!AG345</f>
        <v>6.8084845039999999</v>
      </c>
      <c r="AE467" s="6">
        <f>[1]Results!AH345</f>
        <v>6.9272314899999996</v>
      </c>
      <c r="AF467" s="6">
        <f>[1]Results!AI345</f>
        <v>7.0536039940000004</v>
      </c>
      <c r="AG467" s="6">
        <f>[1]Results!AJ345</f>
        <v>7.185821411</v>
      </c>
      <c r="AH467" s="6">
        <f>[1]Results!AK345</f>
        <v>7.3222082100000003</v>
      </c>
      <c r="AI467" s="6">
        <f>[1]Results!AL345</f>
        <v>7.4613297889999997</v>
      </c>
      <c r="AJ467" s="6">
        <f>[1]Results!AM345</f>
        <v>7.601860812</v>
      </c>
      <c r="AK467" s="6">
        <f>[1]Results!AN345</f>
        <v>7.7425261870000002</v>
      </c>
      <c r="AL467" s="6">
        <f>[1]Results!AO345</f>
        <v>7.8820843920000003</v>
      </c>
    </row>
    <row r="468" spans="1:38" x14ac:dyDescent="0.35">
      <c r="B468" s="6" t="str">
        <f>[1]Results!E347</f>
        <v>CF_toe_cbio_0</v>
      </c>
      <c r="C468" s="6">
        <f>[1]Results!F347</f>
        <v>8.1755841379999996</v>
      </c>
      <c r="D468" s="6">
        <f>[1]Results!G347</f>
        <v>8.1045385169999999</v>
      </c>
      <c r="E468" s="6">
        <f>[1]Results!H347</f>
        <v>8.0306456389999994</v>
      </c>
      <c r="F468" s="6">
        <f>[1]Results!I347</f>
        <v>7.9447905350000001</v>
      </c>
      <c r="G468" s="6">
        <f>[1]Results!J347</f>
        <v>7.906079429</v>
      </c>
      <c r="H468" s="6">
        <f>[1]Results!K347</f>
        <v>7.8959381119999996</v>
      </c>
      <c r="I468" s="6">
        <f>[1]Results!L347</f>
        <v>7.9012156979999997</v>
      </c>
      <c r="J468" s="6">
        <f>[1]Results!M347</f>
        <v>7.9141262699999997</v>
      </c>
      <c r="K468" s="6">
        <f>[1]Results!N347</f>
        <v>7.9321488679999996</v>
      </c>
      <c r="L468" s="6">
        <f>[1]Results!O347</f>
        <v>7.9528265649999996</v>
      </c>
      <c r="M468" s="6">
        <f>[1]Results!P347</f>
        <v>7.9764616400000001</v>
      </c>
      <c r="N468" s="6">
        <f>[1]Results!Q347</f>
        <v>7.9898640509999996</v>
      </c>
      <c r="O468" s="6">
        <f>[1]Results!R347</f>
        <v>7.9941997420000002</v>
      </c>
      <c r="P468" s="6">
        <f>[1]Results!S347</f>
        <v>7.9922626699999997</v>
      </c>
      <c r="Q468" s="6">
        <f>[1]Results!T347</f>
        <v>7.9868522860000004</v>
      </c>
      <c r="R468" s="6">
        <f>[1]Results!U347</f>
        <v>7.980289</v>
      </c>
      <c r="S468" s="6">
        <f>[1]Results!V347</f>
        <v>7.9747424330000003</v>
      </c>
      <c r="T468" s="6">
        <f>[1]Results!W347</f>
        <v>7.9714945799999999</v>
      </c>
      <c r="U468" s="6">
        <f>[1]Results!X347</f>
        <v>7.9749693539999997</v>
      </c>
      <c r="V468" s="6">
        <f>[1]Results!Y347</f>
        <v>7.986503527</v>
      </c>
      <c r="W468" s="6">
        <f>[1]Results!Z347</f>
        <v>8.0036825480000005</v>
      </c>
      <c r="X468" s="6">
        <f>[1]Results!AA347</f>
        <v>8.0302516019999999</v>
      </c>
      <c r="Y468" s="6">
        <f>[1]Results!AB347</f>
        <v>8.0654110770000003</v>
      </c>
      <c r="Z468" s="6">
        <f>[1]Results!AC347</f>
        <v>8.1087714880000004</v>
      </c>
      <c r="AA468" s="6">
        <f>[1]Results!AD347</f>
        <v>8.1599336989999998</v>
      </c>
      <c r="AB468" s="6">
        <f>[1]Results!AE347</f>
        <v>8.2115510530000009</v>
      </c>
      <c r="AC468" s="6">
        <f>[1]Results!AF347</f>
        <v>8.2711303699999998</v>
      </c>
      <c r="AD468" s="6">
        <f>[1]Results!AG347</f>
        <v>8.3384962520000006</v>
      </c>
      <c r="AE468" s="6">
        <f>[1]Results!AH347</f>
        <v>8.413358315</v>
      </c>
      <c r="AF468" s="6">
        <f>[1]Results!AI347</f>
        <v>8.4946647009999996</v>
      </c>
      <c r="AG468" s="6">
        <f>[1]Results!AJ347</f>
        <v>8.5809481680000008</v>
      </c>
      <c r="AH468" s="6">
        <f>[1]Results!AK347</f>
        <v>8.6707931439999992</v>
      </c>
      <c r="AI468" s="6">
        <f>[1]Results!AL347</f>
        <v>8.7628023010000007</v>
      </c>
      <c r="AJ468" s="6">
        <f>[1]Results!AM347</f>
        <v>8.8557620460000006</v>
      </c>
      <c r="AK468" s="6">
        <f>[1]Results!AN347</f>
        <v>8.9485597620000004</v>
      </c>
      <c r="AL468" s="6">
        <f>[1]Results!AO347</f>
        <v>9.0401508960000001</v>
      </c>
    </row>
    <row r="469" spans="1:38" x14ac:dyDescent="0.35">
      <c r="B469" s="6" t="str">
        <f>[1]Results!E350</f>
        <v>CF_toe_cote_0</v>
      </c>
      <c r="C469" s="6">
        <f>[1]Results!F350</f>
        <v>8.7010457809999995</v>
      </c>
      <c r="D469" s="6">
        <f>[1]Results!G350</f>
        <v>8.8969724009999993</v>
      </c>
      <c r="E469" s="6">
        <f>[1]Results!H350</f>
        <v>9.1150623989999993</v>
      </c>
      <c r="F469" s="6">
        <f>[1]Results!I350</f>
        <v>9.339753451</v>
      </c>
      <c r="G469" s="6">
        <f>[1]Results!J350</f>
        <v>9.5801237480000001</v>
      </c>
      <c r="H469" s="6">
        <f>[1]Results!K350</f>
        <v>9.8368265039999994</v>
      </c>
      <c r="I469" s="6">
        <f>[1]Results!L350</f>
        <v>10.09911376</v>
      </c>
      <c r="J469" s="6">
        <f>[1]Results!M350</f>
        <v>10.358872740000001</v>
      </c>
      <c r="K469" s="6">
        <f>[1]Results!N350</f>
        <v>10.61366465</v>
      </c>
      <c r="L469" s="6">
        <f>[1]Results!O350</f>
        <v>10.863923870000001</v>
      </c>
      <c r="M469" s="6">
        <f>[1]Results!P350</f>
        <v>11.098358579999999</v>
      </c>
      <c r="N469" s="6">
        <f>[1]Results!Q350</f>
        <v>11.271293849999999</v>
      </c>
      <c r="O469" s="6">
        <f>[1]Results!R350</f>
        <v>11.39940732</v>
      </c>
      <c r="P469" s="6">
        <f>[1]Results!S350</f>
        <v>11.49795138</v>
      </c>
      <c r="Q469" s="6">
        <f>[1]Results!T350</f>
        <v>11.581572120000001</v>
      </c>
      <c r="R469" s="6">
        <f>[1]Results!U350</f>
        <v>11.6622042</v>
      </c>
      <c r="S469" s="6">
        <f>[1]Results!V350</f>
        <v>11.756662</v>
      </c>
      <c r="T469" s="6">
        <f>[1]Results!W350</f>
        <v>11.877756740000001</v>
      </c>
      <c r="U469" s="6">
        <f>[1]Results!X350</f>
        <v>12.0319173</v>
      </c>
      <c r="V469" s="6">
        <f>[1]Results!Y350</f>
        <v>12.22083353</v>
      </c>
      <c r="W469" s="6">
        <f>[1]Results!Z350</f>
        <v>12.443579440000001</v>
      </c>
      <c r="X469" s="6">
        <f>[1]Results!AA350</f>
        <v>12.70204914</v>
      </c>
      <c r="Y469" s="6">
        <f>[1]Results!AB350</f>
        <v>12.99721802</v>
      </c>
      <c r="Z469" s="6">
        <f>[1]Results!AC350</f>
        <v>13.329118210000001</v>
      </c>
      <c r="AA469" s="6">
        <f>[1]Results!AD350</f>
        <v>13.69600105</v>
      </c>
      <c r="AB469" s="6">
        <f>[1]Results!AE350</f>
        <v>14.092131719999999</v>
      </c>
      <c r="AC469" s="6">
        <f>[1]Results!AF350</f>
        <v>14.52087015</v>
      </c>
      <c r="AD469" s="6">
        <f>[1]Results!AG350</f>
        <v>14.98376229</v>
      </c>
      <c r="AE469" s="6">
        <f>[1]Results!AH350</f>
        <v>15.48024262</v>
      </c>
      <c r="AF469" s="6">
        <f>[1]Results!AI350</f>
        <v>16.004041180000002</v>
      </c>
      <c r="AG469" s="6">
        <f>[1]Results!AJ350</f>
        <v>16.546611939999998</v>
      </c>
      <c r="AH469" s="6">
        <f>[1]Results!AK350</f>
        <v>17.1009432</v>
      </c>
      <c r="AI469" s="6">
        <f>[1]Results!AL350</f>
        <v>17.662035710000001</v>
      </c>
      <c r="AJ469" s="6">
        <f>[1]Results!AM350</f>
        <v>18.22573354</v>
      </c>
      <c r="AK469" s="6">
        <f>[1]Results!AN350</f>
        <v>18.78818527</v>
      </c>
      <c r="AL469" s="6">
        <f>[1]Results!AO350</f>
        <v>19.345618200000001</v>
      </c>
    </row>
    <row r="471" spans="1:3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</row>
    <row r="472" spans="1:38" x14ac:dyDescent="0.35">
      <c r="A472" s="12" t="s">
        <v>93</v>
      </c>
      <c r="B472" t="s">
        <v>77</v>
      </c>
      <c r="C472" s="4">
        <f>C445/C458-1</f>
        <v>0</v>
      </c>
      <c r="D472" s="4">
        <f t="shared" ref="D472:AL472" si="98">D445/D458-1</f>
        <v>-1.2303121854628785E-9</v>
      </c>
      <c r="E472" s="4">
        <f t="shared" si="98"/>
        <v>-2.446426727864548E-9</v>
      </c>
      <c r="F472" s="4">
        <f t="shared" si="98"/>
        <v>-3.6476932585571831E-9</v>
      </c>
      <c r="G472" s="4">
        <f t="shared" si="98"/>
        <v>-4.2146102163798105E-9</v>
      </c>
      <c r="H472" s="4">
        <f t="shared" si="98"/>
        <v>-4.7560564375714875E-9</v>
      </c>
      <c r="I472" s="4">
        <f t="shared" si="98"/>
        <v>-4.1087474533796353E-9</v>
      </c>
      <c r="J472" s="4">
        <f t="shared" si="98"/>
        <v>-1.2076496990501395E-2</v>
      </c>
      <c r="K472" s="4">
        <f t="shared" si="98"/>
        <v>-2.587635946771405E-2</v>
      </c>
      <c r="L472" s="4">
        <f t="shared" si="98"/>
        <v>-3.6896882037303458E-2</v>
      </c>
      <c r="M472" s="4">
        <f t="shared" si="98"/>
        <v>-4.724234279657602E-2</v>
      </c>
      <c r="N472" s="4">
        <f t="shared" si="98"/>
        <v>-5.5969122013485695E-2</v>
      </c>
      <c r="O472" s="4">
        <f t="shared" si="98"/>
        <v>-6.3461358319902739E-2</v>
      </c>
      <c r="P472" s="4">
        <f t="shared" si="98"/>
        <v>-6.9774224399684281E-2</v>
      </c>
      <c r="Q472" s="4">
        <f t="shared" si="98"/>
        <v>-7.4862154524447666E-2</v>
      </c>
      <c r="R472" s="4">
        <f t="shared" si="98"/>
        <v>-7.8886421372900584E-2</v>
      </c>
      <c r="S472" s="4">
        <f t="shared" si="98"/>
        <v>-8.3147055025888705E-2</v>
      </c>
      <c r="T472" s="4">
        <f t="shared" si="98"/>
        <v>-8.7681479555462905E-2</v>
      </c>
      <c r="U472" s="4">
        <f t="shared" si="98"/>
        <v>-9.2463701012551081E-2</v>
      </c>
      <c r="V472" s="4">
        <f t="shared" si="98"/>
        <v>-9.7322479832071873E-2</v>
      </c>
      <c r="W472" s="4">
        <f t="shared" si="98"/>
        <v>-0.10207222215253742</v>
      </c>
      <c r="X472" s="4">
        <f t="shared" si="98"/>
        <v>-0.10651245573875068</v>
      </c>
      <c r="Y472" s="4">
        <f t="shared" si="98"/>
        <v>-0.11051468603911296</v>
      </c>
      <c r="Z472" s="4">
        <f t="shared" si="98"/>
        <v>-0.11400202434330298</v>
      </c>
      <c r="AA472" s="4">
        <f t="shared" si="98"/>
        <v>-0.11691400632701898</v>
      </c>
      <c r="AB472" s="4">
        <f t="shared" si="98"/>
        <v>-0.11923292107124683</v>
      </c>
      <c r="AC472" s="4">
        <f t="shared" si="98"/>
        <v>-0.12083496094362933</v>
      </c>
      <c r="AD472" s="4">
        <f t="shared" si="98"/>
        <v>-0.12155186774779669</v>
      </c>
      <c r="AE472" s="4">
        <f t="shared" si="98"/>
        <v>-0.12131413652529788</v>
      </c>
      <c r="AF472" s="4">
        <f t="shared" si="98"/>
        <v>-0.12005493309624449</v>
      </c>
      <c r="AG472" s="4">
        <f t="shared" si="98"/>
        <v>-0.11767866215892464</v>
      </c>
      <c r="AH472" s="4">
        <f t="shared" si="98"/>
        <v>-0.11401744050210394</v>
      </c>
      <c r="AI472" s="4">
        <f t="shared" si="98"/>
        <v>-0.1088244894117526</v>
      </c>
      <c r="AJ472" s="4">
        <f t="shared" si="98"/>
        <v>-0.10179972216724298</v>
      </c>
      <c r="AK472" s="4">
        <f t="shared" si="98"/>
        <v>-9.2509868177905741E-2</v>
      </c>
      <c r="AL472" s="4">
        <f t="shared" si="98"/>
        <v>-8.0275714797689357E-2</v>
      </c>
    </row>
    <row r="473" spans="1:38" x14ac:dyDescent="0.35">
      <c r="A473" t="s">
        <v>88</v>
      </c>
      <c r="B473" t="s">
        <v>76</v>
      </c>
      <c r="C473" s="4">
        <f>(C446-C459)/C$458</f>
        <v>6.1845112585886993E-12</v>
      </c>
      <c r="D473" s="4">
        <f t="shared" ref="D473:AL473" si="99">(D446-D459)/D$458</f>
        <v>0</v>
      </c>
      <c r="E473" s="4">
        <f t="shared" si="99"/>
        <v>0</v>
      </c>
      <c r="F473" s="4">
        <f t="shared" si="99"/>
        <v>0</v>
      </c>
      <c r="G473" s="4">
        <f t="shared" si="99"/>
        <v>0</v>
      </c>
      <c r="H473" s="4">
        <f t="shared" si="99"/>
        <v>0</v>
      </c>
      <c r="I473" s="4">
        <f t="shared" si="99"/>
        <v>0</v>
      </c>
      <c r="J473" s="4">
        <f t="shared" si="99"/>
        <v>-1.2642602785029814E-3</v>
      </c>
      <c r="K473" s="4">
        <f t="shared" si="99"/>
        <v>-2.6857733864496889E-3</v>
      </c>
      <c r="L473" s="4">
        <f t="shared" si="99"/>
        <v>-3.8952784465544413E-3</v>
      </c>
      <c r="M473" s="4">
        <f t="shared" si="99"/>
        <v>-5.0171198367572889E-3</v>
      </c>
      <c r="N473" s="4">
        <f t="shared" si="99"/>
        <v>-5.8921225983647437E-3</v>
      </c>
      <c r="O473" s="4">
        <f t="shared" si="99"/>
        <v>-6.6057472991338595E-3</v>
      </c>
      <c r="P473" s="4">
        <f t="shared" si="99"/>
        <v>-7.2011999057269077E-3</v>
      </c>
      <c r="Q473" s="4">
        <f t="shared" si="99"/>
        <v>-7.7006831306316494E-3</v>
      </c>
      <c r="R473" s="4">
        <f t="shared" si="99"/>
        <v>-8.1288471023308606E-3</v>
      </c>
      <c r="S473" s="4">
        <f t="shared" si="99"/>
        <v>-8.6193412325040082E-3</v>
      </c>
      <c r="T473" s="4">
        <f t="shared" si="99"/>
        <v>-9.1655321380072971E-3</v>
      </c>
      <c r="U473" s="4">
        <f t="shared" si="99"/>
        <v>-9.7506545126022203E-3</v>
      </c>
      <c r="V473" s="4">
        <f t="shared" si="99"/>
        <v>-1.0358861977284209E-2</v>
      </c>
      <c r="W473" s="4">
        <f t="shared" si="99"/>
        <v>-1.0978605835288919E-2</v>
      </c>
      <c r="X473" s="4">
        <f t="shared" si="99"/>
        <v>-1.1596627181496379E-2</v>
      </c>
      <c r="Y473" s="4">
        <f t="shared" si="99"/>
        <v>-1.2206063640967513E-2</v>
      </c>
      <c r="Z473" s="4">
        <f t="shared" si="99"/>
        <v>-1.2802543221256537E-2</v>
      </c>
      <c r="AA473" s="4">
        <f t="shared" si="99"/>
        <v>-1.3382081237705762E-2</v>
      </c>
      <c r="AB473" s="4">
        <f t="shared" si="99"/>
        <v>-1.3946725834452646E-2</v>
      </c>
      <c r="AC473" s="4">
        <f t="shared" si="99"/>
        <v>-1.4488926018354496E-2</v>
      </c>
      <c r="AD473" s="4">
        <f t="shared" si="99"/>
        <v>-1.5003416369447851E-2</v>
      </c>
      <c r="AE473" s="4">
        <f t="shared" si="99"/>
        <v>-1.5489853900532608E-2</v>
      </c>
      <c r="AF473" s="4">
        <f t="shared" si="99"/>
        <v>-1.5946309772799139E-2</v>
      </c>
      <c r="AG473" s="4">
        <f t="shared" si="99"/>
        <v>-1.6369972516833829E-2</v>
      </c>
      <c r="AH473" s="4">
        <f t="shared" si="99"/>
        <v>-1.6757652131203671E-2</v>
      </c>
      <c r="AI473" s="4">
        <f t="shared" si="99"/>
        <v>-1.7106521500616614E-2</v>
      </c>
      <c r="AJ473" s="4">
        <f t="shared" si="99"/>
        <v>-1.7414641701363167E-2</v>
      </c>
      <c r="AK473" s="4">
        <f t="shared" si="99"/>
        <v>-1.7678604394480522E-2</v>
      </c>
      <c r="AL473" s="4">
        <f t="shared" si="99"/>
        <v>-1.7891743210393735E-2</v>
      </c>
    </row>
    <row r="474" spans="1:38" x14ac:dyDescent="0.35">
      <c r="B474" t="s">
        <v>74</v>
      </c>
      <c r="C474" s="4">
        <f>(C447-C460)/C$458</f>
        <v>0</v>
      </c>
      <c r="D474" s="4">
        <f t="shared" ref="D474:AL474" si="100">(D447-D460)/D$458</f>
        <v>0</v>
      </c>
      <c r="E474" s="4">
        <f t="shared" si="100"/>
        <v>6.0549011479736649E-11</v>
      </c>
      <c r="F474" s="4">
        <f t="shared" si="100"/>
        <v>1.2098182695413478E-10</v>
      </c>
      <c r="G474" s="4">
        <f t="shared" si="100"/>
        <v>1.1981534397545314E-10</v>
      </c>
      <c r="H474" s="4">
        <f t="shared" si="100"/>
        <v>1.1830690128163033E-10</v>
      </c>
      <c r="I474" s="4">
        <f t="shared" si="100"/>
        <v>1.7550226011990854E-10</v>
      </c>
      <c r="J474" s="4">
        <f t="shared" si="100"/>
        <v>-3.843913907286103E-3</v>
      </c>
      <c r="K474" s="4">
        <f t="shared" si="100"/>
        <v>-8.6046436595846511E-3</v>
      </c>
      <c r="L474" s="4">
        <f t="shared" si="100"/>
        <v>-1.2696507916631071E-2</v>
      </c>
      <c r="M474" s="4">
        <f t="shared" si="100"/>
        <v>-1.6609117989190278E-2</v>
      </c>
      <c r="N474" s="4">
        <f t="shared" si="100"/>
        <v>-1.9807776376383344E-2</v>
      </c>
      <c r="O474" s="4">
        <f t="shared" si="100"/>
        <v>-2.2435581601205134E-2</v>
      </c>
      <c r="P474" s="4">
        <f t="shared" si="100"/>
        <v>-2.4569827188542798E-2</v>
      </c>
      <c r="Q474" s="4">
        <f t="shared" si="100"/>
        <v>-2.6247712741547014E-2</v>
      </c>
      <c r="R474" s="4">
        <f t="shared" si="100"/>
        <v>-2.755138097018666E-2</v>
      </c>
      <c r="S474" s="4">
        <f t="shared" si="100"/>
        <v>-2.8940143068406279E-2</v>
      </c>
      <c r="T474" s="4">
        <f t="shared" si="100"/>
        <v>-3.0479771278979453E-2</v>
      </c>
      <c r="U474" s="4">
        <f t="shared" si="100"/>
        <v>-3.2137968174260567E-2</v>
      </c>
      <c r="V474" s="4">
        <f t="shared" si="100"/>
        <v>-3.3842568190355492E-2</v>
      </c>
      <c r="W474" s="4">
        <f t="shared" si="100"/>
        <v>-3.5520116699299435E-2</v>
      </c>
      <c r="X474" s="4">
        <f t="shared" si="100"/>
        <v>-3.7095139309517279E-2</v>
      </c>
      <c r="Y474" s="4">
        <f t="shared" si="100"/>
        <v>-3.8509690026363827E-2</v>
      </c>
      <c r="Z474" s="4">
        <f t="shared" si="100"/>
        <v>-3.9730182755752144E-2</v>
      </c>
      <c r="AA474" s="4">
        <f t="shared" si="100"/>
        <v>-4.0732290645002361E-2</v>
      </c>
      <c r="AB474" s="4">
        <f t="shared" si="100"/>
        <v>-4.1506436207715575E-2</v>
      </c>
      <c r="AC474" s="4">
        <f t="shared" si="100"/>
        <v>-4.2000648238642184E-2</v>
      </c>
      <c r="AD474" s="4">
        <f t="shared" si="100"/>
        <v>-4.2160089194389141E-2</v>
      </c>
      <c r="AE474" s="4">
        <f t="shared" si="100"/>
        <v>-4.1947795834657443E-2</v>
      </c>
      <c r="AF474" s="4">
        <f t="shared" si="100"/>
        <v>-4.1325141826887103E-2</v>
      </c>
      <c r="AG474" s="4">
        <f t="shared" si="100"/>
        <v>-4.0241197865782091E-2</v>
      </c>
      <c r="AH474" s="4">
        <f t="shared" si="100"/>
        <v>-3.8615294381311539E-2</v>
      </c>
      <c r="AI474" s="4">
        <f t="shared" si="100"/>
        <v>-3.632885294451299E-2</v>
      </c>
      <c r="AJ474" s="4">
        <f t="shared" si="100"/>
        <v>-3.322422411956083E-2</v>
      </c>
      <c r="AK474" s="4">
        <f t="shared" si="100"/>
        <v>-2.9071914019858147E-2</v>
      </c>
      <c r="AL474" s="4">
        <f t="shared" si="100"/>
        <v>-2.3514110327508948E-2</v>
      </c>
    </row>
    <row r="475" spans="1:38" x14ac:dyDescent="0.35">
      <c r="B475" t="s">
        <v>54</v>
      </c>
      <c r="C475" s="4">
        <f>(C451-C464)/C$458</f>
        <v>-4.9476085674350404E-10</v>
      </c>
      <c r="D475" s="4">
        <f t="shared" ref="D475:AL475" si="101">(D451-D464)/D$458</f>
        <v>-1.5994059267282974E-9</v>
      </c>
      <c r="E475" s="4">
        <f t="shared" si="101"/>
        <v>-2.6299087013569225E-9</v>
      </c>
      <c r="F475" s="4">
        <f t="shared" si="101"/>
        <v>-3.6476932982257634E-9</v>
      </c>
      <c r="G475" s="4">
        <f t="shared" si="101"/>
        <v>-4.2146101235555212E-9</v>
      </c>
      <c r="H475" s="4">
        <f t="shared" si="101"/>
        <v>-4.5777042488895337E-9</v>
      </c>
      <c r="I475" s="4">
        <f t="shared" si="101"/>
        <v>-4.637015035471022E-9</v>
      </c>
      <c r="J475" s="4">
        <f t="shared" si="101"/>
        <v>-6.6592467650293009E-3</v>
      </c>
      <c r="K475" s="4">
        <f t="shared" si="101"/>
        <v>-1.2846582353276808E-2</v>
      </c>
      <c r="L475" s="4">
        <f t="shared" si="101"/>
        <v>-1.7490468956690413E-2</v>
      </c>
      <c r="M475" s="4">
        <f t="shared" si="101"/>
        <v>-2.1123144002856236E-2</v>
      </c>
      <c r="N475" s="4">
        <f t="shared" si="101"/>
        <v>-2.3121082142467199E-2</v>
      </c>
      <c r="O475" s="4">
        <f t="shared" si="101"/>
        <v>-2.4226364927036042E-2</v>
      </c>
      <c r="P475" s="4">
        <f t="shared" si="101"/>
        <v>-2.4783126154427963E-2</v>
      </c>
      <c r="Q475" s="4">
        <f t="shared" si="101"/>
        <v>-2.4937739716656557E-2</v>
      </c>
      <c r="R475" s="4">
        <f t="shared" si="101"/>
        <v>-2.4789596662043181E-2</v>
      </c>
      <c r="S475" s="4">
        <f t="shared" si="101"/>
        <v>-2.5160978052744223E-2</v>
      </c>
      <c r="T475" s="4">
        <f t="shared" si="101"/>
        <v>-2.5751758565812279E-2</v>
      </c>
      <c r="U475" s="4">
        <f t="shared" si="101"/>
        <v>-2.6428155451252901E-2</v>
      </c>
      <c r="V475" s="4">
        <f t="shared" si="101"/>
        <v>-2.7090103545531371E-2</v>
      </c>
      <c r="W475" s="4">
        <f t="shared" si="101"/>
        <v>-2.766727013955695E-2</v>
      </c>
      <c r="X475" s="4">
        <f t="shared" si="101"/>
        <v>-2.8111751753624035E-2</v>
      </c>
      <c r="Y475" s="4">
        <f t="shared" si="101"/>
        <v>-2.8410389082166105E-2</v>
      </c>
      <c r="Z475" s="4">
        <f t="shared" si="101"/>
        <v>-2.8556117406108285E-2</v>
      </c>
      <c r="AA475" s="4">
        <f t="shared" si="101"/>
        <v>-2.8537695618596134E-2</v>
      </c>
      <c r="AB475" s="4">
        <f t="shared" si="101"/>
        <v>-2.8345055598538314E-2</v>
      </c>
      <c r="AC475" s="4">
        <f t="shared" si="101"/>
        <v>-2.7959503938453607E-2</v>
      </c>
      <c r="AD475" s="4">
        <f t="shared" si="101"/>
        <v>-2.7337400557996598E-2</v>
      </c>
      <c r="AE475" s="4">
        <f t="shared" si="101"/>
        <v>-2.6454610630215897E-2</v>
      </c>
      <c r="AF475" s="4">
        <f t="shared" si="101"/>
        <v>-2.5284287504240031E-2</v>
      </c>
      <c r="AG475" s="4">
        <f t="shared" si="101"/>
        <v>-2.3787023422069176E-2</v>
      </c>
      <c r="AH475" s="4">
        <f t="shared" si="101"/>
        <v>-2.1900899162340538E-2</v>
      </c>
      <c r="AI475" s="4">
        <f t="shared" si="101"/>
        <v>-1.9535035450203721E-2</v>
      </c>
      <c r="AJ475" s="4">
        <f t="shared" si="101"/>
        <v>-1.6577052598864609E-2</v>
      </c>
      <c r="AK475" s="4">
        <f t="shared" si="101"/>
        <v>-1.28712553530019E-2</v>
      </c>
      <c r="AL475" s="4">
        <f t="shared" si="101"/>
        <v>-8.185847815639408E-3</v>
      </c>
    </row>
    <row r="476" spans="1:38" x14ac:dyDescent="0.35">
      <c r="B476" t="s">
        <v>11</v>
      </c>
      <c r="C476" s="4">
        <f>(C452-C465)/C$458</f>
        <v>6.1845112585886994E-11</v>
      </c>
      <c r="D476" s="4">
        <f t="shared" ref="D476:AL476" si="102">(D452-D465)/D$458</f>
        <v>6.1515617609873552E-11</v>
      </c>
      <c r="E476" s="4">
        <f t="shared" si="102"/>
        <v>6.1160672526587507E-11</v>
      </c>
      <c r="F476" s="4">
        <f t="shared" si="102"/>
        <v>1.215897866869109E-10</v>
      </c>
      <c r="G476" s="4">
        <f t="shared" si="102"/>
        <v>1.2041744188006992E-10</v>
      </c>
      <c r="H476" s="4">
        <f t="shared" si="102"/>
        <v>1.1890137669461506E-10</v>
      </c>
      <c r="I476" s="4">
        <f t="shared" si="102"/>
        <v>5.8696397605413693E-11</v>
      </c>
      <c r="J476" s="4">
        <f t="shared" si="102"/>
        <v>1.6084857719975238E-3</v>
      </c>
      <c r="K476" s="4">
        <f t="shared" si="102"/>
        <v>2.4733813016161888E-3</v>
      </c>
      <c r="L476" s="4">
        <f t="shared" si="102"/>
        <v>3.3451146387143307E-3</v>
      </c>
      <c r="M476" s="4">
        <f t="shared" si="102"/>
        <v>3.672613574339934E-3</v>
      </c>
      <c r="N476" s="4">
        <f t="shared" si="102"/>
        <v>2.840583370041126E-3</v>
      </c>
      <c r="O476" s="4">
        <f t="shared" si="102"/>
        <v>1.4858963116272674E-3</v>
      </c>
      <c r="P476" s="4">
        <f t="shared" si="102"/>
        <v>-2.4737507919199754E-6</v>
      </c>
      <c r="Q476" s="4">
        <f t="shared" si="102"/>
        <v>-1.4036002428201254E-3</v>
      </c>
      <c r="R476" s="4">
        <f t="shared" si="102"/>
        <v>-2.657053410263691E-3</v>
      </c>
      <c r="S476" s="4">
        <f t="shared" si="102"/>
        <v>-3.4907840107748084E-3</v>
      </c>
      <c r="T476" s="4">
        <f t="shared" si="102"/>
        <v>-4.1628383630821402E-3</v>
      </c>
      <c r="U476" s="4">
        <f t="shared" si="102"/>
        <v>-4.8262042644068252E-3</v>
      </c>
      <c r="V476" s="4">
        <f t="shared" si="102"/>
        <v>-5.5201867594994779E-3</v>
      </c>
      <c r="W476" s="4">
        <f t="shared" si="102"/>
        <v>-6.2387191041093889E-3</v>
      </c>
      <c r="X476" s="4">
        <f t="shared" si="102"/>
        <v>-6.9460306113623502E-3</v>
      </c>
      <c r="Y476" s="4">
        <f t="shared" si="102"/>
        <v>-7.6113202987848202E-3</v>
      </c>
      <c r="Z476" s="4">
        <f t="shared" si="102"/>
        <v>-8.2138707321782866E-3</v>
      </c>
      <c r="AA476" s="4">
        <f t="shared" si="102"/>
        <v>-8.7400570469784323E-3</v>
      </c>
      <c r="AB476" s="4">
        <f t="shared" si="102"/>
        <v>-9.188138218096149E-3</v>
      </c>
      <c r="AC476" s="4">
        <f t="shared" si="102"/>
        <v>-9.5228780036805318E-3</v>
      </c>
      <c r="AD476" s="4">
        <f t="shared" si="102"/>
        <v>-9.701013902446029E-3</v>
      </c>
      <c r="AE476" s="4">
        <f t="shared" si="102"/>
        <v>-9.7138506908100372E-3</v>
      </c>
      <c r="AF476" s="4">
        <f t="shared" si="102"/>
        <v>-9.5570793948031169E-3</v>
      </c>
      <c r="AG476" s="4">
        <f t="shared" si="102"/>
        <v>-9.223666581214077E-3</v>
      </c>
      <c r="AH476" s="4">
        <f t="shared" si="102"/>
        <v>-8.6930641490321429E-3</v>
      </c>
      <c r="AI476" s="4">
        <f t="shared" si="102"/>
        <v>-7.9354849550930529E-3</v>
      </c>
      <c r="AJ476" s="4">
        <f t="shared" si="102"/>
        <v>-6.9243517074376515E-3</v>
      </c>
      <c r="AK476" s="4">
        <f t="shared" si="102"/>
        <v>-5.620860253051428E-3</v>
      </c>
      <c r="AL476" s="4">
        <f t="shared" si="102"/>
        <v>-3.9565506231348038E-3</v>
      </c>
    </row>
    <row r="477" spans="1:38" x14ac:dyDescent="0.35">
      <c r="B477" t="s">
        <v>75</v>
      </c>
      <c r="C477" s="4">
        <f>(C453-C466)/C$458</f>
        <v>-6.1844892867927723E-12</v>
      </c>
      <c r="D477" s="4">
        <f t="shared" ref="D477:AL477" si="103">(D453-D466)/D$458</f>
        <v>-4.3060932326911484E-11</v>
      </c>
      <c r="E477" s="4">
        <f t="shared" si="103"/>
        <v>-8.5624941537222504E-11</v>
      </c>
      <c r="F477" s="4">
        <f t="shared" si="103"/>
        <v>-1.2766925442257331E-10</v>
      </c>
      <c r="G477" s="4">
        <f t="shared" si="103"/>
        <v>-1.565426744440909E-10</v>
      </c>
      <c r="H477" s="4">
        <f t="shared" si="103"/>
        <v>-1.842971782310329E-10</v>
      </c>
      <c r="I477" s="4">
        <f t="shared" si="103"/>
        <v>-1.8782845148417606E-10</v>
      </c>
      <c r="J477" s="4">
        <f t="shared" si="103"/>
        <v>-1.9175618435586135E-3</v>
      </c>
      <c r="K477" s="4">
        <f t="shared" si="103"/>
        <v>-4.2127411387711611E-3</v>
      </c>
      <c r="L477" s="4">
        <f t="shared" si="103"/>
        <v>-6.159741476556113E-3</v>
      </c>
      <c r="M477" s="4">
        <f t="shared" si="103"/>
        <v>-8.1655743466319142E-3</v>
      </c>
      <c r="N477" s="4">
        <f t="shared" si="103"/>
        <v>-9.9887239409737795E-3</v>
      </c>
      <c r="O477" s="4">
        <f t="shared" si="103"/>
        <v>-1.1679560605837006E-2</v>
      </c>
      <c r="P477" s="4">
        <f t="shared" si="103"/>
        <v>-1.3217597432430709E-2</v>
      </c>
      <c r="Q477" s="4">
        <f t="shared" si="103"/>
        <v>-1.4572419090458354E-2</v>
      </c>
      <c r="R477" s="4">
        <f t="shared" si="103"/>
        <v>-1.5759543174964571E-2</v>
      </c>
      <c r="S477" s="4">
        <f t="shared" si="103"/>
        <v>-1.6935808453276434E-2</v>
      </c>
      <c r="T477" s="4">
        <f t="shared" si="103"/>
        <v>-1.8121579020357759E-2</v>
      </c>
      <c r="U477" s="4">
        <f t="shared" si="103"/>
        <v>-1.9320718511080508E-2</v>
      </c>
      <c r="V477" s="4">
        <f t="shared" si="103"/>
        <v>-2.0510759525976717E-2</v>
      </c>
      <c r="W477" s="4">
        <f t="shared" si="103"/>
        <v>-2.1667510483309293E-2</v>
      </c>
      <c r="X477" s="4">
        <f t="shared" si="103"/>
        <v>-2.2762906480746557E-2</v>
      </c>
      <c r="Y477" s="4">
        <f t="shared" si="103"/>
        <v>-2.3777222652258491E-2</v>
      </c>
      <c r="Z477" s="4">
        <f t="shared" si="103"/>
        <v>-2.4699310670063264E-2</v>
      </c>
      <c r="AA477" s="4">
        <f t="shared" si="103"/>
        <v>-2.5521881960868499E-2</v>
      </c>
      <c r="AB477" s="4">
        <f t="shared" si="103"/>
        <v>-2.624656520954257E-2</v>
      </c>
      <c r="AC477" s="4">
        <f t="shared" si="103"/>
        <v>-2.6863004785771777E-2</v>
      </c>
      <c r="AD477" s="4">
        <f t="shared" si="103"/>
        <v>-2.7349947601754031E-2</v>
      </c>
      <c r="AE477" s="4">
        <f t="shared" si="103"/>
        <v>-2.770802559593805E-2</v>
      </c>
      <c r="AF477" s="4">
        <f t="shared" si="103"/>
        <v>-2.7942114611290928E-2</v>
      </c>
      <c r="AG477" s="4">
        <f t="shared" si="103"/>
        <v>-2.8056801710959298E-2</v>
      </c>
      <c r="AH477" s="4">
        <f t="shared" si="103"/>
        <v>-2.8050531062588934E-2</v>
      </c>
      <c r="AI477" s="4">
        <f t="shared" si="103"/>
        <v>-2.7918594340374161E-2</v>
      </c>
      <c r="AJ477" s="4">
        <f t="shared" si="103"/>
        <v>-2.7659451932534069E-2</v>
      </c>
      <c r="AK477" s="4">
        <f t="shared" si="103"/>
        <v>-2.7267234459507562E-2</v>
      </c>
      <c r="AL477" s="4">
        <f t="shared" si="103"/>
        <v>-2.6727462689032588E-2</v>
      </c>
    </row>
    <row r="479" spans="1:38" x14ac:dyDescent="0.35">
      <c r="A479" s="12" t="s">
        <v>94</v>
      </c>
      <c r="B479" s="3" t="str">
        <f>[1]Results!E205</f>
        <v>YG_toe_2</v>
      </c>
      <c r="C479" s="3">
        <f>[1]Results!F205</f>
        <v>148.5608263</v>
      </c>
      <c r="D479" s="3">
        <f>[1]Results!G205</f>
        <v>150.19286389999999</v>
      </c>
      <c r="E479" s="3">
        <f>[1]Results!H205</f>
        <v>151.85586259999999</v>
      </c>
      <c r="F479" s="3">
        <f>[1]Results!I205</f>
        <v>153.65625120000001</v>
      </c>
      <c r="G479" s="3">
        <f>[1]Results!J205</f>
        <v>155.67224899999999</v>
      </c>
      <c r="H479" s="3">
        <f>[1]Results!K205</f>
        <v>157.93062939999999</v>
      </c>
      <c r="I479" s="3">
        <f>[1]Results!L205</f>
        <v>160.34835430000001</v>
      </c>
      <c r="J479" s="3">
        <f>[1]Results!M205</f>
        <v>163.81185579999999</v>
      </c>
      <c r="K479" s="3">
        <f>[1]Results!N205</f>
        <v>167.54098970000001</v>
      </c>
      <c r="L479" s="3">
        <f>[1]Results!O205</f>
        <v>172.00837079999999</v>
      </c>
      <c r="M479" s="3">
        <f>[1]Results!P205</f>
        <v>176.51093940000001</v>
      </c>
      <c r="N479" s="3">
        <f>[1]Results!Q205</f>
        <v>180.43330560000001</v>
      </c>
      <c r="O479" s="3">
        <f>[1]Results!R205</f>
        <v>183.9571814</v>
      </c>
      <c r="P479" s="3">
        <f>[1]Results!S205</f>
        <v>187.3076198</v>
      </c>
      <c r="Q479" s="3">
        <f>[1]Results!T205</f>
        <v>190.71300500000001</v>
      </c>
      <c r="R479" s="3">
        <f>[1]Results!U205</f>
        <v>194.3148928</v>
      </c>
      <c r="S479" s="3">
        <f>[1]Results!V205</f>
        <v>198.0051053</v>
      </c>
      <c r="T479" s="3">
        <f>[1]Results!W205</f>
        <v>202.06936959999999</v>
      </c>
      <c r="U479" s="3">
        <f>[1]Results!X205</f>
        <v>206.59743879999999</v>
      </c>
      <c r="V479" s="3">
        <f>[1]Results!Y205</f>
        <v>211.67793649999999</v>
      </c>
      <c r="W479" s="3">
        <f>[1]Results!Z205</f>
        <v>217.37420589999999</v>
      </c>
      <c r="X479" s="3">
        <f>[1]Results!AA205</f>
        <v>223.864057</v>
      </c>
      <c r="Y479" s="3">
        <f>[1]Results!AB205</f>
        <v>231.28441559999999</v>
      </c>
      <c r="Z479" s="3">
        <f>[1]Results!AC205</f>
        <v>239.77285739999999</v>
      </c>
      <c r="AA479" s="3">
        <f>[1]Results!AD205</f>
        <v>249.47283210000001</v>
      </c>
      <c r="AB479" s="3">
        <f>[1]Results!AE205</f>
        <v>260.43216960000001</v>
      </c>
      <c r="AC479" s="3">
        <f>[1]Results!AF205</f>
        <v>273.10517779999998</v>
      </c>
      <c r="AD479" s="3">
        <f>[1]Results!AG205</f>
        <v>287.76268229999999</v>
      </c>
      <c r="AE479" s="3">
        <f>[1]Results!AH205</f>
        <v>304.76831190000001</v>
      </c>
      <c r="AF479" s="3">
        <f>[1]Results!AI205</f>
        <v>324.51671870000001</v>
      </c>
      <c r="AG479" s="3">
        <f>[1]Results!AJ205</f>
        <v>347.5031692</v>
      </c>
      <c r="AH479" s="3">
        <f>[1]Results!AK205</f>
        <v>374.43936220000001</v>
      </c>
      <c r="AI479" s="3">
        <f>[1]Results!AL205</f>
        <v>406.35316990000001</v>
      </c>
      <c r="AJ479" s="3">
        <f>[1]Results!AM205</f>
        <v>444.70009210000001</v>
      </c>
      <c r="AK479" s="3">
        <f>[1]Results!AN205</f>
        <v>491.6216422</v>
      </c>
      <c r="AL479" s="3">
        <f>[1]Results!AO205</f>
        <v>550.39611449999995</v>
      </c>
    </row>
    <row r="480" spans="1:38" x14ac:dyDescent="0.35">
      <c r="A480" t="s">
        <v>39</v>
      </c>
      <c r="B480" s="3" t="str">
        <f>[1]Results!E206</f>
        <v>YG_toe_ccoa_2</v>
      </c>
      <c r="C480" s="3">
        <f>[1]Results!F206</f>
        <v>2.3689359419999998</v>
      </c>
      <c r="D480" s="3">
        <f>[1]Results!G206</f>
        <v>2.3856670709999999</v>
      </c>
      <c r="E480" s="3">
        <f>[1]Results!H206</f>
        <v>2.4040604120000002</v>
      </c>
      <c r="F480" s="3">
        <f>[1]Results!I206</f>
        <v>2.4171692180000002</v>
      </c>
      <c r="G480" s="3">
        <f>[1]Results!J206</f>
        <v>2.44547954</v>
      </c>
      <c r="H480" s="3">
        <f>[1]Results!K206</f>
        <v>2.4860861920000001</v>
      </c>
      <c r="I480" s="3">
        <f>[1]Results!L206</f>
        <v>2.5314085940000002</v>
      </c>
      <c r="J480" s="3">
        <f>[1]Results!M206</f>
        <v>2.4753438490000002</v>
      </c>
      <c r="K480" s="3">
        <f>[1]Results!N206</f>
        <v>2.4038033539999999</v>
      </c>
      <c r="L480" s="3">
        <f>[1]Results!O206</f>
        <v>2.3449394049999999</v>
      </c>
      <c r="M480" s="3">
        <f>[1]Results!P206</f>
        <v>2.288494853</v>
      </c>
      <c r="N480" s="3">
        <f>[1]Results!Q206</f>
        <v>2.2379023330000001</v>
      </c>
      <c r="O480" s="3">
        <f>[1]Results!R206</f>
        <v>2.1902393729999998</v>
      </c>
      <c r="P480" s="3">
        <f>[1]Results!S206</f>
        <v>2.1452144230000001</v>
      </c>
      <c r="Q480" s="3">
        <f>[1]Results!T206</f>
        <v>2.1038679020000002</v>
      </c>
      <c r="R480" s="3">
        <f>[1]Results!U206</f>
        <v>2.066459305</v>
      </c>
      <c r="S480" s="3">
        <f>[1]Results!V206</f>
        <v>2.027250081</v>
      </c>
      <c r="T480" s="3">
        <f>[1]Results!W206</f>
        <v>1.9893673510000001</v>
      </c>
      <c r="U480" s="3">
        <f>[1]Results!X206</f>
        <v>1.9543586740000001</v>
      </c>
      <c r="V480" s="3">
        <f>[1]Results!Y206</f>
        <v>1.922770297</v>
      </c>
      <c r="W480" s="3">
        <f>[1]Results!Z206</f>
        <v>1.8947468860000001</v>
      </c>
      <c r="X480" s="3">
        <f>[1]Results!AA206</f>
        <v>1.870392517</v>
      </c>
      <c r="Y480" s="3">
        <f>[1]Results!AB206</f>
        <v>1.8498637710000001</v>
      </c>
      <c r="Z480" s="3">
        <f>[1]Results!AC206</f>
        <v>1.8330667700000001</v>
      </c>
      <c r="AA480" s="3">
        <f>[1]Results!AD206</f>
        <v>1.819671724</v>
      </c>
      <c r="AB480" s="3">
        <f>[1]Results!AE206</f>
        <v>1.809281506</v>
      </c>
      <c r="AC480" s="3">
        <f>[1]Results!AF206</f>
        <v>1.802336443</v>
      </c>
      <c r="AD480" s="3">
        <f>[1]Results!AG206</f>
        <v>1.7989520560000001</v>
      </c>
      <c r="AE480" s="3">
        <f>[1]Results!AH206</f>
        <v>1.799128842</v>
      </c>
      <c r="AF480" s="3">
        <f>[1]Results!AI206</f>
        <v>1.8023774589999999</v>
      </c>
      <c r="AG480" s="3">
        <f>[1]Results!AJ206</f>
        <v>1.8081865020000001</v>
      </c>
      <c r="AH480" s="3">
        <f>[1]Results!AK206</f>
        <v>1.816572751</v>
      </c>
      <c r="AI480" s="3">
        <f>[1]Results!AL206</f>
        <v>1.8281840119999999</v>
      </c>
      <c r="AJ480" s="3">
        <f>[1]Results!AM206</f>
        <v>1.8442339320000001</v>
      </c>
      <c r="AK480" s="3">
        <f>[1]Results!AN206</f>
        <v>1.86685678</v>
      </c>
      <c r="AL480" s="3">
        <f>[1]Results!AO206</f>
        <v>1.89998281</v>
      </c>
    </row>
    <row r="481" spans="1:38" x14ac:dyDescent="0.35">
      <c r="B481" s="3" t="s">
        <v>74</v>
      </c>
      <c r="C481" s="3">
        <f>SUM(C482:C484)</f>
        <v>51.304317173000001</v>
      </c>
      <c r="D481" s="3">
        <f t="shared" ref="D481:AL481" si="104">SUM(D482:D484)</f>
        <v>51.630651556999993</v>
      </c>
      <c r="E481" s="3">
        <f t="shared" si="104"/>
        <v>51.958826139999999</v>
      </c>
      <c r="F481" s="3">
        <f t="shared" si="104"/>
        <v>52.340506806999997</v>
      </c>
      <c r="G481" s="3">
        <f t="shared" si="104"/>
        <v>52.869933781</v>
      </c>
      <c r="H481" s="3">
        <f t="shared" si="104"/>
        <v>53.532324631000002</v>
      </c>
      <c r="I481" s="3">
        <f t="shared" si="104"/>
        <v>54.272361579000005</v>
      </c>
      <c r="J481" s="3">
        <f t="shared" si="104"/>
        <v>54.908323748000001</v>
      </c>
      <c r="K481" s="3">
        <f t="shared" si="104"/>
        <v>55.550637055999999</v>
      </c>
      <c r="L481" s="3">
        <f t="shared" si="104"/>
        <v>56.304779024999995</v>
      </c>
      <c r="M481" s="3">
        <f t="shared" si="104"/>
        <v>57.090620561000001</v>
      </c>
      <c r="N481" s="3">
        <f t="shared" si="104"/>
        <v>57.870988309000005</v>
      </c>
      <c r="O481" s="3">
        <f t="shared" si="104"/>
        <v>58.644130959999998</v>
      </c>
      <c r="P481" s="3">
        <f t="shared" si="104"/>
        <v>59.420147519000004</v>
      </c>
      <c r="Q481" s="3">
        <f t="shared" si="104"/>
        <v>60.215863485</v>
      </c>
      <c r="R481" s="3">
        <f t="shared" si="104"/>
        <v>61.041241819</v>
      </c>
      <c r="S481" s="3">
        <f t="shared" si="104"/>
        <v>61.880009235999999</v>
      </c>
      <c r="T481" s="3">
        <f t="shared" si="104"/>
        <v>62.755156720999999</v>
      </c>
      <c r="U481" s="3">
        <f t="shared" si="104"/>
        <v>63.686034143000001</v>
      </c>
      <c r="V481" s="3">
        <f t="shared" si="104"/>
        <v>64.686800220999999</v>
      </c>
      <c r="W481" s="3">
        <f t="shared" si="104"/>
        <v>65.762408922900008</v>
      </c>
      <c r="X481" s="3">
        <f t="shared" si="104"/>
        <v>66.934518609999998</v>
      </c>
      <c r="Y481" s="3">
        <f t="shared" si="104"/>
        <v>68.215995679500011</v>
      </c>
      <c r="Z481" s="3">
        <f t="shared" si="104"/>
        <v>69.617613174699997</v>
      </c>
      <c r="AA481" s="3">
        <f t="shared" si="104"/>
        <v>71.147466763699995</v>
      </c>
      <c r="AB481" s="3">
        <f t="shared" si="104"/>
        <v>72.792877537300001</v>
      </c>
      <c r="AC481" s="3">
        <f t="shared" si="104"/>
        <v>74.585142798099994</v>
      </c>
      <c r="AD481" s="3">
        <f t="shared" si="104"/>
        <v>76.543943956199996</v>
      </c>
      <c r="AE481" s="3">
        <f t="shared" si="104"/>
        <v>78.685639036400005</v>
      </c>
      <c r="AF481" s="3">
        <f t="shared" si="104"/>
        <v>81.019354180899995</v>
      </c>
      <c r="AG481" s="3">
        <f t="shared" si="104"/>
        <v>83.551476821099996</v>
      </c>
      <c r="AH481" s="3">
        <f t="shared" si="104"/>
        <v>86.293854698200008</v>
      </c>
      <c r="AI481" s="3">
        <f t="shared" si="104"/>
        <v>89.267049062799984</v>
      </c>
      <c r="AJ481" s="3">
        <f t="shared" si="104"/>
        <v>92.500019857400005</v>
      </c>
      <c r="AK481" s="3">
        <f t="shared" si="104"/>
        <v>96.036169414499994</v>
      </c>
      <c r="AL481" s="3">
        <f t="shared" si="104"/>
        <v>99.944508382300015</v>
      </c>
    </row>
    <row r="482" spans="1:38" x14ac:dyDescent="0.35">
      <c r="B482" s="3" t="str">
        <f>[1]Results!E209</f>
        <v>YG_toe_ccoi_2</v>
      </c>
      <c r="C482" s="3">
        <f>[1]Results!F209</f>
        <v>1.0946754059999999</v>
      </c>
      <c r="D482" s="3">
        <f>[1]Results!G209</f>
        <v>1.104975104</v>
      </c>
      <c r="E482" s="3">
        <f>[1]Results!H209</f>
        <v>1.115445794</v>
      </c>
      <c r="F482" s="3">
        <f>[1]Results!I209</f>
        <v>1.1269424969999999</v>
      </c>
      <c r="G482" s="3">
        <f>[1]Results!J209</f>
        <v>1.1412536550000001</v>
      </c>
      <c r="H482" s="3">
        <f>[1]Results!K209</f>
        <v>1.158404099</v>
      </c>
      <c r="I482" s="3">
        <f>[1]Results!L209</f>
        <v>1.1771594510000001</v>
      </c>
      <c r="J482" s="3">
        <f>[1]Results!M209</f>
        <v>1.171434734</v>
      </c>
      <c r="K482" s="3">
        <f>[1]Results!N209</f>
        <v>1.16245029</v>
      </c>
      <c r="L482" s="3">
        <f>[1]Results!O209</f>
        <v>1.156704094</v>
      </c>
      <c r="M482" s="3">
        <f>[1]Results!P209</f>
        <v>1.150433161</v>
      </c>
      <c r="N482" s="3">
        <f>[1]Results!Q209</f>
        <v>1.1409674219999999</v>
      </c>
      <c r="O482" s="3">
        <f>[1]Results!R209</f>
        <v>1.128620245</v>
      </c>
      <c r="P482" s="3">
        <f>[1]Results!S209</f>
        <v>1.114262619</v>
      </c>
      <c r="Q482" s="3">
        <f>[1]Results!T209</f>
        <v>1.0988957159999999</v>
      </c>
      <c r="R482" s="3">
        <f>[1]Results!U209</f>
        <v>1.0830613060000001</v>
      </c>
      <c r="S482" s="3">
        <f>[1]Results!V209</f>
        <v>1.065788011</v>
      </c>
      <c r="T482" s="3">
        <f>[1]Results!W209</f>
        <v>1.0482816989999999</v>
      </c>
      <c r="U482" s="3">
        <f>[1]Results!X209</f>
        <v>1.030913215</v>
      </c>
      <c r="V482" s="3">
        <f>[1]Results!Y209</f>
        <v>1.013809843</v>
      </c>
      <c r="W482" s="3">
        <f>[1]Results!Z209</f>
        <v>0.99694806390000001</v>
      </c>
      <c r="X482" s="3">
        <f>[1]Results!AA209</f>
        <v>0.980493948</v>
      </c>
      <c r="Y482" s="3">
        <f>[1]Results!AB209</f>
        <v>0.96452244649999996</v>
      </c>
      <c r="Z482" s="3">
        <f>[1]Results!AC209</f>
        <v>0.94900266369999997</v>
      </c>
      <c r="AA482" s="3">
        <f>[1]Results!AD209</f>
        <v>0.93379521470000004</v>
      </c>
      <c r="AB482" s="3">
        <f>[1]Results!AE209</f>
        <v>0.91852124329999996</v>
      </c>
      <c r="AC482" s="3">
        <f>[1]Results!AF209</f>
        <v>0.90372200609999997</v>
      </c>
      <c r="AD482" s="3">
        <f>[1]Results!AG209</f>
        <v>0.88911869519999998</v>
      </c>
      <c r="AE482" s="3">
        <f>[1]Results!AH209</f>
        <v>0.87455461639999998</v>
      </c>
      <c r="AF482" s="3">
        <f>[1]Results!AI209</f>
        <v>0.85964853190000001</v>
      </c>
      <c r="AG482" s="3">
        <f>[1]Results!AJ209</f>
        <v>0.8439123221</v>
      </c>
      <c r="AH482" s="3">
        <f>[1]Results!AK209</f>
        <v>0.82692734320000005</v>
      </c>
      <c r="AI482" s="3">
        <f>[1]Results!AL209</f>
        <v>0.80836176780000002</v>
      </c>
      <c r="AJ482" s="3">
        <f>[1]Results!AM209</f>
        <v>0.78789382139999997</v>
      </c>
      <c r="AK482" s="3">
        <f>[1]Results!AN209</f>
        <v>0.76519780680000005</v>
      </c>
      <c r="AL482" s="3">
        <f>[1]Results!AO209</f>
        <v>0.73994008290000002</v>
      </c>
    </row>
    <row r="483" spans="1:38" x14ac:dyDescent="0.35">
      <c r="B483" s="3" t="str">
        <f>[1]Results!E212</f>
        <v>YG_toe_cfut_2</v>
      </c>
      <c r="C483" s="3">
        <f>[1]Results!F212</f>
        <v>42.288296580000001</v>
      </c>
      <c r="D483" s="3">
        <f>[1]Results!G212</f>
        <v>42.548102579999998</v>
      </c>
      <c r="E483" s="3">
        <f>[1]Results!H212</f>
        <v>42.809167070000001</v>
      </c>
      <c r="F483" s="3">
        <f>[1]Results!I212</f>
        <v>43.123597289999999</v>
      </c>
      <c r="G483" s="3">
        <f>[1]Results!J212</f>
        <v>43.562713819999999</v>
      </c>
      <c r="H483" s="3">
        <f>[1]Results!K212</f>
        <v>44.114508649999998</v>
      </c>
      <c r="I483" s="3">
        <f>[1]Results!L212</f>
        <v>44.738527580000003</v>
      </c>
      <c r="J483" s="3">
        <f>[1]Results!M212</f>
        <v>45.648696510000001</v>
      </c>
      <c r="K483" s="3">
        <f>[1]Results!N212</f>
        <v>46.59356691</v>
      </c>
      <c r="L483" s="3">
        <f>[1]Results!O212</f>
        <v>47.644722199999997</v>
      </c>
      <c r="M483" s="3">
        <f>[1]Results!P212</f>
        <v>48.736484679999997</v>
      </c>
      <c r="N483" s="3">
        <f>[1]Results!Q212</f>
        <v>49.833755080000003</v>
      </c>
      <c r="O483" s="3">
        <f>[1]Results!R212</f>
        <v>50.92850996</v>
      </c>
      <c r="P483" s="3">
        <f>[1]Results!S212</f>
        <v>52.024009220000003</v>
      </c>
      <c r="Q483" s="3">
        <f>[1]Results!T212</f>
        <v>53.13184614</v>
      </c>
      <c r="R483" s="3">
        <f>[1]Results!U212</f>
        <v>54.260142520000002</v>
      </c>
      <c r="S483" s="3">
        <f>[1]Results!V212</f>
        <v>55.395337699999999</v>
      </c>
      <c r="T483" s="3">
        <f>[1]Results!W212</f>
        <v>56.558932509999998</v>
      </c>
      <c r="U483" s="3">
        <f>[1]Results!X212</f>
        <v>57.770166230000001</v>
      </c>
      <c r="V483" s="3">
        <f>[1]Results!Y212</f>
        <v>59.043591249999999</v>
      </c>
      <c r="W483" s="3">
        <f>[1]Results!Z212</f>
        <v>60.385873920000002</v>
      </c>
      <c r="X483" s="3">
        <f>[1]Results!AA212</f>
        <v>61.817284489999999</v>
      </c>
      <c r="Y483" s="3">
        <f>[1]Results!AB212</f>
        <v>63.35169982</v>
      </c>
      <c r="Z483" s="3">
        <f>[1]Results!AC212</f>
        <v>65.00132748</v>
      </c>
      <c r="AA483" s="3">
        <f>[1]Results!AD212</f>
        <v>66.776093860000003</v>
      </c>
      <c r="AB483" s="3">
        <f>[1]Results!AE212</f>
        <v>68.667772069999998</v>
      </c>
      <c r="AC483" s="3">
        <f>[1]Results!AF212</f>
        <v>70.706010190000001</v>
      </c>
      <c r="AD483" s="3">
        <f>[1]Results!AG212</f>
        <v>72.912381839999995</v>
      </c>
      <c r="AE483" s="3">
        <f>[1]Results!AH212</f>
        <v>75.305316520000005</v>
      </c>
      <c r="AF483" s="3">
        <f>[1]Results!AI212</f>
        <v>77.896699369999993</v>
      </c>
      <c r="AG483" s="3">
        <f>[1]Results!AJ212</f>
        <v>80.695888310000001</v>
      </c>
      <c r="AH483" s="3">
        <f>[1]Results!AK212</f>
        <v>83.717442930000004</v>
      </c>
      <c r="AI483" s="3">
        <f>[1]Results!AL212</f>
        <v>86.984389719999996</v>
      </c>
      <c r="AJ483" s="3">
        <f>[1]Results!AM212</f>
        <v>90.528157379999996</v>
      </c>
      <c r="AK483" s="3">
        <f>[1]Results!AN212</f>
        <v>94.394788969999993</v>
      </c>
      <c r="AL483" s="3">
        <f>[1]Results!AO212</f>
        <v>98.656356180000003</v>
      </c>
    </row>
    <row r="484" spans="1:38" x14ac:dyDescent="0.35">
      <c r="B484" s="3" t="str">
        <f>[1]Results!E215</f>
        <v>YG_toe_cfuh_2</v>
      </c>
      <c r="C484" s="3">
        <f>[1]Results!F215</f>
        <v>7.921345187</v>
      </c>
      <c r="D484" s="3">
        <f>[1]Results!G215</f>
        <v>7.9775738729999999</v>
      </c>
      <c r="E484" s="3">
        <f>[1]Results!H215</f>
        <v>8.0342132759999991</v>
      </c>
      <c r="F484" s="3">
        <f>[1]Results!I215</f>
        <v>8.0899670199999996</v>
      </c>
      <c r="G484" s="3">
        <f>[1]Results!J215</f>
        <v>8.1659663059999996</v>
      </c>
      <c r="H484" s="3">
        <f>[1]Results!K215</f>
        <v>8.2594118820000002</v>
      </c>
      <c r="I484" s="3">
        <f>[1]Results!L215</f>
        <v>8.3566745480000009</v>
      </c>
      <c r="J484" s="3">
        <f>[1]Results!M215</f>
        <v>8.0881925040000002</v>
      </c>
      <c r="K484" s="3">
        <f>[1]Results!N215</f>
        <v>7.7946198559999997</v>
      </c>
      <c r="L484" s="3">
        <f>[1]Results!O215</f>
        <v>7.5033527309999997</v>
      </c>
      <c r="M484" s="3">
        <f>[1]Results!P215</f>
        <v>7.2037027199999999</v>
      </c>
      <c r="N484" s="3">
        <f>[1]Results!Q215</f>
        <v>6.8962658069999998</v>
      </c>
      <c r="O484" s="3">
        <f>[1]Results!R215</f>
        <v>6.587000755</v>
      </c>
      <c r="P484" s="3">
        <f>[1]Results!S215</f>
        <v>6.2818756799999997</v>
      </c>
      <c r="Q484" s="3">
        <f>[1]Results!T215</f>
        <v>5.985121629</v>
      </c>
      <c r="R484" s="3">
        <f>[1]Results!U215</f>
        <v>5.6980379929999998</v>
      </c>
      <c r="S484" s="3">
        <f>[1]Results!V215</f>
        <v>5.418883525</v>
      </c>
      <c r="T484" s="3">
        <f>[1]Results!W215</f>
        <v>5.1479425120000002</v>
      </c>
      <c r="U484" s="3">
        <f>[1]Results!X215</f>
        <v>4.8849546979999996</v>
      </c>
      <c r="V484" s="3">
        <f>[1]Results!Y215</f>
        <v>4.6293991280000002</v>
      </c>
      <c r="W484" s="3">
        <f>[1]Results!Z215</f>
        <v>4.3795869390000002</v>
      </c>
      <c r="X484" s="3">
        <f>[1]Results!AA215</f>
        <v>4.1367401719999997</v>
      </c>
      <c r="Y484" s="3">
        <f>[1]Results!AB215</f>
        <v>3.8997734130000001</v>
      </c>
      <c r="Z484" s="3">
        <f>[1]Results!AC215</f>
        <v>3.6672830310000002</v>
      </c>
      <c r="AA484" s="3">
        <f>[1]Results!AD215</f>
        <v>3.4375776889999998</v>
      </c>
      <c r="AB484" s="3">
        <f>[1]Results!AE215</f>
        <v>3.2065842240000002</v>
      </c>
      <c r="AC484" s="3">
        <f>[1]Results!AF215</f>
        <v>2.9754106020000002</v>
      </c>
      <c r="AD484" s="3">
        <f>[1]Results!AG215</f>
        <v>2.7424434209999999</v>
      </c>
      <c r="AE484" s="3">
        <f>[1]Results!AH215</f>
        <v>2.5057678999999999</v>
      </c>
      <c r="AF484" s="3">
        <f>[1]Results!AI215</f>
        <v>2.2630062789999998</v>
      </c>
      <c r="AG484" s="3">
        <f>[1]Results!AJ215</f>
        <v>2.0116761890000001</v>
      </c>
      <c r="AH484" s="3">
        <f>[1]Results!AK215</f>
        <v>1.7494844249999999</v>
      </c>
      <c r="AI484" s="3">
        <f>[1]Results!AL215</f>
        <v>1.474297575</v>
      </c>
      <c r="AJ484" s="3">
        <f>[1]Results!AM215</f>
        <v>1.183968656</v>
      </c>
      <c r="AK484" s="3">
        <f>[1]Results!AN215</f>
        <v>0.87618263770000004</v>
      </c>
      <c r="AL484" s="3">
        <f>[1]Results!AO215</f>
        <v>0.54821211940000003</v>
      </c>
    </row>
    <row r="485" spans="1:38" x14ac:dyDescent="0.35">
      <c r="B485" s="3" t="str">
        <f>[1]Results!E217</f>
        <v>YG_toe_cgas_2</v>
      </c>
      <c r="C485" s="3">
        <f>[1]Results!F217</f>
        <v>6.6386592799999997</v>
      </c>
      <c r="D485" s="3">
        <f>[1]Results!G217</f>
        <v>6.5224267960000004</v>
      </c>
      <c r="E485" s="3">
        <f>[1]Results!H217</f>
        <v>6.4213552619999996</v>
      </c>
      <c r="F485" s="3">
        <f>[1]Results!I217</f>
        <v>6.3212467930000003</v>
      </c>
      <c r="G485" s="3">
        <f>[1]Results!J217</f>
        <v>6.2612674180000001</v>
      </c>
      <c r="H485" s="3">
        <f>[1]Results!K217</f>
        <v>6.2076439910000003</v>
      </c>
      <c r="I485" s="3">
        <f>[1]Results!L217</f>
        <v>6.1326408450000001</v>
      </c>
      <c r="J485" s="3">
        <f>[1]Results!M217</f>
        <v>5.9267926769999999</v>
      </c>
      <c r="K485" s="3">
        <f>[1]Results!N217</f>
        <v>5.7980153679999997</v>
      </c>
      <c r="L485" s="3">
        <f>[1]Results!O217</f>
        <v>5.6836171919999998</v>
      </c>
      <c r="M485" s="3">
        <f>[1]Results!P217</f>
        <v>5.5997204739999997</v>
      </c>
      <c r="N485" s="3">
        <f>[1]Results!Q217</f>
        <v>5.5659829439999999</v>
      </c>
      <c r="O485" s="3">
        <f>[1]Results!R217</f>
        <v>5.5541088460000001</v>
      </c>
      <c r="P485" s="3">
        <f>[1]Results!S217</f>
        <v>5.5494886990000003</v>
      </c>
      <c r="Q485" s="3">
        <f>[1]Results!T217</f>
        <v>5.5429462149999997</v>
      </c>
      <c r="R485" s="3">
        <f>[1]Results!U217</f>
        <v>5.5306588620000001</v>
      </c>
      <c r="S485" s="3">
        <f>[1]Results!V217</f>
        <v>5.5084503150000002</v>
      </c>
      <c r="T485" s="3">
        <f>[1]Results!W217</f>
        <v>5.4733527840000002</v>
      </c>
      <c r="U485" s="3">
        <f>[1]Results!X217</f>
        <v>5.4231798449999999</v>
      </c>
      <c r="V485" s="3">
        <f>[1]Results!Y217</f>
        <v>5.3572328039999997</v>
      </c>
      <c r="W485" s="3">
        <f>[1]Results!Z217</f>
        <v>5.2744954340000003</v>
      </c>
      <c r="X485" s="3">
        <f>[1]Results!AA217</f>
        <v>5.1760358210000001</v>
      </c>
      <c r="Y485" s="3">
        <f>[1]Results!AB217</f>
        <v>5.0591907020000004</v>
      </c>
      <c r="Z485" s="3">
        <f>[1]Results!AC217</f>
        <v>4.9225659540000004</v>
      </c>
      <c r="AA485" s="3">
        <f>[1]Results!AD217</f>
        <v>4.7658836899999999</v>
      </c>
      <c r="AB485" s="3">
        <f>[1]Results!AE217</f>
        <v>4.5869099440000003</v>
      </c>
      <c r="AC485" s="3">
        <f>[1]Results!AF217</f>
        <v>4.386441928</v>
      </c>
      <c r="AD485" s="3">
        <f>[1]Results!AG217</f>
        <v>4.1606279439999998</v>
      </c>
      <c r="AE485" s="3">
        <f>[1]Results!AH217</f>
        <v>3.9067355070000001</v>
      </c>
      <c r="AF485" s="3">
        <f>[1]Results!AI217</f>
        <v>3.6233228770000001</v>
      </c>
      <c r="AG485" s="3">
        <f>[1]Results!AJ217</f>
        <v>3.308637477</v>
      </c>
      <c r="AH485" s="3">
        <f>[1]Results!AK217</f>
        <v>2.9585657109999999</v>
      </c>
      <c r="AI485" s="3">
        <f>[1]Results!AL217</f>
        <v>2.565950414</v>
      </c>
      <c r="AJ485" s="3">
        <f>[1]Results!AM217</f>
        <v>2.1204491339999998</v>
      </c>
      <c r="AK485" s="3">
        <f>[1]Results!AN217</f>
        <v>1.6065308899999999</v>
      </c>
      <c r="AL485" s="3">
        <f>[1]Results!AO217</f>
        <v>0.99982674490000001</v>
      </c>
    </row>
    <row r="486" spans="1:38" x14ac:dyDescent="0.35">
      <c r="B486" s="3" t="str">
        <f>[1]Results!E223</f>
        <v>YG_toe_cele_2</v>
      </c>
      <c r="C486" s="3">
        <f>[1]Results!F223</f>
        <v>57.5470325</v>
      </c>
      <c r="D486" s="3">
        <f>[1]Results!G223</f>
        <v>58.554275990000001</v>
      </c>
      <c r="E486" s="3">
        <f>[1]Results!H223</f>
        <v>59.548888349999999</v>
      </c>
      <c r="F486" s="3">
        <f>[1]Results!I223</f>
        <v>60.623778039999998</v>
      </c>
      <c r="G486" s="3">
        <f>[1]Results!J223</f>
        <v>61.642122190000002</v>
      </c>
      <c r="H486" s="3">
        <f>[1]Results!K223</f>
        <v>62.687911640000003</v>
      </c>
      <c r="I486" s="3">
        <f>[1]Results!L223</f>
        <v>63.796400249999998</v>
      </c>
      <c r="J486" s="3">
        <f>[1]Results!M223</f>
        <v>66.530569779999993</v>
      </c>
      <c r="K486" s="3">
        <f>[1]Results!N223</f>
        <v>69.502836389999999</v>
      </c>
      <c r="L486" s="3">
        <f>[1]Results!O223</f>
        <v>72.889158350000002</v>
      </c>
      <c r="M486" s="3">
        <f>[1]Results!P223</f>
        <v>76.278069599999995</v>
      </c>
      <c r="N486" s="3">
        <f>[1]Results!Q223</f>
        <v>79.193520500000005</v>
      </c>
      <c r="O486" s="3">
        <f>[1]Results!R223</f>
        <v>81.801425969999997</v>
      </c>
      <c r="P486" s="3">
        <f>[1]Results!S223</f>
        <v>84.275002979999996</v>
      </c>
      <c r="Q486" s="3">
        <f>[1]Results!T223</f>
        <v>86.777949739999997</v>
      </c>
      <c r="R486" s="3">
        <f>[1]Results!U223</f>
        <v>89.417252820000002</v>
      </c>
      <c r="S486" s="3">
        <f>[1]Results!V223</f>
        <v>92.192872199999996</v>
      </c>
      <c r="T486" s="3">
        <f>[1]Results!W223</f>
        <v>95.274102540000001</v>
      </c>
      <c r="U486" s="3">
        <f>[1]Results!X223</f>
        <v>98.718147299999998</v>
      </c>
      <c r="V486" s="3">
        <f>[1]Results!Y223</f>
        <v>102.5910811</v>
      </c>
      <c r="W486" s="3">
        <f>[1]Results!Z223</f>
        <v>106.95330060000001</v>
      </c>
      <c r="X486" s="3">
        <f>[1]Results!AA223</f>
        <v>111.935075</v>
      </c>
      <c r="Y486" s="3">
        <f>[1]Results!AB223</f>
        <v>117.65334900000001</v>
      </c>
      <c r="Z486" s="3">
        <f>[1]Results!AC223</f>
        <v>124.229122</v>
      </c>
      <c r="AA486" s="3">
        <f>[1]Results!AD223</f>
        <v>131.7942764</v>
      </c>
      <c r="AB486" s="3">
        <f>[1]Results!AE223</f>
        <v>140.4342757</v>
      </c>
      <c r="AC486" s="3">
        <f>[1]Results!AF223</f>
        <v>150.4980655</v>
      </c>
      <c r="AD486" s="3">
        <f>[1]Results!AG223</f>
        <v>162.2491665</v>
      </c>
      <c r="AE486" s="3">
        <f>[1]Results!AH223</f>
        <v>176.0240221</v>
      </c>
      <c r="AF486" s="3">
        <f>[1]Results!AI223</f>
        <v>192.2062238</v>
      </c>
      <c r="AG486" s="3">
        <f>[1]Results!AJ223</f>
        <v>211.28285890000001</v>
      </c>
      <c r="AH486" s="3">
        <f>[1]Results!AK223</f>
        <v>233.94169740000001</v>
      </c>
      <c r="AI486" s="3">
        <f>[1]Results!AL223</f>
        <v>261.16503</v>
      </c>
      <c r="AJ486" s="3">
        <f>[1]Results!AM223</f>
        <v>294.34064330000001</v>
      </c>
      <c r="AK486" s="3">
        <f>[1]Results!AN223</f>
        <v>335.50626419999998</v>
      </c>
      <c r="AL486" s="3">
        <f>[1]Results!AO223</f>
        <v>387.77610970000001</v>
      </c>
    </row>
    <row r="487" spans="1:38" x14ac:dyDescent="0.35">
      <c r="B487" s="3" t="s">
        <v>75</v>
      </c>
      <c r="C487" s="3">
        <f>SUM(C488:C490)</f>
        <v>30.701881367999999</v>
      </c>
      <c r="D487" s="3">
        <f t="shared" ref="D487:AL487" si="105">SUM(D488:D490)</f>
        <v>31.099842524</v>
      </c>
      <c r="E487" s="3">
        <f t="shared" si="105"/>
        <v>31.522732421999997</v>
      </c>
      <c r="F487" s="3">
        <f t="shared" si="105"/>
        <v>31.953550345</v>
      </c>
      <c r="G487" s="3">
        <f t="shared" si="105"/>
        <v>32.453446051</v>
      </c>
      <c r="H487" s="3">
        <f t="shared" si="105"/>
        <v>33.016662926000002</v>
      </c>
      <c r="I487" s="3">
        <f t="shared" si="105"/>
        <v>33.615542994999998</v>
      </c>
      <c r="J487" s="3">
        <f t="shared" si="105"/>
        <v>33.970825767000001</v>
      </c>
      <c r="K487" s="3">
        <f t="shared" si="105"/>
        <v>34.285697514999995</v>
      </c>
      <c r="L487" s="3">
        <f t="shared" si="105"/>
        <v>34.785876821999999</v>
      </c>
      <c r="M487" s="3">
        <f t="shared" si="105"/>
        <v>35.254033935000002</v>
      </c>
      <c r="N487" s="3">
        <f t="shared" si="105"/>
        <v>35.564911488999996</v>
      </c>
      <c r="O487" s="3">
        <f t="shared" si="105"/>
        <v>35.767276214999995</v>
      </c>
      <c r="P487" s="3">
        <f t="shared" si="105"/>
        <v>35.917766221999997</v>
      </c>
      <c r="Q487" s="3">
        <f t="shared" si="105"/>
        <v>36.072377669000005</v>
      </c>
      <c r="R487" s="3">
        <f t="shared" si="105"/>
        <v>36.259280008000005</v>
      </c>
      <c r="S487" s="3">
        <f t="shared" si="105"/>
        <v>36.396523512000002</v>
      </c>
      <c r="T487" s="3">
        <f t="shared" si="105"/>
        <v>36.577390203</v>
      </c>
      <c r="U487" s="3">
        <f t="shared" si="105"/>
        <v>36.815718872000005</v>
      </c>
      <c r="V487" s="3">
        <f t="shared" si="105"/>
        <v>37.120052110000003</v>
      </c>
      <c r="W487" s="3">
        <f t="shared" si="105"/>
        <v>37.489254017</v>
      </c>
      <c r="X487" s="3">
        <f t="shared" si="105"/>
        <v>37.948035101999999</v>
      </c>
      <c r="Y487" s="3">
        <f t="shared" si="105"/>
        <v>38.506016377999998</v>
      </c>
      <c r="Z487" s="3">
        <f t="shared" si="105"/>
        <v>39.170489558</v>
      </c>
      <c r="AA487" s="3">
        <f t="shared" si="105"/>
        <v>39.945533521999998</v>
      </c>
      <c r="AB487" s="3">
        <f t="shared" si="105"/>
        <v>40.808824880000003</v>
      </c>
      <c r="AC487" s="3">
        <f t="shared" si="105"/>
        <v>41.833191193999994</v>
      </c>
      <c r="AD487" s="3">
        <f t="shared" si="105"/>
        <v>43.009991843000002</v>
      </c>
      <c r="AE487" s="3">
        <f t="shared" si="105"/>
        <v>44.352786417999994</v>
      </c>
      <c r="AF487" s="3">
        <f t="shared" si="105"/>
        <v>45.865440317999997</v>
      </c>
      <c r="AG487" s="3">
        <f t="shared" si="105"/>
        <v>47.552009488000003</v>
      </c>
      <c r="AH487" s="3">
        <f t="shared" si="105"/>
        <v>49.428671586</v>
      </c>
      <c r="AI487" s="3">
        <f t="shared" si="105"/>
        <v>51.526956388000002</v>
      </c>
      <c r="AJ487" s="3">
        <f t="shared" si="105"/>
        <v>53.894745909000001</v>
      </c>
      <c r="AK487" s="3">
        <f t="shared" si="105"/>
        <v>56.605820917000003</v>
      </c>
      <c r="AL487" s="3">
        <f t="shared" si="105"/>
        <v>59.775686855999993</v>
      </c>
    </row>
    <row r="488" spans="1:38" x14ac:dyDescent="0.35">
      <c r="B488" s="3" t="str">
        <f>[1]Results!E233</f>
        <v>YG_toe_chea_2</v>
      </c>
      <c r="C488" s="3">
        <f>[1]Results!F233</f>
        <v>5.7001631780000004</v>
      </c>
      <c r="D488" s="3">
        <f>[1]Results!G233</f>
        <v>5.767720594</v>
      </c>
      <c r="E488" s="3">
        <f>[1]Results!H233</f>
        <v>5.8379820520000001</v>
      </c>
      <c r="F488" s="3">
        <f>[1]Results!I233</f>
        <v>5.9069385949999997</v>
      </c>
      <c r="G488" s="3">
        <f>[1]Results!J233</f>
        <v>5.9803053610000001</v>
      </c>
      <c r="H488" s="3">
        <f>[1]Results!K233</f>
        <v>6.0636773259999996</v>
      </c>
      <c r="I488" s="3">
        <f>[1]Results!L233</f>
        <v>6.1425221749999999</v>
      </c>
      <c r="J488" s="3">
        <f>[1]Results!M233</f>
        <v>6.183064667</v>
      </c>
      <c r="K488" s="3">
        <f>[1]Results!N233</f>
        <v>6.2014702149999996</v>
      </c>
      <c r="L488" s="3">
        <f>[1]Results!O233</f>
        <v>6.2385623819999996</v>
      </c>
      <c r="M488" s="3">
        <f>[1]Results!P233</f>
        <v>6.2939641450000003</v>
      </c>
      <c r="N488" s="3">
        <f>[1]Results!Q233</f>
        <v>6.3458612089999997</v>
      </c>
      <c r="O488" s="3">
        <f>[1]Results!R233</f>
        <v>6.3961795549999998</v>
      </c>
      <c r="P488" s="3">
        <f>[1]Results!S233</f>
        <v>6.4436928919999996</v>
      </c>
      <c r="Q488" s="3">
        <f>[1]Results!T233</f>
        <v>6.4887535090000004</v>
      </c>
      <c r="R488" s="3">
        <f>[1]Results!U233</f>
        <v>6.5319755979999998</v>
      </c>
      <c r="S488" s="3">
        <f>[1]Results!V233</f>
        <v>6.5776464020000001</v>
      </c>
      <c r="T488" s="3">
        <f>[1]Results!W233</f>
        <v>6.6247268229999996</v>
      </c>
      <c r="U488" s="3">
        <f>[1]Results!X233</f>
        <v>6.6736823620000001</v>
      </c>
      <c r="V488" s="3">
        <f>[1]Results!Y233</f>
        <v>6.7252516499999997</v>
      </c>
      <c r="W488" s="3">
        <f>[1]Results!Z233</f>
        <v>6.776046547</v>
      </c>
      <c r="X488" s="3">
        <f>[1]Results!AA233</f>
        <v>6.8345579519999999</v>
      </c>
      <c r="Y488" s="3">
        <f>[1]Results!AB233</f>
        <v>6.9010033679999996</v>
      </c>
      <c r="Z488" s="3">
        <f>[1]Results!AC233</f>
        <v>6.9762556980000001</v>
      </c>
      <c r="AA488" s="3">
        <f>[1]Results!AD233</f>
        <v>7.0613026220000004</v>
      </c>
      <c r="AB488" s="3">
        <f>[1]Results!AE233</f>
        <v>7.1448678000000001</v>
      </c>
      <c r="AC488" s="3">
        <f>[1]Results!AF233</f>
        <v>7.2424555640000001</v>
      </c>
      <c r="AD488" s="3">
        <f>[1]Results!AG233</f>
        <v>7.3551555029999998</v>
      </c>
      <c r="AE488" s="3">
        <f>[1]Results!AH233</f>
        <v>7.4836818379999999</v>
      </c>
      <c r="AF488" s="3">
        <f>[1]Results!AI233</f>
        <v>7.6278702679999997</v>
      </c>
      <c r="AG488" s="3">
        <f>[1]Results!AJ233</f>
        <v>7.7872764180000003</v>
      </c>
      <c r="AH488" s="3">
        <f>[1]Results!AK233</f>
        <v>7.9619717259999998</v>
      </c>
      <c r="AI488" s="3">
        <f>[1]Results!AL233</f>
        <v>8.1522656480000002</v>
      </c>
      <c r="AJ488" s="3">
        <f>[1]Results!AM233</f>
        <v>8.358728739</v>
      </c>
      <c r="AK488" s="3">
        <f>[1]Results!AN233</f>
        <v>8.5828533470000004</v>
      </c>
      <c r="AL488" s="3">
        <f>[1]Results!AO233</f>
        <v>8.827361196</v>
      </c>
    </row>
    <row r="489" spans="1:38" x14ac:dyDescent="0.35">
      <c r="B489" s="3" t="str">
        <f>[1]Results!E235</f>
        <v>YG_toe_cbio_2</v>
      </c>
      <c r="C489" s="3">
        <f>[1]Results!F235</f>
        <v>11.16413483</v>
      </c>
      <c r="D489" s="3">
        <f>[1]Results!G235</f>
        <v>11.16170726</v>
      </c>
      <c r="E489" s="3">
        <f>[1]Results!H235</f>
        <v>11.159221799999999</v>
      </c>
      <c r="F489" s="3">
        <f>[1]Results!I235</f>
        <v>11.152932939999999</v>
      </c>
      <c r="G489" s="3">
        <f>[1]Results!J235</f>
        <v>11.18466334</v>
      </c>
      <c r="H489" s="3">
        <f>[1]Results!K235</f>
        <v>11.24155421</v>
      </c>
      <c r="I489" s="3">
        <f>[1]Results!L235</f>
        <v>11.315169040000001</v>
      </c>
      <c r="J489" s="3">
        <f>[1]Results!M235</f>
        <v>11.28831053</v>
      </c>
      <c r="K489" s="3">
        <f>[1]Results!N235</f>
        <v>11.25441453</v>
      </c>
      <c r="L489" s="3">
        <f>[1]Results!O235</f>
        <v>11.22218374</v>
      </c>
      <c r="M489" s="3">
        <f>[1]Results!P235</f>
        <v>11.168105880000001</v>
      </c>
      <c r="N489" s="3">
        <f>[1]Results!Q235</f>
        <v>11.09209102</v>
      </c>
      <c r="O489" s="3">
        <f>[1]Results!R235</f>
        <v>11.003422179999999</v>
      </c>
      <c r="P489" s="3">
        <f>[1]Results!S235</f>
        <v>10.91815661</v>
      </c>
      <c r="Q489" s="3">
        <f>[1]Results!T235</f>
        <v>10.84925546</v>
      </c>
      <c r="R489" s="3">
        <f>[1]Results!U235</f>
        <v>10.80320672</v>
      </c>
      <c r="S489" s="3">
        <f>[1]Results!V235</f>
        <v>10.764292449999999</v>
      </c>
      <c r="T489" s="3">
        <f>[1]Results!W235</f>
        <v>10.74537213</v>
      </c>
      <c r="U489" s="3">
        <f>[1]Results!X235</f>
        <v>10.7501225</v>
      </c>
      <c r="V489" s="3">
        <f>[1]Results!Y235</f>
        <v>10.78214945</v>
      </c>
      <c r="W489" s="3">
        <f>[1]Results!Z235</f>
        <v>10.841575280000001</v>
      </c>
      <c r="X489" s="3">
        <f>[1]Results!AA235</f>
        <v>10.938997499999999</v>
      </c>
      <c r="Y489" s="3">
        <f>[1]Results!AB235</f>
        <v>11.078519310000001</v>
      </c>
      <c r="Z489" s="3">
        <f>[1]Results!AC235</f>
        <v>11.264126109999999</v>
      </c>
      <c r="AA489" s="3">
        <f>[1]Results!AD235</f>
        <v>11.49983473</v>
      </c>
      <c r="AB489" s="3">
        <f>[1]Results!AE235</f>
        <v>11.778937470000001</v>
      </c>
      <c r="AC489" s="3">
        <f>[1]Results!AF235</f>
        <v>12.123151119999999</v>
      </c>
      <c r="AD489" s="3">
        <f>[1]Results!AG235</f>
        <v>12.53960049</v>
      </c>
      <c r="AE489" s="3">
        <f>[1]Results!AH235</f>
        <v>13.03812447</v>
      </c>
      <c r="AF489" s="3">
        <f>[1]Results!AI235</f>
        <v>13.6290301</v>
      </c>
      <c r="AG489" s="3">
        <f>[1]Results!AJ235</f>
        <v>14.32528409</v>
      </c>
      <c r="AH489" s="3">
        <f>[1]Results!AK235</f>
        <v>15.146093560000001</v>
      </c>
      <c r="AI489" s="3">
        <f>[1]Results!AL235</f>
        <v>16.119846160000002</v>
      </c>
      <c r="AJ489" s="3">
        <f>[1]Results!AM235</f>
        <v>17.287427220000001</v>
      </c>
      <c r="AK489" s="3">
        <f>[1]Results!AN235</f>
        <v>18.709462049999999</v>
      </c>
      <c r="AL489" s="3">
        <f>[1]Results!AO235</f>
        <v>20.478455029999999</v>
      </c>
    </row>
    <row r="490" spans="1:38" x14ac:dyDescent="0.35">
      <c r="B490" s="3" t="str">
        <f>[1]Results!E238</f>
        <v>YG_toe_cote_2</v>
      </c>
      <c r="C490" s="3">
        <f>[1]Results!F238</f>
        <v>13.83758336</v>
      </c>
      <c r="D490" s="3">
        <f>[1]Results!G238</f>
        <v>14.17041467</v>
      </c>
      <c r="E490" s="3">
        <f>[1]Results!H238</f>
        <v>14.525528570000001</v>
      </c>
      <c r="F490" s="3">
        <f>[1]Results!I238</f>
        <v>14.893678810000001</v>
      </c>
      <c r="G490" s="3">
        <f>[1]Results!J238</f>
        <v>15.288477350000001</v>
      </c>
      <c r="H490" s="3">
        <f>[1]Results!K238</f>
        <v>15.71143139</v>
      </c>
      <c r="I490" s="3">
        <f>[1]Results!L238</f>
        <v>16.157851780000001</v>
      </c>
      <c r="J490" s="3">
        <f>[1]Results!M238</f>
        <v>16.49945057</v>
      </c>
      <c r="K490" s="3">
        <f>[1]Results!N238</f>
        <v>16.82981277</v>
      </c>
      <c r="L490" s="3">
        <f>[1]Results!O238</f>
        <v>17.325130699999999</v>
      </c>
      <c r="M490" s="3">
        <f>[1]Results!P238</f>
        <v>17.79196391</v>
      </c>
      <c r="N490" s="3">
        <f>[1]Results!Q238</f>
        <v>18.12695926</v>
      </c>
      <c r="O490" s="3">
        <f>[1]Results!R238</f>
        <v>18.367674480000002</v>
      </c>
      <c r="P490" s="3">
        <f>[1]Results!S238</f>
        <v>18.555916719999999</v>
      </c>
      <c r="Q490" s="3">
        <f>[1]Results!T238</f>
        <v>18.734368700000001</v>
      </c>
      <c r="R490" s="3">
        <f>[1]Results!U238</f>
        <v>18.92409769</v>
      </c>
      <c r="S490" s="3">
        <f>[1]Results!V238</f>
        <v>19.05458466</v>
      </c>
      <c r="T490" s="3">
        <f>[1]Results!W238</f>
        <v>19.207291250000001</v>
      </c>
      <c r="U490" s="3">
        <f>[1]Results!X238</f>
        <v>19.391914010000001</v>
      </c>
      <c r="V490" s="3">
        <f>[1]Results!Y238</f>
        <v>19.61265101</v>
      </c>
      <c r="W490" s="3">
        <f>[1]Results!Z238</f>
        <v>19.87163219</v>
      </c>
      <c r="X490" s="3">
        <f>[1]Results!AA238</f>
        <v>20.174479649999999</v>
      </c>
      <c r="Y490" s="3">
        <f>[1]Results!AB238</f>
        <v>20.5264937</v>
      </c>
      <c r="Z490" s="3">
        <f>[1]Results!AC238</f>
        <v>20.930107750000001</v>
      </c>
      <c r="AA490" s="3">
        <f>[1]Results!AD238</f>
        <v>21.384396169999999</v>
      </c>
      <c r="AB490" s="3">
        <f>[1]Results!AE238</f>
        <v>21.885019610000001</v>
      </c>
      <c r="AC490" s="3">
        <f>[1]Results!AF238</f>
        <v>22.467584509999998</v>
      </c>
      <c r="AD490" s="3">
        <f>[1]Results!AG238</f>
        <v>23.115235850000001</v>
      </c>
      <c r="AE490" s="3">
        <f>[1]Results!AH238</f>
        <v>23.830980109999999</v>
      </c>
      <c r="AF490" s="3">
        <f>[1]Results!AI238</f>
        <v>24.608539950000001</v>
      </c>
      <c r="AG490" s="3">
        <f>[1]Results!AJ238</f>
        <v>25.439448980000002</v>
      </c>
      <c r="AH490" s="3">
        <f>[1]Results!AK238</f>
        <v>26.320606300000001</v>
      </c>
      <c r="AI490" s="3">
        <f>[1]Results!AL238</f>
        <v>27.25484458</v>
      </c>
      <c r="AJ490" s="3">
        <f>[1]Results!AM238</f>
        <v>28.24858995</v>
      </c>
      <c r="AK490" s="3">
        <f>[1]Results!AN238</f>
        <v>29.31350552</v>
      </c>
      <c r="AL490" s="3">
        <f>[1]Results!AO238</f>
        <v>30.469870629999999</v>
      </c>
    </row>
    <row r="491" spans="1:3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x14ac:dyDescent="0.35">
      <c r="A492" s="12" t="s">
        <v>94</v>
      </c>
      <c r="B492" s="3" t="str">
        <f>[1]Results!E241</f>
        <v>YG_toe_0</v>
      </c>
      <c r="C492" s="3">
        <f>[1]Results!F241</f>
        <v>148.56082459999999</v>
      </c>
      <c r="D492" s="3">
        <f>[1]Results!G241</f>
        <v>150.1928623</v>
      </c>
      <c r="E492" s="3">
        <f>[1]Results!H241</f>
        <v>151.855861</v>
      </c>
      <c r="F492" s="3">
        <f>[1]Results!I241</f>
        <v>153.6562496</v>
      </c>
      <c r="G492" s="3">
        <f>[1]Results!J241</f>
        <v>155.6722474</v>
      </c>
      <c r="H492" s="3">
        <f>[1]Results!K241</f>
        <v>157.9306278</v>
      </c>
      <c r="I492" s="3">
        <f>[1]Results!L241</f>
        <v>160.34835279999999</v>
      </c>
      <c r="J492" s="3">
        <f>[1]Results!M241</f>
        <v>162.8720065</v>
      </c>
      <c r="K492" s="3">
        <f>[1]Results!N241</f>
        <v>165.46069729999999</v>
      </c>
      <c r="L492" s="3">
        <f>[1]Results!O241</f>
        <v>168.09214080000001</v>
      </c>
      <c r="M492" s="3">
        <f>[1]Results!P241</f>
        <v>170.69548810000001</v>
      </c>
      <c r="N492" s="3">
        <f>[1]Results!Q241</f>
        <v>172.85295980000001</v>
      </c>
      <c r="O492" s="3">
        <f>[1]Results!R241</f>
        <v>174.6551188</v>
      </c>
      <c r="P492" s="3">
        <f>[1]Results!S241</f>
        <v>176.19314220000001</v>
      </c>
      <c r="Q492" s="3">
        <f>[1]Results!T241</f>
        <v>177.5678983</v>
      </c>
      <c r="R492" s="3">
        <f>[1]Results!U241</f>
        <v>178.87046649999999</v>
      </c>
      <c r="S492" s="3">
        <f>[1]Results!V241</f>
        <v>180.20123430000001</v>
      </c>
      <c r="T492" s="3">
        <f>[1]Results!W241</f>
        <v>181.65579890000001</v>
      </c>
      <c r="U492" s="3">
        <f>[1]Results!X241</f>
        <v>183.31496730000001</v>
      </c>
      <c r="V492" s="3">
        <f>[1]Results!Y241</f>
        <v>185.21314100000001</v>
      </c>
      <c r="W492" s="3">
        <f>[1]Results!Z241</f>
        <v>187.33841279999999</v>
      </c>
      <c r="X492" s="3">
        <f>[1]Results!AA241</f>
        <v>189.75844910000001</v>
      </c>
      <c r="Y492" s="3">
        <f>[1]Results!AB241</f>
        <v>192.48959350000001</v>
      </c>
      <c r="Z492" s="3">
        <f>[1]Results!AC241</f>
        <v>195.5423351</v>
      </c>
      <c r="AA492" s="3">
        <f>[1]Results!AD241</f>
        <v>198.9144632</v>
      </c>
      <c r="AB492" s="3">
        <f>[1]Results!AE241</f>
        <v>202.5060168</v>
      </c>
      <c r="AC492" s="3">
        <f>[1]Results!AF241</f>
        <v>206.41758469999999</v>
      </c>
      <c r="AD492" s="3">
        <f>[1]Results!AG241</f>
        <v>210.66229559999999</v>
      </c>
      <c r="AE492" s="3">
        <f>[1]Results!AH241</f>
        <v>215.23661010000001</v>
      </c>
      <c r="AF492" s="3">
        <f>[1]Results!AI241</f>
        <v>220.0915253</v>
      </c>
      <c r="AG492" s="3">
        <f>[1]Results!AJ241</f>
        <v>225.15747590000001</v>
      </c>
      <c r="AH492" s="3">
        <f>[1]Results!AK241</f>
        <v>230.3721482</v>
      </c>
      <c r="AI492" s="3">
        <f>[1]Results!AL241</f>
        <v>235.6842335</v>
      </c>
      <c r="AJ492" s="3">
        <f>[1]Results!AM241</f>
        <v>241.04758659999999</v>
      </c>
      <c r="AK492" s="3">
        <f>[1]Results!AN241</f>
        <v>246.41837090000001</v>
      </c>
      <c r="AL492" s="3">
        <f>[1]Results!AO241</f>
        <v>251.7538338</v>
      </c>
    </row>
    <row r="493" spans="1:38" x14ac:dyDescent="0.35">
      <c r="A493" t="s">
        <v>38</v>
      </c>
      <c r="B493" s="3" t="str">
        <f>[1]Results!E242</f>
        <v>YG_toe_ccoa_0</v>
      </c>
      <c r="C493" s="3">
        <f>[1]Results!F242</f>
        <v>2.3689359379999999</v>
      </c>
      <c r="D493" s="3">
        <f>[1]Results!G242</f>
        <v>2.3856670659999999</v>
      </c>
      <c r="E493" s="3">
        <f>[1]Results!H242</f>
        <v>2.4040604079999999</v>
      </c>
      <c r="F493" s="3">
        <f>[1]Results!I242</f>
        <v>2.4171692139999998</v>
      </c>
      <c r="G493" s="3">
        <f>[1]Results!J242</f>
        <v>2.4454795360000001</v>
      </c>
      <c r="H493" s="3">
        <f>[1]Results!K242</f>
        <v>2.4860861889999999</v>
      </c>
      <c r="I493" s="3">
        <f>[1]Results!L242</f>
        <v>2.5314085899999998</v>
      </c>
      <c r="J493" s="3">
        <f>[1]Results!M242</f>
        <v>2.5768915570000002</v>
      </c>
      <c r="K493" s="3">
        <f>[1]Results!N242</f>
        <v>2.6219816979999999</v>
      </c>
      <c r="L493" s="3">
        <f>[1]Results!O242</f>
        <v>2.6668357249999999</v>
      </c>
      <c r="M493" s="3">
        <f>[1]Results!P242</f>
        <v>2.7092407760000001</v>
      </c>
      <c r="N493" s="3">
        <f>[1]Results!Q242</f>
        <v>2.740843903</v>
      </c>
      <c r="O493" s="3">
        <f>[1]Results!R242</f>
        <v>2.7644071829999999</v>
      </c>
      <c r="P493" s="3">
        <f>[1]Results!S242</f>
        <v>2.782870585</v>
      </c>
      <c r="Q493" s="3">
        <f>[1]Results!T242</f>
        <v>2.7989672049999998</v>
      </c>
      <c r="R493" s="3">
        <f>[1]Results!U242</f>
        <v>2.8148140700000002</v>
      </c>
      <c r="S493" s="3">
        <f>[1]Results!V242</f>
        <v>2.8361039799999999</v>
      </c>
      <c r="T493" s="3">
        <f>[1]Results!W242</f>
        <v>2.864803357</v>
      </c>
      <c r="U493" s="3">
        <f>[1]Results!X242</f>
        <v>2.90138973</v>
      </c>
      <c r="V493" s="3">
        <f>[1]Results!Y242</f>
        <v>2.9455152930000001</v>
      </c>
      <c r="W493" s="3">
        <f>[1]Results!Z242</f>
        <v>2.9966102239999999</v>
      </c>
      <c r="X493" s="3">
        <f>[1]Results!AA242</f>
        <v>3.0544247910000002</v>
      </c>
      <c r="Y493" s="3">
        <f>[1]Results!AB242</f>
        <v>3.1189981219999998</v>
      </c>
      <c r="Z493" s="3">
        <f>[1]Results!AC242</f>
        <v>3.1902686569999998</v>
      </c>
      <c r="AA493" s="3">
        <f>[1]Results!AD242</f>
        <v>3.2678781899999998</v>
      </c>
      <c r="AB493" s="3">
        <f>[1]Results!AE242</f>
        <v>3.351142775</v>
      </c>
      <c r="AC493" s="3">
        <f>[1]Results!AF242</f>
        <v>3.440232687</v>
      </c>
      <c r="AD493" s="3">
        <f>[1]Results!AG242</f>
        <v>3.5356260100000001</v>
      </c>
      <c r="AE493" s="3">
        <f>[1]Results!AH242</f>
        <v>3.637400827</v>
      </c>
      <c r="AF493" s="3">
        <f>[1]Results!AI242</f>
        <v>3.7445853690000002</v>
      </c>
      <c r="AG493" s="3">
        <f>[1]Results!AJ242</f>
        <v>3.8557448079999999</v>
      </c>
      <c r="AH493" s="3">
        <f>[1]Results!AK242</f>
        <v>3.9696998369999998</v>
      </c>
      <c r="AI493" s="3">
        <f>[1]Results!AL242</f>
        <v>4.0856279630000003</v>
      </c>
      <c r="AJ493" s="3">
        <f>[1]Results!AM242</f>
        <v>4.2028404009999996</v>
      </c>
      <c r="AK493" s="3">
        <f>[1]Results!AN242</f>
        <v>4.3206642070000001</v>
      </c>
      <c r="AL493" s="3">
        <f>[1]Results!AO242</f>
        <v>4.4383882899999998</v>
      </c>
    </row>
    <row r="494" spans="1:38" x14ac:dyDescent="0.35">
      <c r="B494" s="3" t="s">
        <v>74</v>
      </c>
      <c r="C494" s="3">
        <f>SUM(C495:C497)</f>
        <v>51.304317161</v>
      </c>
      <c r="D494" s="3">
        <f t="shared" ref="D494:AL494" si="106">SUM(D495:D497)</f>
        <v>51.630651542999992</v>
      </c>
      <c r="E494" s="3">
        <f t="shared" si="106"/>
        <v>51.958826126000005</v>
      </c>
      <c r="F494" s="3">
        <f t="shared" si="106"/>
        <v>52.340506791999999</v>
      </c>
      <c r="G494" s="3">
        <f t="shared" si="106"/>
        <v>52.869933756999998</v>
      </c>
      <c r="H494" s="3">
        <f t="shared" si="106"/>
        <v>53.532324615999997</v>
      </c>
      <c r="I494" s="3">
        <f t="shared" si="106"/>
        <v>54.272361564000008</v>
      </c>
      <c r="J494" s="3">
        <f t="shared" si="106"/>
        <v>55.045710821999997</v>
      </c>
      <c r="K494" s="3">
        <f t="shared" si="106"/>
        <v>55.834650119999999</v>
      </c>
      <c r="L494" s="3">
        <f t="shared" si="106"/>
        <v>56.632300250999997</v>
      </c>
      <c r="M494" s="3">
        <f t="shared" si="106"/>
        <v>57.425711484000004</v>
      </c>
      <c r="N494" s="3">
        <f t="shared" si="106"/>
        <v>58.125979243000003</v>
      </c>
      <c r="O494" s="3">
        <f t="shared" si="106"/>
        <v>58.741887147</v>
      </c>
      <c r="P494" s="3">
        <f t="shared" si="106"/>
        <v>59.288032045000001</v>
      </c>
      <c r="Q494" s="3">
        <f t="shared" si="106"/>
        <v>59.782446500999995</v>
      </c>
      <c r="R494" s="3">
        <f t="shared" si="106"/>
        <v>60.242997578000001</v>
      </c>
      <c r="S494" s="3">
        <f t="shared" si="106"/>
        <v>60.709694699999993</v>
      </c>
      <c r="T494" s="3">
        <f t="shared" si="106"/>
        <v>61.212497855000002</v>
      </c>
      <c r="U494" s="3">
        <f t="shared" si="106"/>
        <v>61.767507182000003</v>
      </c>
      <c r="V494" s="3">
        <f t="shared" si="106"/>
        <v>62.380216543000003</v>
      </c>
      <c r="W494" s="3">
        <f t="shared" si="106"/>
        <v>63.045045842999997</v>
      </c>
      <c r="X494" s="3">
        <f t="shared" si="106"/>
        <v>63.775286753000003</v>
      </c>
      <c r="Y494" s="3">
        <f t="shared" si="106"/>
        <v>64.57438274399999</v>
      </c>
      <c r="Z494" s="3">
        <f t="shared" si="106"/>
        <v>65.445738136000003</v>
      </c>
      <c r="AA494" s="3">
        <f t="shared" si="106"/>
        <v>66.390362846000002</v>
      </c>
      <c r="AB494" s="3">
        <f t="shared" si="106"/>
        <v>67.385743910000002</v>
      </c>
      <c r="AC494" s="3">
        <f t="shared" si="106"/>
        <v>68.454506913000003</v>
      </c>
      <c r="AD494" s="3">
        <f t="shared" si="106"/>
        <v>69.601960488999993</v>
      </c>
      <c r="AE494" s="3">
        <f t="shared" si="106"/>
        <v>70.830476207999993</v>
      </c>
      <c r="AF494" s="3">
        <f t="shared" si="106"/>
        <v>72.133170186000001</v>
      </c>
      <c r="AG494" s="3">
        <f t="shared" si="106"/>
        <v>73.497418178999993</v>
      </c>
      <c r="AH494" s="3">
        <f t="shared" si="106"/>
        <v>74.910255921000001</v>
      </c>
      <c r="AI494" s="3">
        <f t="shared" si="106"/>
        <v>76.35965284400001</v>
      </c>
      <c r="AJ494" s="3">
        <f t="shared" si="106"/>
        <v>77.83361807</v>
      </c>
      <c r="AK494" s="3">
        <f t="shared" si="106"/>
        <v>79.319877048999984</v>
      </c>
      <c r="AL494" s="3">
        <f t="shared" si="106"/>
        <v>80.805745631999997</v>
      </c>
    </row>
    <row r="495" spans="1:38" x14ac:dyDescent="0.35">
      <c r="B495" s="3" t="str">
        <f>[1]Results!E245</f>
        <v>YG_toe_ccoi_0</v>
      </c>
      <c r="C495" s="3">
        <f>[1]Results!F245</f>
        <v>1.0946754030000001</v>
      </c>
      <c r="D495" s="3">
        <f>[1]Results!G245</f>
        <v>1.1049751000000001</v>
      </c>
      <c r="E495" s="3">
        <f>[1]Results!H245</f>
        <v>1.1154457900000001</v>
      </c>
      <c r="F495" s="3">
        <f>[1]Results!I245</f>
        <v>1.126942493</v>
      </c>
      <c r="G495" s="3">
        <f>[1]Results!J245</f>
        <v>1.1412536520000001</v>
      </c>
      <c r="H495" s="3">
        <f>[1]Results!K245</f>
        <v>1.1584040950000001</v>
      </c>
      <c r="I495" s="3">
        <f>[1]Results!L245</f>
        <v>1.177159447</v>
      </c>
      <c r="J495" s="3">
        <f>[1]Results!M245</f>
        <v>1.19664897</v>
      </c>
      <c r="K495" s="3">
        <f>[1]Results!N245</f>
        <v>1.216491843</v>
      </c>
      <c r="L495" s="3">
        <f>[1]Results!O245</f>
        <v>1.2365653240000001</v>
      </c>
      <c r="M495" s="3">
        <f>[1]Results!P245</f>
        <v>1.2562797320000001</v>
      </c>
      <c r="N495" s="3">
        <f>[1]Results!Q245</f>
        <v>1.2730188819999999</v>
      </c>
      <c r="O495" s="3">
        <f>[1]Results!R245</f>
        <v>1.28716586</v>
      </c>
      <c r="P495" s="3">
        <f>[1]Results!S245</f>
        <v>1.2993910719999999</v>
      </c>
      <c r="Q495" s="3">
        <f>[1]Results!T245</f>
        <v>1.3103983889999999</v>
      </c>
      <c r="R495" s="3">
        <f>[1]Results!U245</f>
        <v>1.3207964539999999</v>
      </c>
      <c r="S495" s="3">
        <f>[1]Results!V245</f>
        <v>1.331651183</v>
      </c>
      <c r="T495" s="3">
        <f>[1]Results!W245</f>
        <v>1.343717834</v>
      </c>
      <c r="U495" s="3">
        <f>[1]Results!X245</f>
        <v>1.357415858</v>
      </c>
      <c r="V495" s="3">
        <f>[1]Results!Y245</f>
        <v>1.3728665019999999</v>
      </c>
      <c r="W495" s="3">
        <f>[1]Results!Z245</f>
        <v>1.3899840649999999</v>
      </c>
      <c r="X495" s="3">
        <f>[1]Results!AA245</f>
        <v>1.4089567110000001</v>
      </c>
      <c r="Y495" s="3">
        <f>[1]Results!AB245</f>
        <v>1.4299006059999999</v>
      </c>
      <c r="Z495" s="3">
        <f>[1]Results!AC245</f>
        <v>1.4528863940000001</v>
      </c>
      <c r="AA495" s="3">
        <f>[1]Results!AD245</f>
        <v>1.4778917819999999</v>
      </c>
      <c r="AB495" s="3">
        <f>[1]Results!AE245</f>
        <v>1.5045350710000001</v>
      </c>
      <c r="AC495" s="3">
        <f>[1]Results!AF245</f>
        <v>1.533138173</v>
      </c>
      <c r="AD495" s="3">
        <f>[1]Results!AG245</f>
        <v>1.5639040790000001</v>
      </c>
      <c r="AE495" s="3">
        <f>[1]Results!AH245</f>
        <v>1.5968944979999999</v>
      </c>
      <c r="AF495" s="3">
        <f>[1]Results!AI245</f>
        <v>1.6318565359999999</v>
      </c>
      <c r="AG495" s="3">
        <f>[1]Results!AJ245</f>
        <v>1.668364129</v>
      </c>
      <c r="AH495" s="3">
        <f>[1]Results!AK245</f>
        <v>1.7060236710000001</v>
      </c>
      <c r="AI495" s="3">
        <f>[1]Results!AL245</f>
        <v>1.744516594</v>
      </c>
      <c r="AJ495" s="3">
        <f>[1]Results!AM245</f>
        <v>1.78355179</v>
      </c>
      <c r="AK495" s="3">
        <f>[1]Results!AN245</f>
        <v>1.8228398189999999</v>
      </c>
      <c r="AL495" s="3">
        <f>[1]Results!AO245</f>
        <v>1.862080902</v>
      </c>
    </row>
    <row r="496" spans="1:38" x14ac:dyDescent="0.35">
      <c r="B496" s="3" t="str">
        <f>[1]Results!E248</f>
        <v>YG_toe_cfut_0</v>
      </c>
      <c r="C496" s="3">
        <f>[1]Results!F248</f>
        <v>42.28829657</v>
      </c>
      <c r="D496" s="3">
        <f>[1]Results!G248</f>
        <v>42.548102569999998</v>
      </c>
      <c r="E496" s="3">
        <f>[1]Results!H248</f>
        <v>42.80916706</v>
      </c>
      <c r="F496" s="3">
        <f>[1]Results!I248</f>
        <v>43.123597279999998</v>
      </c>
      <c r="G496" s="3">
        <f>[1]Results!J248</f>
        <v>43.562713799999997</v>
      </c>
      <c r="H496" s="3">
        <f>[1]Results!K248</f>
        <v>44.114508639999997</v>
      </c>
      <c r="I496" s="3">
        <f>[1]Results!L248</f>
        <v>44.738527570000002</v>
      </c>
      <c r="J496" s="3">
        <f>[1]Results!M248</f>
        <v>45.397055139999999</v>
      </c>
      <c r="K496" s="3">
        <f>[1]Results!N248</f>
        <v>46.07258221</v>
      </c>
      <c r="L496" s="3">
        <f>[1]Results!O248</f>
        <v>46.757328399999999</v>
      </c>
      <c r="M496" s="3">
        <f>[1]Results!P248</f>
        <v>47.438859010000002</v>
      </c>
      <c r="N496" s="3">
        <f>[1]Results!Q248</f>
        <v>48.048547640000002</v>
      </c>
      <c r="O496" s="3">
        <f>[1]Results!R248</f>
        <v>48.59196626</v>
      </c>
      <c r="P496" s="3">
        <f>[1]Results!S248</f>
        <v>49.079127270000001</v>
      </c>
      <c r="Q496" s="3">
        <f>[1]Results!T248</f>
        <v>49.523342499999998</v>
      </c>
      <c r="R496" s="3">
        <f>[1]Results!U248</f>
        <v>49.938285180000001</v>
      </c>
      <c r="S496" s="3">
        <f>[1]Results!V248</f>
        <v>50.351786429999997</v>
      </c>
      <c r="T496" s="3">
        <f>[1]Results!W248</f>
        <v>50.789159669999997</v>
      </c>
      <c r="U496" s="3">
        <f>[1]Results!X248</f>
        <v>51.264077139999998</v>
      </c>
      <c r="V496" s="3">
        <f>[1]Results!Y248</f>
        <v>51.781962</v>
      </c>
      <c r="W496" s="3">
        <f>[1]Results!Z248</f>
        <v>52.339901640000001</v>
      </c>
      <c r="X496" s="3">
        <f>[1]Results!AA248</f>
        <v>52.947728580000003</v>
      </c>
      <c r="Y496" s="3">
        <f>[1]Results!AB248</f>
        <v>53.609107829999999</v>
      </c>
      <c r="Z496" s="3">
        <f>[1]Results!AC248</f>
        <v>54.327213720000003</v>
      </c>
      <c r="AA496" s="3">
        <f>[1]Results!AD248</f>
        <v>55.103142159999997</v>
      </c>
      <c r="AB496" s="3">
        <f>[1]Results!AE248</f>
        <v>55.921124630000001</v>
      </c>
      <c r="AC496" s="3">
        <f>[1]Results!AF248</f>
        <v>56.796555040000001</v>
      </c>
      <c r="AD496" s="3">
        <f>[1]Results!AG248</f>
        <v>57.73392226</v>
      </c>
      <c r="AE496" s="3">
        <f>[1]Results!AH248</f>
        <v>58.73529396</v>
      </c>
      <c r="AF496" s="3">
        <f>[1]Results!AI248</f>
        <v>59.795428809999997</v>
      </c>
      <c r="AG496" s="3">
        <f>[1]Results!AJ248</f>
        <v>60.904536059999998</v>
      </c>
      <c r="AH496" s="3">
        <f>[1]Results!AK248</f>
        <v>62.052451009999999</v>
      </c>
      <c r="AI496" s="3">
        <f>[1]Results!AL248</f>
        <v>63.2297291</v>
      </c>
      <c r="AJ496" s="3">
        <f>[1]Results!AM248</f>
        <v>64.426849300000001</v>
      </c>
      <c r="AK496" s="3">
        <f>[1]Results!AN248</f>
        <v>65.633912659999993</v>
      </c>
      <c r="AL496" s="3">
        <f>[1]Results!AO248</f>
        <v>66.840610799999993</v>
      </c>
    </row>
    <row r="497" spans="1:38" x14ac:dyDescent="0.35">
      <c r="B497" s="3" t="str">
        <f>[1]Results!E251</f>
        <v>YG_toe_cfuh_0</v>
      </c>
      <c r="C497" s="3">
        <f>[1]Results!F251</f>
        <v>7.9213451880000001</v>
      </c>
      <c r="D497" s="3">
        <f>[1]Results!G251</f>
        <v>7.9775738729999999</v>
      </c>
      <c r="E497" s="3">
        <f>[1]Results!H251</f>
        <v>8.0342132759999991</v>
      </c>
      <c r="F497" s="3">
        <f>[1]Results!I251</f>
        <v>8.0899670189999995</v>
      </c>
      <c r="G497" s="3">
        <f>[1]Results!J251</f>
        <v>8.1659663049999995</v>
      </c>
      <c r="H497" s="3">
        <f>[1]Results!K251</f>
        <v>8.2594118810000001</v>
      </c>
      <c r="I497" s="3">
        <f>[1]Results!L251</f>
        <v>8.3566745470000008</v>
      </c>
      <c r="J497" s="3">
        <f>[1]Results!M251</f>
        <v>8.4520067119999993</v>
      </c>
      <c r="K497" s="3">
        <f>[1]Results!N251</f>
        <v>8.5455760670000007</v>
      </c>
      <c r="L497" s="3">
        <f>[1]Results!O251</f>
        <v>8.6384065270000008</v>
      </c>
      <c r="M497" s="3">
        <f>[1]Results!P251</f>
        <v>8.7305727419999997</v>
      </c>
      <c r="N497" s="3">
        <f>[1]Results!Q251</f>
        <v>8.8044127210000003</v>
      </c>
      <c r="O497" s="3">
        <f>[1]Results!R251</f>
        <v>8.8627550270000004</v>
      </c>
      <c r="P497" s="3">
        <f>[1]Results!S251</f>
        <v>8.909513703</v>
      </c>
      <c r="Q497" s="3">
        <f>[1]Results!T251</f>
        <v>8.9487056119999995</v>
      </c>
      <c r="R497" s="3">
        <f>[1]Results!U251</f>
        <v>8.9839159439999996</v>
      </c>
      <c r="S497" s="3">
        <f>[1]Results!V251</f>
        <v>9.0262570869999994</v>
      </c>
      <c r="T497" s="3">
        <f>[1]Results!W251</f>
        <v>9.0796203510000009</v>
      </c>
      <c r="U497" s="3">
        <f>[1]Results!X251</f>
        <v>9.1460141840000002</v>
      </c>
      <c r="V497" s="3">
        <f>[1]Results!Y251</f>
        <v>9.2253880410000004</v>
      </c>
      <c r="W497" s="3">
        <f>[1]Results!Z251</f>
        <v>9.3151601379999995</v>
      </c>
      <c r="X497" s="3">
        <f>[1]Results!AA251</f>
        <v>9.4186014619999998</v>
      </c>
      <c r="Y497" s="3">
        <f>[1]Results!AB251</f>
        <v>9.5353743079999997</v>
      </c>
      <c r="Z497" s="3">
        <f>[1]Results!AC251</f>
        <v>9.6656380219999996</v>
      </c>
      <c r="AA497" s="3">
        <f>[1]Results!AD251</f>
        <v>9.8093289039999991</v>
      </c>
      <c r="AB497" s="3">
        <f>[1]Results!AE251</f>
        <v>9.9600842089999997</v>
      </c>
      <c r="AC497" s="3">
        <f>[1]Results!AF251</f>
        <v>10.124813700000001</v>
      </c>
      <c r="AD497" s="3">
        <f>[1]Results!AG251</f>
        <v>10.304134149999999</v>
      </c>
      <c r="AE497" s="3">
        <f>[1]Results!AH251</f>
        <v>10.498287749999999</v>
      </c>
      <c r="AF497" s="3">
        <f>[1]Results!AI251</f>
        <v>10.70588484</v>
      </c>
      <c r="AG497" s="3">
        <f>[1]Results!AJ251</f>
        <v>10.92451799</v>
      </c>
      <c r="AH497" s="3">
        <f>[1]Results!AK251</f>
        <v>11.15178124</v>
      </c>
      <c r="AI497" s="3">
        <f>[1]Results!AL251</f>
        <v>11.385407150000001</v>
      </c>
      <c r="AJ497" s="3">
        <f>[1]Results!AM251</f>
        <v>11.62321698</v>
      </c>
      <c r="AK497" s="3">
        <f>[1]Results!AN251</f>
        <v>11.86312457</v>
      </c>
      <c r="AL497" s="3">
        <f>[1]Results!AO251</f>
        <v>12.10305393</v>
      </c>
    </row>
    <row r="498" spans="1:38" x14ac:dyDescent="0.35">
      <c r="B498" s="3" t="str">
        <f>[1]Results!E253</f>
        <v>YG_toe_cgas_0</v>
      </c>
      <c r="C498" s="3">
        <f>[1]Results!F253</f>
        <v>6.6386576159999997</v>
      </c>
      <c r="D498" s="3">
        <f>[1]Results!G253</f>
        <v>6.522425191</v>
      </c>
      <c r="E498" s="3">
        <f>[1]Results!H253</f>
        <v>6.4213536949999996</v>
      </c>
      <c r="F498" s="3">
        <f>[1]Results!I253</f>
        <v>6.3212452590000003</v>
      </c>
      <c r="G498" s="3">
        <f>[1]Results!J253</f>
        <v>6.2612658950000002</v>
      </c>
      <c r="H498" s="3">
        <f>[1]Results!K253</f>
        <v>6.2076424709999998</v>
      </c>
      <c r="I498" s="3">
        <f>[1]Results!L253</f>
        <v>6.1326393330000002</v>
      </c>
      <c r="J498" s="3">
        <f>[1]Results!M253</f>
        <v>6.0562320029999999</v>
      </c>
      <c r="K498" s="3">
        <f>[1]Results!N253</f>
        <v>5.988897047</v>
      </c>
      <c r="L498" s="3">
        <f>[1]Results!O253</f>
        <v>5.932130248</v>
      </c>
      <c r="M498" s="3">
        <f>[1]Results!P253</f>
        <v>5.8932909359999996</v>
      </c>
      <c r="N498" s="3">
        <f>[1]Results!Q253</f>
        <v>5.8901836730000001</v>
      </c>
      <c r="O498" s="3">
        <f>[1]Results!R253</f>
        <v>5.9144278290000001</v>
      </c>
      <c r="P498" s="3">
        <f>[1]Results!S253</f>
        <v>5.9594628529999998</v>
      </c>
      <c r="Q498" s="3">
        <f>[1]Results!T253</f>
        <v>6.0177920150000004</v>
      </c>
      <c r="R498" s="3">
        <f>[1]Results!U253</f>
        <v>6.0825305600000004</v>
      </c>
      <c r="S498" s="3">
        <f>[1]Results!V253</f>
        <v>6.1538527060000003</v>
      </c>
      <c r="T498" s="3">
        <f>[1]Results!W253</f>
        <v>6.213217255</v>
      </c>
      <c r="U498" s="3">
        <f>[1]Results!X253</f>
        <v>6.2565631279999998</v>
      </c>
      <c r="V498" s="3">
        <f>[1]Results!Y253</f>
        <v>6.2815123389999998</v>
      </c>
      <c r="W498" s="3">
        <f>[1]Results!Z253</f>
        <v>6.2858742850000002</v>
      </c>
      <c r="X498" s="3">
        <f>[1]Results!AA253</f>
        <v>6.2708272779999996</v>
      </c>
      <c r="Y498" s="3">
        <f>[1]Results!AB253</f>
        <v>6.2356752220000002</v>
      </c>
      <c r="Z498" s="3">
        <f>[1]Results!AC253</f>
        <v>6.180366169</v>
      </c>
      <c r="AA498" s="3">
        <f>[1]Results!AD253</f>
        <v>6.1057540369999996</v>
      </c>
      <c r="AB498" s="3">
        <f>[1]Results!AE253</f>
        <v>6.0105595779999996</v>
      </c>
      <c r="AC498" s="3">
        <f>[1]Results!AF253</f>
        <v>5.8977544870000003</v>
      </c>
      <c r="AD498" s="3">
        <f>[1]Results!AG253</f>
        <v>5.766881251</v>
      </c>
      <c r="AE498" s="3">
        <f>[1]Results!AH253</f>
        <v>5.6181806620000003</v>
      </c>
      <c r="AF498" s="3">
        <f>[1]Results!AI253</f>
        <v>5.4546402839999999</v>
      </c>
      <c r="AG498" s="3">
        <f>[1]Results!AJ253</f>
        <v>5.2804157050000002</v>
      </c>
      <c r="AH498" s="3">
        <f>[1]Results!AK253</f>
        <v>5.0991108389999997</v>
      </c>
      <c r="AI498" s="3">
        <f>[1]Results!AL253</f>
        <v>4.9130373870000001</v>
      </c>
      <c r="AJ498" s="3">
        <f>[1]Results!AM253</f>
        <v>4.7245029949999999</v>
      </c>
      <c r="AK498" s="3">
        <f>[1]Results!AN253</f>
        <v>4.5359318709999998</v>
      </c>
      <c r="AL498" s="3">
        <f>[1]Results!AO253</f>
        <v>4.3498480080000004</v>
      </c>
    </row>
    <row r="499" spans="1:38" x14ac:dyDescent="0.35">
      <c r="B499" s="3" t="str">
        <f>[1]Results!E259</f>
        <v>YG_toe_cele_0</v>
      </c>
      <c r="C499" s="3">
        <f>[1]Results!F259</f>
        <v>57.547032489999999</v>
      </c>
      <c r="D499" s="3">
        <f>[1]Results!G259</f>
        <v>58.55427598</v>
      </c>
      <c r="E499" s="3">
        <f>[1]Results!H259</f>
        <v>59.548888339999998</v>
      </c>
      <c r="F499" s="3">
        <f>[1]Results!I259</f>
        <v>60.623778020000003</v>
      </c>
      <c r="G499" s="3">
        <f>[1]Results!J259</f>
        <v>61.642122180000001</v>
      </c>
      <c r="H499" s="3">
        <f>[1]Results!K259</f>
        <v>62.687911630000002</v>
      </c>
      <c r="I499" s="3">
        <f>[1]Results!L259</f>
        <v>63.796400249999998</v>
      </c>
      <c r="J499" s="3">
        <f>[1]Results!M259</f>
        <v>64.962668640000004</v>
      </c>
      <c r="K499" s="3">
        <f>[1]Results!N259</f>
        <v>66.160676899999999</v>
      </c>
      <c r="L499" s="3">
        <f>[1]Results!O259</f>
        <v>67.375159229999994</v>
      </c>
      <c r="M499" s="3">
        <f>[1]Results!P259</f>
        <v>68.560540700000004</v>
      </c>
      <c r="N499" s="3">
        <f>[1]Results!Q259</f>
        <v>69.502153019999994</v>
      </c>
      <c r="O499" s="3">
        <f>[1]Results!R259</f>
        <v>70.248246750000007</v>
      </c>
      <c r="P499" s="3">
        <f>[1]Results!S259</f>
        <v>70.847907570000004</v>
      </c>
      <c r="Q499" s="3">
        <f>[1]Results!T259</f>
        <v>71.358616789999999</v>
      </c>
      <c r="R499" s="3">
        <f>[1]Results!U259</f>
        <v>71.833910520000003</v>
      </c>
      <c r="S499" s="3">
        <f>[1]Results!V259</f>
        <v>72.300600450000005</v>
      </c>
      <c r="T499" s="3">
        <f>[1]Results!W259</f>
        <v>72.815270740000003</v>
      </c>
      <c r="U499" s="3">
        <f>[1]Results!X259</f>
        <v>73.428794359999998</v>
      </c>
      <c r="V499" s="3">
        <f>[1]Results!Y259</f>
        <v>74.168536070000002</v>
      </c>
      <c r="W499" s="3">
        <f>[1]Results!Z259</f>
        <v>75.038690360000004</v>
      </c>
      <c r="X499" s="3">
        <f>[1]Results!AA259</f>
        <v>76.07472971</v>
      </c>
      <c r="Y499" s="3">
        <f>[1]Results!AB259</f>
        <v>77.287740119999995</v>
      </c>
      <c r="Z499" s="3">
        <f>[1]Results!AC259</f>
        <v>78.684043860000003</v>
      </c>
      <c r="AA499" s="3">
        <f>[1]Results!AD259</f>
        <v>80.262831640000002</v>
      </c>
      <c r="AB499" s="3">
        <f>[1]Results!AE259</f>
        <v>81.979327170000005</v>
      </c>
      <c r="AC499" s="3">
        <f>[1]Results!AF259</f>
        <v>83.876476440000005</v>
      </c>
      <c r="AD499" s="3">
        <f>[1]Results!AG259</f>
        <v>85.957248710000002</v>
      </c>
      <c r="AE499" s="3">
        <f>[1]Results!AH259</f>
        <v>88.216010960000006</v>
      </c>
      <c r="AF499" s="3">
        <f>[1]Results!AI259</f>
        <v>90.622213270000003</v>
      </c>
      <c r="AG499" s="3">
        <f>[1]Results!AJ259</f>
        <v>93.134744569999995</v>
      </c>
      <c r="AH499" s="3">
        <f>[1]Results!AK259</f>
        <v>95.716889300000005</v>
      </c>
      <c r="AI499" s="3">
        <f>[1]Results!AL259</f>
        <v>98.338958439999999</v>
      </c>
      <c r="AJ499" s="3">
        <f>[1]Results!AM259</f>
        <v>100.9747893</v>
      </c>
      <c r="AK499" s="3">
        <f>[1]Results!AN259</f>
        <v>103.60031290000001</v>
      </c>
      <c r="AL499" s="3">
        <f>[1]Results!AO259</f>
        <v>106.1929993</v>
      </c>
    </row>
    <row r="500" spans="1:38" x14ac:dyDescent="0.35">
      <c r="B500" s="3" t="s">
        <v>75</v>
      </c>
      <c r="C500" s="3">
        <f>SUM(C501:C503)</f>
        <v>30.701881369999999</v>
      </c>
      <c r="D500" s="3">
        <f t="shared" ref="D500:AL500" si="107">SUM(D501:D503)</f>
        <v>31.099842510999999</v>
      </c>
      <c r="E500" s="3">
        <f t="shared" si="107"/>
        <v>31.522732425999997</v>
      </c>
      <c r="F500" s="3">
        <f t="shared" si="107"/>
        <v>31.953550357000001</v>
      </c>
      <c r="G500" s="3">
        <f t="shared" si="107"/>
        <v>32.453446079000003</v>
      </c>
      <c r="H500" s="3">
        <f t="shared" si="107"/>
        <v>33.016662949000001</v>
      </c>
      <c r="I500" s="3">
        <f t="shared" si="107"/>
        <v>33.615543029999998</v>
      </c>
      <c r="J500" s="3">
        <f t="shared" si="107"/>
        <v>34.230503518999996</v>
      </c>
      <c r="K500" s="3">
        <f t="shared" si="107"/>
        <v>34.854491582999998</v>
      </c>
      <c r="L500" s="3">
        <f t="shared" si="107"/>
        <v>35.485715325999998</v>
      </c>
      <c r="M500" s="3">
        <f t="shared" si="107"/>
        <v>36.106704218000004</v>
      </c>
      <c r="N500" s="3">
        <f t="shared" si="107"/>
        <v>36.593799974999996</v>
      </c>
      <c r="O500" s="3">
        <f t="shared" si="107"/>
        <v>36.986149853000001</v>
      </c>
      <c r="P500" s="3">
        <f t="shared" si="107"/>
        <v>37.314869182999999</v>
      </c>
      <c r="Q500" s="3">
        <f t="shared" si="107"/>
        <v>37.610075761000004</v>
      </c>
      <c r="R500" s="3">
        <f t="shared" si="107"/>
        <v>37.896213767999996</v>
      </c>
      <c r="S500" s="3">
        <f t="shared" si="107"/>
        <v>38.200982459000002</v>
      </c>
      <c r="T500" s="3">
        <f t="shared" si="107"/>
        <v>38.550009712999994</v>
      </c>
      <c r="U500" s="3">
        <f t="shared" si="107"/>
        <v>38.960712928000007</v>
      </c>
      <c r="V500" s="3">
        <f t="shared" si="107"/>
        <v>39.437360716000001</v>
      </c>
      <c r="W500" s="3">
        <f t="shared" si="107"/>
        <v>39.972192124000003</v>
      </c>
      <c r="X500" s="3">
        <f t="shared" si="107"/>
        <v>40.583180593000002</v>
      </c>
      <c r="Y500" s="3">
        <f t="shared" si="107"/>
        <v>41.272797320999999</v>
      </c>
      <c r="Z500" s="3">
        <f t="shared" si="107"/>
        <v>42.041918273</v>
      </c>
      <c r="AA500" s="3">
        <f t="shared" si="107"/>
        <v>42.887636514</v>
      </c>
      <c r="AB500" s="3">
        <f t="shared" si="107"/>
        <v>43.779243359000006</v>
      </c>
      <c r="AC500" s="3">
        <f t="shared" si="107"/>
        <v>44.748614177</v>
      </c>
      <c r="AD500" s="3">
        <f t="shared" si="107"/>
        <v>45.800579141</v>
      </c>
      <c r="AE500" s="3">
        <f t="shared" si="107"/>
        <v>46.934541449000001</v>
      </c>
      <c r="AF500" s="3">
        <f t="shared" si="107"/>
        <v>48.136916225999997</v>
      </c>
      <c r="AG500" s="3">
        <f t="shared" si="107"/>
        <v>49.389152639999999</v>
      </c>
      <c r="AH500" s="3">
        <f t="shared" si="107"/>
        <v>50.676192299999997</v>
      </c>
      <c r="AI500" s="3">
        <f t="shared" si="107"/>
        <v>51.986956824999993</v>
      </c>
      <c r="AJ500" s="3">
        <f t="shared" si="107"/>
        <v>53.311835883000001</v>
      </c>
      <c r="AK500" s="3">
        <f t="shared" si="107"/>
        <v>54.641584890000004</v>
      </c>
      <c r="AL500" s="3">
        <f t="shared" si="107"/>
        <v>55.966852619000001</v>
      </c>
    </row>
    <row r="501" spans="1:38" x14ac:dyDescent="0.35">
      <c r="B501" s="3" t="str">
        <f>[1]Results!E269</f>
        <v>YG_toe_chea_0</v>
      </c>
      <c r="C501" s="3">
        <f>[1]Results!F269</f>
        <v>5.7001631799999997</v>
      </c>
      <c r="D501" s="3">
        <f>[1]Results!G269</f>
        <v>5.7677206009999997</v>
      </c>
      <c r="E501" s="3">
        <f>[1]Results!H269</f>
        <v>5.8379820660000004</v>
      </c>
      <c r="F501" s="3">
        <f>[1]Results!I269</f>
        <v>5.9069386169999998</v>
      </c>
      <c r="G501" s="3">
        <f>[1]Results!J269</f>
        <v>5.9803053889999997</v>
      </c>
      <c r="H501" s="3">
        <f>[1]Results!K269</f>
        <v>6.0636773589999997</v>
      </c>
      <c r="I501" s="3">
        <f>[1]Results!L269</f>
        <v>6.1425222100000001</v>
      </c>
      <c r="J501" s="3">
        <f>[1]Results!M269</f>
        <v>6.2162056789999998</v>
      </c>
      <c r="K501" s="3">
        <f>[1]Results!N269</f>
        <v>6.285579823</v>
      </c>
      <c r="L501" s="3">
        <f>[1]Results!O269</f>
        <v>6.3522731759999997</v>
      </c>
      <c r="M501" s="3">
        <f>[1]Results!P269</f>
        <v>6.421887678</v>
      </c>
      <c r="N501" s="3">
        <f>[1]Results!Q269</f>
        <v>6.475403515</v>
      </c>
      <c r="O501" s="3">
        <f>[1]Results!R269</f>
        <v>6.5172705530000004</v>
      </c>
      <c r="P501" s="3">
        <f>[1]Results!S269</f>
        <v>6.5511276430000001</v>
      </c>
      <c r="Q501" s="3">
        <f>[1]Results!T269</f>
        <v>6.5800948010000004</v>
      </c>
      <c r="R501" s="3">
        <f>[1]Results!U269</f>
        <v>6.606743668</v>
      </c>
      <c r="S501" s="3">
        <f>[1]Results!V269</f>
        <v>6.641120999</v>
      </c>
      <c r="T501" s="3">
        <f>[1]Results!W269</f>
        <v>6.6852565630000003</v>
      </c>
      <c r="U501" s="3">
        <f>[1]Results!X269</f>
        <v>6.7392457180000003</v>
      </c>
      <c r="V501" s="3">
        <f>[1]Results!Y269</f>
        <v>6.8016795659999998</v>
      </c>
      <c r="W501" s="3">
        <f>[1]Results!Z269</f>
        <v>6.8674706739999998</v>
      </c>
      <c r="X501" s="3">
        <f>[1]Results!AA269</f>
        <v>6.9439296329999998</v>
      </c>
      <c r="Y501" s="3">
        <f>[1]Results!AB269</f>
        <v>7.0300715010000001</v>
      </c>
      <c r="Z501" s="3">
        <f>[1]Results!AC269</f>
        <v>7.1255949330000004</v>
      </c>
      <c r="AA501" s="3">
        <f>[1]Results!AD269</f>
        <v>7.230228554</v>
      </c>
      <c r="AB501" s="3">
        <f>[1]Results!AE269</f>
        <v>7.3313102490000004</v>
      </c>
      <c r="AC501" s="3">
        <f>[1]Results!AF269</f>
        <v>7.4430717570000002</v>
      </c>
      <c r="AD501" s="3">
        <f>[1]Results!AG269</f>
        <v>7.5651104509999998</v>
      </c>
      <c r="AE501" s="3">
        <f>[1]Results!AH269</f>
        <v>7.697054219</v>
      </c>
      <c r="AF501" s="3">
        <f>[1]Results!AI269</f>
        <v>7.8374717460000003</v>
      </c>
      <c r="AG501" s="3">
        <f>[1]Results!AJ269</f>
        <v>7.9843844600000002</v>
      </c>
      <c r="AH501" s="3">
        <f>[1]Results!AK269</f>
        <v>8.1359304300000002</v>
      </c>
      <c r="AI501" s="3">
        <f>[1]Results!AL269</f>
        <v>8.2905154349999997</v>
      </c>
      <c r="AJ501" s="3">
        <f>[1]Results!AM269</f>
        <v>8.4466667530000006</v>
      </c>
      <c r="AK501" s="3">
        <f>[1]Results!AN269</f>
        <v>8.6029675700000006</v>
      </c>
      <c r="AL501" s="3">
        <f>[1]Results!AO269</f>
        <v>8.7580384389999999</v>
      </c>
    </row>
    <row r="502" spans="1:38" x14ac:dyDescent="0.35">
      <c r="B502" s="3" t="str">
        <f>[1]Results!E271</f>
        <v>YG_toe_cbio_0</v>
      </c>
      <c r="C502" s="3">
        <f>[1]Results!F271</f>
        <v>11.16413483</v>
      </c>
      <c r="D502" s="3">
        <f>[1]Results!G271</f>
        <v>11.161707249999999</v>
      </c>
      <c r="E502" s="3">
        <f>[1]Results!H271</f>
        <v>11.15922179</v>
      </c>
      <c r="F502" s="3">
        <f>[1]Results!I271</f>
        <v>11.152932939999999</v>
      </c>
      <c r="G502" s="3">
        <f>[1]Results!J271</f>
        <v>11.18466334</v>
      </c>
      <c r="H502" s="3">
        <f>[1]Results!K271</f>
        <v>11.24155421</v>
      </c>
      <c r="I502" s="3">
        <f>[1]Results!L271</f>
        <v>11.315169040000001</v>
      </c>
      <c r="J502" s="3">
        <f>[1]Results!M271</f>
        <v>11.398500090000001</v>
      </c>
      <c r="K502" s="3">
        <f>[1]Results!N271</f>
        <v>11.48814396</v>
      </c>
      <c r="L502" s="3">
        <f>[1]Results!O271</f>
        <v>11.581376199999999</v>
      </c>
      <c r="M502" s="3">
        <f>[1]Results!P271</f>
        <v>11.67817106</v>
      </c>
      <c r="N502" s="3">
        <f>[1]Results!Q271</f>
        <v>11.753937260000001</v>
      </c>
      <c r="O502" s="3">
        <f>[1]Results!R271</f>
        <v>11.81189638</v>
      </c>
      <c r="P502" s="3">
        <f>[1]Results!S271</f>
        <v>11.85720242</v>
      </c>
      <c r="Q502" s="3">
        <f>[1]Results!T271</f>
        <v>11.89519995</v>
      </c>
      <c r="R502" s="3">
        <f>[1]Results!U271</f>
        <v>11.930483410000001</v>
      </c>
      <c r="S502" s="3">
        <f>[1]Results!V271</f>
        <v>11.964012820000001</v>
      </c>
      <c r="T502" s="3">
        <f>[1]Results!W271</f>
        <v>12.00046974</v>
      </c>
      <c r="U502" s="3">
        <f>[1]Results!X271</f>
        <v>12.04673101</v>
      </c>
      <c r="V502" s="3">
        <f>[1]Results!Y271</f>
        <v>12.105280520000001</v>
      </c>
      <c r="W502" s="3">
        <f>[1]Results!Z271</f>
        <v>12.173057460000001</v>
      </c>
      <c r="X502" s="3">
        <f>[1]Results!AA271</f>
        <v>12.25693081</v>
      </c>
      <c r="Y502" s="3">
        <f>[1]Results!AB271</f>
        <v>12.35675983</v>
      </c>
      <c r="Z502" s="3">
        <f>[1]Results!AC271</f>
        <v>12.472429289999999</v>
      </c>
      <c r="AA502" s="3">
        <f>[1]Results!AD271</f>
        <v>12.603498699999999</v>
      </c>
      <c r="AB502" s="3">
        <f>[1]Results!AE271</f>
        <v>12.73817639</v>
      </c>
      <c r="AC502" s="3">
        <f>[1]Results!AF271</f>
        <v>12.8884524</v>
      </c>
      <c r="AD502" s="3">
        <f>[1]Results!AG271</f>
        <v>13.05474476</v>
      </c>
      <c r="AE502" s="3">
        <f>[1]Results!AH271</f>
        <v>13.236560519999999</v>
      </c>
      <c r="AF502" s="3">
        <f>[1]Results!AI271</f>
        <v>13.431521330000001</v>
      </c>
      <c r="AG502" s="3">
        <f>[1]Results!AJ271</f>
        <v>13.63634967</v>
      </c>
      <c r="AH502" s="3">
        <f>[1]Results!AK271</f>
        <v>13.84803318</v>
      </c>
      <c r="AI502" s="3">
        <f>[1]Results!AL271</f>
        <v>14.063915939999999</v>
      </c>
      <c r="AJ502" s="3">
        <f>[1]Results!AM271</f>
        <v>14.28168269</v>
      </c>
      <c r="AK502" s="3">
        <f>[1]Results!AN271</f>
        <v>14.499201559999999</v>
      </c>
      <c r="AL502" s="3">
        <f>[1]Results!AO271</f>
        <v>14.71445961</v>
      </c>
    </row>
    <row r="503" spans="1:38" x14ac:dyDescent="0.35">
      <c r="B503" s="3" t="str">
        <f>[1]Results!E274</f>
        <v>YG_toe_cote_0</v>
      </c>
      <c r="C503" s="3">
        <f>[1]Results!F274</f>
        <v>13.83758336</v>
      </c>
      <c r="D503" s="3">
        <f>[1]Results!G274</f>
        <v>14.17041466</v>
      </c>
      <c r="E503" s="3">
        <f>[1]Results!H274</f>
        <v>14.525528570000001</v>
      </c>
      <c r="F503" s="3">
        <f>[1]Results!I274</f>
        <v>14.8936788</v>
      </c>
      <c r="G503" s="3">
        <f>[1]Results!J274</f>
        <v>15.288477350000001</v>
      </c>
      <c r="H503" s="3">
        <f>[1]Results!K274</f>
        <v>15.711431380000001</v>
      </c>
      <c r="I503" s="3">
        <f>[1]Results!L274</f>
        <v>16.157851780000001</v>
      </c>
      <c r="J503" s="3">
        <f>[1]Results!M274</f>
        <v>16.615797749999999</v>
      </c>
      <c r="K503" s="3">
        <f>[1]Results!N274</f>
        <v>17.0807678</v>
      </c>
      <c r="L503" s="3">
        <f>[1]Results!O274</f>
        <v>17.552065949999999</v>
      </c>
      <c r="M503" s="3">
        <f>[1]Results!P274</f>
        <v>18.00664548</v>
      </c>
      <c r="N503" s="3">
        <f>[1]Results!Q274</f>
        <v>18.364459199999999</v>
      </c>
      <c r="O503" s="3">
        <f>[1]Results!R274</f>
        <v>18.656982920000001</v>
      </c>
      <c r="P503" s="3">
        <f>[1]Results!S274</f>
        <v>18.906539120000001</v>
      </c>
      <c r="Q503" s="3">
        <f>[1]Results!T274</f>
        <v>19.134781010000001</v>
      </c>
      <c r="R503" s="3">
        <f>[1]Results!U274</f>
        <v>19.358986689999998</v>
      </c>
      <c r="S503" s="3">
        <f>[1]Results!V274</f>
        <v>19.59584864</v>
      </c>
      <c r="T503" s="3">
        <f>[1]Results!W274</f>
        <v>19.864283409999999</v>
      </c>
      <c r="U503" s="3">
        <f>[1]Results!X274</f>
        <v>20.174736200000002</v>
      </c>
      <c r="V503" s="3">
        <f>[1]Results!Y274</f>
        <v>20.530400629999999</v>
      </c>
      <c r="W503" s="3">
        <f>[1]Results!Z274</f>
        <v>20.931663990000001</v>
      </c>
      <c r="X503" s="3">
        <f>[1]Results!AA274</f>
        <v>21.382320150000002</v>
      </c>
      <c r="Y503" s="3">
        <f>[1]Results!AB274</f>
        <v>21.885965989999999</v>
      </c>
      <c r="Z503" s="3">
        <f>[1]Results!AC274</f>
        <v>22.443894050000001</v>
      </c>
      <c r="AA503" s="3">
        <f>[1]Results!AD274</f>
        <v>23.053909260000001</v>
      </c>
      <c r="AB503" s="3">
        <f>[1]Results!AE274</f>
        <v>23.709756720000001</v>
      </c>
      <c r="AC503" s="3">
        <f>[1]Results!AF274</f>
        <v>24.41709002</v>
      </c>
      <c r="AD503" s="3">
        <f>[1]Results!AG274</f>
        <v>25.180723929999999</v>
      </c>
      <c r="AE503" s="3">
        <f>[1]Results!AH274</f>
        <v>26.000926710000002</v>
      </c>
      <c r="AF503" s="3">
        <f>[1]Results!AI274</f>
        <v>26.867923149999999</v>
      </c>
      <c r="AG503" s="3">
        <f>[1]Results!AJ274</f>
        <v>27.76841851</v>
      </c>
      <c r="AH503" s="3">
        <f>[1]Results!AK274</f>
        <v>28.69222869</v>
      </c>
      <c r="AI503" s="3">
        <f>[1]Results!AL274</f>
        <v>29.632525449999999</v>
      </c>
      <c r="AJ503" s="3">
        <f>[1]Results!AM274</f>
        <v>30.583486440000001</v>
      </c>
      <c r="AK503" s="3">
        <f>[1]Results!AN274</f>
        <v>31.539415760000001</v>
      </c>
      <c r="AL503" s="3">
        <f>[1]Results!AO274</f>
        <v>32.494354569999999</v>
      </c>
    </row>
    <row r="504" spans="1:3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</row>
    <row r="506" spans="1:38" x14ac:dyDescent="0.35">
      <c r="A506" t="s">
        <v>95</v>
      </c>
      <c r="B506" t="s">
        <v>94</v>
      </c>
      <c r="C506" s="4">
        <f>C479/C492-1</f>
        <v>1.1443124448007325E-8</v>
      </c>
      <c r="D506" s="4">
        <f t="shared" ref="D506" si="108">D479/D492-1</f>
        <v>1.0652969617552799E-8</v>
      </c>
      <c r="E506" s="4">
        <f t="shared" ref="E506:AL506" si="109">E479/E492-1</f>
        <v>1.0536307160080582E-8</v>
      </c>
      <c r="F506" s="4">
        <f t="shared" si="109"/>
        <v>1.0412853468366734E-8</v>
      </c>
      <c r="G506" s="4">
        <f t="shared" si="109"/>
        <v>1.0278004003438923E-8</v>
      </c>
      <c r="H506" s="4">
        <f t="shared" si="109"/>
        <v>1.0131030458992996E-8</v>
      </c>
      <c r="I506" s="4">
        <f t="shared" si="109"/>
        <v>9.3546332902150198E-9</v>
      </c>
      <c r="J506" s="4">
        <f t="shared" si="109"/>
        <v>5.7704778138163437E-3</v>
      </c>
      <c r="K506" s="4">
        <f t="shared" si="109"/>
        <v>1.2572728351484042E-2</v>
      </c>
      <c r="L506" s="4">
        <f t="shared" si="109"/>
        <v>2.3298114839643835E-2</v>
      </c>
      <c r="M506" s="4">
        <f t="shared" si="109"/>
        <v>3.406915651216913E-2</v>
      </c>
      <c r="N506" s="4">
        <f t="shared" si="109"/>
        <v>4.3854301417637576E-2</v>
      </c>
      <c r="O506" s="4">
        <f t="shared" si="109"/>
        <v>5.3259604779473557E-2</v>
      </c>
      <c r="P506" s="4">
        <f t="shared" si="109"/>
        <v>6.3081215654714473E-2</v>
      </c>
      <c r="Q506" s="4">
        <f t="shared" si="109"/>
        <v>7.4028621309643716E-2</v>
      </c>
      <c r="R506" s="4">
        <f t="shared" si="109"/>
        <v>8.6344194221688486E-2</v>
      </c>
      <c r="S506" s="4">
        <f t="shared" si="109"/>
        <v>9.8799939241037693E-2</v>
      </c>
      <c r="T506" s="4">
        <f t="shared" si="109"/>
        <v>0.11237500164383674</v>
      </c>
      <c r="U506" s="4">
        <f t="shared" si="109"/>
        <v>0.12700802254677646</v>
      </c>
      <c r="V506" s="4">
        <f t="shared" si="109"/>
        <v>0.14288832507840232</v>
      </c>
      <c r="W506" s="4">
        <f t="shared" si="109"/>
        <v>0.16032906786749512</v>
      </c>
      <c r="X506" s="4">
        <f t="shared" si="109"/>
        <v>0.17973169606812522</v>
      </c>
      <c r="Y506" s="4">
        <f t="shared" si="109"/>
        <v>0.20154243870851118</v>
      </c>
      <c r="Z506" s="4">
        <f t="shared" si="109"/>
        <v>0.22619409897800691</v>
      </c>
      <c r="AA506" s="4">
        <f t="shared" si="109"/>
        <v>0.25417140657673398</v>
      </c>
      <c r="AB506" s="4">
        <f t="shared" si="109"/>
        <v>0.28604657637016939</v>
      </c>
      <c r="AC506" s="4">
        <f t="shared" si="109"/>
        <v>0.32307127901395316</v>
      </c>
      <c r="AD506" s="4">
        <f t="shared" si="109"/>
        <v>0.36599044209788811</v>
      </c>
      <c r="AE506" s="4">
        <f t="shared" si="109"/>
        <v>0.415968741369803</v>
      </c>
      <c r="AF506" s="4">
        <f t="shared" si="109"/>
        <v>0.47446258213559678</v>
      </c>
      <c r="AG506" s="4">
        <f t="shared" si="109"/>
        <v>0.54337833025956384</v>
      </c>
      <c r="AH506" s="4">
        <f t="shared" si="109"/>
        <v>0.62536732467731526</v>
      </c>
      <c r="AI506" s="4">
        <f t="shared" si="109"/>
        <v>0.72414235719335895</v>
      </c>
      <c r="AJ506" s="4">
        <f t="shared" si="109"/>
        <v>0.8448643206619022</v>
      </c>
      <c r="AK506" s="4">
        <f t="shared" si="109"/>
        <v>0.99506895693059705</v>
      </c>
      <c r="AL506" s="4">
        <f t="shared" si="109"/>
        <v>1.1862472010545404</v>
      </c>
    </row>
    <row r="507" spans="1:38" x14ac:dyDescent="0.35">
      <c r="B507" t="s">
        <v>76</v>
      </c>
      <c r="C507" s="4">
        <f>(C480-C493)/C$492</f>
        <v>2.6924997876407011E-11</v>
      </c>
      <c r="D507" s="4">
        <f>(D480-D493)/D$492</f>
        <v>3.3290529876349822E-11</v>
      </c>
      <c r="E507" s="4">
        <f t="shared" ref="E507:AL507" si="110">(E480-E493)/E$492</f>
        <v>2.6340770152832518E-11</v>
      </c>
      <c r="F507" s="4">
        <f t="shared" si="110"/>
        <v>2.6032135636359329E-11</v>
      </c>
      <c r="G507" s="4">
        <f t="shared" si="110"/>
        <v>2.569500957093701E-11</v>
      </c>
      <c r="H507" s="4">
        <f t="shared" si="110"/>
        <v>1.8995683674608384E-11</v>
      </c>
      <c r="I507" s="4">
        <f t="shared" si="110"/>
        <v>2.4945690187105461E-11</v>
      </c>
      <c r="J507" s="4">
        <f t="shared" si="110"/>
        <v>-6.2348165398207959E-4</v>
      </c>
      <c r="K507" s="4">
        <f t="shared" si="110"/>
        <v>-1.3186112929550675E-3</v>
      </c>
      <c r="L507" s="4">
        <f t="shared" si="110"/>
        <v>-1.9149992288039204E-3</v>
      </c>
      <c r="M507" s="4">
        <f t="shared" si="110"/>
        <v>-2.4648918825171929E-3</v>
      </c>
      <c r="N507" s="4">
        <f t="shared" si="110"/>
        <v>-2.9096497426594828E-3</v>
      </c>
      <c r="O507" s="4">
        <f t="shared" si="110"/>
        <v>-3.2874376310578542E-3</v>
      </c>
      <c r="P507" s="4">
        <f t="shared" si="110"/>
        <v>-3.6190748064200188E-3</v>
      </c>
      <c r="Q507" s="4">
        <f t="shared" si="110"/>
        <v>-3.9145549936376069E-3</v>
      </c>
      <c r="R507" s="4">
        <f t="shared" si="110"/>
        <v>-4.1837804733404673E-3</v>
      </c>
      <c r="S507" s="4">
        <f t="shared" si="110"/>
        <v>-4.4886146431905973E-3</v>
      </c>
      <c r="T507" s="4">
        <f t="shared" si="110"/>
        <v>-4.8192020915441298E-3</v>
      </c>
      <c r="U507" s="4">
        <f t="shared" si="110"/>
        <v>-5.1661414774177026E-3</v>
      </c>
      <c r="V507" s="4">
        <f t="shared" si="110"/>
        <v>-5.5219893711537463E-3</v>
      </c>
      <c r="W507" s="4">
        <f t="shared" si="110"/>
        <v>-5.8816732859604962E-3</v>
      </c>
      <c r="X507" s="4">
        <f t="shared" si="110"/>
        <v>-6.2396814456258127E-3</v>
      </c>
      <c r="Y507" s="4">
        <f t="shared" si="110"/>
        <v>-6.5932621495197853E-3</v>
      </c>
      <c r="Z507" s="4">
        <f t="shared" si="110"/>
        <v>-6.9407061458375708E-3</v>
      </c>
      <c r="AA507" s="4">
        <f t="shared" si="110"/>
        <v>-7.2805488484961999E-3</v>
      </c>
      <c r="AB507" s="4">
        <f t="shared" si="110"/>
        <v>-7.6139034946442145E-3</v>
      </c>
      <c r="AC507" s="4">
        <f t="shared" si="110"/>
        <v>-7.934867789391396E-3</v>
      </c>
      <c r="AD507" s="4">
        <f t="shared" si="110"/>
        <v>-8.2438765278507672E-3</v>
      </c>
      <c r="AE507" s="4">
        <f t="shared" si="110"/>
        <v>-8.5407031087598416E-3</v>
      </c>
      <c r="AF507" s="4">
        <f t="shared" si="110"/>
        <v>-8.8245465487716366E-3</v>
      </c>
      <c r="AG507" s="4">
        <f t="shared" si="110"/>
        <v>-9.0938943857648748E-3</v>
      </c>
      <c r="AH507" s="4">
        <f t="shared" si="110"/>
        <v>-9.3462994672895081E-3</v>
      </c>
      <c r="AI507" s="4">
        <f t="shared" si="110"/>
        <v>-9.5782561161436384E-3</v>
      </c>
      <c r="AJ507" s="4">
        <f t="shared" si="110"/>
        <v>-9.7848167752615858E-3</v>
      </c>
      <c r="AK507" s="4">
        <f t="shared" si="110"/>
        <v>-9.9578916053941011E-3</v>
      </c>
      <c r="AL507" s="4">
        <f t="shared" si="110"/>
        <v>-1.0082887087298846E-2</v>
      </c>
    </row>
    <row r="508" spans="1:38" x14ac:dyDescent="0.35">
      <c r="B508" t="s">
        <v>74</v>
      </c>
      <c r="C508" s="4">
        <f>(C481-C494)/C$493</f>
        <v>5.0655658519054695E-9</v>
      </c>
      <c r="D508" s="4">
        <f>(D481-D494)/D$492</f>
        <v>9.3213491932800022E-11</v>
      </c>
      <c r="E508" s="4">
        <f t="shared" ref="E508:AL508" si="111">(E481-E494)/E$492</f>
        <v>9.2192648744310477E-11</v>
      </c>
      <c r="F508" s="4">
        <f t="shared" si="111"/>
        <v>9.7620485515168315E-11</v>
      </c>
      <c r="G508" s="4">
        <f t="shared" si="111"/>
        <v>1.5417007454193728E-10</v>
      </c>
      <c r="H508" s="4">
        <f t="shared" si="111"/>
        <v>9.4978440868448468E-11</v>
      </c>
      <c r="I508" s="4">
        <f t="shared" si="111"/>
        <v>9.3546316045423624E-11</v>
      </c>
      <c r="J508" s="4">
        <f t="shared" si="111"/>
        <v>-8.4352785326553847E-4</v>
      </c>
      <c r="K508" s="4">
        <f t="shared" si="111"/>
        <v>-1.71649865275891E-3</v>
      </c>
      <c r="L508" s="4">
        <f t="shared" si="111"/>
        <v>-1.9484624589896458E-3</v>
      </c>
      <c r="M508" s="4">
        <f t="shared" si="111"/>
        <v>-1.9630918586652597E-3</v>
      </c>
      <c r="N508" s="4">
        <f t="shared" si="111"/>
        <v>-1.4751898624995282E-3</v>
      </c>
      <c r="O508" s="4">
        <f t="shared" si="111"/>
        <v>-5.5970983084637578E-4</v>
      </c>
      <c r="P508" s="4">
        <f t="shared" si="111"/>
        <v>7.4983323613149434E-4</v>
      </c>
      <c r="Q508" s="4">
        <f t="shared" si="111"/>
        <v>2.4408521368414733E-3</v>
      </c>
      <c r="R508" s="4">
        <f t="shared" si="111"/>
        <v>4.4626944661096358E-3</v>
      </c>
      <c r="S508" s="4">
        <f t="shared" si="111"/>
        <v>6.4944867916479441E-3</v>
      </c>
      <c r="T508" s="4">
        <f t="shared" si="111"/>
        <v>8.4922082055261961E-3</v>
      </c>
      <c r="U508" s="4">
        <f t="shared" si="111"/>
        <v>1.0465740955348591E-2</v>
      </c>
      <c r="V508" s="4">
        <f t="shared" si="111"/>
        <v>1.2453671837464252E-2</v>
      </c>
      <c r="W508" s="4">
        <f t="shared" si="111"/>
        <v>1.4505103567846664E-2</v>
      </c>
      <c r="X508" s="4">
        <f t="shared" si="111"/>
        <v>1.6648701925968654E-2</v>
      </c>
      <c r="Y508" s="4">
        <f t="shared" si="111"/>
        <v>1.8918492523597234E-2</v>
      </c>
      <c r="Z508" s="4">
        <f t="shared" si="111"/>
        <v>2.1334894239482743E-2</v>
      </c>
      <c r="AA508" s="4">
        <f t="shared" si="111"/>
        <v>2.3915324412166691E-2</v>
      </c>
      <c r="AB508" s="4">
        <f t="shared" si="111"/>
        <v>2.6701101096863796E-2</v>
      </c>
      <c r="AC508" s="4">
        <f t="shared" si="111"/>
        <v>2.9700162871346646E-2</v>
      </c>
      <c r="AD508" s="4">
        <f t="shared" si="111"/>
        <v>3.2953136902966529E-2</v>
      </c>
      <c r="AE508" s="4">
        <f t="shared" si="111"/>
        <v>3.6495477348163323E-2</v>
      </c>
      <c r="AF508" s="4">
        <f t="shared" si="111"/>
        <v>4.0374948480126661E-2</v>
      </c>
      <c r="AG508" s="4">
        <f t="shared" si="111"/>
        <v>4.46534524421714E-2</v>
      </c>
      <c r="AH508" s="4">
        <f t="shared" si="111"/>
        <v>4.9413954187366507E-2</v>
      </c>
      <c r="AI508" s="4">
        <f t="shared" si="111"/>
        <v>5.4765632928093062E-2</v>
      </c>
      <c r="AJ508" s="4">
        <f t="shared" si="111"/>
        <v>6.0844424929828382E-2</v>
      </c>
      <c r="AK508" s="4">
        <f t="shared" si="111"/>
        <v>6.7837037897972768E-2</v>
      </c>
      <c r="AL508" s="4">
        <f t="shared" si="111"/>
        <v>7.6021733061290203E-2</v>
      </c>
    </row>
    <row r="509" spans="1:38" x14ac:dyDescent="0.35">
      <c r="B509" t="s">
        <v>54</v>
      </c>
      <c r="C509" s="4">
        <f>(C485-C498)/C$492</f>
        <v>1.1200799433448503E-8</v>
      </c>
      <c r="D509" s="4">
        <f>(D485-D498)/D$492</f>
        <v>1.0686260158314533E-8</v>
      </c>
      <c r="E509" s="4">
        <f t="shared" ref="E509:AL509" si="112">(E485-E498)/E$492</f>
        <v>1.0318995853443628E-8</v>
      </c>
      <c r="F509" s="4">
        <f t="shared" si="112"/>
        <v>9.9833231899616483E-9</v>
      </c>
      <c r="G509" s="4">
        <f t="shared" si="112"/>
        <v>9.7833751701348503E-9</v>
      </c>
      <c r="H509" s="4">
        <f t="shared" si="112"/>
        <v>9.6244789355051672E-9</v>
      </c>
      <c r="I509" s="4">
        <f t="shared" si="112"/>
        <v>9.4294701097190435E-9</v>
      </c>
      <c r="J509" s="4">
        <f t="shared" si="112"/>
        <v>-7.947303455121367E-4</v>
      </c>
      <c r="K509" s="4">
        <f t="shared" si="112"/>
        <v>-1.1536375835157339E-3</v>
      </c>
      <c r="L509" s="4">
        <f t="shared" si="112"/>
        <v>-1.4784335235261646E-3</v>
      </c>
      <c r="M509" s="4">
        <f t="shared" si="112"/>
        <v>-1.7198489852761369E-3</v>
      </c>
      <c r="N509" s="4">
        <f t="shared" si="112"/>
        <v>-1.8755867957084306E-3</v>
      </c>
      <c r="O509" s="4">
        <f t="shared" si="112"/>
        <v>-2.0630313355579706E-3</v>
      </c>
      <c r="P509" s="4">
        <f t="shared" si="112"/>
        <v>-2.3268451250766072E-3</v>
      </c>
      <c r="Q509" s="4">
        <f t="shared" si="112"/>
        <v>-2.6741646690988663E-3</v>
      </c>
      <c r="R509" s="4">
        <f t="shared" si="112"/>
        <v>-3.0853148023740422E-3</v>
      </c>
      <c r="S509" s="4">
        <f t="shared" si="112"/>
        <v>-3.5815647629001846E-3</v>
      </c>
      <c r="T509" s="4">
        <f t="shared" si="112"/>
        <v>-4.0728921150889816E-3</v>
      </c>
      <c r="U509" s="4">
        <f t="shared" si="112"/>
        <v>-4.5461824272981762E-3</v>
      </c>
      <c r="V509" s="4">
        <f t="shared" si="112"/>
        <v>-4.9903561378509317E-3</v>
      </c>
      <c r="W509" s="4">
        <f t="shared" si="112"/>
        <v>-5.3986731065119821E-3</v>
      </c>
      <c r="X509" s="4">
        <f t="shared" si="112"/>
        <v>-5.7693950503519345E-3</v>
      </c>
      <c r="Y509" s="4">
        <f t="shared" si="112"/>
        <v>-6.1119383059011949E-3</v>
      </c>
      <c r="Z509" s="4">
        <f t="shared" si="112"/>
        <v>-6.432367775278754E-3</v>
      </c>
      <c r="AA509" s="4">
        <f t="shared" si="112"/>
        <v>-6.7359121375342992E-3</v>
      </c>
      <c r="AB509" s="4">
        <f t="shared" si="112"/>
        <v>-7.0301596786925659E-3</v>
      </c>
      <c r="AC509" s="4">
        <f t="shared" si="112"/>
        <v>-7.3216269883037751E-3</v>
      </c>
      <c r="AD509" s="4">
        <f t="shared" si="112"/>
        <v>-7.6247783326633426E-3</v>
      </c>
      <c r="AE509" s="4">
        <f t="shared" si="112"/>
        <v>-7.9514593460882615E-3</v>
      </c>
      <c r="AF509" s="4">
        <f t="shared" si="112"/>
        <v>-8.3207084166634186E-3</v>
      </c>
      <c r="AG509" s="4">
        <f t="shared" si="112"/>
        <v>-8.757329598399536E-3</v>
      </c>
      <c r="AH509" s="4">
        <f t="shared" si="112"/>
        <v>-9.2916836723754611E-3</v>
      </c>
      <c r="AI509" s="4">
        <f t="shared" si="112"/>
        <v>-9.9586083385590583E-3</v>
      </c>
      <c r="AJ509" s="4">
        <f t="shared" si="112"/>
        <v>-1.08030696250912E-2</v>
      </c>
      <c r="AK509" s="4">
        <f t="shared" si="112"/>
        <v>-1.1887916352587166E-2</v>
      </c>
      <c r="AL509" s="4">
        <f t="shared" si="112"/>
        <v>-1.3306733853997025E-2</v>
      </c>
    </row>
    <row r="510" spans="1:38" x14ac:dyDescent="0.35">
      <c r="B510" t="s">
        <v>11</v>
      </c>
      <c r="C510" s="4">
        <f>(C486-C499)/C$493</f>
        <v>4.2213048765878908E-9</v>
      </c>
      <c r="D510" s="4">
        <f>(D486-D499)/D$492</f>
        <v>6.658106566628573E-11</v>
      </c>
      <c r="E510" s="4">
        <f t="shared" ref="E510:AL510" si="113">(E486-E499)/E$492</f>
        <v>6.5851925382081294E-11</v>
      </c>
      <c r="F510" s="4">
        <f t="shared" si="113"/>
        <v>1.301606319394383E-10</v>
      </c>
      <c r="G510" s="4">
        <f t="shared" si="113"/>
        <v>6.4237531059140537E-11</v>
      </c>
      <c r="H510" s="4">
        <f t="shared" si="113"/>
        <v>6.3318945582027943E-11</v>
      </c>
      <c r="I510" s="4">
        <f t="shared" si="113"/>
        <v>0</v>
      </c>
      <c r="J510" s="4">
        <f t="shared" si="113"/>
        <v>9.6265845414017746E-3</v>
      </c>
      <c r="K510" s="4">
        <f t="shared" si="113"/>
        <v>2.0199114016425702E-2</v>
      </c>
      <c r="L510" s="4">
        <f t="shared" si="113"/>
        <v>3.280343205671165E-2</v>
      </c>
      <c r="M510" s="4">
        <f t="shared" si="113"/>
        <v>4.5212260651428374E-2</v>
      </c>
      <c r="N510" s="4">
        <f t="shared" si="113"/>
        <v>5.6067119077471597E-2</v>
      </c>
      <c r="O510" s="4">
        <f t="shared" si="113"/>
        <v>6.6148529166383585E-2</v>
      </c>
      <c r="P510" s="4">
        <f t="shared" si="113"/>
        <v>7.6206685699257551E-2</v>
      </c>
      <c r="Q510" s="4">
        <f t="shared" si="113"/>
        <v>8.6836264311407896E-2</v>
      </c>
      <c r="R510" s="4">
        <f t="shared" si="113"/>
        <v>9.8302098966125295E-2</v>
      </c>
      <c r="S510" s="4">
        <f t="shared" si="113"/>
        <v>0.11038920919311367</v>
      </c>
      <c r="T510" s="4">
        <f t="shared" si="113"/>
        <v>0.12363399316728335</v>
      </c>
      <c r="U510" s="4">
        <f t="shared" si="113"/>
        <v>0.13795574530809193</v>
      </c>
      <c r="V510" s="4">
        <f t="shared" si="113"/>
        <v>0.15345857684039813</v>
      </c>
      <c r="W510" s="4">
        <f t="shared" si="113"/>
        <v>0.17035806892455962</v>
      </c>
      <c r="X510" s="4">
        <f t="shared" si="113"/>
        <v>0.18897891219116206</v>
      </c>
      <c r="Y510" s="4">
        <f t="shared" si="113"/>
        <v>0.20970281118080292</v>
      </c>
      <c r="Z510" s="4">
        <f t="shared" si="113"/>
        <v>0.23291671400317648</v>
      </c>
      <c r="AA510" s="4">
        <f t="shared" si="113"/>
        <v>0.25906333773320112</v>
      </c>
      <c r="AB510" s="4">
        <f t="shared" si="113"/>
        <v>0.28865783572115572</v>
      </c>
      <c r="AC510" s="4">
        <f t="shared" si="113"/>
        <v>0.32275151924108331</v>
      </c>
      <c r="AD510" s="4">
        <f t="shared" si="113"/>
        <v>0.36215269359288232</v>
      </c>
      <c r="AE510" s="4">
        <f t="shared" si="113"/>
        <v>0.40796038879818797</v>
      </c>
      <c r="AF510" s="4">
        <f t="shared" si="113"/>
        <v>0.46155348504007121</v>
      </c>
      <c r="AG510" s="4">
        <f t="shared" si="113"/>
        <v>0.52473547173034374</v>
      </c>
      <c r="AH510" s="4">
        <f t="shared" si="113"/>
        <v>0.60000659446036286</v>
      </c>
      <c r="AI510" s="4">
        <f t="shared" si="113"/>
        <v>0.69086535463985543</v>
      </c>
      <c r="AJ510" s="4">
        <f t="shared" si="113"/>
        <v>0.80218954575502899</v>
      </c>
      <c r="AK510" s="4">
        <f t="shared" si="113"/>
        <v>0.94110658411142012</v>
      </c>
      <c r="AL510" s="4">
        <f t="shared" si="113"/>
        <v>1.118485888177962</v>
      </c>
    </row>
    <row r="511" spans="1:38" x14ac:dyDescent="0.35">
      <c r="B511" t="s">
        <v>75</v>
      </c>
      <c r="C511" s="4">
        <f>(C487-C500)/C$494</f>
        <v>-3.8983077373478467E-11</v>
      </c>
      <c r="D511" s="4">
        <f>(D487-D500)/D$492</f>
        <v>8.6555385366171442E-11</v>
      </c>
      <c r="E511" s="4">
        <f t="shared" ref="E511:AL511" si="114">(E487-E500)/E$492</f>
        <v>-2.6340770152832518E-11</v>
      </c>
      <c r="F511" s="4">
        <f t="shared" si="114"/>
        <v>-7.8096406909077994E-11</v>
      </c>
      <c r="G511" s="4">
        <f t="shared" si="114"/>
        <v>-1.7986508696559351E-10</v>
      </c>
      <c r="H511" s="4">
        <f t="shared" si="114"/>
        <v>-1.4563355234325772E-10</v>
      </c>
      <c r="I511" s="4">
        <f t="shared" si="114"/>
        <v>-2.1827476698095091E-10</v>
      </c>
      <c r="J511" s="4">
        <f t="shared" si="114"/>
        <v>-1.5943669976215013E-3</v>
      </c>
      <c r="K511" s="4">
        <f t="shared" si="114"/>
        <v>-3.4376385285546755E-3</v>
      </c>
      <c r="L511" s="4">
        <f t="shared" si="114"/>
        <v>-4.1634219224602718E-3</v>
      </c>
      <c r="M511" s="4">
        <f t="shared" si="114"/>
        <v>-4.9952713600752863E-3</v>
      </c>
      <c r="N511" s="4">
        <f t="shared" si="114"/>
        <v>-5.9523914845917465E-3</v>
      </c>
      <c r="O511" s="4">
        <f t="shared" si="114"/>
        <v>-6.9787455779967969E-3</v>
      </c>
      <c r="P511" s="4">
        <f t="shared" si="114"/>
        <v>-7.929383309448701E-3</v>
      </c>
      <c r="Q511" s="4">
        <f t="shared" si="114"/>
        <v>-8.6597752562350364E-3</v>
      </c>
      <c r="R511" s="4">
        <f t="shared" si="114"/>
        <v>-9.151503834200549E-3</v>
      </c>
      <c r="S511" s="4">
        <f t="shared" si="114"/>
        <v>-1.0013577065714919E-2</v>
      </c>
      <c r="T511" s="4">
        <f t="shared" si="114"/>
        <v>-1.0859105637942804E-2</v>
      </c>
      <c r="U511" s="4">
        <f t="shared" si="114"/>
        <v>-1.1701139779217589E-2</v>
      </c>
      <c r="V511" s="4">
        <f t="shared" si="114"/>
        <v>-1.2511577707113111E-2</v>
      </c>
      <c r="W511" s="4">
        <f t="shared" si="114"/>
        <v>-1.3253758638655461E-2</v>
      </c>
      <c r="X511" s="4">
        <f t="shared" si="114"/>
        <v>-1.3886841421281425E-2</v>
      </c>
      <c r="Y511" s="4">
        <f t="shared" si="114"/>
        <v>-1.437366505218372E-2</v>
      </c>
      <c r="Z511" s="4">
        <f t="shared" si="114"/>
        <v>-1.4684435028003305E-2</v>
      </c>
      <c r="AA511" s="4">
        <f t="shared" si="114"/>
        <v>-1.4790794719848217E-2</v>
      </c>
      <c r="AB511" s="4">
        <f t="shared" si="114"/>
        <v>-1.4668297396485074E-2</v>
      </c>
      <c r="AC511" s="4">
        <f t="shared" si="114"/>
        <v>-1.4123908034468956E-2</v>
      </c>
      <c r="AD511" s="4">
        <f t="shared" si="114"/>
        <v>-1.324673354599103E-2</v>
      </c>
      <c r="AE511" s="4">
        <f t="shared" si="114"/>
        <v>-1.1994962333780071E-2</v>
      </c>
      <c r="AF511" s="4">
        <f t="shared" si="114"/>
        <v>-1.0320596873976953E-2</v>
      </c>
      <c r="AG511" s="4">
        <f t="shared" si="114"/>
        <v>-8.1593699905213573E-3</v>
      </c>
      <c r="AH511" s="4">
        <f t="shared" si="114"/>
        <v>-5.4152410512617547E-3</v>
      </c>
      <c r="AI511" s="4">
        <f t="shared" si="114"/>
        <v>-1.951765844362223E-3</v>
      </c>
      <c r="AJ511" s="4">
        <f t="shared" si="114"/>
        <v>2.4182363085314558E-3</v>
      </c>
      <c r="AK511" s="4">
        <f t="shared" si="114"/>
        <v>7.9711428162842317E-3</v>
      </c>
      <c r="AL511" s="4">
        <f t="shared" si="114"/>
        <v>1.512920053493935E-2</v>
      </c>
    </row>
    <row r="513" spans="2:38" x14ac:dyDescent="0.35">
      <c r="B513" s="6" t="str">
        <f>[1]Macro!A100</f>
        <v>y_toe_2</v>
      </c>
      <c r="C513" s="6">
        <f>[1]Macro!B100</f>
        <v>139.4020707</v>
      </c>
      <c r="D513" s="6">
        <f>[1]Macro!C100</f>
        <v>140.95641879999999</v>
      </c>
      <c r="E513" s="6">
        <f>[1]Macro!D100</f>
        <v>142.53672689999999</v>
      </c>
      <c r="F513" s="6">
        <f>[1]Macro!E100</f>
        <v>144.24566949999999</v>
      </c>
      <c r="G513" s="6">
        <f>[1]Macro!F100</f>
        <v>146.1603618</v>
      </c>
      <c r="H513" s="6">
        <f>[1]Macro!G100</f>
        <v>148.31040490000001</v>
      </c>
      <c r="I513" s="6">
        <f>[1]Macro!H100</f>
        <v>150.62058450000001</v>
      </c>
      <c r="J513" s="6">
        <f>[1]Macro!I100</f>
        <v>154.1974161</v>
      </c>
      <c r="K513" s="6">
        <f>[1]Macro!J100</f>
        <v>157.99026989999999</v>
      </c>
      <c r="L513" s="6">
        <f>[1]Macro!K100</f>
        <v>162.46710179999999</v>
      </c>
      <c r="M513" s="6">
        <f>[1]Macro!L100</f>
        <v>166.96584609999999</v>
      </c>
      <c r="N513" s="6">
        <f>[1]Macro!M100</f>
        <v>170.91727399999999</v>
      </c>
      <c r="O513" s="6">
        <f>[1]Macro!N100</f>
        <v>174.4948904</v>
      </c>
      <c r="P513" s="6">
        <f>[1]Macro!O100</f>
        <v>177.91117030000001</v>
      </c>
      <c r="Q513" s="6">
        <f>[1]Macro!P100</f>
        <v>181.38137420000001</v>
      </c>
      <c r="R513" s="6">
        <f>[1]Macro!Q100</f>
        <v>185.03836530000001</v>
      </c>
      <c r="S513" s="6">
        <f>[1]Macro!R100</f>
        <v>188.7774186</v>
      </c>
      <c r="T513" s="6">
        <f>[1]Macro!S100</f>
        <v>192.86725939999999</v>
      </c>
      <c r="U513" s="6">
        <f>[1]Macro!T100</f>
        <v>197.3935601</v>
      </c>
      <c r="V513" s="6">
        <f>[1]Macro!U100</f>
        <v>202.43982449999999</v>
      </c>
      <c r="W513" s="6">
        <f>[1]Macro!V100</f>
        <v>208.064663</v>
      </c>
      <c r="X513" s="6">
        <f>[1]Macro!W100</f>
        <v>214.43516779999999</v>
      </c>
      <c r="Y513" s="6">
        <f>[1]Macro!X100</f>
        <v>221.679329</v>
      </c>
      <c r="Z513" s="6">
        <f>[1]Macro!Y100</f>
        <v>229.9250715</v>
      </c>
      <c r="AA513" s="6">
        <f>[1]Macro!Z100</f>
        <v>239.30488080000001</v>
      </c>
      <c r="AB513" s="6">
        <f>[1]Macro!AA100</f>
        <v>249.85807220000001</v>
      </c>
      <c r="AC513" s="6">
        <f>[1]Macro!AB100</f>
        <v>262.0080997</v>
      </c>
      <c r="AD513" s="6">
        <f>[1]Macro!AC100</f>
        <v>276.00419349999999</v>
      </c>
      <c r="AE513" s="6">
        <f>[1]Macro!AD100</f>
        <v>292.18048429999999</v>
      </c>
      <c r="AF513" s="6">
        <f>[1]Macro!AE100</f>
        <v>310.8970266</v>
      </c>
      <c r="AG513" s="6">
        <f>[1]Macro!AF100</f>
        <v>332.60432730000002</v>
      </c>
      <c r="AH513" s="6">
        <f>[1]Macro!AG100</f>
        <v>357.95060059999997</v>
      </c>
      <c r="AI513" s="6">
        <f>[1]Macro!AH100</f>
        <v>387.87307349999998</v>
      </c>
      <c r="AJ513" s="6">
        <f>[1]Macro!AI100</f>
        <v>423.69915789999999</v>
      </c>
      <c r="AK513" s="6">
        <f>[1]Macro!AJ100</f>
        <v>467.38224270000001</v>
      </c>
      <c r="AL513" s="6">
        <f>[1]Macro!AK100</f>
        <v>521.91327279999996</v>
      </c>
    </row>
    <row r="514" spans="2:38" x14ac:dyDescent="0.35">
      <c r="B514" s="6" t="str">
        <f>[1]Macro!A101</f>
        <v>m_toe_2</v>
      </c>
      <c r="C514" s="6">
        <f>[1]Macro!B101</f>
        <v>150.64917399999999</v>
      </c>
      <c r="D514" s="6">
        <f>[1]Macro!C101</f>
        <v>151.64707279999999</v>
      </c>
      <c r="E514" s="6">
        <f>[1]Macro!D101</f>
        <v>152.71291189999999</v>
      </c>
      <c r="F514" s="6">
        <f>[1]Macro!E101</f>
        <v>153.77705209999999</v>
      </c>
      <c r="G514" s="6">
        <f>[1]Macro!F101</f>
        <v>155.45560860000001</v>
      </c>
      <c r="H514" s="6">
        <f>[1]Macro!G101</f>
        <v>157.64406729999999</v>
      </c>
      <c r="I514" s="6">
        <f>[1]Macro!H101</f>
        <v>159.8472285</v>
      </c>
      <c r="J514" s="6">
        <f>[1]Macro!I101</f>
        <v>159.05461679999999</v>
      </c>
      <c r="K514" s="6">
        <f>[1]Macro!J101</f>
        <v>157.9596315</v>
      </c>
      <c r="L514" s="6">
        <f>[1]Macro!K101</f>
        <v>157.4496714</v>
      </c>
      <c r="M514" s="6">
        <f>[1]Macro!L101</f>
        <v>157.05431379999999</v>
      </c>
      <c r="N514" s="6">
        <f>[1]Macro!M101</f>
        <v>156.56840389999999</v>
      </c>
      <c r="O514" s="6">
        <f>[1]Macro!N101</f>
        <v>155.94334280000001</v>
      </c>
      <c r="P514" s="6">
        <f>[1]Macro!O101</f>
        <v>155.23692740000001</v>
      </c>
      <c r="Q514" s="6">
        <f>[1]Macro!P101</f>
        <v>154.5483979</v>
      </c>
      <c r="R514" s="6">
        <f>[1]Macro!Q101</f>
        <v>153.93204750000001</v>
      </c>
      <c r="S514" s="6">
        <f>[1]Macro!R101</f>
        <v>153.3258281</v>
      </c>
      <c r="T514" s="6">
        <f>[1]Macro!S101</f>
        <v>152.8405684</v>
      </c>
      <c r="U514" s="6">
        <f>[1]Macro!T101</f>
        <v>152.51999219999999</v>
      </c>
      <c r="V514" s="6">
        <f>[1]Macro!U101</f>
        <v>152.39001579999999</v>
      </c>
      <c r="W514" s="6">
        <f>[1]Macro!V101</f>
        <v>152.4508472</v>
      </c>
      <c r="X514" s="6">
        <f>[1]Macro!W101</f>
        <v>152.7634109</v>
      </c>
      <c r="Y514" s="6">
        <f>[1]Macro!X101</f>
        <v>153.3539562</v>
      </c>
      <c r="Z514" s="6">
        <f>[1]Macro!Y101</f>
        <v>154.23994089999999</v>
      </c>
      <c r="AA514" s="6">
        <f>[1]Macro!Z101</f>
        <v>155.42863270000001</v>
      </c>
      <c r="AB514" s="6">
        <f>[1]Macro!AA101</f>
        <v>156.8615418</v>
      </c>
      <c r="AC514" s="6">
        <f>[1]Macro!AB101</f>
        <v>158.66401010000001</v>
      </c>
      <c r="AD514" s="6">
        <f>[1]Macro!AC101</f>
        <v>160.8627233</v>
      </c>
      <c r="AE514" s="6">
        <f>[1]Macro!AD101</f>
        <v>163.48987410000001</v>
      </c>
      <c r="AF514" s="6">
        <f>[1]Macro!AE101</f>
        <v>166.55028630000001</v>
      </c>
      <c r="AG514" s="6">
        <f>[1]Macro!AF101</f>
        <v>170.04401050000001</v>
      </c>
      <c r="AH514" s="6">
        <f>[1]Macro!AG101</f>
        <v>173.99926840000001</v>
      </c>
      <c r="AI514" s="6">
        <f>[1]Macro!AH101</f>
        <v>178.48380270000001</v>
      </c>
      <c r="AJ514" s="6">
        <f>[1]Macro!AI101</f>
        <v>183.6058395</v>
      </c>
      <c r="AK514" s="6">
        <f>[1]Macro!AJ101</f>
        <v>189.5374023</v>
      </c>
      <c r="AL514" s="6">
        <f>[1]Macro!AK101</f>
        <v>196.5541182</v>
      </c>
    </row>
    <row r="515" spans="2:38" x14ac:dyDescent="0.35">
      <c r="B515" s="6" t="str">
        <f>[1]Macro!A102</f>
        <v>ci_toe_2</v>
      </c>
      <c r="C515" s="6">
        <f>[1]Macro!B102</f>
        <v>192.35883190000001</v>
      </c>
      <c r="D515" s="6">
        <f>[1]Macro!C102</f>
        <v>194.58358129999999</v>
      </c>
      <c r="E515" s="6">
        <f>[1]Macro!D102</f>
        <v>196.9973024</v>
      </c>
      <c r="F515" s="6">
        <f>[1]Macro!E102</f>
        <v>199.51228</v>
      </c>
      <c r="G515" s="6">
        <f>[1]Macro!F102</f>
        <v>202.5937476</v>
      </c>
      <c r="H515" s="6">
        <f>[1]Macro!G102</f>
        <v>206.23063719999999</v>
      </c>
      <c r="I515" s="6">
        <f>[1]Macro!H102</f>
        <v>210.05871239999999</v>
      </c>
      <c r="J515" s="6">
        <f>[1]Macro!I102</f>
        <v>212.5619173</v>
      </c>
      <c r="K515" s="6">
        <f>[1]Macro!J102</f>
        <v>214.9320491</v>
      </c>
      <c r="L515" s="6">
        <f>[1]Macro!K102</f>
        <v>218.24853200000001</v>
      </c>
      <c r="M515" s="6">
        <f>[1]Macro!L102</f>
        <v>221.75579239999999</v>
      </c>
      <c r="N515" s="6">
        <f>[1]Macro!M102</f>
        <v>224.82829029999999</v>
      </c>
      <c r="O515" s="6">
        <f>[1]Macro!N102</f>
        <v>227.51023409999999</v>
      </c>
      <c r="P515" s="6">
        <f>[1]Macro!O102</f>
        <v>229.98739359999999</v>
      </c>
      <c r="Q515" s="6">
        <f>[1]Macro!P102</f>
        <v>232.49916730000001</v>
      </c>
      <c r="R515" s="6">
        <f>[1]Macro!Q102</f>
        <v>235.20565439999999</v>
      </c>
      <c r="S515" s="6">
        <f>[1]Macro!R102</f>
        <v>238.1220045</v>
      </c>
      <c r="T515" s="6">
        <f>[1]Macro!S102</f>
        <v>241.44105780000001</v>
      </c>
      <c r="U515" s="6">
        <f>[1]Macro!T102</f>
        <v>245.29587119999999</v>
      </c>
      <c r="V515" s="6">
        <f>[1]Macro!U102</f>
        <v>249.7951478</v>
      </c>
      <c r="W515" s="6">
        <f>[1]Macro!V102</f>
        <v>255.00681969999999</v>
      </c>
      <c r="X515" s="6">
        <f>[1]Macro!W102</f>
        <v>261.12037400000003</v>
      </c>
      <c r="Y515" s="6">
        <f>[1]Macro!X102</f>
        <v>268.28294019999998</v>
      </c>
      <c r="Z515" s="6">
        <f>[1]Macro!Y102</f>
        <v>276.63802759999999</v>
      </c>
      <c r="AA515" s="6">
        <f>[1]Macro!Z102</f>
        <v>286.32789320000001</v>
      </c>
      <c r="AB515" s="6">
        <f>[1]Macro!AA102</f>
        <v>297.38100969999999</v>
      </c>
      <c r="AC515" s="6">
        <f>[1]Macro!AB102</f>
        <v>310.20603940000001</v>
      </c>
      <c r="AD515" s="6">
        <f>[1]Macro!AC102</f>
        <v>325.13199900000001</v>
      </c>
      <c r="AE515" s="6">
        <f>[1]Macro!AD102</f>
        <v>342.52511559999999</v>
      </c>
      <c r="AF515" s="6">
        <f>[1]Macro!AE102</f>
        <v>362.7676917</v>
      </c>
      <c r="AG515" s="6">
        <f>[1]Macro!AF102</f>
        <v>386.33224919999998</v>
      </c>
      <c r="AH515" s="6">
        <f>[1]Macro!AG102</f>
        <v>413.9065951</v>
      </c>
      <c r="AI515" s="6">
        <f>[1]Macro!AH102</f>
        <v>446.49973829999999</v>
      </c>
      <c r="AJ515" s="6">
        <f>[1]Macro!AI102</f>
        <v>485.55556150000001</v>
      </c>
      <c r="AK515" s="6">
        <f>[1]Macro!AJ102</f>
        <v>533.20865070000002</v>
      </c>
      <c r="AL515" s="6">
        <f>[1]Macro!AK102</f>
        <v>592.73484250000001</v>
      </c>
    </row>
    <row r="516" spans="2:3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63.922819750000002</v>
      </c>
      <c r="E516" s="6">
        <f>[1]Macro!D103</f>
        <v>63.440136699999996</v>
      </c>
      <c r="F516" s="6">
        <f>[1]Macro!E103</f>
        <v>62.974754050000001</v>
      </c>
      <c r="G516" s="6">
        <f>[1]Macro!F103</f>
        <v>62.748425130000001</v>
      </c>
      <c r="H516" s="6">
        <f>[1]Macro!G103</f>
        <v>62.694371060000002</v>
      </c>
      <c r="I516" s="6">
        <f>[1]Macro!H103</f>
        <v>62.608698799999999</v>
      </c>
      <c r="J516" s="6">
        <f>[1]Macro!I103</f>
        <v>62.009539629999999</v>
      </c>
      <c r="K516" s="6">
        <f>[1]Macro!J103</f>
        <v>61.391717</v>
      </c>
      <c r="L516" s="6">
        <f>[1]Macro!K103</f>
        <v>60.744370289999999</v>
      </c>
      <c r="M516" s="6">
        <f>[1]Macro!L103</f>
        <v>60.076819720000003</v>
      </c>
      <c r="N516" s="6">
        <f>[1]Macro!M103</f>
        <v>59.437847550000001</v>
      </c>
      <c r="O516" s="6">
        <f>[1]Macro!N103</f>
        <v>58.848126669999999</v>
      </c>
      <c r="P516" s="6">
        <f>[1]Macro!O103</f>
        <v>58.323483109999998</v>
      </c>
      <c r="Q516" s="6">
        <f>[1]Macro!P103</f>
        <v>57.865248809999997</v>
      </c>
      <c r="R516" s="6">
        <f>[1]Macro!Q103</f>
        <v>57.466049529999999</v>
      </c>
      <c r="S516" s="6">
        <f>[1]Macro!R103</f>
        <v>57.133147200000003</v>
      </c>
      <c r="T516" s="6">
        <f>[1]Macro!S103</f>
        <v>56.832926209999997</v>
      </c>
      <c r="U516" s="6">
        <f>[1]Macro!T103</f>
        <v>56.5500471</v>
      </c>
      <c r="V516" s="6">
        <f>[1]Macro!U103</f>
        <v>56.282153389999998</v>
      </c>
      <c r="W516" s="6">
        <f>[1]Macro!V103</f>
        <v>56.016510060000002</v>
      </c>
      <c r="X516" s="6">
        <f>[1]Macro!W103</f>
        <v>55.787107149999997</v>
      </c>
      <c r="Y516" s="6">
        <f>[1]Macro!X103</f>
        <v>55.593335600000003</v>
      </c>
      <c r="Z516" s="6">
        <f>[1]Macro!Y103</f>
        <v>55.437600709999998</v>
      </c>
      <c r="AA516" s="6">
        <f>[1]Macro!Z103</f>
        <v>55.323883670000001</v>
      </c>
      <c r="AB516" s="6">
        <f>[1]Macro!AA103</f>
        <v>55.208097389999999</v>
      </c>
      <c r="AC516" s="6">
        <f>[1]Macro!AB103</f>
        <v>55.143646609999998</v>
      </c>
      <c r="AD516" s="6">
        <f>[1]Macro!AC103</f>
        <v>55.131425749999998</v>
      </c>
      <c r="AE516" s="6">
        <f>[1]Macro!AD103</f>
        <v>55.173053709999998</v>
      </c>
      <c r="AF516" s="6">
        <f>[1]Macro!AE103</f>
        <v>55.270232890000003</v>
      </c>
      <c r="AG516" s="6">
        <f>[1]Macro!AF103</f>
        <v>55.423932819999997</v>
      </c>
      <c r="AH516" s="6">
        <f>[1]Macro!AG103</f>
        <v>55.634166810000004</v>
      </c>
      <c r="AI516" s="6">
        <f>[1]Macro!AH103</f>
        <v>55.900179180000002</v>
      </c>
      <c r="AJ516" s="6">
        <f>[1]Macro!AI103</f>
        <v>56.221675789999999</v>
      </c>
      <c r="AK516" s="6">
        <f>[1]Macro!AJ103</f>
        <v>56.599697339999999</v>
      </c>
      <c r="AL516" s="6">
        <f>[1]Macro!AK103</f>
        <v>57.037157809999997</v>
      </c>
    </row>
    <row r="517" spans="2:38" x14ac:dyDescent="0.35">
      <c r="B517" s="6" t="str">
        <f>[1]Macro!A104</f>
        <v>x_toe_2</v>
      </c>
      <c r="C517" s="6">
        <f>[1]Macro!B104</f>
        <v>33.390972560000002</v>
      </c>
      <c r="D517" s="6">
        <f>[1]Macro!C104</f>
        <v>34.097090559999998</v>
      </c>
      <c r="E517" s="6">
        <f>[1]Macro!D104</f>
        <v>34.812199640000003</v>
      </c>
      <c r="F517" s="6">
        <f>[1]Macro!E104</f>
        <v>35.535687469999999</v>
      </c>
      <c r="G517" s="6">
        <f>[1]Macro!F104</f>
        <v>36.27379767</v>
      </c>
      <c r="H517" s="6">
        <f>[1]Macro!G104</f>
        <v>37.02946403</v>
      </c>
      <c r="I517" s="6">
        <f>[1]Macro!H104</f>
        <v>37.800401749999999</v>
      </c>
      <c r="J517" s="6">
        <f>[1]Macro!I104</f>
        <v>38.68057597</v>
      </c>
      <c r="K517" s="6">
        <f>[1]Macro!J104</f>
        <v>39.626135249999997</v>
      </c>
      <c r="L517" s="6">
        <f>[1]Macro!K104</f>
        <v>40.923870829999998</v>
      </c>
      <c r="M517" s="6">
        <f>[1]Macro!L104</f>
        <v>42.187547790000004</v>
      </c>
      <c r="N517" s="6">
        <f>[1]Macro!M104</f>
        <v>43.219540000000002</v>
      </c>
      <c r="O517" s="6">
        <f>[1]Macro!N104</f>
        <v>44.079872360000003</v>
      </c>
      <c r="P517" s="6">
        <f>[1]Macro!O104</f>
        <v>44.837221020000001</v>
      </c>
      <c r="Q517" s="6">
        <f>[1]Macro!P104</f>
        <v>45.565356029999997</v>
      </c>
      <c r="R517" s="6">
        <f>[1]Macro!Q104</f>
        <v>46.298708769999998</v>
      </c>
      <c r="S517" s="6">
        <f>[1]Macro!R104</f>
        <v>46.848094940000003</v>
      </c>
      <c r="T517" s="6">
        <f>[1]Macro!S104</f>
        <v>47.433843809999999</v>
      </c>
      <c r="U517" s="6">
        <f>[1]Macro!T104</f>
        <v>48.067633919999999</v>
      </c>
      <c r="V517" s="6">
        <f>[1]Macro!U104</f>
        <v>48.752539110000001</v>
      </c>
      <c r="W517" s="6">
        <f>[1]Macro!V104</f>
        <v>49.492180490000003</v>
      </c>
      <c r="X517" s="6">
        <f>[1]Macro!W104</f>
        <v>50.291097540000003</v>
      </c>
      <c r="Y517" s="6">
        <f>[1]Macro!X104</f>
        <v>51.157009350000003</v>
      </c>
      <c r="Z517" s="6">
        <f>[1]Macro!Y104</f>
        <v>52.089384119999998</v>
      </c>
      <c r="AA517" s="6">
        <f>[1]Macro!Z104</f>
        <v>53.0817367</v>
      </c>
      <c r="AB517" s="6">
        <f>[1]Macro!AA104</f>
        <v>54.1305069</v>
      </c>
      <c r="AC517" s="6">
        <f>[1]Macro!AB104</f>
        <v>55.32242376</v>
      </c>
      <c r="AD517" s="6">
        <f>[1]Macro!AC104</f>
        <v>56.603492129999999</v>
      </c>
      <c r="AE517" s="6">
        <f>[1]Macro!AD104</f>
        <v>57.972189030000003</v>
      </c>
      <c r="AF517" s="6">
        <f>[1]Macro!AE104</f>
        <v>59.409388239999998</v>
      </c>
      <c r="AG517" s="6">
        <f>[1]Macro!AF104</f>
        <v>60.89215583</v>
      </c>
      <c r="AH517" s="6">
        <f>[1]Macro!AG104</f>
        <v>62.409107159999998</v>
      </c>
      <c r="AI517" s="6">
        <f>[1]Macro!AH104</f>
        <v>63.956958759999999</v>
      </c>
      <c r="AJ517" s="6">
        <f>[1]Macro!AI104</f>
        <v>65.527760020000002</v>
      </c>
      <c r="AK517" s="6">
        <f>[1]Macro!AJ104</f>
        <v>67.111296980000006</v>
      </c>
      <c r="AL517" s="6">
        <f>[1]Macro!AK104</f>
        <v>68.695390660000001</v>
      </c>
    </row>
    <row r="518" spans="2:3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spans="2:38" x14ac:dyDescent="0.35">
      <c r="B519" s="6" t="str">
        <f>[1]Macro!A105</f>
        <v>y_toe_0</v>
      </c>
      <c r="C519" s="6">
        <f>[1]Macro!B105</f>
        <v>139.4020707</v>
      </c>
      <c r="D519" s="6">
        <f>[1]Macro!C105</f>
        <v>140.95641879999999</v>
      </c>
      <c r="E519" s="6">
        <f>[1]Macro!D105</f>
        <v>142.53672689999999</v>
      </c>
      <c r="F519" s="6">
        <f>[1]Macro!E105</f>
        <v>144.24566949999999</v>
      </c>
      <c r="G519" s="6">
        <f>[1]Macro!F105</f>
        <v>146.1603618</v>
      </c>
      <c r="H519" s="6">
        <f>[1]Macro!G105</f>
        <v>148.31040490000001</v>
      </c>
      <c r="I519" s="6">
        <f>[1]Macro!H105</f>
        <v>150.62058450000001</v>
      </c>
      <c r="J519" s="6">
        <f>[1]Macro!I105</f>
        <v>153.03148200000001</v>
      </c>
      <c r="K519" s="6">
        <f>[1]Macro!J105</f>
        <v>155.50123429999999</v>
      </c>
      <c r="L519" s="6">
        <f>[1]Macro!K105</f>
        <v>158.00843900000001</v>
      </c>
      <c r="M519" s="6">
        <f>[1]Macro!L105</f>
        <v>160.48442299999999</v>
      </c>
      <c r="N519" s="6">
        <f>[1]Macro!M105</f>
        <v>162.53116460000001</v>
      </c>
      <c r="O519" s="6">
        <f>[1]Macro!N105</f>
        <v>164.23590290000001</v>
      </c>
      <c r="P519" s="6">
        <f>[1]Macro!O105</f>
        <v>165.686125</v>
      </c>
      <c r="Q519" s="6">
        <f>[1]Macro!P105</f>
        <v>166.97856039999999</v>
      </c>
      <c r="R519" s="6">
        <f>[1]Macro!Q105</f>
        <v>168.20052000000001</v>
      </c>
      <c r="S519" s="6">
        <f>[1]Macro!R105</f>
        <v>169.4480873</v>
      </c>
      <c r="T519" s="6">
        <f>[1]Macro!S105</f>
        <v>170.8168488</v>
      </c>
      <c r="U519" s="6">
        <f>[1]Macro!T105</f>
        <v>172.38357590000001</v>
      </c>
      <c r="V519" s="6">
        <f>[1]Macro!U105</f>
        <v>174.180789</v>
      </c>
      <c r="W519" s="6">
        <f>[1]Macro!V105</f>
        <v>176.19742160000001</v>
      </c>
      <c r="X519" s="6">
        <f>[1]Macro!W105</f>
        <v>178.49631590000001</v>
      </c>
      <c r="Y519" s="6">
        <f>[1]Macro!X105</f>
        <v>181.09292719999999</v>
      </c>
      <c r="Z519" s="6">
        <f>[1]Macro!Y105</f>
        <v>183.99711289999999</v>
      </c>
      <c r="AA519" s="6">
        <f>[1]Macro!Z105</f>
        <v>187.2065369</v>
      </c>
      <c r="AB519" s="6">
        <f>[1]Macro!AA105</f>
        <v>190.62764390000001</v>
      </c>
      <c r="AC519" s="6">
        <f>[1]Macro!AB105</f>
        <v>194.35407259999999</v>
      </c>
      <c r="AD519" s="6">
        <f>[1]Macro!AC105</f>
        <v>198.3986974</v>
      </c>
      <c r="AE519" s="6">
        <f>[1]Macro!AD105</f>
        <v>202.75848389999999</v>
      </c>
      <c r="AF519" s="6">
        <f>[1]Macro!AE105</f>
        <v>207.38689880000001</v>
      </c>
      <c r="AG519" s="6">
        <f>[1]Macro!AF105</f>
        <v>212.2176667</v>
      </c>
      <c r="AH519" s="6">
        <f>[1]Macro!AG105</f>
        <v>217.1914098</v>
      </c>
      <c r="AI519" s="6">
        <f>[1]Macro!AH105</f>
        <v>222.25937160000001</v>
      </c>
      <c r="AJ519" s="6">
        <f>[1]Macro!AI105</f>
        <v>227.37756419999999</v>
      </c>
      <c r="AK519" s="6">
        <f>[1]Macro!AJ105</f>
        <v>232.50404850000001</v>
      </c>
      <c r="AL519" s="6">
        <f>[1]Macro!AK105</f>
        <v>237.5977857</v>
      </c>
    </row>
    <row r="520" spans="2:38" x14ac:dyDescent="0.35">
      <c r="B520" s="6" t="str">
        <f>[1]Macro!A106</f>
        <v>m_toe_0</v>
      </c>
      <c r="C520" s="6">
        <f>[1]Macro!B106</f>
        <v>150.64917389999999</v>
      </c>
      <c r="D520" s="6">
        <f>[1]Macro!C106</f>
        <v>151.64707279999999</v>
      </c>
      <c r="E520" s="6">
        <f>[1]Macro!D106</f>
        <v>152.71291210000001</v>
      </c>
      <c r="F520" s="6">
        <f>[1]Macro!E106</f>
        <v>153.7770525</v>
      </c>
      <c r="G520" s="6">
        <f>[1]Macro!F106</f>
        <v>155.4556091</v>
      </c>
      <c r="H520" s="6">
        <f>[1]Macro!G106</f>
        <v>157.64406790000001</v>
      </c>
      <c r="I520" s="6">
        <f>[1]Macro!H106</f>
        <v>159.84722909999999</v>
      </c>
      <c r="J520" s="6">
        <f>[1]Macro!I106</f>
        <v>162.02239510000001</v>
      </c>
      <c r="K520" s="6">
        <f>[1]Macro!J106</f>
        <v>164.1871338</v>
      </c>
      <c r="L520" s="6">
        <f>[1]Macro!K106</f>
        <v>166.35717969999999</v>
      </c>
      <c r="M520" s="6">
        <f>[1]Macro!L106</f>
        <v>168.4798854</v>
      </c>
      <c r="N520" s="6">
        <f>[1]Macro!M106</f>
        <v>170.16419089999999</v>
      </c>
      <c r="O520" s="6">
        <f>[1]Macro!N106</f>
        <v>171.4861487</v>
      </c>
      <c r="P520" s="6">
        <f>[1]Macro!O106</f>
        <v>172.54040190000001</v>
      </c>
      <c r="Q520" s="6">
        <f>[1]Macro!P106</f>
        <v>173.42652319999999</v>
      </c>
      <c r="R520" s="6">
        <f>[1]Macro!Q106</f>
        <v>174.2326037</v>
      </c>
      <c r="S520" s="6">
        <f>[1]Macro!R106</f>
        <v>175.27749180000001</v>
      </c>
      <c r="T520" s="6">
        <f>[1]Macro!S106</f>
        <v>176.58722370000001</v>
      </c>
      <c r="U520" s="6">
        <f>[1]Macro!T106</f>
        <v>178.18437170000001</v>
      </c>
      <c r="V520" s="6">
        <f>[1]Macro!U106</f>
        <v>180.06696669999999</v>
      </c>
      <c r="W520" s="6">
        <f>[1]Macro!V106</f>
        <v>182.20459790000001</v>
      </c>
      <c r="X520" s="6">
        <f>[1]Macro!W106</f>
        <v>184.6390729</v>
      </c>
      <c r="Y520" s="6">
        <f>[1]Macro!X106</f>
        <v>187.3807386</v>
      </c>
      <c r="Z520" s="6">
        <f>[1]Macro!Y106</f>
        <v>190.43822639999999</v>
      </c>
      <c r="AA520" s="6">
        <f>[1]Macro!Z106</f>
        <v>193.80914189999999</v>
      </c>
      <c r="AB520" s="6">
        <f>[1]Macro!AA106</f>
        <v>197.41196110000001</v>
      </c>
      <c r="AC520" s="6">
        <f>[1]Macro!AB106</f>
        <v>201.3287359</v>
      </c>
      <c r="AD520" s="6">
        <f>[1]Macro!AC106</f>
        <v>205.58110819999999</v>
      </c>
      <c r="AE520" s="6">
        <f>[1]Macro!AD106</f>
        <v>210.17488689999999</v>
      </c>
      <c r="AF520" s="6">
        <f>[1]Macro!AE106</f>
        <v>215.07310100000001</v>
      </c>
      <c r="AG520" s="6">
        <f>[1]Macro!AF106</f>
        <v>220.21520949999999</v>
      </c>
      <c r="AH520" s="6">
        <f>[1]Macro!AG106</f>
        <v>225.5441027</v>
      </c>
      <c r="AI520" s="6">
        <f>[1]Macro!AH106</f>
        <v>231.01082650000001</v>
      </c>
      <c r="AJ520" s="6">
        <f>[1]Macro!AI106</f>
        <v>236.56958900000001</v>
      </c>
      <c r="AK520" s="6">
        <f>[1]Macro!AJ106</f>
        <v>242.17476869999999</v>
      </c>
      <c r="AL520" s="6">
        <f>[1]Macro!AK106</f>
        <v>247.77951830000001</v>
      </c>
    </row>
    <row r="521" spans="2:38" x14ac:dyDescent="0.35">
      <c r="B521" s="6" t="str">
        <f>[1]Macro!A107</f>
        <v>ci_toe_0</v>
      </c>
      <c r="C521" s="6">
        <f>[1]Macro!B107</f>
        <v>192.35883179999999</v>
      </c>
      <c r="D521" s="6">
        <f>[1]Macro!C107</f>
        <v>194.5835812</v>
      </c>
      <c r="E521" s="6">
        <f>[1]Macro!D107</f>
        <v>196.99730249999999</v>
      </c>
      <c r="F521" s="6">
        <f>[1]Macro!E107</f>
        <v>199.51228019999999</v>
      </c>
      <c r="G521" s="6">
        <f>[1]Macro!F107</f>
        <v>202.59374779999999</v>
      </c>
      <c r="H521" s="6">
        <f>[1]Macro!G107</f>
        <v>206.2306375</v>
      </c>
      <c r="I521" s="6">
        <f>[1]Macro!H107</f>
        <v>210.0587128</v>
      </c>
      <c r="J521" s="6">
        <f>[1]Macro!I107</f>
        <v>213.9518559</v>
      </c>
      <c r="K521" s="6">
        <f>[1]Macro!J107</f>
        <v>217.86532650000001</v>
      </c>
      <c r="L521" s="6">
        <f>[1]Macro!K107</f>
        <v>221.78650200000001</v>
      </c>
      <c r="M521" s="6">
        <f>[1]Macro!L107</f>
        <v>225.60562039999999</v>
      </c>
      <c r="N521" s="6">
        <f>[1]Macro!M107</f>
        <v>228.68953920000001</v>
      </c>
      <c r="O521" s="6">
        <f>[1]Macro!N107</f>
        <v>231.14467680000001</v>
      </c>
      <c r="P521" s="6">
        <f>[1]Macro!O107</f>
        <v>233.11859329999999</v>
      </c>
      <c r="Q521" s="6">
        <f>[1]Macro!P107</f>
        <v>234.780631</v>
      </c>
      <c r="R521" s="6">
        <f>[1]Macro!Q107</f>
        <v>236.28916570000001</v>
      </c>
      <c r="S521" s="6">
        <f>[1]Macro!R107</f>
        <v>237.9549403</v>
      </c>
      <c r="T521" s="6">
        <f>[1]Macro!S107</f>
        <v>239.9286338</v>
      </c>
      <c r="U521" s="6">
        <f>[1]Macro!T107</f>
        <v>242.3066886</v>
      </c>
      <c r="V521" s="6">
        <f>[1]Macro!U107</f>
        <v>245.13187869999999</v>
      </c>
      <c r="W521" s="6">
        <f>[1]Macro!V107</f>
        <v>248.38861299999999</v>
      </c>
      <c r="X521" s="6">
        <f>[1]Macro!W107</f>
        <v>252.1584402</v>
      </c>
      <c r="Y521" s="6">
        <f>[1]Macro!X107</f>
        <v>256.46802150000002</v>
      </c>
      <c r="Z521" s="6">
        <f>[1]Macro!Y107</f>
        <v>261.33568279999997</v>
      </c>
      <c r="AA521" s="6">
        <f>[1]Macro!Z107</f>
        <v>266.7592841</v>
      </c>
      <c r="AB521" s="6">
        <f>[1]Macro!AA107</f>
        <v>272.61050360000002</v>
      </c>
      <c r="AC521" s="6">
        <f>[1]Macro!AB107</f>
        <v>279.0098744</v>
      </c>
      <c r="AD521" s="6">
        <f>[1]Macro!AC107</f>
        <v>285.98319909999998</v>
      </c>
      <c r="AE521" s="6">
        <f>[1]Macro!AD107</f>
        <v>293.53088220000001</v>
      </c>
      <c r="AF521" s="6">
        <f>[1]Macro!AE107</f>
        <v>301.5807959</v>
      </c>
      <c r="AG521" s="6">
        <f>[1]Macro!AF107</f>
        <v>310.02195030000001</v>
      </c>
      <c r="AH521" s="6">
        <f>[1]Macro!AG107</f>
        <v>318.74945539999999</v>
      </c>
      <c r="AI521" s="6">
        <f>[1]Macro!AH107</f>
        <v>327.67503360000001</v>
      </c>
      <c r="AJ521" s="6">
        <f>[1]Macro!AI107</f>
        <v>336.71747490000001</v>
      </c>
      <c r="AK521" s="6">
        <f>[1]Macro!AJ107</f>
        <v>345.7978038</v>
      </c>
      <c r="AL521" s="6">
        <f>[1]Macro!AK107</f>
        <v>354.83733649999999</v>
      </c>
    </row>
    <row r="522" spans="2:3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63.922819850000003</v>
      </c>
      <c r="E522" s="6">
        <f>[1]Macro!D108</f>
        <v>63.440136860000003</v>
      </c>
      <c r="F522" s="6">
        <f>[1]Macro!E108</f>
        <v>62.974754279999999</v>
      </c>
      <c r="G522" s="6">
        <f>[1]Macro!F108</f>
        <v>62.74842538</v>
      </c>
      <c r="H522" s="6">
        <f>[1]Macro!G108</f>
        <v>62.694371320000002</v>
      </c>
      <c r="I522" s="6">
        <f>[1]Macro!H108</f>
        <v>62.608699049999998</v>
      </c>
      <c r="J522" s="6">
        <f>[1]Macro!I108</f>
        <v>62.517238810000002</v>
      </c>
      <c r="K522" s="6">
        <f>[1]Macro!J108</f>
        <v>62.440707619999998</v>
      </c>
      <c r="L522" s="6">
        <f>[1]Macro!K108</f>
        <v>62.385266950000002</v>
      </c>
      <c r="M522" s="6">
        <f>[1]Macro!L108</f>
        <v>62.377370089999999</v>
      </c>
      <c r="N522" s="6">
        <f>[1]Macro!M108</f>
        <v>62.368570239999997</v>
      </c>
      <c r="O522" s="6">
        <f>[1]Macro!N108</f>
        <v>62.357377759999999</v>
      </c>
      <c r="P522" s="6">
        <f>[1]Macro!O108</f>
        <v>62.347508859999998</v>
      </c>
      <c r="Q522" s="6">
        <f>[1]Macro!P108</f>
        <v>62.337057940000001</v>
      </c>
      <c r="R522" s="6">
        <f>[1]Macro!Q108</f>
        <v>62.321483630000003</v>
      </c>
      <c r="S522" s="6">
        <f>[1]Macro!R108</f>
        <v>62.385090380000001</v>
      </c>
      <c r="T522" s="6">
        <f>[1]Macro!S108</f>
        <v>62.483769870000003</v>
      </c>
      <c r="U522" s="6">
        <f>[1]Macro!T108</f>
        <v>62.611399040000002</v>
      </c>
      <c r="V522" s="6">
        <f>[1]Macro!U108</f>
        <v>62.753495839999999</v>
      </c>
      <c r="W522" s="6">
        <f>[1]Macro!V108</f>
        <v>62.881171399999999</v>
      </c>
      <c r="X522" s="6">
        <f>[1]Macro!W108</f>
        <v>63.01600895</v>
      </c>
      <c r="Y522" s="6">
        <f>[1]Macro!X108</f>
        <v>63.151696899999997</v>
      </c>
      <c r="Z522" s="6">
        <f>[1]Macro!Y108</f>
        <v>63.287098159999999</v>
      </c>
      <c r="AA522" s="6">
        <f>[1]Macro!Z108</f>
        <v>63.423569909999998</v>
      </c>
      <c r="AB522" s="6">
        <f>[1]Macro!AA108</f>
        <v>63.515566819999997</v>
      </c>
      <c r="AC522" s="6">
        <f>[1]Macro!AB108</f>
        <v>63.617486749999998</v>
      </c>
      <c r="AD522" s="6">
        <f>[1]Macro!AC108</f>
        <v>63.731848290000002</v>
      </c>
      <c r="AE522" s="6">
        <f>[1]Macro!AD108</f>
        <v>63.861972289999997</v>
      </c>
      <c r="AF522" s="6">
        <f>[1]Macro!AE108</f>
        <v>64.011526509999996</v>
      </c>
      <c r="AG522" s="6">
        <f>[1]Macro!AF108</f>
        <v>64.183019259999995</v>
      </c>
      <c r="AH522" s="6">
        <f>[1]Macro!AG108</f>
        <v>64.377251509999994</v>
      </c>
      <c r="AI522" s="6">
        <f>[1]Macro!AH108</f>
        <v>64.591868360000007</v>
      </c>
      <c r="AJ522" s="6">
        <f>[1]Macro!AI108</f>
        <v>64.823839309999997</v>
      </c>
      <c r="AK522" s="6">
        <f>[1]Macro!AJ108</f>
        <v>65.069753809999995</v>
      </c>
      <c r="AL522" s="6">
        <f>[1]Macro!AK108</f>
        <v>65.325764410000005</v>
      </c>
    </row>
    <row r="523" spans="2:38" x14ac:dyDescent="0.35">
      <c r="B523" s="6" t="str">
        <f>[1]Macro!A109</f>
        <v>x_toe_0</v>
      </c>
      <c r="C523" s="6">
        <f>[1]Macro!B109</f>
        <v>33.390972560000002</v>
      </c>
      <c r="D523" s="6">
        <f>[1]Macro!C109</f>
        <v>34.097090559999998</v>
      </c>
      <c r="E523" s="6">
        <f>[1]Macro!D109</f>
        <v>34.812199640000003</v>
      </c>
      <c r="F523" s="6">
        <f>[1]Macro!E109</f>
        <v>35.535687469999999</v>
      </c>
      <c r="G523" s="6">
        <f>[1]Macro!F109</f>
        <v>36.273797680000001</v>
      </c>
      <c r="H523" s="6">
        <f>[1]Macro!G109</f>
        <v>37.029464040000001</v>
      </c>
      <c r="I523" s="6">
        <f>[1]Macro!H109</f>
        <v>37.80040176</v>
      </c>
      <c r="J523" s="6">
        <f>[1]Macro!I109</f>
        <v>38.58478229</v>
      </c>
      <c r="K523" s="6">
        <f>[1]Macro!J109</f>
        <v>39.382333969999998</v>
      </c>
      <c r="L523" s="6">
        <f>[1]Macro!K109</f>
        <v>40.193849819999997</v>
      </c>
      <c r="M523" s="6">
        <f>[1]Macro!L109</f>
        <v>40.981317930000003</v>
      </c>
      <c r="N523" s="6">
        <f>[1]Macro!M109</f>
        <v>41.637246070000003</v>
      </c>
      <c r="O523" s="6">
        <f>[1]Macro!N109</f>
        <v>42.219997040000003</v>
      </c>
      <c r="P523" s="6">
        <f>[1]Macro!O109</f>
        <v>42.760424739999998</v>
      </c>
      <c r="Q523" s="6">
        <f>[1]Macro!P109</f>
        <v>43.287394630000001</v>
      </c>
      <c r="R523" s="6">
        <f>[1]Macro!Q109</f>
        <v>43.822474319999998</v>
      </c>
      <c r="S523" s="6">
        <f>[1]Macro!R109</f>
        <v>44.385548399999998</v>
      </c>
      <c r="T523" s="6">
        <f>[1]Macro!S109</f>
        <v>44.991668949999998</v>
      </c>
      <c r="U523" s="6">
        <f>[1]Macro!T109</f>
        <v>45.649859919999997</v>
      </c>
      <c r="V523" s="6">
        <f>[1]Macro!U109</f>
        <v>46.362381210000002</v>
      </c>
      <c r="W523" s="6">
        <f>[1]Macro!V109</f>
        <v>47.132235020000003</v>
      </c>
      <c r="X523" s="6">
        <f>[1]Macro!W109</f>
        <v>47.960939660000001</v>
      </c>
      <c r="Y523" s="6">
        <f>[1]Macro!X109</f>
        <v>48.853947390000002</v>
      </c>
      <c r="Z523" s="6">
        <f>[1]Macro!Y109</f>
        <v>49.81255839</v>
      </c>
      <c r="AA523" s="6">
        <f>[1]Macro!Z109</f>
        <v>50.832824909999999</v>
      </c>
      <c r="AB523" s="6">
        <f>[1]Macro!AA109</f>
        <v>51.913534599999998</v>
      </c>
      <c r="AC523" s="6">
        <f>[1]Macro!AB109</f>
        <v>53.05544742</v>
      </c>
      <c r="AD523" s="6">
        <f>[1]Macro!AC109</f>
        <v>54.264758239999999</v>
      </c>
      <c r="AE523" s="6">
        <f>[1]Macro!AD109</f>
        <v>55.5405163</v>
      </c>
      <c r="AF523" s="6">
        <f>[1]Macro!AE109</f>
        <v>56.867677329999999</v>
      </c>
      <c r="AG523" s="6">
        <f>[1]Macro!AF109</f>
        <v>58.227906679999997</v>
      </c>
      <c r="AH523" s="6">
        <f>[1]Macro!AG109</f>
        <v>59.608805590000003</v>
      </c>
      <c r="AI523" s="6">
        <f>[1]Macro!AH109</f>
        <v>61.003296110000001</v>
      </c>
      <c r="AJ523" s="6">
        <f>[1]Macro!AI109</f>
        <v>62.405838959999997</v>
      </c>
      <c r="AK523" s="6">
        <f>[1]Macro!AJ109</f>
        <v>63.811259550000003</v>
      </c>
      <c r="AL523" s="6">
        <f>[1]Macro!AK109</f>
        <v>65.21420311</v>
      </c>
    </row>
    <row r="525" spans="2:3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</row>
    <row r="526" spans="2:38" x14ac:dyDescent="0.35">
      <c r="B526" t="s">
        <v>105</v>
      </c>
      <c r="C526" s="9">
        <f>C513/C519-1</f>
        <v>0</v>
      </c>
      <c r="D526" s="9">
        <f t="shared" ref="D526:AL526" si="115">D513/D519-1</f>
        <v>0</v>
      </c>
      <c r="E526" s="9">
        <f t="shared" si="115"/>
        <v>0</v>
      </c>
      <c r="F526" s="9">
        <f t="shared" si="115"/>
        <v>0</v>
      </c>
      <c r="G526" s="9">
        <f t="shared" si="115"/>
        <v>0</v>
      </c>
      <c r="H526" s="9">
        <f t="shared" si="115"/>
        <v>0</v>
      </c>
      <c r="I526" s="9">
        <f t="shared" si="115"/>
        <v>0</v>
      </c>
      <c r="J526" s="9">
        <f t="shared" si="115"/>
        <v>7.6189166095901317E-3</v>
      </c>
      <c r="K526" s="9">
        <f t="shared" si="115"/>
        <v>1.6006532753290115E-2</v>
      </c>
      <c r="L526" s="9">
        <f t="shared" si="115"/>
        <v>2.8217877653990309E-2</v>
      </c>
      <c r="M526" s="9">
        <f t="shared" si="115"/>
        <v>4.0386618083176895E-2</v>
      </c>
      <c r="N526" s="9">
        <f t="shared" si="115"/>
        <v>5.1596931706228588E-2</v>
      </c>
      <c r="O526" s="9">
        <f t="shared" si="115"/>
        <v>6.2464950226178484E-2</v>
      </c>
      <c r="P526" s="9">
        <f t="shared" si="115"/>
        <v>7.3784363657487972E-2</v>
      </c>
      <c r="Q526" s="9">
        <f t="shared" si="115"/>
        <v>8.6255467561211718E-2</v>
      </c>
      <c r="R526" s="9">
        <f t="shared" si="115"/>
        <v>0.1001057862365704</v>
      </c>
      <c r="S526" s="9">
        <f t="shared" si="115"/>
        <v>0.11407228967877536</v>
      </c>
      <c r="T526" s="9">
        <f t="shared" si="115"/>
        <v>0.12908803057137286</v>
      </c>
      <c r="U526" s="9">
        <f t="shared" si="115"/>
        <v>0.14508333563348463</v>
      </c>
      <c r="V526" s="9">
        <f t="shared" si="115"/>
        <v>0.16223968017506207</v>
      </c>
      <c r="W526" s="9">
        <f t="shared" si="115"/>
        <v>0.18086099734390193</v>
      </c>
      <c r="X526" s="9">
        <f t="shared" si="115"/>
        <v>0.20134226142871325</v>
      </c>
      <c r="Y526" s="9">
        <f t="shared" si="115"/>
        <v>0.22411919906278932</v>
      </c>
      <c r="Z526" s="9">
        <f t="shared" si="115"/>
        <v>0.24961238726045254</v>
      </c>
      <c r="AA526" s="9">
        <f t="shared" si="115"/>
        <v>0.27829340130269786</v>
      </c>
      <c r="AB526" s="9">
        <f t="shared" si="115"/>
        <v>0.31071269144506264</v>
      </c>
      <c r="AC526" s="9">
        <f t="shared" si="115"/>
        <v>0.34809678127629828</v>
      </c>
      <c r="AD526" s="9">
        <f t="shared" si="115"/>
        <v>0.39115930254086417</v>
      </c>
      <c r="AE526" s="9">
        <f t="shared" si="115"/>
        <v>0.44102717025691862</v>
      </c>
      <c r="AF526" s="9">
        <f t="shared" si="115"/>
        <v>0.4991160405933992</v>
      </c>
      <c r="AG526" s="9">
        <f t="shared" si="115"/>
        <v>0.56727916422803659</v>
      </c>
      <c r="AH526" s="9">
        <f t="shared" si="115"/>
        <v>0.64808820445347082</v>
      </c>
      <c r="AI526" s="9">
        <f t="shared" si="115"/>
        <v>0.74513709234297121</v>
      </c>
      <c r="AJ526" s="9">
        <f t="shared" si="115"/>
        <v>0.86341673326800472</v>
      </c>
      <c r="AK526" s="9">
        <f t="shared" si="115"/>
        <v>1.0102112015481741</v>
      </c>
      <c r="AL526" s="9">
        <f t="shared" si="115"/>
        <v>1.1966251548277791</v>
      </c>
    </row>
    <row r="527" spans="2:38" x14ac:dyDescent="0.35">
      <c r="B527" t="s">
        <v>103</v>
      </c>
      <c r="C527" s="9">
        <f>(C516-C522)/C519</f>
        <v>0</v>
      </c>
      <c r="D527" s="9">
        <f t="shared" ref="D527:AL527" si="116">(D516-D522)/D519</f>
        <v>-7.0943914452379481E-10</v>
      </c>
      <c r="E527" s="9">
        <f t="shared" si="116"/>
        <v>-1.1225177511286882E-9</v>
      </c>
      <c r="F527" s="9">
        <f t="shared" si="116"/>
        <v>-1.5945019251618038E-9</v>
      </c>
      <c r="G527" s="9">
        <f t="shared" si="116"/>
        <v>-1.7104500583468771E-9</v>
      </c>
      <c r="H527" s="9">
        <f t="shared" si="116"/>
        <v>-1.7530799701580099E-9</v>
      </c>
      <c r="I527" s="9">
        <f t="shared" si="116"/>
        <v>-1.6597996893898036E-9</v>
      </c>
      <c r="J527" s="9">
        <f t="shared" si="116"/>
        <v>-3.3176126465272225E-3</v>
      </c>
      <c r="K527" s="9">
        <f t="shared" si="116"/>
        <v>-6.7458668397206278E-3</v>
      </c>
      <c r="L527" s="9">
        <f t="shared" si="116"/>
        <v>-1.0384867228515577E-2</v>
      </c>
      <c r="M527" s="9">
        <f t="shared" si="116"/>
        <v>-1.4335038423012534E-2</v>
      </c>
      <c r="N527" s="9">
        <f t="shared" si="116"/>
        <v>-1.8031758384385539E-2</v>
      </c>
      <c r="O527" s="9">
        <f t="shared" si="116"/>
        <v>-2.1367137319156779E-2</v>
      </c>
      <c r="P527" s="9">
        <f t="shared" si="116"/>
        <v>-2.4287041235347858E-2</v>
      </c>
      <c r="Q527" s="9">
        <f t="shared" si="116"/>
        <v>-2.678073831327632E-2</v>
      </c>
      <c r="R527" s="9">
        <f t="shared" si="116"/>
        <v>-2.8866938699119379E-2</v>
      </c>
      <c r="S527" s="9">
        <f t="shared" si="116"/>
        <v>-3.0994408161726106E-2</v>
      </c>
      <c r="T527" s="9">
        <f t="shared" si="116"/>
        <v>-3.3081301403799265E-2</v>
      </c>
      <c r="U527" s="9">
        <f t="shared" si="116"/>
        <v>-3.5162003737039323E-2</v>
      </c>
      <c r="V527" s="9">
        <f t="shared" si="116"/>
        <v>-3.7153020646840687E-2</v>
      </c>
      <c r="W527" s="9">
        <f t="shared" si="116"/>
        <v>-3.8960055588009794E-2</v>
      </c>
      <c r="X527" s="9">
        <f t="shared" si="116"/>
        <v>-4.0498885164945875E-2</v>
      </c>
      <c r="Y527" s="9">
        <f t="shared" si="116"/>
        <v>-4.1737473775839404E-2</v>
      </c>
      <c r="Z527" s="9">
        <f t="shared" si="116"/>
        <v>-4.2660981611521806E-2</v>
      </c>
      <c r="AA527" s="9">
        <f t="shared" si="116"/>
        <v>-4.326604387926155E-2</v>
      </c>
      <c r="AB527" s="9">
        <f t="shared" si="116"/>
        <v>-4.3579563068816787E-2</v>
      </c>
      <c r="AC527" s="9">
        <f t="shared" si="116"/>
        <v>-4.3600013247162596E-2</v>
      </c>
      <c r="AD527" s="9">
        <f t="shared" si="116"/>
        <v>-4.334918854159777E-2</v>
      </c>
      <c r="AE527" s="9">
        <f t="shared" si="116"/>
        <v>-4.2853538914235288E-2</v>
      </c>
      <c r="AF527" s="9">
        <f t="shared" si="116"/>
        <v>-4.2149690605238911E-2</v>
      </c>
      <c r="AG527" s="9">
        <f t="shared" si="116"/>
        <v>-4.1274068159378161E-2</v>
      </c>
      <c r="AH527" s="9">
        <f t="shared" si="116"/>
        <v>-4.025520488149615E-2</v>
      </c>
      <c r="AI527" s="9">
        <f t="shared" si="116"/>
        <v>-3.9106063863270653E-2</v>
      </c>
      <c r="AJ527" s="9">
        <f t="shared" si="116"/>
        <v>-3.7832068217748975E-2</v>
      </c>
      <c r="AK527" s="9">
        <f t="shared" si="116"/>
        <v>-3.6429716061481807E-2</v>
      </c>
      <c r="AL527" s="9">
        <f t="shared" si="116"/>
        <v>-3.4885033021585132E-2</v>
      </c>
    </row>
    <row r="528" spans="2:38" x14ac:dyDescent="0.35">
      <c r="B528" t="s">
        <v>104</v>
      </c>
      <c r="C528" s="9">
        <f>(C515-C521)/C519</f>
        <v>7.1734962029435488E-10</v>
      </c>
      <c r="D528" s="9">
        <f t="shared" ref="D528:AL528" si="117">(D515-D521)/D519</f>
        <v>7.0943909411511236E-10</v>
      </c>
      <c r="E528" s="9">
        <f t="shared" si="117"/>
        <v>-7.0157352591195492E-10</v>
      </c>
      <c r="F528" s="9">
        <f t="shared" si="117"/>
        <v>-1.3865233446496276E-9</v>
      </c>
      <c r="G528" s="9">
        <f t="shared" si="117"/>
        <v>-1.3683599688952381E-9</v>
      </c>
      <c r="H528" s="9">
        <f t="shared" si="117"/>
        <v>-2.0227846509726343E-9</v>
      </c>
      <c r="I528" s="9">
        <f t="shared" si="117"/>
        <v>-2.6556795407631615E-9</v>
      </c>
      <c r="J528" s="9">
        <f t="shared" si="117"/>
        <v>-9.0826971145714537E-3</v>
      </c>
      <c r="K528" s="9">
        <f t="shared" si="117"/>
        <v>-1.8863370526956701E-2</v>
      </c>
      <c r="L528" s="9">
        <f t="shared" si="117"/>
        <v>-2.2391019254357682E-2</v>
      </c>
      <c r="M528" s="9">
        <f t="shared" si="117"/>
        <v>-2.3988795473315203E-2</v>
      </c>
      <c r="N528" s="9">
        <f t="shared" si="117"/>
        <v>-2.3756975528372117E-2</v>
      </c>
      <c r="O528" s="9">
        <f t="shared" si="117"/>
        <v>-2.2129404325270843E-2</v>
      </c>
      <c r="P528" s="9">
        <f t="shared" si="117"/>
        <v>-1.8898382106528208E-2</v>
      </c>
      <c r="Q528" s="9">
        <f t="shared" si="117"/>
        <v>-1.3663213376224491E-2</v>
      </c>
      <c r="R528" s="9">
        <f t="shared" si="117"/>
        <v>-6.441783295319338E-3</v>
      </c>
      <c r="S528" s="9">
        <f t="shared" si="117"/>
        <v>9.8593145937504278E-4</v>
      </c>
      <c r="T528" s="9">
        <f t="shared" si="117"/>
        <v>8.854068030319559E-3</v>
      </c>
      <c r="U528" s="9">
        <f t="shared" si="117"/>
        <v>1.734029813683655E-2</v>
      </c>
      <c r="V528" s="9">
        <f t="shared" si="117"/>
        <v>2.6772579954268134E-2</v>
      </c>
      <c r="W528" s="9">
        <f t="shared" si="117"/>
        <v>3.7561314120841828E-2</v>
      </c>
      <c r="X528" s="9">
        <f t="shared" si="117"/>
        <v>5.0207948297492144E-2</v>
      </c>
      <c r="Y528" s="9">
        <f t="shared" si="117"/>
        <v>6.5242297878102692E-2</v>
      </c>
      <c r="Z528" s="9">
        <f t="shared" si="117"/>
        <v>8.3166222332611478E-2</v>
      </c>
      <c r="AA528" s="9">
        <f t="shared" si="117"/>
        <v>0.10452951816769601</v>
      </c>
      <c r="AB528" s="9">
        <f t="shared" si="117"/>
        <v>0.12994183631097156</v>
      </c>
      <c r="AC528" s="9">
        <f t="shared" si="117"/>
        <v>0.16051202108949278</v>
      </c>
      <c r="AD528" s="9">
        <f t="shared" si="117"/>
        <v>0.19732387567580889</v>
      </c>
      <c r="AE528" s="9">
        <f t="shared" si="117"/>
        <v>0.24163838897199402</v>
      </c>
      <c r="AF528" s="9">
        <f t="shared" si="117"/>
        <v>0.29503742113916021</v>
      </c>
      <c r="AG528" s="9">
        <f t="shared" si="117"/>
        <v>0.35958504344445308</v>
      </c>
      <c r="AH528" s="9">
        <f t="shared" si="117"/>
        <v>0.43812570574326654</v>
      </c>
      <c r="AI528" s="9">
        <f t="shared" si="117"/>
        <v>0.53462179724798597</v>
      </c>
      <c r="AJ528" s="9">
        <f t="shared" si="117"/>
        <v>0.65458563215622656</v>
      </c>
      <c r="AK528" s="9">
        <f t="shared" si="117"/>
        <v>0.80605412296723955</v>
      </c>
      <c r="AL528" s="9">
        <f t="shared" si="117"/>
        <v>1.0012614608301882</v>
      </c>
    </row>
    <row r="529" spans="2:38" x14ac:dyDescent="0.35">
      <c r="B529" t="s">
        <v>20</v>
      </c>
      <c r="C529" s="9">
        <f>(C517-C514-(C523-C520))/C519</f>
        <v>-7.1734941641137608E-10</v>
      </c>
      <c r="D529" s="9">
        <f t="shared" ref="D529:AL529" si="118">(D517-D514-(D523-D520))/D519</f>
        <v>0</v>
      </c>
      <c r="E529" s="9">
        <f t="shared" si="118"/>
        <v>1.4031472512231106E-9</v>
      </c>
      <c r="F529" s="9">
        <f t="shared" si="118"/>
        <v>2.773046886336085E-9</v>
      </c>
      <c r="G529" s="9">
        <f t="shared" si="118"/>
        <v>3.3524820599122945E-9</v>
      </c>
      <c r="H529" s="9">
        <f t="shared" si="118"/>
        <v>3.9781431916280664E-9</v>
      </c>
      <c r="I529" s="9">
        <f t="shared" si="118"/>
        <v>3.917127176385195E-9</v>
      </c>
      <c r="J529" s="9">
        <f t="shared" si="118"/>
        <v>2.0019227024149412E-2</v>
      </c>
      <c r="K529" s="9">
        <f t="shared" si="118"/>
        <v>4.1615769862734853E-2</v>
      </c>
      <c r="L529" s="9">
        <f t="shared" si="118"/>
        <v>6.0993763187547158E-2</v>
      </c>
      <c r="M529" s="9">
        <f t="shared" si="118"/>
        <v>7.8710451917193267E-2</v>
      </c>
      <c r="N529" s="9">
        <f t="shared" si="118"/>
        <v>9.3385665249826139E-2</v>
      </c>
      <c r="O529" s="9">
        <f t="shared" si="118"/>
        <v>0.10596149144438975</v>
      </c>
      <c r="P529" s="9">
        <f t="shared" si="118"/>
        <v>0.11696978718042927</v>
      </c>
      <c r="Q529" s="9">
        <f t="shared" si="118"/>
        <v>0.1266994196699279</v>
      </c>
      <c r="R529" s="9">
        <f t="shared" si="118"/>
        <v>0.13541450793374468</v>
      </c>
      <c r="S529" s="9">
        <f t="shared" si="118"/>
        <v>0.14408076614506593</v>
      </c>
      <c r="T529" s="9">
        <f t="shared" si="118"/>
        <v>0.15331526335943052</v>
      </c>
      <c r="U529" s="9">
        <f t="shared" si="118"/>
        <v>0.16290504100164685</v>
      </c>
      <c r="V529" s="9">
        <f t="shared" si="118"/>
        <v>0.17262012058057685</v>
      </c>
      <c r="W529" s="9">
        <f t="shared" si="118"/>
        <v>0.18225973954887897</v>
      </c>
      <c r="X529" s="9">
        <f t="shared" si="118"/>
        <v>0.19163319818412008</v>
      </c>
      <c r="Y529" s="9">
        <f t="shared" si="118"/>
        <v>0.20061437473964477</v>
      </c>
      <c r="Z529" s="9">
        <f t="shared" si="118"/>
        <v>0.20910714643066561</v>
      </c>
      <c r="AA529" s="9">
        <f t="shared" si="118"/>
        <v>0.2170299267471785</v>
      </c>
      <c r="AB529" s="9">
        <f t="shared" si="118"/>
        <v>0.22435041804553313</v>
      </c>
      <c r="AC529" s="9">
        <f t="shared" si="118"/>
        <v>0.23118477291944317</v>
      </c>
      <c r="AD529" s="9">
        <f t="shared" si="118"/>
        <v>0.23718461565867116</v>
      </c>
      <c r="AE529" s="9">
        <f t="shared" si="118"/>
        <v>0.24224231995256099</v>
      </c>
      <c r="AF529" s="9">
        <f t="shared" si="118"/>
        <v>0.24622831001125903</v>
      </c>
      <c r="AG529" s="9">
        <f t="shared" si="118"/>
        <v>0.24896818899008274</v>
      </c>
      <c r="AH529" s="9">
        <f t="shared" si="118"/>
        <v>0.25021770391399695</v>
      </c>
      <c r="AI529" s="9">
        <f t="shared" si="118"/>
        <v>0.2496213592732032</v>
      </c>
      <c r="AJ529" s="9">
        <f t="shared" si="118"/>
        <v>0.24666316906564886</v>
      </c>
      <c r="AK529" s="9">
        <f t="shared" si="118"/>
        <v>0.24058679490047666</v>
      </c>
      <c r="AL529" s="9">
        <f t="shared" si="118"/>
        <v>0.23024872680873643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2022-02-16T13:57:06Z</dcterms:modified>
</cp:coreProperties>
</file>