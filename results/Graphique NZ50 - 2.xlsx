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firstSheet="16" activeTab="16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523" i="2" l="1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I526" i="2" l="1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L528" i="2" l="1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F507" i="2" l="1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L507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L510" i="2"/>
  <c r="AD510" i="2"/>
  <c r="V510" i="2"/>
  <c r="N510" i="2"/>
  <c r="F510" i="2"/>
  <c r="AH507" i="2"/>
  <c r="Z507" i="2"/>
  <c r="R507" i="2"/>
  <c r="J507" i="2"/>
  <c r="AL506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L509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L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L494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L481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E508" i="2" s="1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I508" i="2" s="1"/>
  <c r="AA481" i="2"/>
  <c r="AA508" i="2" s="1"/>
  <c r="S481" i="2"/>
  <c r="S508" i="2" s="1"/>
  <c r="K481" i="2"/>
  <c r="K508" i="2" s="1"/>
  <c r="D487" i="2"/>
  <c r="AL487" i="2"/>
  <c r="AD487" i="2"/>
  <c r="V487" i="2"/>
  <c r="N487" i="2"/>
  <c r="F487" i="2"/>
  <c r="AH481" i="2"/>
  <c r="Z481" i="2"/>
  <c r="R481" i="2"/>
  <c r="J481" i="2"/>
  <c r="AE476" i="2"/>
  <c r="AL453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L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L473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L472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L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L475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L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L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M508" i="2" l="1"/>
  <c r="P511" i="2"/>
  <c r="AL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AL508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L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AL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L283" i="2"/>
  <c r="E292" i="2" s="1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L282" i="2"/>
  <c r="E291" i="2" s="1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L279" i="2"/>
  <c r="E288" i="2" s="1"/>
  <c r="AD279" i="2"/>
  <c r="V279" i="2"/>
  <c r="N279" i="2"/>
  <c r="F279" i="2"/>
  <c r="AI285" i="2"/>
  <c r="AA285" i="2"/>
  <c r="S285" i="2"/>
  <c r="K285" i="2"/>
  <c r="AL284" i="2"/>
  <c r="E293" i="2" s="1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L281" i="2"/>
  <c r="E290" i="2" s="1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L285" i="2"/>
  <c r="E294" i="2" s="1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L280" i="2"/>
  <c r="E289" i="2" s="1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L198" i="2" l="1"/>
  <c r="E107" i="2"/>
  <c r="AL259" i="2"/>
  <c r="AD216" i="2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AL216" i="2"/>
  <c r="E226" i="2" s="1"/>
  <c r="AL220" i="2"/>
  <c r="E230" i="2" s="1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L87" i="2"/>
  <c r="AL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AL258" i="2"/>
  <c r="E110" i="2"/>
  <c r="E119" i="2"/>
  <c r="AL65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AL257" i="2"/>
  <c r="AL99" i="2"/>
  <c r="AL98" i="2" s="1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AL244" i="2"/>
  <c r="AL261" i="2"/>
  <c r="E108" i="2"/>
  <c r="E117" i="2"/>
  <c r="AL60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AL256" i="2"/>
  <c r="E114" i="2"/>
  <c r="E122" i="2"/>
  <c r="AL218" i="2"/>
  <c r="E228" i="2" s="1"/>
  <c r="AL217" i="2"/>
  <c r="E227" i="2" s="1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AL260" i="2"/>
  <c r="AL197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E111" i="2"/>
  <c r="E120" i="2"/>
  <c r="AL210" i="2"/>
  <c r="AL209" i="2" s="1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AL255" i="2"/>
  <c r="AL235" i="2"/>
  <c r="E109" i="2"/>
  <c r="E118" i="2"/>
  <c r="AL219" i="2"/>
  <c r="E229" i="2" s="1"/>
  <c r="AL223" i="2"/>
  <c r="E233" i="2" s="1"/>
  <c r="AL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E112" i="2"/>
  <c r="E121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L222" i="2"/>
  <c r="E232" i="2" s="1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E113" i="2"/>
  <c r="L221" i="2"/>
  <c r="AL254" i="2"/>
  <c r="L222" i="2"/>
  <c r="AA221" i="2"/>
  <c r="AL221" i="2"/>
  <c r="E231" i="2" s="1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<sst xmlns="http://schemas.openxmlformats.org/spreadsheetml/2006/main" count="400" uniqueCount="106">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</sst>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4.2803519879134152E-8</c:v>
                </c:pt>
                <c:pt idx="4">
                  <c:v>4.1833054927938562E-8</c:v>
                </c:pt>
                <c:pt idx="5">
                  <c:v>0</c:v>
                </c:pt>
                <c:pt idx="6">
                  <c:v>0</c:v>
                </c:pt>
                <c:pt idx="7">
                  <c:v>-2.3664758259374537E-2</c:v>
                </c:pt>
                <c:pt idx="8">
                  <c:v>-6.8973270409666498E-2</c:v>
                </c:pt>
                <c:pt idx="9">
                  <c:v>-3.7144975389814261E-2</c:v>
                </c:pt>
                <c:pt idx="10">
                  <c:v>8.1494186509300501E-2</c:v>
                </c:pt>
                <c:pt idx="11">
                  <c:v>0.25961046494576867</c:v>
                </c:pt>
                <c:pt idx="12">
                  <c:v>0.48153482882236887</c:v>
                </c:pt>
                <c:pt idx="13">
                  <c:v>0.71620900354104844</c:v>
                </c:pt>
                <c:pt idx="14">
                  <c:v>0.94454082381165605</c:v>
                </c:pt>
                <c:pt idx="15">
                  <c:v>1.1575623670650288</c:v>
                </c:pt>
                <c:pt idx="16">
                  <c:v>1.3442802106439864</c:v>
                </c:pt>
                <c:pt idx="17">
                  <c:v>1.49570902862425</c:v>
                </c:pt>
                <c:pt idx="18">
                  <c:v>1.6182666139054458</c:v>
                </c:pt>
                <c:pt idx="19">
                  <c:v>1.7181322540376378</c:v>
                </c:pt>
                <c:pt idx="20">
                  <c:v>1.7988959505915365</c:v>
                </c:pt>
                <c:pt idx="21">
                  <c:v>1.8596879394547499</c:v>
                </c:pt>
                <c:pt idx="22">
                  <c:v>1.9011915864138287</c:v>
                </c:pt>
                <c:pt idx="23">
                  <c:v>1.9261204184358547</c:v>
                </c:pt>
                <c:pt idx="24">
                  <c:v>1.9371026134371825</c:v>
                </c:pt>
                <c:pt idx="25">
                  <c:v>1.9363251915155164</c:v>
                </c:pt>
                <c:pt idx="26">
                  <c:v>1.9191195873716285</c:v>
                </c:pt>
                <c:pt idx="27">
                  <c:v>1.8841909404034394</c:v>
                </c:pt>
                <c:pt idx="28">
                  <c:v>1.8374887605234356</c:v>
                </c:pt>
                <c:pt idx="29">
                  <c:v>1.7849741832289281</c:v>
                </c:pt>
                <c:pt idx="30">
                  <c:v>1.7307198091147347</c:v>
                </c:pt>
                <c:pt idx="31">
                  <c:v>1.6754718373752462</c:v>
                </c:pt>
                <c:pt idx="32">
                  <c:v>1.6196066202716277</c:v>
                </c:pt>
                <c:pt idx="33">
                  <c:v>1.5667947829466764</c:v>
                </c:pt>
                <c:pt idx="34">
                  <c:v>1.5210501018690885</c:v>
                </c:pt>
                <c:pt idx="35">
                  <c:v>1.485450429493492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4.3753649910048393E-9</c:v>
                </c:pt>
                <c:pt idx="3">
                  <c:v>0</c:v>
                </c:pt>
                <c:pt idx="4">
                  <c:v>4.1833059797947446E-9</c:v>
                </c:pt>
                <c:pt idx="5">
                  <c:v>4.085377057014409E-9</c:v>
                </c:pt>
                <c:pt idx="6">
                  <c:v>3.990278830514242E-9</c:v>
                </c:pt>
                <c:pt idx="7">
                  <c:v>-5.3788899284015659E-2</c:v>
                </c:pt>
                <c:pt idx="8">
                  <c:v>-0.12292959918342489</c:v>
                </c:pt>
                <c:pt idx="9">
                  <c:v>-0.13771426343198634</c:v>
                </c:pt>
                <c:pt idx="10">
                  <c:v>-0.12304714107170145</c:v>
                </c:pt>
                <c:pt idx="11">
                  <c:v>-9.2692643109603692E-2</c:v>
                </c:pt>
                <c:pt idx="12">
                  <c:v>-5.6482292824561846E-2</c:v>
                </c:pt>
                <c:pt idx="13">
                  <c:v>-1.6434665202201368E-2</c:v>
                </c:pt>
                <c:pt idx="14">
                  <c:v>3.0545574329491499E-2</c:v>
                </c:pt>
                <c:pt idx="15">
                  <c:v>8.6055899335027636E-2</c:v>
                </c:pt>
                <c:pt idx="16">
                  <c:v>0.14092688391864983</c:v>
                </c:pt>
                <c:pt idx="17">
                  <c:v>0.19475067248758618</c:v>
                </c:pt>
                <c:pt idx="18">
                  <c:v>0.24924498464032291</c:v>
                </c:pt>
                <c:pt idx="19">
                  <c:v>0.3068151055743662</c:v>
                </c:pt>
                <c:pt idx="20">
                  <c:v>0.3698471109088356</c:v>
                </c:pt>
                <c:pt idx="21">
                  <c:v>0.43986763843560034</c:v>
                </c:pt>
                <c:pt idx="22">
                  <c:v>0.51831567252759014</c:v>
                </c:pt>
                <c:pt idx="23">
                  <c:v>0.60668883761880277</c:v>
                </c:pt>
                <c:pt idx="24">
                  <c:v>0.70646975199130524</c:v>
                </c:pt>
                <c:pt idx="25">
                  <c:v>0.8192711662833172</c:v>
                </c:pt>
                <c:pt idx="26">
                  <c:v>0.94539636237681235</c:v>
                </c:pt>
                <c:pt idx="27">
                  <c:v>1.0840439267827882</c:v>
                </c:pt>
                <c:pt idx="28">
                  <c:v>1.2356734886518457</c:v>
                </c:pt>
                <c:pt idx="29">
                  <c:v>1.4015782897960285</c:v>
                </c:pt>
                <c:pt idx="30">
                  <c:v>1.5834133403431709</c:v>
                </c:pt>
                <c:pt idx="31">
                  <c:v>1.7826461571932017</c:v>
                </c:pt>
                <c:pt idx="32">
                  <c:v>2.0009428579976483</c:v>
                </c:pt>
                <c:pt idx="33">
                  <c:v>2.2410490282066946</c:v>
                </c:pt>
                <c:pt idx="34">
                  <c:v>2.506800428285521</c:v>
                </c:pt>
                <c:pt idx="35">
                  <c:v>2.8032346790875668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-4.3753675378023368E-9</c:v>
                </c:pt>
                <c:pt idx="3">
                  <c:v>-8.5607099554098926E-9</c:v>
                </c:pt>
                <c:pt idx="4">
                  <c:v>-1.2549920374388678E-8</c:v>
                </c:pt>
                <c:pt idx="5">
                  <c:v>-1.6341517740072419E-8</c:v>
                </c:pt>
                <c:pt idx="6">
                  <c:v>-1.5961124612653822E-8</c:v>
                </c:pt>
                <c:pt idx="7">
                  <c:v>-0.14832577757720947</c:v>
                </c:pt>
                <c:pt idx="8">
                  <c:v>-0.26080525417029254</c:v>
                </c:pt>
                <c:pt idx="9">
                  <c:v>-0.14076605069365555</c:v>
                </c:pt>
                <c:pt idx="10">
                  <c:v>-0.11724880837744622</c:v>
                </c:pt>
                <c:pt idx="11">
                  <c:v>-0.19405612263151342</c:v>
                </c:pt>
                <c:pt idx="12">
                  <c:v>-0.35374830865390794</c:v>
                </c:pt>
                <c:pt idx="13">
                  <c:v>-0.54919595707221858</c:v>
                </c:pt>
                <c:pt idx="14">
                  <c:v>-0.74332565482868418</c:v>
                </c:pt>
                <c:pt idx="15">
                  <c:v>-0.92968484982172306</c:v>
                </c:pt>
                <c:pt idx="16">
                  <c:v>-1.1216682201060604</c:v>
                </c:pt>
                <c:pt idx="17">
                  <c:v>-1.3034265753456213</c:v>
                </c:pt>
                <c:pt idx="18">
                  <c:v>-1.4783790740887892</c:v>
                </c:pt>
                <c:pt idx="19">
                  <c:v>-1.6484168683301383</c:v>
                </c:pt>
                <c:pt idx="20">
                  <c:v>-1.8140677458859038</c:v>
                </c:pt>
                <c:pt idx="21">
                  <c:v>-1.9720515427440337</c:v>
                </c:pt>
                <c:pt idx="22">
                  <c:v>-2.1208805959183263</c:v>
                </c:pt>
                <c:pt idx="23">
                  <c:v>-2.2610438682698715</c:v>
                </c:pt>
                <c:pt idx="24">
                  <c:v>-2.392894318995137</c:v>
                </c:pt>
                <c:pt idx="25">
                  <c:v>-2.5180897120103132</c:v>
                </c:pt>
                <c:pt idx="26">
                  <c:v>-2.6275554489689803</c:v>
                </c:pt>
                <c:pt idx="27">
                  <c:v>-2.7196031100518154</c:v>
                </c:pt>
                <c:pt idx="28">
                  <c:v>-2.7972801131448044</c:v>
                </c:pt>
                <c:pt idx="29">
                  <c:v>-2.8638986203690555</c:v>
                </c:pt>
                <c:pt idx="30">
                  <c:v>-2.9222882049735879</c:v>
                </c:pt>
                <c:pt idx="31">
                  <c:v>-2.9731950859672631</c:v>
                </c:pt>
                <c:pt idx="32">
                  <c:v>-3.0176145605030413</c:v>
                </c:pt>
                <c:pt idx="33">
                  <c:v>-3.0604869210975947</c:v>
                </c:pt>
                <c:pt idx="34">
                  <c:v>-3.1079420201802135</c:v>
                </c:pt>
                <c:pt idx="35">
                  <c:v>-3.1666337102624604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-6.0997540352047963E-9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-5.5311533131430224E-9</c:v>
                      </c:pt>
                      <c:pt idx="7">
                        <c:v>-0.2889886400339492</c:v>
                      </c:pt>
                      <c:pt idx="8">
                        <c:v>-0.57286449044265941</c:v>
                      </c:pt>
                      <c:pt idx="9">
                        <c:v>-0.40550972274832064</c:v>
                      </c:pt>
                      <c:pt idx="10">
                        <c:v>-0.23522963091492377</c:v>
                      </c:pt>
                      <c:pt idx="11">
                        <c:v>-0.11274081555182613</c:v>
                      </c:pt>
                      <c:pt idx="12">
                        <c:v>-4.3353800857814928E-2</c:v>
                      </c:pt>
                      <c:pt idx="13">
                        <c:v>-2.3325062113221939E-3</c:v>
                      </c:pt>
                      <c:pt idx="14">
                        <c:v>4.0929542877954361E-2</c:v>
                      </c:pt>
                      <c:pt idx="15">
                        <c:v>8.6764915505210816E-2</c:v>
                      </c:pt>
                      <c:pt idx="16">
                        <c:v>9.6407876183302044E-2</c:v>
                      </c:pt>
                      <c:pt idx="17">
                        <c:v>7.9113475393999266E-2</c:v>
                      </c:pt>
                      <c:pt idx="18">
                        <c:v>3.9524167284854528E-2</c:v>
                      </c:pt>
                      <c:pt idx="19">
                        <c:v>-1.5138233982803229E-2</c:v>
                      </c:pt>
                      <c:pt idx="20">
                        <c:v>-7.8806973963452265E-2</c:v>
                      </c:pt>
                      <c:pt idx="21">
                        <c:v>-0.14642439822895037</c:v>
                      </c:pt>
                      <c:pt idx="22">
                        <c:v>-0.21374613632170192</c:v>
                      </c:pt>
                      <c:pt idx="23">
                        <c:v>-0.27671294056963447</c:v>
                      </c:pt>
                      <c:pt idx="24">
                        <c:v>-0.33125759563867874</c:v>
                      </c:pt>
                      <c:pt idx="25">
                        <c:v>-0.37544884400689815</c:v>
                      </c:pt>
                      <c:pt idx="26">
                        <c:v>-0.40298513717805795</c:v>
                      </c:pt>
                      <c:pt idx="27">
                        <c:v>-0.41454634884752206</c:v>
                      </c:pt>
                      <c:pt idx="28">
                        <c:v>-0.40754556828895838</c:v>
                      </c:pt>
                      <c:pt idx="29">
                        <c:v>-0.37880967344352534</c:v>
                      </c:pt>
                      <c:pt idx="30">
                        <c:v>-0.32629828779133785</c:v>
                      </c:pt>
                      <c:pt idx="31">
                        <c:v>-0.24935401811549962</c:v>
                      </c:pt>
                      <c:pt idx="32">
                        <c:v>-0.14802847968116151</c:v>
                      </c:pt>
                      <c:pt idx="33">
                        <c:v>-2.2716392461630264E-2</c:v>
                      </c:pt>
                      <c:pt idx="34">
                        <c:v>0.12601044196489664</c:v>
                      </c:pt>
                      <c:pt idx="35">
                        <c:v>0.29675423262001122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8.7507325288071776E-10</c:v>
                      </c:pt>
                      <c:pt idx="3">
                        <c:v>1.7121408699101543E-9</c:v>
                      </c:pt>
                      <c:pt idx="4">
                        <c:v>1.6733222701676759E-9</c:v>
                      </c:pt>
                      <c:pt idx="5">
                        <c:v>2.4512277799110475E-9</c:v>
                      </c:pt>
                      <c:pt idx="6">
                        <c:v>2.7931964588170368E-9</c:v>
                      </c:pt>
                      <c:pt idx="7">
                        <c:v>-6.6069111714303214E-2</c:v>
                      </c:pt>
                      <c:pt idx="8">
                        <c:v>-0.1135947924710438</c:v>
                      </c:pt>
                      <c:pt idx="9">
                        <c:v>-0.12963825269144846</c:v>
                      </c:pt>
                      <c:pt idx="10">
                        <c:v>-0.12536006928213811</c:v>
                      </c:pt>
                      <c:pt idx="11">
                        <c:v>-9.1575692559000527E-2</c:v>
                      </c:pt>
                      <c:pt idx="12">
                        <c:v>-5.248473448677056E-2</c:v>
                      </c:pt>
                      <c:pt idx="13">
                        <c:v>-2.0329467098867949E-2</c:v>
                      </c:pt>
                      <c:pt idx="14">
                        <c:v>2.7307103185468633E-3</c:v>
                      </c:pt>
                      <c:pt idx="15">
                        <c:v>1.8355156524851035E-2</c:v>
                      </c:pt>
                      <c:pt idx="16">
                        <c:v>1.502082784494542E-2</c:v>
                      </c:pt>
                      <c:pt idx="17">
                        <c:v>4.678174271217128E-3</c:v>
                      </c:pt>
                      <c:pt idx="18">
                        <c:v>-5.2376877688108895E-3</c:v>
                      </c:pt>
                      <c:pt idx="19">
                        <c:v>-1.2171646799436241E-2</c:v>
                      </c:pt>
                      <c:pt idx="20">
                        <c:v>-1.6094321923672245E-2</c:v>
                      </c:pt>
                      <c:pt idx="21">
                        <c:v>-1.7698225303447487E-2</c:v>
                      </c:pt>
                      <c:pt idx="22">
                        <c:v>-1.7896084775068526E-2</c:v>
                      </c:pt>
                      <c:pt idx="23">
                        <c:v>-1.7129510093004278E-2</c:v>
                      </c:pt>
                      <c:pt idx="24">
                        <c:v>-1.5680592111611012E-2</c:v>
                      </c:pt>
                      <c:pt idx="25">
                        <c:v>-1.4024835275533004E-2</c:v>
                      </c:pt>
                      <c:pt idx="26">
                        <c:v>-1.2435103954170992E-2</c:v>
                      </c:pt>
                      <c:pt idx="27">
                        <c:v>-1.1245282749121573E-2</c:v>
                      </c:pt>
                      <c:pt idx="28">
                        <c:v>-9.9158833767976941E-3</c:v>
                      </c:pt>
                      <c:pt idx="29">
                        <c:v>-7.9989945440405025E-3</c:v>
                      </c:pt>
                      <c:pt idx="30">
                        <c:v>-5.3303128758024065E-3</c:v>
                      </c:pt>
                      <c:pt idx="31">
                        <c:v>-1.9766547778498835E-3</c:v>
                      </c:pt>
                      <c:pt idx="32">
                        <c:v>2.0814181504444779E-3</c:v>
                      </c:pt>
                      <c:pt idx="33">
                        <c:v>7.2259431651990492E-3</c:v>
                      </c:pt>
                      <c:pt idx="34">
                        <c:v>1.3848664506456096E-2</c:v>
                      </c:pt>
                      <c:pt idx="35">
                        <c:v>2.2164056603902953E-2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-0.22577943122299438</c:v>
                </c:pt>
                <c:pt idx="8">
                  <c:v>-0.45270811614862572</c:v>
                </c:pt>
                <c:pt idx="9">
                  <c:v>-0.31562530067381633</c:v>
                </c:pt>
                <c:pt idx="10">
                  <c:v>-0.15880178837761605</c:v>
                </c:pt>
                <c:pt idx="11">
                  <c:v>-2.713829011178337E-2</c:v>
                </c:pt>
                <c:pt idx="12">
                  <c:v>7.1304220350509873E-2</c:v>
                </c:pt>
                <c:pt idx="13">
                  <c:v>0.15057840533787559</c:v>
                </c:pt>
                <c:pt idx="14">
                  <c:v>0.23176076362543263</c:v>
                </c:pt>
                <c:pt idx="15">
                  <c:v>0.31393342991943296</c:v>
                </c:pt>
                <c:pt idx="16">
                  <c:v>0.36353884817050819</c:v>
                </c:pt>
                <c:pt idx="17">
                  <c:v>0.38703312576622295</c:v>
                </c:pt>
                <c:pt idx="18">
                  <c:v>0.38913253400862935</c:v>
                </c:pt>
                <c:pt idx="19">
                  <c:v>0.3765304787602064</c:v>
                </c:pt>
                <c:pt idx="20">
                  <c:v>0.35467533714732546</c:v>
                </c:pt>
                <c:pt idx="21">
                  <c:v>0.3275040502408455</c:v>
                </c:pt>
                <c:pt idx="22">
                  <c:v>0.29862664822659646</c:v>
                </c:pt>
                <c:pt idx="23">
                  <c:v>0.27176539068221039</c:v>
                </c:pt>
                <c:pt idx="24">
                  <c:v>0.25067804926701687</c:v>
                </c:pt>
                <c:pt idx="25">
                  <c:v>0.23750664301731561</c:v>
                </c:pt>
                <c:pt idx="26">
                  <c:v>0.23696049807262476</c:v>
                </c:pt>
                <c:pt idx="27">
                  <c:v>0.24863178883176573</c:v>
                </c:pt>
                <c:pt idx="28">
                  <c:v>0.27588212830473857</c:v>
                </c:pt>
                <c:pt idx="29">
                  <c:v>0.32265390283416906</c:v>
                </c:pt>
                <c:pt idx="30">
                  <c:v>0.39184496891615517</c:v>
                </c:pt>
                <c:pt idx="31">
                  <c:v>0.48492290860118192</c:v>
                </c:pt>
                <c:pt idx="32">
                  <c:v>0.6029349177662402</c:v>
                </c:pt>
                <c:pt idx="33">
                  <c:v>0.74735691260459092</c:v>
                </c:pt>
                <c:pt idx="34">
                  <c:v>0.91990850997438756</c:v>
                </c:pt>
                <c:pt idx="35">
                  <c:v>1.1220513769173657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1.9529504327825853</c:v>
                </c:pt>
                <c:pt idx="2">
                  <c:v>1.996537280198929</c:v>
                </c:pt>
                <c:pt idx="3">
                  <c:v>2.1445466343441133</c:v>
                </c:pt>
                <c:pt idx="4">
                  <c:v>2.0442781295981316</c:v>
                </c:pt>
                <c:pt idx="5">
                  <c:v>2.0925603103785884</c:v>
                </c:pt>
                <c:pt idx="6">
                  <c:v>2.2367224679663567</c:v>
                </c:pt>
                <c:pt idx="7">
                  <c:v>2.3541374988724328</c:v>
                </c:pt>
                <c:pt idx="8">
                  <c:v>2.4323589981216642</c:v>
                </c:pt>
                <c:pt idx="9">
                  <c:v>2.4889920342040073</c:v>
                </c:pt>
                <c:pt idx="10">
                  <c:v>2.5140751503608838</c:v>
                </c:pt>
                <c:pt idx="11">
                  <c:v>2.4703269350016432</c:v>
                </c:pt>
                <c:pt idx="12">
                  <c:v>2.3650115594431975</c:v>
                </c:pt>
                <c:pt idx="13">
                  <c:v>2.2173048613579605</c:v>
                </c:pt>
                <c:pt idx="14">
                  <c:v>2.0514110347005898</c:v>
                </c:pt>
                <c:pt idx="15">
                  <c:v>1.8818050066017555</c:v>
                </c:pt>
                <c:pt idx="16">
                  <c:v>1.6390463406307898</c:v>
                </c:pt>
                <c:pt idx="17">
                  <c:v>1.4277863423138193</c:v>
                </c:pt>
                <c:pt idx="18">
                  <c:v>1.251786708361835</c:v>
                </c:pt>
                <c:pt idx="19">
                  <c:v>1.1144000788500419</c:v>
                </c:pt>
                <c:pt idx="20">
                  <c:v>1.018035584200172</c:v>
                </c:pt>
                <c:pt idx="21">
                  <c:v>0.95580418473799611</c:v>
                </c:pt>
                <c:pt idx="22">
                  <c:v>0.9302986934201174</c:v>
                </c:pt>
                <c:pt idx="23">
                  <c:v>0.94243638643072281</c:v>
                </c:pt>
                <c:pt idx="24">
                  <c:v>0.9946642277992801</c:v>
                </c:pt>
                <c:pt idx="25">
                  <c:v>1.0888396784987542</c:v>
                </c:pt>
                <c:pt idx="26">
                  <c:v>1.2104959767081702</c:v>
                </c:pt>
                <c:pt idx="27">
                  <c:v>1.355818750084925</c:v>
                </c:pt>
                <c:pt idx="28">
                  <c:v>1.51979297910112</c:v>
                </c:pt>
                <c:pt idx="29">
                  <c:v>1.6876428411396471</c:v>
                </c:pt>
                <c:pt idx="30">
                  <c:v>1.8533860034646743</c:v>
                </c:pt>
                <c:pt idx="31">
                  <c:v>2.0107546353625549</c:v>
                </c:pt>
                <c:pt idx="32">
                  <c:v>2.1550260418278233</c:v>
                </c:pt>
                <c:pt idx="33">
                  <c:v>2.2825143870987663</c:v>
                </c:pt>
                <c:pt idx="34">
                  <c:v>2.3900084021654111</c:v>
                </c:pt>
                <c:pt idx="35">
                  <c:v>2.4749392923585356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1.9529505325901031</c:v>
                </c:pt>
                <c:pt idx="2">
                  <c:v>1.9965371803487342</c:v>
                </c:pt>
                <c:pt idx="3">
                  <c:v>2.1445467303234933</c:v>
                </c:pt>
                <c:pt idx="4">
                  <c:v>2.0442781276772459</c:v>
                </c:pt>
                <c:pt idx="5">
                  <c:v>2.0925603084517075</c:v>
                </c:pt>
                <c:pt idx="6">
                  <c:v>2.236722465948926</c:v>
                </c:pt>
                <c:pt idx="7">
                  <c:v>3.2707815480976121</c:v>
                </c:pt>
                <c:pt idx="8">
                  <c:v>3.2244600158939152</c:v>
                </c:pt>
                <c:pt idx="9">
                  <c:v>3.4043492018871246</c:v>
                </c:pt>
                <c:pt idx="10">
                  <c:v>3.5608138812264656</c:v>
                </c:pt>
                <c:pt idx="11">
                  <c:v>3.3551764693243502</c:v>
                </c:pt>
                <c:pt idx="12">
                  <c:v>3.203380312248183</c:v>
                </c:pt>
                <c:pt idx="13">
                  <c:v>3.0099854689888517</c:v>
                </c:pt>
                <c:pt idx="14">
                  <c:v>2.7920807380406032</c:v>
                </c:pt>
                <c:pt idx="15">
                  <c:v>2.5612292658757418</c:v>
                </c:pt>
                <c:pt idx="16">
                  <c:v>2.3874465858706229</c:v>
                </c:pt>
                <c:pt idx="17">
                  <c:v>2.1649597407987331</c:v>
                </c:pt>
                <c:pt idx="18">
                  <c:v>1.9488762930280901</c:v>
                </c:pt>
                <c:pt idx="19">
                  <c:v>1.7534423460746407</c:v>
                </c:pt>
                <c:pt idx="20">
                  <c:v>1.5871446337039963</c:v>
                </c:pt>
                <c:pt idx="21">
                  <c:v>1.451179824488058</c:v>
                </c:pt>
                <c:pt idx="22">
                  <c:v>1.3476843543841932</c:v>
                </c:pt>
                <c:pt idx="23">
                  <c:v>1.2723501553099537</c:v>
                </c:pt>
                <c:pt idx="24">
                  <c:v>1.2307613476524315</c:v>
                </c:pt>
                <c:pt idx="25">
                  <c:v>1.2284639266481268</c:v>
                </c:pt>
                <c:pt idx="26">
                  <c:v>1.2719444071140007</c:v>
                </c:pt>
                <c:pt idx="27">
                  <c:v>1.3570554491385556</c:v>
                </c:pt>
                <c:pt idx="28">
                  <c:v>1.4582633517700172</c:v>
                </c:pt>
                <c:pt idx="29">
                  <c:v>1.5669971139346428</c:v>
                </c:pt>
                <c:pt idx="30">
                  <c:v>1.6804359982215855</c:v>
                </c:pt>
                <c:pt idx="31">
                  <c:v>1.8014969169914963</c:v>
                </c:pt>
                <c:pt idx="32">
                  <c:v>1.9263943500919423</c:v>
                </c:pt>
                <c:pt idx="33">
                  <c:v>2.0415843022320468</c:v>
                </c:pt>
                <c:pt idx="34">
                  <c:v>2.1444156772249201</c:v>
                </c:pt>
                <c:pt idx="35">
                  <c:v>2.2329513721448091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348.0186405</c:v>
                </c:pt>
                <c:pt idx="1">
                  <c:v>348.35285049999999</c:v>
                </c:pt>
                <c:pt idx="2">
                  <c:v>348.87126719999998</c:v>
                </c:pt>
                <c:pt idx="3">
                  <c:v>349.23256609999999</c:v>
                </c:pt>
                <c:pt idx="4">
                  <c:v>351.64635620000001</c:v>
                </c:pt>
                <c:pt idx="5">
                  <c:v>355.6287653</c:v>
                </c:pt>
                <c:pt idx="6">
                  <c:v>359.931557</c:v>
                </c:pt>
                <c:pt idx="7">
                  <c:v>364.30333150000001</c:v>
                </c:pt>
                <c:pt idx="8">
                  <c:v>368.74156310000001</c:v>
                </c:pt>
                <c:pt idx="9">
                  <c:v>373.2481573</c:v>
                </c:pt>
                <c:pt idx="10">
                  <c:v>377.74482389999997</c:v>
                </c:pt>
                <c:pt idx="11">
                  <c:v>381.34644789999999</c:v>
                </c:pt>
                <c:pt idx="12">
                  <c:v>384.18301209999998</c:v>
                </c:pt>
                <c:pt idx="13">
                  <c:v>386.41100640000002</c:v>
                </c:pt>
                <c:pt idx="14">
                  <c:v>388.21673449999997</c:v>
                </c:pt>
                <c:pt idx="15">
                  <c:v>389.78175210000001</c:v>
                </c:pt>
                <c:pt idx="16">
                  <c:v>391.81933029999999</c:v>
                </c:pt>
                <c:pt idx="17">
                  <c:v>394.41579610000002</c:v>
                </c:pt>
                <c:pt idx="18">
                  <c:v>397.62809190000002</c:v>
                </c:pt>
                <c:pt idx="19">
                  <c:v>401.46470870000002</c:v>
                </c:pt>
                <c:pt idx="20">
                  <c:v>405.84357340000003</c:v>
                </c:pt>
                <c:pt idx="21">
                  <c:v>410.90891379999999</c:v>
                </c:pt>
                <c:pt idx="22">
                  <c:v>416.67950300000001</c:v>
                </c:pt>
                <c:pt idx="23">
                  <c:v>423.18010600000002</c:v>
                </c:pt>
                <c:pt idx="24">
                  <c:v>430.41459400000002</c:v>
                </c:pt>
                <c:pt idx="25">
                  <c:v>438.13591750000001</c:v>
                </c:pt>
                <c:pt idx="26">
                  <c:v>446.61146880000001</c:v>
                </c:pt>
                <c:pt idx="27">
                  <c:v>455.8775488</c:v>
                </c:pt>
                <c:pt idx="28">
                  <c:v>465.94793490000001</c:v>
                </c:pt>
                <c:pt idx="29">
                  <c:v>476.74890900000003</c:v>
                </c:pt>
                <c:pt idx="30">
                  <c:v>488.15475609999999</c:v>
                </c:pt>
                <c:pt idx="31">
                  <c:v>500.03976349999999</c:v>
                </c:pt>
                <c:pt idx="32">
                  <c:v>512.28764309999997</c:v>
                </c:pt>
                <c:pt idx="33">
                  <c:v>524.78560119999997</c:v>
                </c:pt>
                <c:pt idx="34">
                  <c:v>537.41967209999996</c:v>
                </c:pt>
                <c:pt idx="35">
                  <c:v>550.07246269999996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348.01866310000003</c:v>
                </c:pt>
                <c:pt idx="1">
                  <c:v>348.35287260000001</c:v>
                </c:pt>
                <c:pt idx="2">
                  <c:v>348.8712888</c:v>
                </c:pt>
                <c:pt idx="3">
                  <c:v>349.23258709999999</c:v>
                </c:pt>
                <c:pt idx="4">
                  <c:v>351.64637699999997</c:v>
                </c:pt>
                <c:pt idx="5">
                  <c:v>355.62878610000001</c:v>
                </c:pt>
                <c:pt idx="6">
                  <c:v>359.93157789999998</c:v>
                </c:pt>
                <c:pt idx="7">
                  <c:v>349.44579499999998</c:v>
                </c:pt>
                <c:pt idx="8">
                  <c:v>338.66438319999997</c:v>
                </c:pt>
                <c:pt idx="9">
                  <c:v>329.38501050000002</c:v>
                </c:pt>
                <c:pt idx="10">
                  <c:v>320.89442539999999</c:v>
                </c:pt>
                <c:pt idx="11">
                  <c:v>313.16250100000002</c:v>
                </c:pt>
                <c:pt idx="12">
                  <c:v>305.70664290000002</c:v>
                </c:pt>
                <c:pt idx="13">
                  <c:v>298.35844059999999</c:v>
                </c:pt>
                <c:pt idx="14">
                  <c:v>291.11928760000001</c:v>
                </c:pt>
                <c:pt idx="15">
                  <c:v>283.98630120000001</c:v>
                </c:pt>
                <c:pt idx="16">
                  <c:v>276.752343</c:v>
                </c:pt>
                <c:pt idx="17">
                  <c:v>269.57847049999998</c:v>
                </c:pt>
                <c:pt idx="18">
                  <c:v>262.56395379999998</c:v>
                </c:pt>
                <c:pt idx="19">
                  <c:v>255.75262760000001</c:v>
                </c:pt>
                <c:pt idx="20">
                  <c:v>249.1098891</c:v>
                </c:pt>
                <c:pt idx="21">
                  <c:v>242.72161389999999</c:v>
                </c:pt>
                <c:pt idx="22">
                  <c:v>236.57125020000001</c:v>
                </c:pt>
                <c:pt idx="23">
                  <c:v>230.6236877</c:v>
                </c:pt>
                <c:pt idx="24">
                  <c:v>224.8242626</c:v>
                </c:pt>
                <c:pt idx="25">
                  <c:v>218.98875530000001</c:v>
                </c:pt>
                <c:pt idx="26">
                  <c:v>213.21404229999999</c:v>
                </c:pt>
                <c:pt idx="27">
                  <c:v>207.47235359999999</c:v>
                </c:pt>
                <c:pt idx="28">
                  <c:v>201.69351689999999</c:v>
                </c:pt>
                <c:pt idx="29">
                  <c:v>195.7588767</c:v>
                </c:pt>
                <c:pt idx="30">
                  <c:v>189.5287175</c:v>
                </c:pt>
                <c:pt idx="31">
                  <c:v>182.8718064</c:v>
                </c:pt>
                <c:pt idx="32">
                  <c:v>175.6601703</c:v>
                </c:pt>
                <c:pt idx="33">
                  <c:v>167.7455148</c:v>
                </c:pt>
                <c:pt idx="34">
                  <c:v>158.95146550000001</c:v>
                </c:pt>
                <c:pt idx="35">
                  <c:v>149.05299840000001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118.45195080000001</c:v>
                </c:pt>
                <c:pt idx="2">
                  <c:v>117.35122</c:v>
                </c:pt>
                <c:pt idx="3">
                  <c:v>116.33409760000001</c:v>
                </c:pt>
                <c:pt idx="4">
                  <c:v>115.9943998</c:v>
                </c:pt>
                <c:pt idx="5">
                  <c:v>116.0714986</c:v>
                </c:pt>
                <c:pt idx="6">
                  <c:v>116.12847669999999</c:v>
                </c:pt>
                <c:pt idx="7">
                  <c:v>116.1788088</c:v>
                </c:pt>
                <c:pt idx="8">
                  <c:v>116.2619744</c:v>
                </c:pt>
                <c:pt idx="9">
                  <c:v>116.3897166</c:v>
                </c:pt>
                <c:pt idx="10">
                  <c:v>116.60278529999999</c:v>
                </c:pt>
                <c:pt idx="11">
                  <c:v>116.8259934</c:v>
                </c:pt>
                <c:pt idx="12">
                  <c:v>117.0502884</c:v>
                </c:pt>
                <c:pt idx="13">
                  <c:v>117.2625829</c:v>
                </c:pt>
                <c:pt idx="14">
                  <c:v>117.4482617</c:v>
                </c:pt>
                <c:pt idx="15">
                  <c:v>117.5955475</c:v>
                </c:pt>
                <c:pt idx="16">
                  <c:v>117.8667864</c:v>
                </c:pt>
                <c:pt idx="17">
                  <c:v>118.1910748</c:v>
                </c:pt>
                <c:pt idx="18">
                  <c:v>118.5395511</c:v>
                </c:pt>
                <c:pt idx="19">
                  <c:v>118.88957929999999</c:v>
                </c:pt>
                <c:pt idx="20">
                  <c:v>119.20052010000001</c:v>
                </c:pt>
                <c:pt idx="21">
                  <c:v>119.5077005</c:v>
                </c:pt>
                <c:pt idx="22">
                  <c:v>119.805497</c:v>
                </c:pt>
                <c:pt idx="23">
                  <c:v>120.0965566</c:v>
                </c:pt>
                <c:pt idx="24">
                  <c:v>120.3852997</c:v>
                </c:pt>
                <c:pt idx="25">
                  <c:v>120.6065837</c:v>
                </c:pt>
                <c:pt idx="26">
                  <c:v>120.8420737</c:v>
                </c:pt>
                <c:pt idx="27">
                  <c:v>121.0985542</c:v>
                </c:pt>
                <c:pt idx="28">
                  <c:v>121.3834717</c:v>
                </c:pt>
                <c:pt idx="29">
                  <c:v>121.7043458</c:v>
                </c:pt>
                <c:pt idx="30">
                  <c:v>122.0655764</c:v>
                </c:pt>
                <c:pt idx="31">
                  <c:v>122.46740680000001</c:v>
                </c:pt>
                <c:pt idx="32">
                  <c:v>122.90283460000001</c:v>
                </c:pt>
                <c:pt idx="33">
                  <c:v>123.3631616</c:v>
                </c:pt>
                <c:pt idx="34">
                  <c:v>123.8388846</c:v>
                </c:pt>
                <c:pt idx="35">
                  <c:v>124.3195857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118.4519576</c:v>
                </c:pt>
                <c:pt idx="2">
                  <c:v>117.3512265</c:v>
                </c:pt>
                <c:pt idx="3">
                  <c:v>116.3341039</c:v>
                </c:pt>
                <c:pt idx="4">
                  <c:v>115.99440610000001</c:v>
                </c:pt>
                <c:pt idx="5">
                  <c:v>116.0715048</c:v>
                </c:pt>
                <c:pt idx="6">
                  <c:v>116.12848289999999</c:v>
                </c:pt>
                <c:pt idx="7">
                  <c:v>111.603441</c:v>
                </c:pt>
                <c:pt idx="8">
                  <c:v>107.36560830000001</c:v>
                </c:pt>
                <c:pt idx="9">
                  <c:v>103.45767530000001</c:v>
                </c:pt>
                <c:pt idx="10">
                  <c:v>99.867946079999996</c:v>
                </c:pt>
                <c:pt idx="11">
                  <c:v>96.750789109999999</c:v>
                </c:pt>
                <c:pt idx="12">
                  <c:v>93.846578190000002</c:v>
                </c:pt>
                <c:pt idx="13">
                  <c:v>91.013437170000003</c:v>
                </c:pt>
                <c:pt idx="14">
                  <c:v>88.177059619999994</c:v>
                </c:pt>
                <c:pt idx="15">
                  <c:v>85.302044589999994</c:v>
                </c:pt>
                <c:pt idx="16">
                  <c:v>82.334784229999997</c:v>
                </c:pt>
                <c:pt idx="17">
                  <c:v>79.31148967</c:v>
                </c:pt>
                <c:pt idx="18">
                  <c:v>76.252333059999998</c:v>
                </c:pt>
                <c:pt idx="19">
                  <c:v>73.168887119999994</c:v>
                </c:pt>
                <c:pt idx="20">
                  <c:v>70.052141320000004</c:v>
                </c:pt>
                <c:pt idx="21">
                  <c:v>66.933272279999997</c:v>
                </c:pt>
                <c:pt idx="22">
                  <c:v>63.807804509999997</c:v>
                </c:pt>
                <c:pt idx="23">
                  <c:v>60.675115439999999</c:v>
                </c:pt>
                <c:pt idx="24">
                  <c:v>57.5366724</c:v>
                </c:pt>
                <c:pt idx="25">
                  <c:v>54.357293609999999</c:v>
                </c:pt>
                <c:pt idx="26">
                  <c:v>51.180065429999999</c:v>
                </c:pt>
                <c:pt idx="27">
                  <c:v>48.00454019</c:v>
                </c:pt>
                <c:pt idx="28">
                  <c:v>44.830241360000002</c:v>
                </c:pt>
                <c:pt idx="29">
                  <c:v>41.656148639999998</c:v>
                </c:pt>
                <c:pt idx="30">
                  <c:v>38.479937909999997</c:v>
                </c:pt>
                <c:pt idx="31">
                  <c:v>35.297952070000001</c:v>
                </c:pt>
                <c:pt idx="32">
                  <c:v>32.10551615</c:v>
                </c:pt>
                <c:pt idx="33">
                  <c:v>28.897223489999998</c:v>
                </c:pt>
                <c:pt idx="34">
                  <c:v>25.6670804</c:v>
                </c:pt>
                <c:pt idx="35">
                  <c:v>22.408116010000001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228.5281699944</c:v>
                      </c:pt>
                      <c:pt idx="1">
                        <c:v>229.9009149474</c:v>
                      </c:pt>
                      <c:pt idx="2">
                        <c:v>231.52006232949998</c:v>
                      </c:pt>
                      <c:pt idx="3">
                        <c:v>232.89848312559999</c:v>
                      </c:pt>
                      <c:pt idx="4">
                        <c:v>235.65197087429999</c:v>
                      </c:pt>
                      <c:pt idx="5">
                        <c:v>239.5572811989</c:v>
                      </c:pt>
                      <c:pt idx="6">
                        <c:v>243.80309494639999</c:v>
                      </c:pt>
                      <c:pt idx="7">
                        <c:v>237.84235397340001</c:v>
                      </c:pt>
                      <c:pt idx="8">
                        <c:v>231.29877484259998</c:v>
                      </c:pt>
                      <c:pt idx="9">
                        <c:v>225.92733515740002</c:v>
                      </c:pt>
                      <c:pt idx="10">
                        <c:v>221.02647931640001</c:v>
                      </c:pt>
                      <c:pt idx="11">
                        <c:v>216.41171189700003</c:v>
                      </c:pt>
                      <c:pt idx="12">
                        <c:v>211.86006470339998</c:v>
                      </c:pt>
                      <c:pt idx="13">
                        <c:v>207.34500349699999</c:v>
                      </c:pt>
                      <c:pt idx="14">
                        <c:v>202.94222797419999</c:v>
                      </c:pt>
                      <c:pt idx="15">
                        <c:v>198.68425661110001</c:v>
                      </c:pt>
                      <c:pt idx="16">
                        <c:v>194.41755870270001</c:v>
                      </c:pt>
                      <c:pt idx="17">
                        <c:v>190.26698076930001</c:v>
                      </c:pt>
                      <c:pt idx="18">
                        <c:v>186.31162078060001</c:v>
                      </c:pt>
                      <c:pt idx="19">
                        <c:v>182.58374054079999</c:v>
                      </c:pt>
                      <c:pt idx="20">
                        <c:v>179.05774783110002</c:v>
                      </c:pt>
                      <c:pt idx="21">
                        <c:v>175.7883416528</c:v>
                      </c:pt>
                      <c:pt idx="22">
                        <c:v>172.7634456429</c:v>
                      </c:pt>
                      <c:pt idx="23">
                        <c:v>169.9485722503</c:v>
                      </c:pt>
                      <c:pt idx="24">
                        <c:v>167.28759025140002</c:v>
                      </c:pt>
                      <c:pt idx="25">
                        <c:v>164.63146163330001</c:v>
                      </c:pt>
                      <c:pt idx="26">
                        <c:v>162.03397691470002</c:v>
                      </c:pt>
                      <c:pt idx="27">
                        <c:v>159.46781338629998</c:v>
                      </c:pt>
                      <c:pt idx="28">
                        <c:v>156.86327555170001</c:v>
                      </c:pt>
                      <c:pt idx="29">
                        <c:v>154.1027281584</c:v>
                      </c:pt>
                      <c:pt idx="30">
                        <c:v>151.0487795953</c:v>
                      </c:pt>
                      <c:pt idx="31">
                        <c:v>147.57385428340001</c:v>
                      </c:pt>
                      <c:pt idx="32">
                        <c:v>143.55465423530001</c:v>
                      </c:pt>
                      <c:pt idx="33">
                        <c:v>138.8482912863</c:v>
                      </c:pt>
                      <c:pt idx="34">
                        <c:v>133.28438502980001</c:v>
                      </c:pt>
                      <c:pt idx="35">
                        <c:v>126.64488237820001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228.52815449439998</c:v>
                      </c:pt>
                      <c:pt idx="1">
                        <c:v>229.9008996474</c:v>
                      </c:pt>
                      <c:pt idx="2">
                        <c:v>231.52004722949999</c:v>
                      </c:pt>
                      <c:pt idx="3">
                        <c:v>232.89846852560001</c:v>
                      </c:pt>
                      <c:pt idx="4">
                        <c:v>235.65195638430001</c:v>
                      </c:pt>
                      <c:pt idx="5">
                        <c:v>239.55726670890002</c:v>
                      </c:pt>
                      <c:pt idx="6">
                        <c:v>243.80308034639998</c:v>
                      </c:pt>
                      <c:pt idx="7">
                        <c:v>248.1245226584</c:v>
                      </c:pt>
                      <c:pt idx="8">
                        <c:v>252.47958868130002</c:v>
                      </c:pt>
                      <c:pt idx="9">
                        <c:v>256.85844066370004</c:v>
                      </c:pt>
                      <c:pt idx="10">
                        <c:v>261.14203856210003</c:v>
                      </c:pt>
                      <c:pt idx="11">
                        <c:v>264.52045444890001</c:v>
                      </c:pt>
                      <c:pt idx="12">
                        <c:v>267.13272361529999</c:v>
                      </c:pt>
                      <c:pt idx="13">
                        <c:v>269.14842348629998</c:v>
                      </c:pt>
                      <c:pt idx="14">
                        <c:v>270.76847275989996</c:v>
                      </c:pt>
                      <c:pt idx="15">
                        <c:v>272.18620450399999</c:v>
                      </c:pt>
                      <c:pt idx="16">
                        <c:v>273.95254390049996</c:v>
                      </c:pt>
                      <c:pt idx="17">
                        <c:v>276.22472128819999</c:v>
                      </c:pt>
                      <c:pt idx="18">
                        <c:v>279.08854075669996</c:v>
                      </c:pt>
                      <c:pt idx="19">
                        <c:v>282.57512938540003</c:v>
                      </c:pt>
                      <c:pt idx="20">
                        <c:v>286.64305334490001</c:v>
                      </c:pt>
                      <c:pt idx="21">
                        <c:v>291.40121333339999</c:v>
                      </c:pt>
                      <c:pt idx="22">
                        <c:v>296.87400600149999</c:v>
                      </c:pt>
                      <c:pt idx="23">
                        <c:v>303.08354941489995</c:v>
                      </c:pt>
                      <c:pt idx="24">
                        <c:v>310.02929424410002</c:v>
                      </c:pt>
                      <c:pt idx="25">
                        <c:v>317.52933376319999</c:v>
                      </c:pt>
                      <c:pt idx="26">
                        <c:v>325.76939507290001</c:v>
                      </c:pt>
                      <c:pt idx="27">
                        <c:v>334.77899460210006</c:v>
                      </c:pt>
                      <c:pt idx="28">
                        <c:v>344.56446323590001</c:v>
                      </c:pt>
                      <c:pt idx="29">
                        <c:v>355.04456324699999</c:v>
                      </c:pt>
                      <c:pt idx="30">
                        <c:v>366.08917972450001</c:v>
                      </c:pt>
                      <c:pt idx="31">
                        <c:v>377.57235659600002</c:v>
                      </c:pt>
                      <c:pt idx="32">
                        <c:v>389.38480854530002</c:v>
                      </c:pt>
                      <c:pt idx="33">
                        <c:v>401.42243964269994</c:v>
                      </c:pt>
                      <c:pt idx="34">
                        <c:v>413.58078750990001</c:v>
                      </c:pt>
                      <c:pt idx="35">
                        <c:v>425.75287698690005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6.1845112585886993E-12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-1.2620616389748857E-3</c:v>
                </c:pt>
                <c:pt idx="8">
                  <c:v>-2.6793237359126858E-3</c:v>
                </c:pt>
                <c:pt idx="9">
                  <c:v>-3.8825241544502001E-3</c:v>
                </c:pt>
                <c:pt idx="10">
                  <c:v>-4.9959117071588822E-3</c:v>
                </c:pt>
                <c:pt idx="11">
                  <c:v>-5.8617554959334893E-3</c:v>
                </c:pt>
                <c:pt idx="12">
                  <c:v>-6.5663810859437925E-3</c:v>
                </c:pt>
                <c:pt idx="13">
                  <c:v>-7.1538046126903478E-3</c:v>
                </c:pt>
                <c:pt idx="14">
                  <c:v>-7.6466385201779613E-3</c:v>
                </c:pt>
                <c:pt idx="15">
                  <c:v>-8.0696439742285568E-3</c:v>
                </c:pt>
                <c:pt idx="16">
                  <c:v>-8.5556652640878684E-3</c:v>
                </c:pt>
                <c:pt idx="17">
                  <c:v>-9.097956110109575E-3</c:v>
                </c:pt>
                <c:pt idx="18">
                  <c:v>-9.6803281867093496E-3</c:v>
                </c:pt>
                <c:pt idx="19">
                  <c:v>-1.0287155820397614E-2</c:v>
                </c:pt>
                <c:pt idx="20">
                  <c:v>-1.0906995544816412E-2</c:v>
                </c:pt>
                <c:pt idx="21">
                  <c:v>-1.1526754996626882E-2</c:v>
                </c:pt>
                <c:pt idx="22">
                  <c:v>-1.2139687236461173E-2</c:v>
                </c:pt>
                <c:pt idx="23">
                  <c:v>-1.2741526941131308E-2</c:v>
                </c:pt>
                <c:pt idx="24">
                  <c:v>-1.3328435879501294E-2</c:v>
                </c:pt>
                <c:pt idx="25">
                  <c:v>-1.3902450700595183E-2</c:v>
                </c:pt>
                <c:pt idx="26">
                  <c:v>-1.4456276156880875E-2</c:v>
                </c:pt>
                <c:pt idx="27">
                  <c:v>-1.4984968957999757E-2</c:v>
                </c:pt>
                <c:pt idx="28">
                  <c:v>-1.5488593319152838E-2</c:v>
                </c:pt>
                <c:pt idx="29">
                  <c:v>-1.5965790913505449E-2</c:v>
                </c:pt>
                <c:pt idx="30">
                  <c:v>-1.641458783516209E-2</c:v>
                </c:pt>
                <c:pt idx="31">
                  <c:v>-1.6833064482780071E-2</c:v>
                </c:pt>
                <c:pt idx="32">
                  <c:v>-1.7220321259211312E-2</c:v>
                </c:pt>
                <c:pt idx="33">
                  <c:v>-1.7577338692701339E-2</c:v>
                </c:pt>
                <c:pt idx="34">
                  <c:v>-1.7905216262964634E-2</c:v>
                </c:pt>
                <c:pt idx="35">
                  <c:v>-1.8204417784105243E-2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0</c:v>
                </c:pt>
                <c:pt idx="1">
                  <c:v>6.1502186622754158E-11</c:v>
                </c:pt>
                <c:pt idx="2">
                  <c:v>6.0514896713478086E-11</c:v>
                </c:pt>
                <c:pt idx="3">
                  <c:v>1.2086449190959683E-10</c:v>
                </c:pt>
                <c:pt idx="4">
                  <c:v>1.797721170621165E-10</c:v>
                </c:pt>
                <c:pt idx="5">
                  <c:v>1.1809502204202085E-10</c:v>
                </c:pt>
                <c:pt idx="6">
                  <c:v>1.7454385972038054E-10</c:v>
                </c:pt>
                <c:pt idx="7">
                  <c:v>-3.825948868341247E-3</c:v>
                </c:pt>
                <c:pt idx="8">
                  <c:v>-8.3893567932356063E-3</c:v>
                </c:pt>
                <c:pt idx="9">
                  <c:v>-1.2029504235960045E-2</c:v>
                </c:pt>
                <c:pt idx="10">
                  <c:v>-1.5237725780983032E-2</c:v>
                </c:pt>
                <c:pt idx="11">
                  <c:v>-1.7548154789617611E-2</c:v>
                </c:pt>
                <c:pt idx="12">
                  <c:v>-1.9236369217629536E-2</c:v>
                </c:pt>
                <c:pt idx="13">
                  <c:v>-2.0463633012244947E-2</c:v>
                </c:pt>
                <c:pt idx="14">
                  <c:v>-2.1307934982757352E-2</c:v>
                </c:pt>
                <c:pt idx="15">
                  <c:v>-2.186538936850799E-2</c:v>
                </c:pt>
                <c:pt idx="16">
                  <c:v>-2.2585341319654763E-2</c:v>
                </c:pt>
                <c:pt idx="17">
                  <c:v>-2.3512269996311917E-2</c:v>
                </c:pt>
                <c:pt idx="18">
                  <c:v>-2.4593515094786456E-2</c:v>
                </c:pt>
                <c:pt idx="19">
                  <c:v>-2.5758046956433345E-2</c:v>
                </c:pt>
                <c:pt idx="20">
                  <c:v>-2.6940185498947281E-2</c:v>
                </c:pt>
                <c:pt idx="21">
                  <c:v>-2.8078162893306613E-2</c:v>
                </c:pt>
                <c:pt idx="22">
                  <c:v>-2.9122078875328607E-2</c:v>
                </c:pt>
                <c:pt idx="23">
                  <c:v>-3.004558946979051E-2</c:v>
                </c:pt>
                <c:pt idx="24">
                  <c:v>-3.0826844128168499E-2</c:v>
                </c:pt>
                <c:pt idx="25">
                  <c:v>-3.1450704117570207E-2</c:v>
                </c:pt>
                <c:pt idx="26">
                  <c:v>-3.1871196615012261E-2</c:v>
                </c:pt>
                <c:pt idx="27">
                  <c:v>-3.203272719463271E-2</c:v>
                </c:pt>
                <c:pt idx="28">
                  <c:v>-3.189606617077545E-2</c:v>
                </c:pt>
                <c:pt idx="29">
                  <c:v>-3.1419275591544747E-2</c:v>
                </c:pt>
                <c:pt idx="30">
                  <c:v>-3.0549906791997091E-2</c:v>
                </c:pt>
                <c:pt idx="31">
                  <c:v>-2.9211374667535647E-2</c:v>
                </c:pt>
                <c:pt idx="32">
                  <c:v>-2.7297696966866177E-2</c:v>
                </c:pt>
                <c:pt idx="33">
                  <c:v>-2.4676692970527117E-2</c:v>
                </c:pt>
                <c:pt idx="34">
                  <c:v>-2.1167069078439744E-2</c:v>
                </c:pt>
                <c:pt idx="35">
                  <c:v>-1.6500705796456263E-2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-4.9476085674350404E-10</c:v>
                </c:pt>
                <c:pt idx="1">
                  <c:v>-1.6605588640146491E-9</c:v>
                </c:pt>
                <c:pt idx="2">
                  <c:v>-2.5672989353699771E-9</c:v>
                </c:pt>
                <c:pt idx="3">
                  <c:v>-3.6441555581669169E-9</c:v>
                </c:pt>
                <c:pt idx="4">
                  <c:v>-4.2087136792712728E-9</c:v>
                </c:pt>
                <c:pt idx="5">
                  <c:v>-4.569505906401441E-9</c:v>
                </c:pt>
                <c:pt idx="6">
                  <c:v>-4.5685989299592954E-9</c:v>
                </c:pt>
                <c:pt idx="7">
                  <c:v>-6.6368062065381792E-3</c:v>
                </c:pt>
                <c:pt idx="8">
                  <c:v>-1.2792668185081063E-2</c:v>
                </c:pt>
                <c:pt idx="9">
                  <c:v>-1.7392005370672411E-2</c:v>
                </c:pt>
                <c:pt idx="10">
                  <c:v>-2.0928803522087838E-2</c:v>
                </c:pt>
                <c:pt idx="11">
                  <c:v>-2.2748046378468095E-2</c:v>
                </c:pt>
                <c:pt idx="12">
                  <c:v>-2.360701659226443E-2</c:v>
                </c:pt>
                <c:pt idx="13">
                  <c:v>-2.3869644222957124E-2</c:v>
                </c:pt>
                <c:pt idx="14">
                  <c:v>-2.3707246263329915E-2</c:v>
                </c:pt>
                <c:pt idx="15">
                  <c:v>-2.3239647032828759E-2</c:v>
                </c:pt>
                <c:pt idx="16">
                  <c:v>-2.3278231855907237E-2</c:v>
                </c:pt>
                <c:pt idx="17">
                  <c:v>-2.3533395271881044E-2</c:v>
                </c:pt>
                <c:pt idx="18">
                  <c:v>-2.386153378320556E-2</c:v>
                </c:pt>
                <c:pt idx="19">
                  <c:v>-2.4164596611165864E-2</c:v>
                </c:pt>
                <c:pt idx="20">
                  <c:v>-2.4376842756565115E-2</c:v>
                </c:pt>
                <c:pt idx="21">
                  <c:v>-2.4460376570905881E-2</c:v>
                </c:pt>
                <c:pt idx="22">
                  <c:v>-2.4412980960376262E-2</c:v>
                </c:pt>
                <c:pt idx="23">
                  <c:v>-2.4231552056007372E-2</c:v>
                </c:pt>
                <c:pt idx="24">
                  <c:v>-2.3908079524080594E-2</c:v>
                </c:pt>
                <c:pt idx="25">
                  <c:v>-2.3435143856086763E-2</c:v>
                </c:pt>
                <c:pt idx="26">
                  <c:v>-2.2798620383787042E-2</c:v>
                </c:pt>
                <c:pt idx="27">
                  <c:v>-2.1954932625117222E-2</c:v>
                </c:pt>
                <c:pt idx="28">
                  <c:v>-2.0878054266767077E-2</c:v>
                </c:pt>
                <c:pt idx="29">
                  <c:v>-1.9536819100625529E-2</c:v>
                </c:pt>
                <c:pt idx="30">
                  <c:v>-1.7886467190223326E-2</c:v>
                </c:pt>
                <c:pt idx="31">
                  <c:v>-1.5860254804630797E-2</c:v>
                </c:pt>
                <c:pt idx="32">
                  <c:v>-1.3364155543186306E-2</c:v>
                </c:pt>
                <c:pt idx="33">
                  <c:v>-1.0285621068146358E-2</c:v>
                </c:pt>
                <c:pt idx="34">
                  <c:v>-6.474187621720578E-3</c:v>
                </c:pt>
                <c:pt idx="35">
                  <c:v>-1.7132374690302747E-3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6.1845112585886994E-11</c:v>
                </c:pt>
                <c:pt idx="1">
                  <c:v>6.1502142922825843E-11</c:v>
                </c:pt>
                <c:pt idx="2">
                  <c:v>1.2225233852861831E-10</c:v>
                </c:pt>
                <c:pt idx="3">
                  <c:v>1.2147186200850714E-10</c:v>
                </c:pt>
                <c:pt idx="4">
                  <c:v>1.2024897202969653E-10</c:v>
                </c:pt>
                <c:pt idx="5">
                  <c:v>1.1868847495846652E-10</c:v>
                </c:pt>
                <c:pt idx="6">
                  <c:v>1.1714357191074557E-10</c:v>
                </c:pt>
                <c:pt idx="7">
                  <c:v>1.6475487895563229E-3</c:v>
                </c:pt>
                <c:pt idx="8">
                  <c:v>2.7781464767144752E-3</c:v>
                </c:pt>
                <c:pt idx="9">
                  <c:v>4.2563082474624701E-3</c:v>
                </c:pt>
                <c:pt idx="10">
                  <c:v>5.5566042450140157E-3</c:v>
                </c:pt>
                <c:pt idx="11">
                  <c:v>5.9650040629974166E-3</c:v>
                </c:pt>
                <c:pt idx="12">
                  <c:v>5.9433179946143857E-3</c:v>
                </c:pt>
                <c:pt idx="13">
                  <c:v>5.769095540527863E-3</c:v>
                </c:pt>
                <c:pt idx="14">
                  <c:v>5.6064158458144445E-3</c:v>
                </c:pt>
                <c:pt idx="15">
                  <c:v>5.4940415093567528E-3</c:v>
                </c:pt>
                <c:pt idx="16">
                  <c:v>5.7384571063878115E-3</c:v>
                </c:pt>
                <c:pt idx="17">
                  <c:v>6.087128033253471E-3</c:v>
                </c:pt>
                <c:pt idx="18">
                  <c:v>6.4095493385866028E-3</c:v>
                </c:pt>
                <c:pt idx="19">
                  <c:v>6.6606068158717767E-3</c:v>
                </c:pt>
                <c:pt idx="20">
                  <c:v>6.8325594315157443E-3</c:v>
                </c:pt>
                <c:pt idx="21">
                  <c:v>6.9395268126615584E-3</c:v>
                </c:pt>
                <c:pt idx="22">
                  <c:v>6.9978396648018052E-3</c:v>
                </c:pt>
                <c:pt idx="23">
                  <c:v>7.0180100763218203E-3</c:v>
                </c:pt>
                <c:pt idx="24">
                  <c:v>7.0097303256491349E-3</c:v>
                </c:pt>
                <c:pt idx="25">
                  <c:v>6.9810337105779422E-3</c:v>
                </c:pt>
                <c:pt idx="26">
                  <c:v>6.9585042699699005E-3</c:v>
                </c:pt>
                <c:pt idx="27">
                  <c:v>6.9872365544340958E-3</c:v>
                </c:pt>
                <c:pt idx="28">
                  <c:v>7.0802926064274024E-3</c:v>
                </c:pt>
                <c:pt idx="29">
                  <c:v>7.2499575483002034E-3</c:v>
                </c:pt>
                <c:pt idx="30">
                  <c:v>7.5118610826412531E-3</c:v>
                </c:pt>
                <c:pt idx="31">
                  <c:v>7.8917171361901767E-3</c:v>
                </c:pt>
                <c:pt idx="32">
                  <c:v>8.4184460885094303E-3</c:v>
                </c:pt>
                <c:pt idx="33">
                  <c:v>9.108707802338644E-3</c:v>
                </c:pt>
                <c:pt idx="34">
                  <c:v>9.9773871180026553E-3</c:v>
                </c:pt>
                <c:pt idx="35">
                  <c:v>1.1045947555564144E-2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-6.1844892867927723E-12</c:v>
                </c:pt>
                <c:pt idx="1">
                  <c:v>-4.9201727448239167E-11</c:v>
                </c:pt>
                <c:pt idx="2">
                  <c:v>-7.946399832722594E-11</c:v>
                </c:pt>
                <c:pt idx="3">
                  <c:v>-1.2754543353119699E-10</c:v>
                </c:pt>
                <c:pt idx="4">
                  <c:v>-1.623360908795837E-10</c:v>
                </c:pt>
                <c:pt idx="5">
                  <c:v>-1.7803269135439311E-10</c:v>
                </c:pt>
                <c:pt idx="6">
                  <c:v>-1.8157253646165564E-10</c:v>
                </c:pt>
                <c:pt idx="7">
                  <c:v>-1.9204296346526321E-3</c:v>
                </c:pt>
                <c:pt idx="8">
                  <c:v>-4.1037972081749809E-3</c:v>
                </c:pt>
                <c:pt idx="9">
                  <c:v>-5.7671361283371326E-3</c:v>
                </c:pt>
                <c:pt idx="10">
                  <c:v>-7.3040149940876552E-3</c:v>
                </c:pt>
                <c:pt idx="11">
                  <c:v>-8.4940981957605903E-3</c:v>
                </c:pt>
                <c:pt idx="12">
                  <c:v>-9.4934065432093536E-3</c:v>
                </c:pt>
                <c:pt idx="13">
                  <c:v>-1.0354145603974378E-2</c:v>
                </c:pt>
                <c:pt idx="14">
                  <c:v>-1.1084791379289539E-2</c:v>
                </c:pt>
                <c:pt idx="15">
                  <c:v>-1.1716319571244978E-2</c:v>
                </c:pt>
                <c:pt idx="16">
                  <c:v>-1.2432457561645172E-2</c:v>
                </c:pt>
                <c:pt idx="17">
                  <c:v>-1.3225934747556239E-2</c:v>
                </c:pt>
                <c:pt idx="18">
                  <c:v>-1.4068949365663899E-2</c:v>
                </c:pt>
                <c:pt idx="19">
                  <c:v>-1.4933394323993147E-2</c:v>
                </c:pt>
                <c:pt idx="20">
                  <c:v>-1.5798142171865232E-2</c:v>
                </c:pt>
                <c:pt idx="21">
                  <c:v>-1.6643657669312115E-2</c:v>
                </c:pt>
                <c:pt idx="22">
                  <c:v>-1.7455435633647341E-2</c:v>
                </c:pt>
                <c:pt idx="23">
                  <c:v>-1.8225693846253558E-2</c:v>
                </c:pt>
                <c:pt idx="24">
                  <c:v>-1.8947817837806302E-2</c:v>
                </c:pt>
                <c:pt idx="25">
                  <c:v>-1.9618724926681999E-2</c:v>
                </c:pt>
                <c:pt idx="26">
                  <c:v>-2.0230140362553078E-2</c:v>
                </c:pt>
                <c:pt idx="27">
                  <c:v>-2.0757963481009296E-2</c:v>
                </c:pt>
                <c:pt idx="28">
                  <c:v>-2.1199163806614647E-2</c:v>
                </c:pt>
                <c:pt idx="29">
                  <c:v>-2.1553340210542133E-2</c:v>
                </c:pt>
                <c:pt idx="30">
                  <c:v>-2.1819552748004987E-2</c:v>
                </c:pt>
                <c:pt idx="31">
                  <c:v>-2.1992650194605588E-2</c:v>
                </c:pt>
                <c:pt idx="32">
                  <c:v>-2.2066851298402967E-2</c:v>
                </c:pt>
                <c:pt idx="33">
                  <c:v>-2.2040955004973967E-2</c:v>
                </c:pt>
                <c:pt idx="34">
                  <c:v>-2.191418230005953E-2</c:v>
                </c:pt>
                <c:pt idx="35">
                  <c:v>-2.1683827744246178E-2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0</c:v>
                </c:pt>
                <c:pt idx="1">
                  <c:v>-1.8450655447921349E-9</c:v>
                </c:pt>
                <c:pt idx="2">
                  <c:v>-2.4450466096226364E-9</c:v>
                </c:pt>
                <c:pt idx="3">
                  <c:v>-3.644155532889215E-9</c:v>
                </c:pt>
                <c:pt idx="4">
                  <c:v>-4.2087135998514213E-9</c:v>
                </c:pt>
                <c:pt idx="5">
                  <c:v>-4.1540961781549868E-9</c:v>
                </c:pt>
                <c:pt idx="6">
                  <c:v>-4.6857425717306E-9</c:v>
                </c:pt>
                <c:pt idx="7">
                  <c:v>-1.1997697296443732E-2</c:v>
                </c:pt>
                <c:pt idx="8">
                  <c:v>-2.5186999370334195E-2</c:v>
                </c:pt>
                <c:pt idx="9">
                  <c:v>-3.481486142268253E-2</c:v>
                </c:pt>
                <c:pt idx="10">
                  <c:v>-4.2909851443620028E-2</c:v>
                </c:pt>
                <c:pt idx="11">
                  <c:v>-4.8687050751567096E-2</c:v>
                </c:pt>
                <c:pt idx="12">
                  <c:v>-5.2959855243570386E-2</c:v>
                </c:pt>
                <c:pt idx="13">
                  <c:v>-5.6072131832979544E-2</c:v>
                </c:pt>
                <c:pt idx="14">
                  <c:v>-5.8140194934671929E-2</c:v>
                </c:pt>
                <c:pt idx="15">
                  <c:v>-5.9396958428822311E-2</c:v>
                </c:pt>
                <c:pt idx="16">
                  <c:v>-6.1113239034454314E-2</c:v>
                </c:pt>
                <c:pt idx="17">
                  <c:v>-6.32824281848684E-2</c:v>
                </c:pt>
                <c:pt idx="18">
                  <c:v>-6.5794776933559396E-2</c:v>
                </c:pt>
                <c:pt idx="19">
                  <c:v>-6.8482586664916356E-2</c:v>
                </c:pt>
                <c:pt idx="20">
                  <c:v>-7.1189606519409199E-2</c:v>
                </c:pt>
                <c:pt idx="21">
                  <c:v>-7.376942522319252E-2</c:v>
                </c:pt>
                <c:pt idx="22">
                  <c:v>-7.6132343258870638E-2</c:v>
                </c:pt>
                <c:pt idx="23">
                  <c:v>-7.8226352204506466E-2</c:v>
                </c:pt>
                <c:pt idx="24">
                  <c:v>-8.0001447252889824E-2</c:v>
                </c:pt>
                <c:pt idx="25">
                  <c:v>-8.1425989711015556E-2</c:v>
                </c:pt>
                <c:pt idx="26">
                  <c:v>-8.2397728939787029E-2</c:v>
                </c:pt>
                <c:pt idx="27">
                  <c:v>-8.2743355493617665E-2</c:v>
                </c:pt>
                <c:pt idx="28">
                  <c:v>-8.2381584900824145E-2</c:v>
                </c:pt>
                <c:pt idx="29">
                  <c:v>-8.1225268301940767E-2</c:v>
                </c:pt>
                <c:pt idx="30">
                  <c:v>-7.9158653539283752E-2</c:v>
                </c:pt>
                <c:pt idx="31">
                  <c:v>-7.6005627280539612E-2</c:v>
                </c:pt>
                <c:pt idx="32">
                  <c:v>-7.1530578850365956E-2</c:v>
                </c:pt>
                <c:pt idx="33">
                  <c:v>-6.5471900041705444E-2</c:v>
                </c:pt>
                <c:pt idx="34">
                  <c:v>-5.7483267924927306E-2</c:v>
                </c:pt>
                <c:pt idx="35">
                  <c:v>-4.7056240930452242E-2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-7.0925892850226261E-10</c:v>
                </c:pt>
                <c:pt idx="2">
                  <c:v>-1.1918737616037822E-9</c:v>
                </c:pt>
                <c:pt idx="3">
                  <c:v>-1.5926399500569381E-9</c:v>
                </c:pt>
                <c:pt idx="4">
                  <c:v>-1.7075552791520612E-9</c:v>
                </c:pt>
                <c:pt idx="5">
                  <c:v>-1.6819784206959075E-9</c:v>
                </c:pt>
                <c:pt idx="6">
                  <c:v>-1.5892573119314133E-9</c:v>
                </c:pt>
                <c:pt idx="7">
                  <c:v>-3.2541006277154185E-3</c:v>
                </c:pt>
                <c:pt idx="8">
                  <c:v>-6.024576907396796E-3</c:v>
                </c:pt>
                <c:pt idx="9">
                  <c:v>-8.1197439821956516E-3</c:v>
                </c:pt>
                <c:pt idx="10">
                  <c:v>-9.5667560542428923E-3</c:v>
                </c:pt>
                <c:pt idx="11">
                  <c:v>-9.9784614267909109E-3</c:v>
                </c:pt>
                <c:pt idx="12">
                  <c:v>-9.74020413926102E-3</c:v>
                </c:pt>
                <c:pt idx="13">
                  <c:v>-9.1263754624851985E-3</c:v>
                </c:pt>
                <c:pt idx="14">
                  <c:v>-8.3100078695695391E-3</c:v>
                </c:pt>
                <c:pt idx="15">
                  <c:v>-7.3912578532289528E-3</c:v>
                </c:pt>
                <c:pt idx="16">
                  <c:v>-6.7733783381746611E-3</c:v>
                </c:pt>
                <c:pt idx="17">
                  <c:v>-6.322078975543698E-3</c:v>
                </c:pt>
                <c:pt idx="18">
                  <c:v>-5.9706158200734695E-3</c:v>
                </c:pt>
                <c:pt idx="19">
                  <c:v>-5.6345530210241326E-3</c:v>
                </c:pt>
                <c:pt idx="20">
                  <c:v>-5.2494292289360462E-3</c:v>
                </c:pt>
                <c:pt idx="21">
                  <c:v>-4.7838822611180219E-3</c:v>
                </c:pt>
                <c:pt idx="22">
                  <c:v>-4.2441061600266543E-3</c:v>
                </c:pt>
                <c:pt idx="23">
                  <c:v>-3.6373912520205783E-3</c:v>
                </c:pt>
                <c:pt idx="24">
                  <c:v>-2.9658163089049021E-3</c:v>
                </c:pt>
                <c:pt idx="25">
                  <c:v>-2.2401218488133272E-3</c:v>
                </c:pt>
                <c:pt idx="26">
                  <c:v>-1.4707268790207523E-3</c:v>
                </c:pt>
                <c:pt idx="27">
                  <c:v>-6.6524866231259302E-4</c:v>
                </c:pt>
                <c:pt idx="28">
                  <c:v>1.7391038727459894E-4</c:v>
                </c:pt>
                <c:pt idx="29">
                  <c:v>1.0476570203627419E-3</c:v>
                </c:pt>
                <c:pt idx="30">
                  <c:v>1.9624625128115665E-3</c:v>
                </c:pt>
                <c:pt idx="31">
                  <c:v>2.9291073395787638E-3</c:v>
                </c:pt>
                <c:pt idx="32">
                  <c:v>3.9692083450695494E-3</c:v>
                </c:pt>
                <c:pt idx="33">
                  <c:v>5.1106288287880615E-3</c:v>
                </c:pt>
                <c:pt idx="34">
                  <c:v>6.3872373399297376E-3</c:v>
                </c:pt>
                <c:pt idx="35">
                  <c:v>7.8426539225084496E-3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7.1734962029435488E-10</c:v>
                </c:pt>
                <c:pt idx="1">
                  <c:v>7.0925887810638522E-10</c:v>
                </c:pt>
                <c:pt idx="2">
                  <c:v>0</c:v>
                </c:pt>
                <c:pt idx="3">
                  <c:v>-1.3849044327495597E-9</c:v>
                </c:pt>
                <c:pt idx="4">
                  <c:v>-1.3660441456710248E-9</c:v>
                </c:pt>
                <c:pt idx="5">
                  <c:v>-2.0183741813226121E-9</c:v>
                </c:pt>
                <c:pt idx="6">
                  <c:v>-1.9865716634400002E-9</c:v>
                </c:pt>
                <c:pt idx="7">
                  <c:v>-1.0092934497737417E-2</c:v>
                </c:pt>
                <c:pt idx="8">
                  <c:v>-2.0996117217313627E-2</c:v>
                </c:pt>
                <c:pt idx="9">
                  <c:v>-2.5524767978599313E-2</c:v>
                </c:pt>
                <c:pt idx="10">
                  <c:v>-2.7869270191855401E-2</c:v>
                </c:pt>
                <c:pt idx="11">
                  <c:v>-2.8129430904399427E-2</c:v>
                </c:pt>
                <c:pt idx="12">
                  <c:v>-2.6884263135650028E-2</c:v>
                </c:pt>
                <c:pt idx="13">
                  <c:v>-2.4079214466177456E-2</c:v>
                </c:pt>
                <c:pt idx="14">
                  <c:v>-1.94367697253735E-2</c:v>
                </c:pt>
                <c:pt idx="15">
                  <c:v>-1.3062589677569085E-2</c:v>
                </c:pt>
                <c:pt idx="16">
                  <c:v>-6.7269544675489269E-3</c:v>
                </c:pt>
                <c:pt idx="17">
                  <c:v>-2.3478796830613983E-4</c:v>
                </c:pt>
                <c:pt idx="18">
                  <c:v>6.5669682563562837E-3</c:v>
                </c:pt>
                <c:pt idx="19">
                  <c:v>1.3931133361443681E-2</c:v>
                </c:pt>
                <c:pt idx="20">
                  <c:v>2.2155829216446096E-2</c:v>
                </c:pt>
                <c:pt idx="21">
                  <c:v>3.1589246060105929E-2</c:v>
                </c:pt>
                <c:pt idx="22">
                  <c:v>4.2579164080403721E-2</c:v>
                </c:pt>
                <c:pt idx="23">
                  <c:v>5.5413571275387576E-2</c:v>
                </c:pt>
                <c:pt idx="24">
                  <c:v>7.0389173758017176E-2</c:v>
                </c:pt>
                <c:pt idx="25">
                  <c:v>8.7818776797630102E-2</c:v>
                </c:pt>
                <c:pt idx="26">
                  <c:v>0.10839040527695208</c:v>
                </c:pt>
                <c:pt idx="27">
                  <c:v>0.13265597099833745</c:v>
                </c:pt>
                <c:pt idx="28">
                  <c:v>0.16118832594940544</c:v>
                </c:pt>
                <c:pt idx="29">
                  <c:v>0.19465504606183287</c:v>
                </c:pt>
                <c:pt idx="30">
                  <c:v>0.23387284490447288</c:v>
                </c:pt>
                <c:pt idx="31">
                  <c:v>0.27992449530755403</c:v>
                </c:pt>
                <c:pt idx="32">
                  <c:v>0.33421324499268834</c:v>
                </c:pt>
                <c:pt idx="33">
                  <c:v>0.39845173188952415</c:v>
                </c:pt>
                <c:pt idx="34">
                  <c:v>0.47485439615137542</c:v>
                </c:pt>
                <c:pt idx="35">
                  <c:v>0.56640353424730583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-7.1734941641137608E-10</c:v>
                </c:pt>
                <c:pt idx="1">
                  <c:v>0</c:v>
                </c:pt>
                <c:pt idx="2">
                  <c:v>2.1033067143139697E-9</c:v>
                </c:pt>
                <c:pt idx="3">
                  <c:v>2.7698086686923789E-9</c:v>
                </c:pt>
                <c:pt idx="4">
                  <c:v>3.3468082927826029E-9</c:v>
                </c:pt>
                <c:pt idx="5">
                  <c:v>3.9694690766667177E-9</c:v>
                </c:pt>
                <c:pt idx="6">
                  <c:v>3.9069241271408345E-9</c:v>
                </c:pt>
                <c:pt idx="7">
                  <c:v>2.0150386913378664E-2</c:v>
                </c:pt>
                <c:pt idx="8">
                  <c:v>4.1685778607033638E-2</c:v>
                </c:pt>
                <c:pt idx="9">
                  <c:v>6.0650723480186269E-2</c:v>
                </c:pt>
                <c:pt idx="10">
                  <c:v>7.7532157220476419E-2</c:v>
                </c:pt>
                <c:pt idx="11">
                  <c:v>9.10016018777101E-2</c:v>
                </c:pt>
                <c:pt idx="12">
                  <c:v>0.10220645160934501</c:v>
                </c:pt>
                <c:pt idx="13">
                  <c:v>0.11183910565351989</c:v>
                </c:pt>
                <c:pt idx="14">
                  <c:v>0.12029250987704085</c:v>
                </c:pt>
                <c:pt idx="15">
                  <c:v>0.12788650477117541</c:v>
                </c:pt>
                <c:pt idx="16">
                  <c:v>0.13555584841954685</c:v>
                </c:pt>
                <c:pt idx="17">
                  <c:v>0.1439004818466301</c:v>
                </c:pt>
                <c:pt idx="18">
                  <c:v>0.15267622539987274</c:v>
                </c:pt>
                <c:pt idx="19">
                  <c:v>0.16166289472869178</c:v>
                </c:pt>
                <c:pt idx="20">
                  <c:v>0.17068541229391637</c:v>
                </c:pt>
                <c:pt idx="21">
                  <c:v>0.17959377802595136</c:v>
                </c:pt>
                <c:pt idx="22">
                  <c:v>0.18829923958251696</c:v>
                </c:pt>
                <c:pt idx="23">
                  <c:v>0.19673755777083474</c:v>
                </c:pt>
                <c:pt idx="24">
                  <c:v>0.20485423303283604</c:v>
                </c:pt>
                <c:pt idx="25">
                  <c:v>0.21263597605303294</c:v>
                </c:pt>
                <c:pt idx="26">
                  <c:v>0.22023888602370195</c:v>
                </c:pt>
                <c:pt idx="27">
                  <c:v>0.22735296196177279</c:v>
                </c:pt>
                <c:pt idx="28">
                  <c:v>0.23391317079276225</c:v>
                </c:pt>
                <c:pt idx="29">
                  <c:v>0.23984252286128624</c:v>
                </c:pt>
                <c:pt idx="30">
                  <c:v>0.24504117624645305</c:v>
                </c:pt>
                <c:pt idx="31">
                  <c:v>0.24937880499349235</c:v>
                </c:pt>
                <c:pt idx="32">
                  <c:v>0.25267437954379612</c:v>
                </c:pt>
                <c:pt idx="33">
                  <c:v>0.25467835487975832</c:v>
                </c:pt>
                <c:pt idx="34">
                  <c:v>0.25505049469932695</c:v>
                </c:pt>
                <c:pt idx="35">
                  <c:v>0.25331119850221367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6.8033523742925262E-3</c:v>
                </c:pt>
                <c:pt idx="8">
                  <c:v>1.4665083713171878E-2</c:v>
                </c:pt>
                <c:pt idx="9">
                  <c:v>2.7006212339162339E-2</c:v>
                </c:pt>
                <c:pt idx="10">
                  <c:v>4.009613122264688E-2</c:v>
                </c:pt>
                <c:pt idx="11">
                  <c:v>5.2893709669050493E-2</c:v>
                </c:pt>
                <c:pt idx="12">
                  <c:v>6.5581984395041371E-2</c:v>
                </c:pt>
                <c:pt idx="13">
                  <c:v>7.8633515244414864E-2</c:v>
                </c:pt>
                <c:pt idx="14">
                  <c:v>9.2545732877800768E-2</c:v>
                </c:pt>
                <c:pt idx="15">
                  <c:v>0.10743265676742464</c:v>
                </c:pt>
                <c:pt idx="16">
                  <c:v>0.12205551532049008</c:v>
                </c:pt>
                <c:pt idx="17">
                  <c:v>0.13734361397190842</c:v>
                </c:pt>
                <c:pt idx="18">
                  <c:v>0.15327257835488628</c:v>
                </c:pt>
                <c:pt idx="19">
                  <c:v>0.1699594748980171</c:v>
                </c:pt>
                <c:pt idx="20">
                  <c:v>0.18759181177409334</c:v>
                </c:pt>
                <c:pt idx="21">
                  <c:v>0.20639914110164548</c:v>
                </c:pt>
                <c:pt idx="22">
                  <c:v>0.22663429761256482</c:v>
                </c:pt>
                <c:pt idx="23">
                  <c:v>0.24851373736246996</c:v>
                </c:pt>
                <c:pt idx="24">
                  <c:v>0.27227759058802614</c:v>
                </c:pt>
                <c:pt idx="25">
                  <c:v>0.29821463147062</c:v>
                </c:pt>
                <c:pt idx="26">
                  <c:v>0.32715856457489223</c:v>
                </c:pt>
                <c:pt idx="27">
                  <c:v>0.3593436844979776</c:v>
                </c:pt>
                <c:pt idx="28">
                  <c:v>0.39527540688459362</c:v>
                </c:pt>
                <c:pt idx="29">
                  <c:v>0.4355452258477257</c:v>
                </c:pt>
                <c:pt idx="30">
                  <c:v>0.480876484225218</c:v>
                </c:pt>
                <c:pt idx="31">
                  <c:v>0.53223240722914178</c:v>
                </c:pt>
                <c:pt idx="32">
                  <c:v>0.59085683292623381</c:v>
                </c:pt>
                <c:pt idx="33">
                  <c:v>0.65824071607850509</c:v>
                </c:pt>
                <c:pt idx="34">
                  <c:v>0.7362921279770589</c:v>
                </c:pt>
                <c:pt idx="35">
                  <c:v>0.82755738654662614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2.6924997876407011E-11</c:v>
                </c:pt>
                <c:pt idx="1">
                  <c:v>2.6625643871720816E-11</c:v>
                </c:pt>
                <c:pt idx="2">
                  <c:v>2.6323059591427066E-11</c:v>
                </c:pt>
                <c:pt idx="3">
                  <c:v>1.9501309022735806E-11</c:v>
                </c:pt>
                <c:pt idx="4">
                  <c:v>1.9238686160046065E-11</c:v>
                </c:pt>
                <c:pt idx="5">
                  <c:v>1.895433690868527E-11</c:v>
                </c:pt>
                <c:pt idx="6">
                  <c:v>1.8660624449784239E-11</c:v>
                </c:pt>
                <c:pt idx="7">
                  <c:v>-6.1398334708143469E-4</c:v>
                </c:pt>
                <c:pt idx="8">
                  <c:v>-1.2960893128862471E-3</c:v>
                </c:pt>
                <c:pt idx="9">
                  <c:v>-1.8778886575620819E-3</c:v>
                </c:pt>
                <c:pt idx="10">
                  <c:v>-2.4125167448859415E-3</c:v>
                </c:pt>
                <c:pt idx="11">
                  <c:v>-2.8420968777121639E-3</c:v>
                </c:pt>
                <c:pt idx="12">
                  <c:v>-3.2048861368436168E-3</c:v>
                </c:pt>
                <c:pt idx="13">
                  <c:v>-3.521662239119803E-3</c:v>
                </c:pt>
                <c:pt idx="14">
                  <c:v>-3.8022212369312786E-3</c:v>
                </c:pt>
                <c:pt idx="15">
                  <c:v>-4.0562163380835278E-3</c:v>
                </c:pt>
                <c:pt idx="16">
                  <c:v>-4.3453072703253728E-3</c:v>
                </c:pt>
                <c:pt idx="17">
                  <c:v>-4.659286164589758E-3</c:v>
                </c:pt>
                <c:pt idx="18">
                  <c:v>-4.9889380881878746E-3</c:v>
                </c:pt>
                <c:pt idx="19">
                  <c:v>-5.3267348285235463E-3</c:v>
                </c:pt>
                <c:pt idx="20">
                  <c:v>-5.6674000875043522E-3</c:v>
                </c:pt>
                <c:pt idx="21">
                  <c:v>-6.0052223126570575E-3</c:v>
                </c:pt>
                <c:pt idx="22">
                  <c:v>-6.3371877610185869E-3</c:v>
                </c:pt>
                <c:pt idx="23">
                  <c:v>-6.6613636457550623E-3</c:v>
                </c:pt>
                <c:pt idx="24">
                  <c:v>-6.9760926613283885E-3</c:v>
                </c:pt>
                <c:pt idx="25">
                  <c:v>-7.2822173074599469E-3</c:v>
                </c:pt>
                <c:pt idx="26">
                  <c:v>-7.5737183480362753E-3</c:v>
                </c:pt>
                <c:pt idx="27">
                  <c:v>-7.8508544868026095E-3</c:v>
                </c:pt>
                <c:pt idx="28">
                  <c:v>-8.1133236188454996E-3</c:v>
                </c:pt>
                <c:pt idx="29">
                  <c:v>-8.3603746193807327E-3</c:v>
                </c:pt>
                <c:pt idx="30">
                  <c:v>-8.5907818067211105E-3</c:v>
                </c:pt>
                <c:pt idx="31">
                  <c:v>-8.8027561906502665E-3</c:v>
                </c:pt>
                <c:pt idx="32">
                  <c:v>-8.9940440952640584E-3</c:v>
                </c:pt>
                <c:pt idx="33">
                  <c:v>-9.162021310996785E-3</c:v>
                </c:pt>
                <c:pt idx="34">
                  <c:v>-9.3028431646326216E-3</c:v>
                </c:pt>
                <c:pt idx="35">
                  <c:v>-9.4100141932156565E-3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5.0655658519054695E-9</c:v>
                </c:pt>
                <c:pt idx="1">
                  <c:v>2.6625646827761187E-11</c:v>
                </c:pt>
                <c:pt idx="2">
                  <c:v>9.2130718798558416E-11</c:v>
                </c:pt>
                <c:pt idx="3">
                  <c:v>9.7506536453357542E-11</c:v>
                </c:pt>
                <c:pt idx="4">
                  <c:v>8.9780535413548292E-11</c:v>
                </c:pt>
                <c:pt idx="5">
                  <c:v>1.579527851259351E-10</c:v>
                </c:pt>
                <c:pt idx="6">
                  <c:v>1.5550520466897783E-10</c:v>
                </c:pt>
                <c:pt idx="7">
                  <c:v>-8.6558206624342366E-4</c:v>
                </c:pt>
                <c:pt idx="8">
                  <c:v>-1.6823118678169176E-3</c:v>
                </c:pt>
                <c:pt idx="9">
                  <c:v>-1.7477489619561707E-3</c:v>
                </c:pt>
                <c:pt idx="10">
                  <c:v>-1.4956881857065567E-3</c:v>
                </c:pt>
                <c:pt idx="11">
                  <c:v>-6.8417837736727482E-4</c:v>
                </c:pt>
                <c:pt idx="12">
                  <c:v>5.4526290613111711E-4</c:v>
                </c:pt>
                <c:pt idx="13">
                  <c:v>2.1213700972029484E-3</c:v>
                </c:pt>
                <c:pt idx="14">
                  <c:v>4.0163469940165614E-3</c:v>
                </c:pt>
                <c:pt idx="15">
                  <c:v>6.177291422965964E-3</c:v>
                </c:pt>
                <c:pt idx="16">
                  <c:v>8.2945075009951529E-3</c:v>
                </c:pt>
                <c:pt idx="17">
                  <c:v>1.0332687635574815E-2</c:v>
                </c:pt>
                <c:pt idx="18">
                  <c:v>1.2313429240539842E-2</c:v>
                </c:pt>
                <c:pt idx="19">
                  <c:v>1.4276531280303236E-2</c:v>
                </c:pt>
                <c:pt idx="20">
                  <c:v>1.6268761325371178E-2</c:v>
                </c:pt>
                <c:pt idx="21">
                  <c:v>1.8315236061020018E-2</c:v>
                </c:pt>
                <c:pt idx="22">
                  <c:v>2.0448170612595944E-2</c:v>
                </c:pt>
                <c:pt idx="23">
                  <c:v>2.2686969495964649E-2</c:v>
                </c:pt>
                <c:pt idx="24">
                  <c:v>2.5049671538094911E-2</c:v>
                </c:pt>
                <c:pt idx="25">
                  <c:v>2.7578837323866966E-2</c:v>
                </c:pt>
                <c:pt idx="26">
                  <c:v>3.0282112481273573E-2</c:v>
                </c:pt>
                <c:pt idx="27">
                  <c:v>3.3200134422997345E-2</c:v>
                </c:pt>
                <c:pt idx="28">
                  <c:v>3.6367993794911707E-2</c:v>
                </c:pt>
                <c:pt idx="29">
                  <c:v>3.9831940943272359E-2</c:v>
                </c:pt>
                <c:pt idx="30">
                  <c:v>4.365029192905899E-2</c:v>
                </c:pt>
                <c:pt idx="31">
                  <c:v>4.7899129570454141E-2</c:v>
                </c:pt>
                <c:pt idx="32">
                  <c:v>5.2675982725718058E-2</c:v>
                </c:pt>
                <c:pt idx="33">
                  <c:v>5.8097954344823594E-2</c:v>
                </c:pt>
                <c:pt idx="34">
                  <c:v>6.4320737113823176E-2</c:v>
                </c:pt>
                <c:pt idx="35">
                  <c:v>7.1569509728937608E-2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1.1200799433448503E-8</c:v>
                </c:pt>
                <c:pt idx="1">
                  <c:v>1.0696852732153026E-8</c:v>
                </c:pt>
                <c:pt idx="2">
                  <c:v>1.0318639652084086E-8</c:v>
                </c:pt>
                <c:pt idx="3">
                  <c:v>9.9781704347484478E-9</c:v>
                </c:pt>
                <c:pt idx="4">
                  <c:v>9.7796646558872185E-9</c:v>
                </c:pt>
                <c:pt idx="5">
                  <c:v>9.6098480158547355E-9</c:v>
                </c:pt>
                <c:pt idx="6">
                  <c:v>9.4173957540693701E-9</c:v>
                </c:pt>
                <c:pt idx="7">
                  <c:v>-7.9182613643610626E-4</c:v>
                </c:pt>
                <c:pt idx="8">
                  <c:v>-1.1377175045896538E-3</c:v>
                </c:pt>
                <c:pt idx="9">
                  <c:v>-1.4309603411603573E-3</c:v>
                </c:pt>
                <c:pt idx="10">
                  <c:v>-1.6077639767504144E-3</c:v>
                </c:pt>
                <c:pt idx="11">
                  <c:v>-1.6554823565863228E-3</c:v>
                </c:pt>
                <c:pt idx="12">
                  <c:v>-1.7074298727613882E-3</c:v>
                </c:pt>
                <c:pt idx="13">
                  <c:v>-1.8211599249135192E-3</c:v>
                </c:pt>
                <c:pt idx="14">
                  <c:v>-2.0161514015899985E-3</c:v>
                </c:pt>
                <c:pt idx="15">
                  <c:v>-2.2815774446654433E-3</c:v>
                </c:pt>
                <c:pt idx="16">
                  <c:v>-2.6350386904579371E-3</c:v>
                </c:pt>
                <c:pt idx="17">
                  <c:v>-2.9897374933827866E-3</c:v>
                </c:pt>
                <c:pt idx="18">
                  <c:v>-3.3260887472449235E-3</c:v>
                </c:pt>
                <c:pt idx="19">
                  <c:v>-3.6333022031835751E-3</c:v>
                </c:pt>
                <c:pt idx="20">
                  <c:v>-3.9062616396133062E-3</c:v>
                </c:pt>
                <c:pt idx="21">
                  <c:v>-4.1466938409928785E-3</c:v>
                </c:pt>
                <c:pt idx="22">
                  <c:v>-4.3673162350031372E-3</c:v>
                </c:pt>
                <c:pt idx="23">
                  <c:v>-4.5740353450476083E-3</c:v>
                </c:pt>
                <c:pt idx="24">
                  <c:v>-4.7710163086524E-3</c:v>
                </c:pt>
                <c:pt idx="25">
                  <c:v>-4.9646680663050797E-3</c:v>
                </c:pt>
                <c:pt idx="26">
                  <c:v>-5.1600450194279977E-3</c:v>
                </c:pt>
                <c:pt idx="27">
                  <c:v>-5.3675224625723151E-3</c:v>
                </c:pt>
                <c:pt idx="28">
                  <c:v>-5.5930084083329439E-3</c:v>
                </c:pt>
                <c:pt idx="29">
                  <c:v>-5.8469892109249567E-3</c:v>
                </c:pt>
                <c:pt idx="30">
                  <c:v>-6.1429401624638127E-3</c:v>
                </c:pt>
                <c:pt idx="31">
                  <c:v>-6.4963703135556576E-3</c:v>
                </c:pt>
                <c:pt idx="32">
                  <c:v>-6.9219247389157258E-3</c:v>
                </c:pt>
                <c:pt idx="33">
                  <c:v>-7.4358153985472908E-3</c:v>
                </c:pt>
                <c:pt idx="34">
                  <c:v>-8.0577172568747149E-3</c:v>
                </c:pt>
                <c:pt idx="35">
                  <c:v>-8.8129462986038451E-3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4.2213048765878908E-9</c:v>
                </c:pt>
                <c:pt idx="1">
                  <c:v>6.6564117069402966E-11</c:v>
                </c:pt>
                <c:pt idx="2">
                  <c:v>1.3161531256936916E-10</c:v>
                </c:pt>
                <c:pt idx="3">
                  <c:v>1.3000874606339754E-10</c:v>
                </c:pt>
                <c:pt idx="4">
                  <c:v>1.2825790773364044E-10</c:v>
                </c:pt>
                <c:pt idx="5">
                  <c:v>6.3181123028950899E-11</c:v>
                </c:pt>
                <c:pt idx="6">
                  <c:v>6.2202046509799096E-11</c:v>
                </c:pt>
                <c:pt idx="7">
                  <c:v>8.8554626547702655E-3</c:v>
                </c:pt>
                <c:pt idx="8">
                  <c:v>1.8764415881002229E-2</c:v>
                </c:pt>
                <c:pt idx="9">
                  <c:v>3.1073529885541379E-2</c:v>
                </c:pt>
                <c:pt idx="10">
                  <c:v>4.3647420674582701E-2</c:v>
                </c:pt>
                <c:pt idx="11">
                  <c:v>5.5031261228174332E-2</c:v>
                </c:pt>
                <c:pt idx="12">
                  <c:v>6.5754713935444742E-2</c:v>
                </c:pt>
                <c:pt idx="13">
                  <c:v>7.6376538799907176E-2</c:v>
                </c:pt>
                <c:pt idx="14">
                  <c:v>8.7365318590805596E-2</c:v>
                </c:pt>
                <c:pt idx="15">
                  <c:v>9.8908597737799336E-2</c:v>
                </c:pt>
                <c:pt idx="16">
                  <c:v>0.11082703781082531</c:v>
                </c:pt>
                <c:pt idx="17">
                  <c:v>0.12362190841786566</c:v>
                </c:pt>
                <c:pt idx="18">
                  <c:v>0.13720641605773173</c:v>
                </c:pt>
                <c:pt idx="19">
                  <c:v>0.15161644112224446</c:v>
                </c:pt>
                <c:pt idx="20">
                  <c:v>0.16696345656246589</c:v>
                </c:pt>
                <c:pt idx="21">
                  <c:v>0.18342861918864548</c:v>
                </c:pt>
                <c:pt idx="22">
                  <c:v>0.20122772106299908</c:v>
                </c:pt>
                <c:pt idx="23">
                  <c:v>0.22055525596196998</c:v>
                </c:pt>
                <c:pt idx="24">
                  <c:v>0.24162794885627989</c:v>
                </c:pt>
                <c:pt idx="25">
                  <c:v>0.26469658218751424</c:v>
                </c:pt>
                <c:pt idx="26">
                  <c:v>0.29042723041887875</c:v>
                </c:pt>
                <c:pt idx="27">
                  <c:v>0.31914555675299477</c:v>
                </c:pt>
                <c:pt idx="28">
                  <c:v>0.35132303624967048</c:v>
                </c:pt>
                <c:pt idx="29">
                  <c:v>0.38750394496559321</c:v>
                </c:pt>
                <c:pt idx="30">
                  <c:v>0.42835004889203337</c:v>
                </c:pt>
                <c:pt idx="31">
                  <c:v>0.47474390021290486</c:v>
                </c:pt>
                <c:pt idx="32">
                  <c:v>0.52782755289890682</c:v>
                </c:pt>
                <c:pt idx="33">
                  <c:v>0.58897262922575933</c:v>
                </c:pt>
                <c:pt idx="34">
                  <c:v>0.65992845784763043</c:v>
                </c:pt>
                <c:pt idx="35">
                  <c:v>0.7430092970557175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-3.8983077373478467E-11</c:v>
                </c:pt>
                <c:pt idx="1">
                  <c:v>-5.3251293655522373E-11</c:v>
                </c:pt>
                <c:pt idx="2">
                  <c:v>-2.6323062513873832E-11</c:v>
                </c:pt>
                <c:pt idx="3">
                  <c:v>-7.1504833429059259E-11</c:v>
                </c:pt>
                <c:pt idx="4">
                  <c:v>-1.0260628062055378E-10</c:v>
                </c:pt>
                <c:pt idx="5">
                  <c:v>-1.8322523433751546E-10</c:v>
                </c:pt>
                <c:pt idx="6">
                  <c:v>-1.3062436838616218E-10</c:v>
                </c:pt>
                <c:pt idx="7">
                  <c:v>-1.6475205957163399E-3</c:v>
                </c:pt>
                <c:pt idx="8">
                  <c:v>-3.4727582501785067E-3</c:v>
                </c:pt>
                <c:pt idx="9">
                  <c:v>-4.0497429219702582E-3</c:v>
                </c:pt>
                <c:pt idx="10">
                  <c:v>-4.5635355378318516E-3</c:v>
                </c:pt>
                <c:pt idx="11">
                  <c:v>-5.0281699017034193E-3</c:v>
                </c:pt>
                <c:pt idx="12">
                  <c:v>-5.4835597357974089E-3</c:v>
                </c:pt>
                <c:pt idx="13">
                  <c:v>-5.8590468903239584E-3</c:v>
                </c:pt>
                <c:pt idx="14">
                  <c:v>-6.0569466983105714E-3</c:v>
                </c:pt>
                <c:pt idx="15">
                  <c:v>-6.0828480456972742E-3</c:v>
                </c:pt>
                <c:pt idx="16">
                  <c:v>-6.568425072220589E-3</c:v>
                </c:pt>
                <c:pt idx="17">
                  <c:v>-7.1068895386306409E-3</c:v>
                </c:pt>
                <c:pt idx="18">
                  <c:v>-7.6795186307631515E-3</c:v>
                </c:pt>
                <c:pt idx="19">
                  <c:v>-8.2568833231323434E-3</c:v>
                </c:pt>
                <c:pt idx="20">
                  <c:v>-8.8120777797100446E-3</c:v>
                </c:pt>
                <c:pt idx="21">
                  <c:v>-9.3203972747958018E-3</c:v>
                </c:pt>
                <c:pt idx="22">
                  <c:v>-9.7595285714657375E-3</c:v>
                </c:pt>
                <c:pt idx="23">
                  <c:v>-1.0113917661813047E-2</c:v>
                </c:pt>
                <c:pt idx="24">
                  <c:v>-1.036814824292445E-2</c:v>
                </c:pt>
                <c:pt idx="25">
                  <c:v>-1.0507906000790672E-2</c:v>
                </c:pt>
                <c:pt idx="26">
                  <c:v>-1.0360373236426228E-2</c:v>
                </c:pt>
                <c:pt idx="27">
                  <c:v>-1.0033093445515413E-2</c:v>
                </c:pt>
                <c:pt idx="28">
                  <c:v>-9.5081544208903499E-3</c:v>
                </c:pt>
                <c:pt idx="29">
                  <c:v>-8.7679013339346575E-3</c:v>
                </c:pt>
                <c:pt idx="30">
                  <c:v>-7.7902481684403897E-3</c:v>
                </c:pt>
                <c:pt idx="31">
                  <c:v>-6.5423269695171144E-3</c:v>
                </c:pt>
                <c:pt idx="32">
                  <c:v>-4.9825718545941306E-3</c:v>
                </c:pt>
                <c:pt idx="33">
                  <c:v>-3.0640718304563342E-3</c:v>
                </c:pt>
                <c:pt idx="34">
                  <c:v>-7.2791341085244306E-4</c:v>
                </c:pt>
                <c:pt idx="35">
                  <c:v>2.1031864886962891E-3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1.1443124448007325E-8</c:v>
                </c:pt>
                <c:pt idx="1">
                  <c:v>1.0650258008837454E-8</c:v>
                </c:pt>
                <c:pt idx="2">
                  <c:v>1.0529224159228079E-8</c:v>
                </c:pt>
                <c:pt idx="3">
                  <c:v>1.0400698746693138E-8</c:v>
                </c:pt>
                <c:pt idx="4">
                  <c:v>1.0260631677638798E-8</c:v>
                </c:pt>
                <c:pt idx="5">
                  <c:v>9.4771677172644786E-9</c:v>
                </c:pt>
                <c:pt idx="6">
                  <c:v>9.3303127446375811E-9</c:v>
                </c:pt>
                <c:pt idx="7">
                  <c:v>4.9365500256883799E-3</c:v>
                </c:pt>
                <c:pt idx="8">
                  <c:v>1.1175539156364378E-2</c:v>
                </c:pt>
                <c:pt idx="9">
                  <c:v>2.1967188937688231E-2</c:v>
                </c:pt>
                <c:pt idx="10">
                  <c:v>3.3567915820928107E-2</c:v>
                </c:pt>
                <c:pt idx="11">
                  <c:v>4.4821333916427841E-2</c:v>
                </c:pt>
                <c:pt idx="12">
                  <c:v>5.5904101500809933E-2</c:v>
                </c:pt>
                <c:pt idx="13">
                  <c:v>6.7296039865341939E-2</c:v>
                </c:pt>
                <c:pt idx="14">
                  <c:v>7.9506346270396877E-2</c:v>
                </c:pt>
                <c:pt idx="15">
                  <c:v>9.2665247276728202E-2</c:v>
                </c:pt>
                <c:pt idx="16">
                  <c:v>0.10557277416297195</c:v>
                </c:pt>
                <c:pt idx="17">
                  <c:v>0.11919868241371856</c:v>
                </c:pt>
                <c:pt idx="18">
                  <c:v>0.13352529998382878</c:v>
                </c:pt>
                <c:pt idx="19">
                  <c:v>0.14867605224614588</c:v>
                </c:pt>
                <c:pt idx="20">
                  <c:v>0.16484647816364628</c:v>
                </c:pt>
                <c:pt idx="21">
                  <c:v>0.18227154212998498</c:v>
                </c:pt>
                <c:pt idx="22">
                  <c:v>0.20121185914679707</c:v>
                </c:pt>
                <c:pt idx="23">
                  <c:v>0.22189290905818826</c:v>
                </c:pt>
                <c:pt idx="24">
                  <c:v>0.24456236290245137</c:v>
                </c:pt>
                <c:pt idx="25">
                  <c:v>0.26952062866386495</c:v>
                </c:pt>
                <c:pt idx="26">
                  <c:v>0.29761520582442946</c:v>
                </c:pt>
                <c:pt idx="27">
                  <c:v>0.32909422055064641</c:v>
                </c:pt>
                <c:pt idx="28">
                  <c:v>0.36447654351348491</c:v>
                </c:pt>
                <c:pt idx="29">
                  <c:v>0.40436062108340542</c:v>
                </c:pt>
                <c:pt idx="30">
                  <c:v>0.44947637107063865</c:v>
                </c:pt>
                <c:pt idx="31">
                  <c:v>0.5008015761510265</c:v>
                </c:pt>
                <c:pt idx="32">
                  <c:v>0.55960499541613973</c:v>
                </c:pt>
                <c:pt idx="33">
                  <c:v>0.62740867486580343</c:v>
                </c:pt>
                <c:pt idx="34">
                  <c:v>0.70616072088246717</c:v>
                </c:pt>
                <c:pt idx="35">
                  <c:v>0.79845903301820642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5.0830412550000004</c:v>
                </c:pt>
                <c:pt idx="2">
                  <c:v>6.6173490480000003</c:v>
                </c:pt>
                <c:pt idx="3">
                  <c:v>8.2033552000000007</c:v>
                </c:pt>
                <c:pt idx="4">
                  <c:v>9.8742092459999995</c:v>
                </c:pt>
                <c:pt idx="5">
                  <c:v>11.52069298</c:v>
                </c:pt>
                <c:pt idx="6">
                  <c:v>13.07314227</c:v>
                </c:pt>
                <c:pt idx="7">
                  <c:v>14.572848479999999</c:v>
                </c:pt>
                <c:pt idx="8">
                  <c:v>16.053553220000001</c:v>
                </c:pt>
                <c:pt idx="9">
                  <c:v>17.538336839999999</c:v>
                </c:pt>
                <c:pt idx="10">
                  <c:v>19.081991259999999</c:v>
                </c:pt>
                <c:pt idx="11">
                  <c:v>20.61390467</c:v>
                </c:pt>
                <c:pt idx="12">
                  <c:v>22.18027944</c:v>
                </c:pt>
                <c:pt idx="13">
                  <c:v>23.761329480000001</c:v>
                </c:pt>
                <c:pt idx="14">
                  <c:v>25.35568031</c:v>
                </c:pt>
                <c:pt idx="15">
                  <c:v>26.96332584</c:v>
                </c:pt>
                <c:pt idx="16">
                  <c:v>28.5847002</c:v>
                </c:pt>
                <c:pt idx="17">
                  <c:v>30.215379080000002</c:v>
                </c:pt>
                <c:pt idx="18">
                  <c:v>31.65668771</c:v>
                </c:pt>
                <c:pt idx="19">
                  <c:v>32.977572889999998</c:v>
                </c:pt>
                <c:pt idx="20">
                  <c:v>34.18431322</c:v>
                </c:pt>
                <c:pt idx="21">
                  <c:v>35.34480396</c:v>
                </c:pt>
                <c:pt idx="22">
                  <c:v>36.44004838</c:v>
                </c:pt>
                <c:pt idx="23">
                  <c:v>37.474217549999999</c:v>
                </c:pt>
                <c:pt idx="24">
                  <c:v>38.454949929999998</c:v>
                </c:pt>
                <c:pt idx="25">
                  <c:v>39.296082290000001</c:v>
                </c:pt>
                <c:pt idx="26">
                  <c:v>40.111539559999997</c:v>
                </c:pt>
                <c:pt idx="27">
                  <c:v>40.866504640000002</c:v>
                </c:pt>
                <c:pt idx="28">
                  <c:v>41.565244239999998</c:v>
                </c:pt>
                <c:pt idx="29">
                  <c:v>42.21359734</c:v>
                </c:pt>
                <c:pt idx="30">
                  <c:v>42.819613429999997</c:v>
                </c:pt>
                <c:pt idx="31">
                  <c:v>43.39336617</c:v>
                </c:pt>
                <c:pt idx="32">
                  <c:v>43.946334669999999</c:v>
                </c:pt>
                <c:pt idx="33">
                  <c:v>44.490336499999998</c:v>
                </c:pt>
                <c:pt idx="34">
                  <c:v>45.03694419</c:v>
                </c:pt>
                <c:pt idx="35">
                  <c:v>45.597017000000001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75.719616799999997</c:v>
                </c:pt>
                <c:pt idx="2">
                  <c:v>82.421636280000001</c:v>
                </c:pt>
                <c:pt idx="3">
                  <c:v>88.672308340000001</c:v>
                </c:pt>
                <c:pt idx="4">
                  <c:v>94.684739269999994</c:v>
                </c:pt>
                <c:pt idx="5">
                  <c:v>100.60181369999999</c:v>
                </c:pt>
                <c:pt idx="6">
                  <c:v>105.8675642</c:v>
                </c:pt>
                <c:pt idx="7">
                  <c:v>111.14060689999999</c:v>
                </c:pt>
                <c:pt idx="8">
                  <c:v>116.4359453</c:v>
                </c:pt>
                <c:pt idx="9">
                  <c:v>121.7596259</c:v>
                </c:pt>
                <c:pt idx="10">
                  <c:v>128.1497569</c:v>
                </c:pt>
                <c:pt idx="11">
                  <c:v>133.5301288</c:v>
                </c:pt>
                <c:pt idx="12">
                  <c:v>138.9294817</c:v>
                </c:pt>
                <c:pt idx="13">
                  <c:v>144.2783862</c:v>
                </c:pt>
                <c:pt idx="14">
                  <c:v>149.56954619999999</c:v>
                </c:pt>
                <c:pt idx="15">
                  <c:v>154.81020190000001</c:v>
                </c:pt>
                <c:pt idx="16">
                  <c:v>160.032297</c:v>
                </c:pt>
                <c:pt idx="17">
                  <c:v>165.29628360000001</c:v>
                </c:pt>
                <c:pt idx="18">
                  <c:v>170.1451295</c:v>
                </c:pt>
                <c:pt idx="19">
                  <c:v>174.7909885</c:v>
                </c:pt>
                <c:pt idx="20">
                  <c:v>178.6568915</c:v>
                </c:pt>
                <c:pt idx="21">
                  <c:v>183.1717151</c:v>
                </c:pt>
                <c:pt idx="22">
                  <c:v>187.68067379999999</c:v>
                </c:pt>
                <c:pt idx="23">
                  <c:v>192.2024505</c:v>
                </c:pt>
                <c:pt idx="24">
                  <c:v>196.77117620000001</c:v>
                </c:pt>
                <c:pt idx="25">
                  <c:v>199.45758000000001</c:v>
                </c:pt>
                <c:pt idx="26">
                  <c:v>203.14104140000001</c:v>
                </c:pt>
                <c:pt idx="27">
                  <c:v>206.83510039999999</c:v>
                </c:pt>
                <c:pt idx="28">
                  <c:v>210.54231290000001</c:v>
                </c:pt>
                <c:pt idx="29">
                  <c:v>214.26252360000001</c:v>
                </c:pt>
                <c:pt idx="30">
                  <c:v>217.99368329999999</c:v>
                </c:pt>
                <c:pt idx="31">
                  <c:v>221.73247040000001</c:v>
                </c:pt>
                <c:pt idx="32">
                  <c:v>225.47481389999999</c:v>
                </c:pt>
                <c:pt idx="33">
                  <c:v>229.21643220000001</c:v>
                </c:pt>
                <c:pt idx="34">
                  <c:v>232.95314010000001</c:v>
                </c:pt>
                <c:pt idx="35">
                  <c:v>236.6810758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422.72007989999997</c:v>
                </c:pt>
                <c:pt idx="2">
                  <c:v>437.28317700000002</c:v>
                </c:pt>
                <c:pt idx="3">
                  <c:v>450.88712600000002</c:v>
                </c:pt>
                <c:pt idx="4">
                  <c:v>463.94107480000002</c:v>
                </c:pt>
                <c:pt idx="5">
                  <c:v>476.8246623</c:v>
                </c:pt>
                <c:pt idx="6">
                  <c:v>487.96694819999999</c:v>
                </c:pt>
                <c:pt idx="7">
                  <c:v>499.1844112</c:v>
                </c:pt>
                <c:pt idx="8">
                  <c:v>510.48393320000002</c:v>
                </c:pt>
                <c:pt idx="9">
                  <c:v>521.86063630000001</c:v>
                </c:pt>
                <c:pt idx="10">
                  <c:v>536.21817039999996</c:v>
                </c:pt>
                <c:pt idx="11">
                  <c:v>547.72382330000005</c:v>
                </c:pt>
                <c:pt idx="12">
                  <c:v>559.26586569999995</c:v>
                </c:pt>
                <c:pt idx="13">
                  <c:v>570.65371059999995</c:v>
                </c:pt>
                <c:pt idx="14">
                  <c:v>581.87114680000002</c:v>
                </c:pt>
                <c:pt idx="15">
                  <c:v>592.94136579999997</c:v>
                </c:pt>
                <c:pt idx="16">
                  <c:v>603.95982360000005</c:v>
                </c:pt>
                <c:pt idx="17">
                  <c:v>615.11895830000003</c:v>
                </c:pt>
                <c:pt idx="18">
                  <c:v>625.1656759</c:v>
                </c:pt>
                <c:pt idx="19">
                  <c:v>634.6740092</c:v>
                </c:pt>
                <c:pt idx="20">
                  <c:v>642.01114319999999</c:v>
                </c:pt>
                <c:pt idx="21">
                  <c:v>651.17999139999995</c:v>
                </c:pt>
                <c:pt idx="22">
                  <c:v>660.33613620000006</c:v>
                </c:pt>
                <c:pt idx="23">
                  <c:v>669.52802269999995</c:v>
                </c:pt>
                <c:pt idx="24">
                  <c:v>678.85494029999995</c:v>
                </c:pt>
                <c:pt idx="25">
                  <c:v>682.88287439999999</c:v>
                </c:pt>
                <c:pt idx="26">
                  <c:v>689.69689670000002</c:v>
                </c:pt>
                <c:pt idx="27">
                  <c:v>696.52903130000004</c:v>
                </c:pt>
                <c:pt idx="28">
                  <c:v>703.38833980000004</c:v>
                </c:pt>
                <c:pt idx="29">
                  <c:v>710.27715509999996</c:v>
                </c:pt>
                <c:pt idx="30">
                  <c:v>717.19356000000005</c:v>
                </c:pt>
                <c:pt idx="31">
                  <c:v>724.1329088</c:v>
                </c:pt>
                <c:pt idx="32">
                  <c:v>731.08889790000001</c:v>
                </c:pt>
                <c:pt idx="33">
                  <c:v>738.05457779999995</c:v>
                </c:pt>
                <c:pt idx="34">
                  <c:v>745.02287899999999</c:v>
                </c:pt>
                <c:pt idx="35">
                  <c:v>751.98698400000001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949.10933209999996</c:v>
                </c:pt>
                <c:pt idx="2">
                  <c:v>944.72765849999996</c:v>
                </c:pt>
                <c:pt idx="3">
                  <c:v>940.8460182</c:v>
                </c:pt>
                <c:pt idx="4">
                  <c:v>937.24828330000003</c:v>
                </c:pt>
                <c:pt idx="5">
                  <c:v>933.73657900000001</c:v>
                </c:pt>
                <c:pt idx="6">
                  <c:v>930.21311969999999</c:v>
                </c:pt>
                <c:pt idx="7">
                  <c:v>926.59838620000005</c:v>
                </c:pt>
                <c:pt idx="8">
                  <c:v>922.86397309999995</c:v>
                </c:pt>
                <c:pt idx="9">
                  <c:v>918.99960639999995</c:v>
                </c:pt>
                <c:pt idx="10">
                  <c:v>915.00831200000005</c:v>
                </c:pt>
                <c:pt idx="11">
                  <c:v>910.90237890000003</c:v>
                </c:pt>
                <c:pt idx="12">
                  <c:v>906.6999548</c:v>
                </c:pt>
                <c:pt idx="13">
                  <c:v>902.68214769999997</c:v>
                </c:pt>
                <c:pt idx="14">
                  <c:v>898.87463720000005</c:v>
                </c:pt>
                <c:pt idx="15">
                  <c:v>895.24747560000003</c:v>
                </c:pt>
                <c:pt idx="16">
                  <c:v>891.67322590000003</c:v>
                </c:pt>
                <c:pt idx="17">
                  <c:v>887.90394749999996</c:v>
                </c:pt>
                <c:pt idx="18">
                  <c:v>885.84802049999996</c:v>
                </c:pt>
                <c:pt idx="19">
                  <c:v>884.65035069999999</c:v>
                </c:pt>
                <c:pt idx="20">
                  <c:v>883.8719175</c:v>
                </c:pt>
                <c:pt idx="21">
                  <c:v>883.28961760000004</c:v>
                </c:pt>
                <c:pt idx="22">
                  <c:v>882.78794040000002</c:v>
                </c:pt>
                <c:pt idx="23">
                  <c:v>882.29582149999999</c:v>
                </c:pt>
                <c:pt idx="24">
                  <c:v>881.67248830000005</c:v>
                </c:pt>
                <c:pt idx="25">
                  <c:v>881.15405109999995</c:v>
                </c:pt>
                <c:pt idx="26">
                  <c:v>880.6780546</c:v>
                </c:pt>
                <c:pt idx="27">
                  <c:v>880.21368629999995</c:v>
                </c:pt>
                <c:pt idx="28">
                  <c:v>879.74546450000003</c:v>
                </c:pt>
                <c:pt idx="29">
                  <c:v>879.26581510000005</c:v>
                </c:pt>
                <c:pt idx="30">
                  <c:v>878.77113499999996</c:v>
                </c:pt>
                <c:pt idx="31">
                  <c:v>878.25981200000001</c:v>
                </c:pt>
                <c:pt idx="32">
                  <c:v>877.73123069999997</c:v>
                </c:pt>
                <c:pt idx="33">
                  <c:v>877.18527189999998</c:v>
                </c:pt>
                <c:pt idx="34">
                  <c:v>876.62205200000005</c:v>
                </c:pt>
                <c:pt idx="35">
                  <c:v>876.04178609999997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870.88907449999999</c:v>
                </c:pt>
                <c:pt idx="2">
                  <c:v>864.49852009999995</c:v>
                </c:pt>
                <c:pt idx="3">
                  <c:v>858.8741374</c:v>
                </c:pt>
                <c:pt idx="4">
                  <c:v>853.6436582</c:v>
                </c:pt>
                <c:pt idx="5">
                  <c:v>848.62588519999997</c:v>
                </c:pt>
                <c:pt idx="6">
                  <c:v>843.72982809999996</c:v>
                </c:pt>
                <c:pt idx="7">
                  <c:v>838.90927969999996</c:v>
                </c:pt>
                <c:pt idx="8">
                  <c:v>834.14098639999997</c:v>
                </c:pt>
                <c:pt idx="9">
                  <c:v>829.41331460000004</c:v>
                </c:pt>
                <c:pt idx="10">
                  <c:v>824.72037560000001</c:v>
                </c:pt>
                <c:pt idx="11">
                  <c:v>820.05952979999995</c:v>
                </c:pt>
                <c:pt idx="12">
                  <c:v>815.42874329999995</c:v>
                </c:pt>
                <c:pt idx="13">
                  <c:v>810.82716760000005</c:v>
                </c:pt>
                <c:pt idx="14">
                  <c:v>806.25425140000004</c:v>
                </c:pt>
                <c:pt idx="15">
                  <c:v>801.70957350000003</c:v>
                </c:pt>
                <c:pt idx="16">
                  <c:v>797.19278780000002</c:v>
                </c:pt>
                <c:pt idx="17">
                  <c:v>792.70361349999996</c:v>
                </c:pt>
                <c:pt idx="18">
                  <c:v>788.2423344</c:v>
                </c:pt>
                <c:pt idx="19">
                  <c:v>783.80861470000002</c:v>
                </c:pt>
                <c:pt idx="20">
                  <c:v>779.40207810000004</c:v>
                </c:pt>
                <c:pt idx="21">
                  <c:v>775.02215969999997</c:v>
                </c:pt>
                <c:pt idx="22">
                  <c:v>770.66889920000006</c:v>
                </c:pt>
                <c:pt idx="23">
                  <c:v>766.34212739999998</c:v>
                </c:pt>
                <c:pt idx="24">
                  <c:v>762.04170190000002</c:v>
                </c:pt>
                <c:pt idx="25">
                  <c:v>757.76750939999999</c:v>
                </c:pt>
                <c:pt idx="26">
                  <c:v>753.51872079999998</c:v>
                </c:pt>
                <c:pt idx="27">
                  <c:v>749.29561709999996</c:v>
                </c:pt>
                <c:pt idx="28">
                  <c:v>745.09809670000004</c:v>
                </c:pt>
                <c:pt idx="29">
                  <c:v>740.92605570000001</c:v>
                </c:pt>
                <c:pt idx="30">
                  <c:v>736.77938619999998</c:v>
                </c:pt>
                <c:pt idx="31">
                  <c:v>732.65797229999998</c:v>
                </c:pt>
                <c:pt idx="32">
                  <c:v>728.56168890000004</c:v>
                </c:pt>
                <c:pt idx="33">
                  <c:v>724.49040560000003</c:v>
                </c:pt>
                <c:pt idx="34">
                  <c:v>720.44398550000005</c:v>
                </c:pt>
                <c:pt idx="35">
                  <c:v>716.42228420000004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138.42437770000001</c:v>
                </c:pt>
                <c:pt idx="2">
                  <c:v>137.24268620000001</c:v>
                </c:pt>
                <c:pt idx="3">
                  <c:v>136.186046</c:v>
                </c:pt>
                <c:pt idx="4">
                  <c:v>135.19492940000001</c:v>
                </c:pt>
                <c:pt idx="5">
                  <c:v>134.2389981</c:v>
                </c:pt>
                <c:pt idx="6">
                  <c:v>133.3037582</c:v>
                </c:pt>
                <c:pt idx="7">
                  <c:v>132.38263230000001</c:v>
                </c:pt>
                <c:pt idx="8">
                  <c:v>131.4722026</c:v>
                </c:pt>
                <c:pt idx="9">
                  <c:v>130.57049939999999</c:v>
                </c:pt>
                <c:pt idx="10">
                  <c:v>129.6763315</c:v>
                </c:pt>
                <c:pt idx="11">
                  <c:v>128.7889361</c:v>
                </c:pt>
                <c:pt idx="12">
                  <c:v>127.90778899999999</c:v>
                </c:pt>
                <c:pt idx="13">
                  <c:v>127.03255729999999</c:v>
                </c:pt>
                <c:pt idx="14">
                  <c:v>126.16308979999999</c:v>
                </c:pt>
                <c:pt idx="15">
                  <c:v>125.29939899999999</c:v>
                </c:pt>
                <c:pt idx="16">
                  <c:v>124.4414852</c:v>
                </c:pt>
                <c:pt idx="17">
                  <c:v>123.5891323</c:v>
                </c:pt>
                <c:pt idx="18">
                  <c:v>122.7424785</c:v>
                </c:pt>
                <c:pt idx="19">
                  <c:v>121.90183</c:v>
                </c:pt>
                <c:pt idx="20">
                  <c:v>121.0675136</c:v>
                </c:pt>
                <c:pt idx="21">
                  <c:v>120.2397855</c:v>
                </c:pt>
                <c:pt idx="22">
                  <c:v>119.4187956</c:v>
                </c:pt>
                <c:pt idx="23">
                  <c:v>118.6045956</c:v>
                </c:pt>
                <c:pt idx="24">
                  <c:v>117.7971691</c:v>
                </c:pt>
                <c:pt idx="25">
                  <c:v>116.9964464</c:v>
                </c:pt>
                <c:pt idx="26">
                  <c:v>116.20230170000001</c:v>
                </c:pt>
                <c:pt idx="27">
                  <c:v>115.4145532</c:v>
                </c:pt>
                <c:pt idx="28">
                  <c:v>114.63297439999999</c:v>
                </c:pt>
                <c:pt idx="29">
                  <c:v>113.8573052</c:v>
                </c:pt>
                <c:pt idx="30">
                  <c:v>113.0872562</c:v>
                </c:pt>
                <c:pt idx="31">
                  <c:v>112.3225315</c:v>
                </c:pt>
                <c:pt idx="32">
                  <c:v>111.56284599999999</c:v>
                </c:pt>
                <c:pt idx="33">
                  <c:v>110.80793660000001</c:v>
                </c:pt>
                <c:pt idx="34">
                  <c:v>110.05757269999999</c:v>
                </c:pt>
                <c:pt idx="35">
                  <c:v>109.3115622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3.7808512300000001</c:v>
                </c:pt>
                <c:pt idx="2">
                  <c:v>3.7170796880000001</c:v>
                </c:pt>
                <c:pt idx="3">
                  <c:v>3.667993675</c:v>
                </c:pt>
                <c:pt idx="4">
                  <c:v>3.6263193149999999</c:v>
                </c:pt>
                <c:pt idx="5">
                  <c:v>3.5883687260000001</c:v>
                </c:pt>
                <c:pt idx="6">
                  <c:v>3.5524289659999999</c:v>
                </c:pt>
                <c:pt idx="7">
                  <c:v>3.5176840650000001</c:v>
                </c:pt>
                <c:pt idx="8">
                  <c:v>3.4836836290000002</c:v>
                </c:pt>
                <c:pt idx="9">
                  <c:v>3.450156448</c:v>
                </c:pt>
                <c:pt idx="10">
                  <c:v>3.4169440560000002</c:v>
                </c:pt>
                <c:pt idx="11">
                  <c:v>3.3839556979999998</c:v>
                </c:pt>
                <c:pt idx="12">
                  <c:v>3.351138229</c:v>
                </c:pt>
                <c:pt idx="13">
                  <c:v>3.318469318</c:v>
                </c:pt>
                <c:pt idx="14">
                  <c:v>3.2859561519999998</c:v>
                </c:pt>
                <c:pt idx="15">
                  <c:v>3.2536316369999998</c:v>
                </c:pt>
                <c:pt idx="16">
                  <c:v>3.2215481690000001</c:v>
                </c:pt>
                <c:pt idx="17">
                  <c:v>3.1897800040000002</c:v>
                </c:pt>
                <c:pt idx="18">
                  <c:v>3.158430385</c:v>
                </c:pt>
                <c:pt idx="19">
                  <c:v>3.1275928159999999</c:v>
                </c:pt>
                <c:pt idx="20">
                  <c:v>3.097333329</c:v>
                </c:pt>
                <c:pt idx="21">
                  <c:v>3.0676860330000002</c:v>
                </c:pt>
                <c:pt idx="22">
                  <c:v>3.038657352</c:v>
                </c:pt>
                <c:pt idx="23">
                  <c:v>3.0102353019999999</c:v>
                </c:pt>
                <c:pt idx="24">
                  <c:v>2.9823981910000001</c:v>
                </c:pt>
                <c:pt idx="25">
                  <c:v>2.9551183980000002</c:v>
                </c:pt>
                <c:pt idx="26">
                  <c:v>2.9283618740000001</c:v>
                </c:pt>
                <c:pt idx="27">
                  <c:v>2.9020869020000002</c:v>
                </c:pt>
                <c:pt idx="28">
                  <c:v>2.876245865</c:v>
                </c:pt>
                <c:pt idx="29">
                  <c:v>2.8507867839999999</c:v>
                </c:pt>
                <c:pt idx="30">
                  <c:v>2.825653972</c:v>
                </c:pt>
                <c:pt idx="31">
                  <c:v>2.8007919499999998</c:v>
                </c:pt>
                <c:pt idx="32">
                  <c:v>2.7761486</c:v>
                </c:pt>
                <c:pt idx="33">
                  <c:v>2.7516772220000001</c:v>
                </c:pt>
                <c:pt idx="34">
                  <c:v>2.7273381909999999</c:v>
                </c:pt>
                <c:pt idx="35">
                  <c:v>2.703099951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5.0830412550000004</c:v>
                </c:pt>
                <c:pt idx="2">
                  <c:v>6.6173490450000001</c:v>
                </c:pt>
                <c:pt idx="3">
                  <c:v>8.203355191</c:v>
                </c:pt>
                <c:pt idx="4">
                  <c:v>9.8742092289999999</c:v>
                </c:pt>
                <c:pt idx="5">
                  <c:v>11.52069296</c:v>
                </c:pt>
                <c:pt idx="6">
                  <c:v>13.07314225</c:v>
                </c:pt>
                <c:pt idx="7">
                  <c:v>14.7946525</c:v>
                </c:pt>
                <c:pt idx="8">
                  <c:v>17.175082669999998</c:v>
                </c:pt>
                <c:pt idx="9">
                  <c:v>19.993083930000001</c:v>
                </c:pt>
                <c:pt idx="10">
                  <c:v>23.129417409999999</c:v>
                </c:pt>
                <c:pt idx="11">
                  <c:v>26.39470133</c:v>
                </c:pt>
                <c:pt idx="12">
                  <c:v>29.74529235</c:v>
                </c:pt>
                <c:pt idx="13">
                  <c:v>33.132531350000001</c:v>
                </c:pt>
                <c:pt idx="14">
                  <c:v>36.528701599999998</c:v>
                </c:pt>
                <c:pt idx="15">
                  <c:v>39.918573510000002</c:v>
                </c:pt>
                <c:pt idx="16">
                  <c:v>43.296030960000003</c:v>
                </c:pt>
                <c:pt idx="17">
                  <c:v>46.663940279999998</c:v>
                </c:pt>
                <c:pt idx="18">
                  <c:v>50.023820260000001</c:v>
                </c:pt>
                <c:pt idx="19">
                  <c:v>53.375685079999997</c:v>
                </c:pt>
                <c:pt idx="20">
                  <c:v>56.692024619999998</c:v>
                </c:pt>
                <c:pt idx="21">
                  <c:v>60.023882200000003</c:v>
                </c:pt>
                <c:pt idx="22">
                  <c:v>63.342906259999999</c:v>
                </c:pt>
                <c:pt idx="23">
                  <c:v>66.647025819999996</c:v>
                </c:pt>
                <c:pt idx="24">
                  <c:v>69.934249899999998</c:v>
                </c:pt>
                <c:pt idx="25">
                  <c:v>73.130508919999997</c:v>
                </c:pt>
                <c:pt idx="26">
                  <c:v>76.344049319999996</c:v>
                </c:pt>
                <c:pt idx="27">
                  <c:v>79.534706900000003</c:v>
                </c:pt>
                <c:pt idx="28">
                  <c:v>82.700720259999997</c:v>
                </c:pt>
                <c:pt idx="29">
                  <c:v>85.840887159999994</c:v>
                </c:pt>
                <c:pt idx="30">
                  <c:v>88.954537729999998</c:v>
                </c:pt>
                <c:pt idx="31">
                  <c:v>92.041281699999999</c:v>
                </c:pt>
                <c:pt idx="32">
                  <c:v>95.10066028</c:v>
                </c:pt>
                <c:pt idx="33">
                  <c:v>98.132030940000007</c:v>
                </c:pt>
                <c:pt idx="34">
                  <c:v>101.1347162</c:v>
                </c:pt>
                <c:pt idx="35">
                  <c:v>104.10781660000001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75.719616799999997</c:v>
                </c:pt>
                <c:pt idx="2">
                  <c:v>82.421636289999995</c:v>
                </c:pt>
                <c:pt idx="3">
                  <c:v>88.672308369999996</c:v>
                </c:pt>
                <c:pt idx="4">
                  <c:v>94.684739320000006</c:v>
                </c:pt>
                <c:pt idx="5">
                  <c:v>100.6018138</c:v>
                </c:pt>
                <c:pt idx="6">
                  <c:v>105.8675643</c:v>
                </c:pt>
                <c:pt idx="7">
                  <c:v>111.0492558</c:v>
                </c:pt>
                <c:pt idx="8">
                  <c:v>115.8595856</c:v>
                </c:pt>
                <c:pt idx="9">
                  <c:v>120.4493677</c:v>
                </c:pt>
                <c:pt idx="10">
                  <c:v>125.9469125</c:v>
                </c:pt>
                <c:pt idx="11">
                  <c:v>130.33339219999999</c:v>
                </c:pt>
                <c:pt idx="12">
                  <c:v>134.6781202</c:v>
                </c:pt>
                <c:pt idx="13">
                  <c:v>138.99653499999999</c:v>
                </c:pt>
                <c:pt idx="14">
                  <c:v>143.2960918</c:v>
                </c:pt>
                <c:pt idx="15">
                  <c:v>147.58116849999999</c:v>
                </c:pt>
                <c:pt idx="16">
                  <c:v>151.85202480000001</c:v>
                </c:pt>
                <c:pt idx="17">
                  <c:v>156.1021638</c:v>
                </c:pt>
                <c:pt idx="18">
                  <c:v>160.332471</c:v>
                </c:pt>
                <c:pt idx="19">
                  <c:v>164.54611070000001</c:v>
                </c:pt>
                <c:pt idx="20">
                  <c:v>168.0595395</c:v>
                </c:pt>
                <c:pt idx="21">
                  <c:v>172.24802550000001</c:v>
                </c:pt>
                <c:pt idx="22">
                  <c:v>176.42939749999999</c:v>
                </c:pt>
                <c:pt idx="23">
                  <c:v>180.6059425</c:v>
                </c:pt>
                <c:pt idx="24">
                  <c:v>184.77958330000001</c:v>
                </c:pt>
                <c:pt idx="25">
                  <c:v>187.0764508</c:v>
                </c:pt>
                <c:pt idx="26">
                  <c:v>190.36248280000001</c:v>
                </c:pt>
                <c:pt idx="27">
                  <c:v>193.64559819999999</c:v>
                </c:pt>
                <c:pt idx="28">
                  <c:v>196.92709579999999</c:v>
                </c:pt>
                <c:pt idx="29">
                  <c:v>200.2080267</c:v>
                </c:pt>
                <c:pt idx="30">
                  <c:v>203.4892236</c:v>
                </c:pt>
                <c:pt idx="31">
                  <c:v>206.77142860000001</c:v>
                </c:pt>
                <c:pt idx="32">
                  <c:v>210.05543040000001</c:v>
                </c:pt>
                <c:pt idx="33">
                  <c:v>213.342105</c:v>
                </c:pt>
                <c:pt idx="34">
                  <c:v>216.63245929999999</c:v>
                </c:pt>
                <c:pt idx="35">
                  <c:v>219.92778659999999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422.72007989999997</c:v>
                </c:pt>
                <c:pt idx="2">
                  <c:v>437.28317700000002</c:v>
                </c:pt>
                <c:pt idx="3">
                  <c:v>450.88712600000002</c:v>
                </c:pt>
                <c:pt idx="4">
                  <c:v>463.94107480000002</c:v>
                </c:pt>
                <c:pt idx="5">
                  <c:v>476.8246623</c:v>
                </c:pt>
                <c:pt idx="6">
                  <c:v>487.96694819999999</c:v>
                </c:pt>
                <c:pt idx="7">
                  <c:v>498.8597034</c:v>
                </c:pt>
                <c:pt idx="8">
                  <c:v>508.76720410000001</c:v>
                </c:pt>
                <c:pt idx="9">
                  <c:v>518.08405029999994</c:v>
                </c:pt>
                <c:pt idx="10">
                  <c:v>529.96744420000005</c:v>
                </c:pt>
                <c:pt idx="11">
                  <c:v>538.74877479999998</c:v>
                </c:pt>
                <c:pt idx="12">
                  <c:v>547.43750150000005</c:v>
                </c:pt>
                <c:pt idx="13">
                  <c:v>556.08743849999996</c:v>
                </c:pt>
                <c:pt idx="14">
                  <c:v>564.72518600000001</c:v>
                </c:pt>
                <c:pt idx="15">
                  <c:v>573.36341059999995</c:v>
                </c:pt>
                <c:pt idx="16">
                  <c:v>582.00290589999997</c:v>
                </c:pt>
                <c:pt idx="17">
                  <c:v>590.62996250000003</c:v>
                </c:pt>
                <c:pt idx="18">
                  <c:v>599.24285529999997</c:v>
                </c:pt>
                <c:pt idx="19">
                  <c:v>607.84405860000004</c:v>
                </c:pt>
                <c:pt idx="20">
                  <c:v>614.50799540000003</c:v>
                </c:pt>
                <c:pt idx="21">
                  <c:v>623.09001390000003</c:v>
                </c:pt>
                <c:pt idx="22">
                  <c:v>631.67010000000005</c:v>
                </c:pt>
                <c:pt idx="23">
                  <c:v>640.25042080000003</c:v>
                </c:pt>
                <c:pt idx="24">
                  <c:v>648.83266260000005</c:v>
                </c:pt>
                <c:pt idx="25">
                  <c:v>652.15221399999996</c:v>
                </c:pt>
                <c:pt idx="26">
                  <c:v>658.25188360000004</c:v>
                </c:pt>
                <c:pt idx="27">
                  <c:v>664.34348250000005</c:v>
                </c:pt>
                <c:pt idx="28">
                  <c:v>670.42769490000001</c:v>
                </c:pt>
                <c:pt idx="29">
                  <c:v>676.50489900000002</c:v>
                </c:pt>
                <c:pt idx="30">
                  <c:v>682.57519409999998</c:v>
                </c:pt>
                <c:pt idx="31">
                  <c:v>688.63851150000005</c:v>
                </c:pt>
                <c:pt idx="32">
                  <c:v>694.69478360000005</c:v>
                </c:pt>
                <c:pt idx="33">
                  <c:v>700.74402669999995</c:v>
                </c:pt>
                <c:pt idx="34">
                  <c:v>706.78621190000001</c:v>
                </c:pt>
                <c:pt idx="35">
                  <c:v>712.8212992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949.10933209999996</c:v>
                </c:pt>
                <c:pt idx="2">
                  <c:v>944.72765849999996</c:v>
                </c:pt>
                <c:pt idx="3">
                  <c:v>940.84601810000004</c:v>
                </c:pt>
                <c:pt idx="4">
                  <c:v>937.24828330000003</c:v>
                </c:pt>
                <c:pt idx="5">
                  <c:v>933.73657890000004</c:v>
                </c:pt>
                <c:pt idx="6">
                  <c:v>930.21311960000003</c:v>
                </c:pt>
                <c:pt idx="7">
                  <c:v>926.79546359999995</c:v>
                </c:pt>
                <c:pt idx="8">
                  <c:v>924.05741190000003</c:v>
                </c:pt>
                <c:pt idx="9">
                  <c:v>921.69229350000001</c:v>
                </c:pt>
                <c:pt idx="10">
                  <c:v>919.53603299999997</c:v>
                </c:pt>
                <c:pt idx="11">
                  <c:v>917.49546350000003</c:v>
                </c:pt>
                <c:pt idx="12">
                  <c:v>915.50163859999998</c:v>
                </c:pt>
                <c:pt idx="13">
                  <c:v>913.53023789999997</c:v>
                </c:pt>
                <c:pt idx="14">
                  <c:v>911.57431039999994</c:v>
                </c:pt>
                <c:pt idx="15">
                  <c:v>909.63228730000003</c:v>
                </c:pt>
                <c:pt idx="16">
                  <c:v>907.71132980000004</c:v>
                </c:pt>
                <c:pt idx="17">
                  <c:v>905.8351083</c:v>
                </c:pt>
                <c:pt idx="18">
                  <c:v>904.00504660000001</c:v>
                </c:pt>
                <c:pt idx="19">
                  <c:v>902.21548099999995</c:v>
                </c:pt>
                <c:pt idx="20">
                  <c:v>900.45941519999997</c:v>
                </c:pt>
                <c:pt idx="21">
                  <c:v>898.73024729999997</c:v>
                </c:pt>
                <c:pt idx="22">
                  <c:v>897.02318449999996</c:v>
                </c:pt>
                <c:pt idx="23">
                  <c:v>895.3345425</c:v>
                </c:pt>
                <c:pt idx="24">
                  <c:v>893.6616047</c:v>
                </c:pt>
                <c:pt idx="25">
                  <c:v>892.00238690000003</c:v>
                </c:pt>
                <c:pt idx="26">
                  <c:v>890.35479239999995</c:v>
                </c:pt>
                <c:pt idx="27">
                  <c:v>888.71834709999996</c:v>
                </c:pt>
                <c:pt idx="28">
                  <c:v>887.09264010000004</c:v>
                </c:pt>
                <c:pt idx="29">
                  <c:v>885.47762060000002</c:v>
                </c:pt>
                <c:pt idx="30">
                  <c:v>883.8734839</c:v>
                </c:pt>
                <c:pt idx="31">
                  <c:v>882.28055840000002</c:v>
                </c:pt>
                <c:pt idx="32">
                  <c:v>880.69925330000001</c:v>
                </c:pt>
                <c:pt idx="33">
                  <c:v>879.13003849999996</c:v>
                </c:pt>
                <c:pt idx="34">
                  <c:v>877.57337189999998</c:v>
                </c:pt>
                <c:pt idx="35">
                  <c:v>876.02964459999998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870.88907449999999</c:v>
                </c:pt>
                <c:pt idx="2">
                  <c:v>864.49852009999995</c:v>
                </c:pt>
                <c:pt idx="3">
                  <c:v>858.8741374</c:v>
                </c:pt>
                <c:pt idx="4">
                  <c:v>853.6436582</c:v>
                </c:pt>
                <c:pt idx="5">
                  <c:v>848.62588519999997</c:v>
                </c:pt>
                <c:pt idx="6">
                  <c:v>843.72982809999996</c:v>
                </c:pt>
                <c:pt idx="7">
                  <c:v>838.90555900000004</c:v>
                </c:pt>
                <c:pt idx="8">
                  <c:v>834.11207360000003</c:v>
                </c:pt>
                <c:pt idx="9">
                  <c:v>829.33713639999996</c:v>
                </c:pt>
                <c:pt idx="10">
                  <c:v>824.57457350000004</c:v>
                </c:pt>
                <c:pt idx="11">
                  <c:v>819.82660559999999</c:v>
                </c:pt>
                <c:pt idx="12">
                  <c:v>815.1091093</c:v>
                </c:pt>
                <c:pt idx="13">
                  <c:v>810.42646409999998</c:v>
                </c:pt>
                <c:pt idx="14">
                  <c:v>805.7787237</c:v>
                </c:pt>
                <c:pt idx="15">
                  <c:v>801.16470279999999</c:v>
                </c:pt>
                <c:pt idx="16">
                  <c:v>796.58137399999998</c:v>
                </c:pt>
                <c:pt idx="17">
                  <c:v>792.02163470000005</c:v>
                </c:pt>
                <c:pt idx="18">
                  <c:v>787.48303339999995</c:v>
                </c:pt>
                <c:pt idx="19">
                  <c:v>782.96535419999998</c:v>
                </c:pt>
                <c:pt idx="20">
                  <c:v>778.46937330000003</c:v>
                </c:pt>
                <c:pt idx="21">
                  <c:v>773.99597549999999</c:v>
                </c:pt>
                <c:pt idx="22">
                  <c:v>769.54663100000005</c:v>
                </c:pt>
                <c:pt idx="23">
                  <c:v>765.12247890000003</c:v>
                </c:pt>
                <c:pt idx="24">
                  <c:v>760.72455809999997</c:v>
                </c:pt>
                <c:pt idx="25">
                  <c:v>756.35376889999998</c:v>
                </c:pt>
                <c:pt idx="26">
                  <c:v>752.01012519999995</c:v>
                </c:pt>
                <c:pt idx="27">
                  <c:v>747.69455149999999</c:v>
                </c:pt>
                <c:pt idx="28">
                  <c:v>743.40737149999995</c:v>
                </c:pt>
                <c:pt idx="29">
                  <c:v>739.14868079999997</c:v>
                </c:pt>
                <c:pt idx="30">
                  <c:v>734.91840779999995</c:v>
                </c:pt>
                <c:pt idx="31">
                  <c:v>730.71638059999998</c:v>
                </c:pt>
                <c:pt idx="32">
                  <c:v>726.54236960000003</c:v>
                </c:pt>
                <c:pt idx="33">
                  <c:v>722.39609340000004</c:v>
                </c:pt>
                <c:pt idx="34">
                  <c:v>718.27724160000002</c:v>
                </c:pt>
                <c:pt idx="35">
                  <c:v>714.185519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138.42437770000001</c:v>
                </c:pt>
                <c:pt idx="2">
                  <c:v>137.24268620000001</c:v>
                </c:pt>
                <c:pt idx="3">
                  <c:v>136.186046</c:v>
                </c:pt>
                <c:pt idx="4">
                  <c:v>135.19492940000001</c:v>
                </c:pt>
                <c:pt idx="5">
                  <c:v>134.2389981</c:v>
                </c:pt>
                <c:pt idx="6">
                  <c:v>133.3037582</c:v>
                </c:pt>
                <c:pt idx="7">
                  <c:v>132.38339189999999</c:v>
                </c:pt>
                <c:pt idx="8">
                  <c:v>131.47823389999999</c:v>
                </c:pt>
                <c:pt idx="9">
                  <c:v>130.58401910000001</c:v>
                </c:pt>
                <c:pt idx="10">
                  <c:v>129.69758959999999</c:v>
                </c:pt>
                <c:pt idx="11">
                  <c:v>128.81634890000001</c:v>
                </c:pt>
                <c:pt idx="12">
                  <c:v>127.9373792</c:v>
                </c:pt>
                <c:pt idx="13">
                  <c:v>127.0600764</c:v>
                </c:pt>
                <c:pt idx="14">
                  <c:v>126.18489099999999</c:v>
                </c:pt>
                <c:pt idx="15">
                  <c:v>125.3126366</c:v>
                </c:pt>
                <c:pt idx="16">
                  <c:v>124.4441253</c:v>
                </c:pt>
                <c:pt idx="17">
                  <c:v>123.5799979</c:v>
                </c:pt>
                <c:pt idx="18">
                  <c:v>122.72059160000001</c:v>
                </c:pt>
                <c:pt idx="19">
                  <c:v>121.86617870000001</c:v>
                </c:pt>
                <c:pt idx="20">
                  <c:v>121.0170626</c:v>
                </c:pt>
                <c:pt idx="21">
                  <c:v>120.1735769</c:v>
                </c:pt>
                <c:pt idx="22">
                  <c:v>119.33604219999999</c:v>
                </c:pt>
                <c:pt idx="23">
                  <c:v>118.5047101</c:v>
                </c:pt>
                <c:pt idx="24">
                  <c:v>117.6797416</c:v>
                </c:pt>
                <c:pt idx="25">
                  <c:v>116.8612248</c:v>
                </c:pt>
                <c:pt idx="26">
                  <c:v>116.04919</c:v>
                </c:pt>
                <c:pt idx="27">
                  <c:v>115.2436246</c:v>
                </c:pt>
                <c:pt idx="28">
                  <c:v>114.4444421</c:v>
                </c:pt>
                <c:pt idx="29">
                  <c:v>113.6514368</c:v>
                </c:pt>
                <c:pt idx="30">
                  <c:v>112.8643038</c:v>
                </c:pt>
                <c:pt idx="31">
                  <c:v>112.08269060000001</c:v>
                </c:pt>
                <c:pt idx="32">
                  <c:v>111.30624090000001</c:v>
                </c:pt>
                <c:pt idx="33">
                  <c:v>110.5346</c:v>
                </c:pt>
                <c:pt idx="34">
                  <c:v>109.76740359999999</c:v>
                </c:pt>
                <c:pt idx="35">
                  <c:v>109.00428429999999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3.7808512300000001</c:v>
                </c:pt>
                <c:pt idx="2">
                  <c:v>3.7170796880000001</c:v>
                </c:pt>
                <c:pt idx="3">
                  <c:v>3.667993675</c:v>
                </c:pt>
                <c:pt idx="4">
                  <c:v>3.6263193149999999</c:v>
                </c:pt>
                <c:pt idx="5">
                  <c:v>3.5883687260000001</c:v>
                </c:pt>
                <c:pt idx="6">
                  <c:v>3.5524289659999999</c:v>
                </c:pt>
                <c:pt idx="7">
                  <c:v>3.5178225780000001</c:v>
                </c:pt>
                <c:pt idx="8">
                  <c:v>3.4846858109999999</c:v>
                </c:pt>
                <c:pt idx="9">
                  <c:v>3.452224916</c:v>
                </c:pt>
                <c:pt idx="10">
                  <c:v>3.4199114310000001</c:v>
                </c:pt>
                <c:pt idx="11">
                  <c:v>3.387371023</c:v>
                </c:pt>
                <c:pt idx="12">
                  <c:v>3.3542110260000002</c:v>
                </c:pt>
                <c:pt idx="13">
                  <c:v>3.3204853550000002</c:v>
                </c:pt>
                <c:pt idx="14">
                  <c:v>3.2864037490000002</c:v>
                </c:pt>
                <c:pt idx="15">
                  <c:v>3.2521945859999999</c:v>
                </c:pt>
                <c:pt idx="16">
                  <c:v>3.21807752</c:v>
                </c:pt>
                <c:pt idx="17">
                  <c:v>3.1842874060000002</c:v>
                </c:pt>
                <c:pt idx="18">
                  <c:v>3.1509390160000001</c:v>
                </c:pt>
                <c:pt idx="19">
                  <c:v>3.1180907420000001</c:v>
                </c:pt>
                <c:pt idx="20">
                  <c:v>3.0857803029999999</c:v>
                </c:pt>
                <c:pt idx="21">
                  <c:v>3.0540383360000001</c:v>
                </c:pt>
                <c:pt idx="22">
                  <c:v>3.0228898480000002</c:v>
                </c:pt>
                <c:pt idx="23">
                  <c:v>2.9923503440000001</c:v>
                </c:pt>
                <c:pt idx="24">
                  <c:v>2.9624241850000002</c:v>
                </c:pt>
                <c:pt idx="25">
                  <c:v>2.9331081229999998</c:v>
                </c:pt>
                <c:pt idx="26">
                  <c:v>2.9043938009999999</c:v>
                </c:pt>
                <c:pt idx="27">
                  <c:v>2.8762695410000001</c:v>
                </c:pt>
                <c:pt idx="28">
                  <c:v>2.8487141330000001</c:v>
                </c:pt>
                <c:pt idx="29">
                  <c:v>2.8216882210000001</c:v>
                </c:pt>
                <c:pt idx="30">
                  <c:v>2.7951376290000001</c:v>
                </c:pt>
                <c:pt idx="31">
                  <c:v>2.76900214</c:v>
                </c:pt>
                <c:pt idx="32">
                  <c:v>2.7432230139999998</c:v>
                </c:pt>
                <c:pt idx="33">
                  <c:v>2.7177436959999999</c:v>
                </c:pt>
                <c:pt idx="34">
                  <c:v>2.6925076610000001</c:v>
                </c:pt>
                <c:pt idx="35">
                  <c:v>2.6674594329999999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7155.2959561259995</c:v>
                </c:pt>
                <c:pt idx="2">
                  <c:v>7266.2132914533995</c:v>
                </c:pt>
                <c:pt idx="3">
                  <c:v>7418.7469682373003</c:v>
                </c:pt>
                <c:pt idx="4">
                  <c:v>7607.0649767717996</c:v>
                </c:pt>
                <c:pt idx="5">
                  <c:v>7820.8296850336001</c:v>
                </c:pt>
                <c:pt idx="6">
                  <c:v>8047.3301198004001</c:v>
                </c:pt>
                <c:pt idx="7">
                  <c:v>8280.7856395955023</c:v>
                </c:pt>
                <c:pt idx="8">
                  <c:v>8519.4911554576993</c:v>
                </c:pt>
                <c:pt idx="9">
                  <c:v>8762.8632264000007</c:v>
                </c:pt>
                <c:pt idx="10">
                  <c:v>9011.4960575679997</c:v>
                </c:pt>
                <c:pt idx="11">
                  <c:v>9260.1313048894008</c:v>
                </c:pt>
                <c:pt idx="12">
                  <c:v>9505.3472303242997</c:v>
                </c:pt>
                <c:pt idx="13">
                  <c:v>9743.9067718944007</c:v>
                </c:pt>
                <c:pt idx="14">
                  <c:v>9973.1718340719999</c:v>
                </c:pt>
                <c:pt idx="15">
                  <c:v>10191.462220912799</c:v>
                </c:pt>
                <c:pt idx="16">
                  <c:v>10403.3255920416</c:v>
                </c:pt>
                <c:pt idx="17">
                  <c:v>10609.787769113798</c:v>
                </c:pt>
                <c:pt idx="18">
                  <c:v>10810.387019129699</c:v>
                </c:pt>
                <c:pt idx="19">
                  <c:v>11004.7624397781</c:v>
                </c:pt>
                <c:pt idx="20">
                  <c:v>11191.944612622001</c:v>
                </c:pt>
                <c:pt idx="21">
                  <c:v>11374.544232735001</c:v>
                </c:pt>
                <c:pt idx="22">
                  <c:v>11554.20153554</c:v>
                </c:pt>
                <c:pt idx="23">
                  <c:v>11732.956928538999</c:v>
                </c:pt>
                <c:pt idx="24">
                  <c:v>11912.848073146002</c:v>
                </c:pt>
                <c:pt idx="25">
                  <c:v>12092.383806090998</c:v>
                </c:pt>
                <c:pt idx="26">
                  <c:v>12276.338927703999</c:v>
                </c:pt>
                <c:pt idx="27">
                  <c:v>12467.185890430001</c:v>
                </c:pt>
                <c:pt idx="28">
                  <c:v>12667.454809829</c:v>
                </c:pt>
                <c:pt idx="29">
                  <c:v>12879.434872709</c:v>
                </c:pt>
                <c:pt idx="30">
                  <c:v>13104.676792427999</c:v>
                </c:pt>
                <c:pt idx="31">
                  <c:v>13343.895917653001</c:v>
                </c:pt>
                <c:pt idx="32">
                  <c:v>13597.077047957</c:v>
                </c:pt>
                <c:pt idx="33">
                  <c:v>13863.595947100999</c:v>
                </c:pt>
                <c:pt idx="34">
                  <c:v>14142.334091028</c:v>
                </c:pt>
                <c:pt idx="35">
                  <c:v>14431.768221351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8197.7914196772999</c:v>
                </c:pt>
                <c:pt idx="2">
                  <c:v>8199.1584752523995</c:v>
                </c:pt>
                <c:pt idx="3">
                  <c:v>8247.1395721054996</c:v>
                </c:pt>
                <c:pt idx="4">
                  <c:v>8335.3222590452006</c:v>
                </c:pt>
                <c:pt idx="5">
                  <c:v>8453.3015909201004</c:v>
                </c:pt>
                <c:pt idx="6">
                  <c:v>8588.3604501737991</c:v>
                </c:pt>
                <c:pt idx="7">
                  <c:v>8734.3101514729005</c:v>
                </c:pt>
                <c:pt idx="8">
                  <c:v>8888.8838043684009</c:v>
                </c:pt>
                <c:pt idx="9">
                  <c:v>9050.9805406099003</c:v>
                </c:pt>
                <c:pt idx="10">
                  <c:v>9220.7030029946</c:v>
                </c:pt>
                <c:pt idx="11">
                  <c:v>9392.7892712595021</c:v>
                </c:pt>
                <c:pt idx="12">
                  <c:v>9563.861146581401</c:v>
                </c:pt>
                <c:pt idx="13">
                  <c:v>9730.8343833422987</c:v>
                </c:pt>
                <c:pt idx="14">
                  <c:v>9891.2485266295007</c:v>
                </c:pt>
                <c:pt idx="15">
                  <c:v>10043.551148962699</c:v>
                </c:pt>
                <c:pt idx="16">
                  <c:v>10192.0344736486</c:v>
                </c:pt>
                <c:pt idx="17">
                  <c:v>10337.8094036437</c:v>
                </c:pt>
                <c:pt idx="18">
                  <c:v>10480.531428536402</c:v>
                </c:pt>
                <c:pt idx="19">
                  <c:v>10619.831122410398</c:v>
                </c:pt>
                <c:pt idx="20">
                  <c:v>10754.673766724798</c:v>
                </c:pt>
                <c:pt idx="21">
                  <c:v>10887.2460264007</c:v>
                </c:pt>
                <c:pt idx="22">
                  <c:v>11018.787722432</c:v>
                </c:pt>
                <c:pt idx="23">
                  <c:v>11150.867251156</c:v>
                </c:pt>
                <c:pt idx="24">
                  <c:v>11285.010822405999</c:v>
                </c:pt>
                <c:pt idx="25">
                  <c:v>11419.481214102001</c:v>
                </c:pt>
                <c:pt idx="26">
                  <c:v>11558.248036018</c:v>
                </c:pt>
                <c:pt idx="27">
                  <c:v>11703.149271933</c:v>
                </c:pt>
                <c:pt idx="28">
                  <c:v>11856.055973554001</c:v>
                </c:pt>
                <c:pt idx="29">
                  <c:v>12018.618721875999</c:v>
                </c:pt>
                <c:pt idx="30">
                  <c:v>12191.827845862001</c:v>
                </c:pt>
                <c:pt idx="31">
                  <c:v>12375.935960598999</c:v>
                </c:pt>
                <c:pt idx="32">
                  <c:v>12570.562559964001</c:v>
                </c:pt>
                <c:pt idx="33">
                  <c:v>12774.812629726999</c:v>
                </c:pt>
                <c:pt idx="34">
                  <c:v>12987.389034891999</c:v>
                </c:pt>
                <c:pt idx="35">
                  <c:v>13206.682250276999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6658.6287487728996</c:v>
                </c:pt>
                <c:pt idx="2">
                  <c:v>6581.7879782732998</c:v>
                </c:pt>
                <c:pt idx="3">
                  <c:v>6542.2281149665996</c:v>
                </c:pt>
                <c:pt idx="4">
                  <c:v>6534.9249029191005</c:v>
                </c:pt>
                <c:pt idx="5">
                  <c:v>6552.3206953347999</c:v>
                </c:pt>
                <c:pt idx="6">
                  <c:v>6585.2378672144996</c:v>
                </c:pt>
                <c:pt idx="7">
                  <c:v>6628.9366946734008</c:v>
                </c:pt>
                <c:pt idx="8">
                  <c:v>6681.4019264308999</c:v>
                </c:pt>
                <c:pt idx="9">
                  <c:v>6741.4888275437997</c:v>
                </c:pt>
                <c:pt idx="10">
                  <c:v>6808.9375284401995</c:v>
                </c:pt>
                <c:pt idx="11">
                  <c:v>6879.9463855617996</c:v>
                </c:pt>
                <c:pt idx="12">
                  <c:v>6952.0973106498004</c:v>
                </c:pt>
                <c:pt idx="13">
                  <c:v>7023.2519885340998</c:v>
                </c:pt>
                <c:pt idx="14">
                  <c:v>7091.7351707078005</c:v>
                </c:pt>
                <c:pt idx="15">
                  <c:v>7156.4921034110002</c:v>
                </c:pt>
                <c:pt idx="16">
                  <c:v>7220.4233221997001</c:v>
                </c:pt>
                <c:pt idx="17">
                  <c:v>7284.3574551715992</c:v>
                </c:pt>
                <c:pt idx="18">
                  <c:v>7348.0994306359989</c:v>
                </c:pt>
                <c:pt idx="19">
                  <c:v>7411.3598934052998</c:v>
                </c:pt>
                <c:pt idx="20">
                  <c:v>7473.3390188783987</c:v>
                </c:pt>
                <c:pt idx="21">
                  <c:v>7535.3282555080004</c:v>
                </c:pt>
                <c:pt idx="22">
                  <c:v>7597.9567594364999</c:v>
                </c:pt>
                <c:pt idx="23">
                  <c:v>7662.0477211037996</c:v>
                </c:pt>
                <c:pt idx="24">
                  <c:v>7728.3726702265003</c:v>
                </c:pt>
                <c:pt idx="25">
                  <c:v>7795.5288899156994</c:v>
                </c:pt>
                <c:pt idx="26">
                  <c:v>7865.8667961768006</c:v>
                </c:pt>
                <c:pt idx="27">
                  <c:v>7940.3171376165001</c:v>
                </c:pt>
                <c:pt idx="28">
                  <c:v>8019.8240341755991</c:v>
                </c:pt>
                <c:pt idx="29">
                  <c:v>8105.1908807768004</c:v>
                </c:pt>
                <c:pt idx="30">
                  <c:v>8196.8001841342993</c:v>
                </c:pt>
                <c:pt idx="31">
                  <c:v>8294.5697467158006</c:v>
                </c:pt>
                <c:pt idx="32">
                  <c:v>8398.0271496335008</c:v>
                </c:pt>
                <c:pt idx="33">
                  <c:v>8506.3924829565985</c:v>
                </c:pt>
                <c:pt idx="34">
                  <c:v>8618.656688544701</c:v>
                </c:pt>
                <c:pt idx="35">
                  <c:v>8733.6449614753019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4061.8888972335003</c:v>
                </c:pt>
                <c:pt idx="2">
                  <c:v>3987.6883408704002</c:v>
                </c:pt>
                <c:pt idx="3">
                  <c:v>3934.3392768181998</c:v>
                </c:pt>
                <c:pt idx="4">
                  <c:v>3898.5739445466997</c:v>
                </c:pt>
                <c:pt idx="5">
                  <c:v>3876.0131525638003</c:v>
                </c:pt>
                <c:pt idx="6">
                  <c:v>3861.4506035746003</c:v>
                </c:pt>
                <c:pt idx="7">
                  <c:v>3852.0662923154</c:v>
                </c:pt>
                <c:pt idx="8">
                  <c:v>3846.5483170902999</c:v>
                </c:pt>
                <c:pt idx="9">
                  <c:v>3844.1201476071001</c:v>
                </c:pt>
                <c:pt idx="10">
                  <c:v>3844.5260784198999</c:v>
                </c:pt>
                <c:pt idx="11">
                  <c:v>3845.8469500903998</c:v>
                </c:pt>
                <c:pt idx="12">
                  <c:v>3847.0297270319998</c:v>
                </c:pt>
                <c:pt idx="13">
                  <c:v>3847.2753896982003</c:v>
                </c:pt>
                <c:pt idx="14">
                  <c:v>3846.0540333990002</c:v>
                </c:pt>
                <c:pt idx="15">
                  <c:v>3843.1218325714999</c:v>
                </c:pt>
                <c:pt idx="16">
                  <c:v>3840.1390119655998</c:v>
                </c:pt>
                <c:pt idx="17">
                  <c:v>3837.7727306997999</c:v>
                </c:pt>
                <c:pt idx="18">
                  <c:v>3836.1156612625</c:v>
                </c:pt>
                <c:pt idx="19">
                  <c:v>3835.1082454636003</c:v>
                </c:pt>
                <c:pt idx="20">
                  <c:v>3834.3527284196002</c:v>
                </c:pt>
                <c:pt idx="21">
                  <c:v>3834.3514463300003</c:v>
                </c:pt>
                <c:pt idx="22">
                  <c:v>3835.2331686571001</c:v>
                </c:pt>
                <c:pt idx="23">
                  <c:v>3837.1626858263003</c:v>
                </c:pt>
                <c:pt idx="24">
                  <c:v>3840.2235375945997</c:v>
                </c:pt>
                <c:pt idx="25">
                  <c:v>3843.4607388882</c:v>
                </c:pt>
                <c:pt idx="26">
                  <c:v>3847.5945034962997</c:v>
                </c:pt>
                <c:pt idx="27">
                  <c:v>3852.6729836518002</c:v>
                </c:pt>
                <c:pt idx="28">
                  <c:v>3858.7374901016001</c:v>
                </c:pt>
                <c:pt idx="29">
                  <c:v>3865.7822689520003</c:v>
                </c:pt>
                <c:pt idx="30">
                  <c:v>3873.6470134507999</c:v>
                </c:pt>
                <c:pt idx="31">
                  <c:v>3882.0106480300001</c:v>
                </c:pt>
                <c:pt idx="32">
                  <c:v>3890.4344072691001</c:v>
                </c:pt>
                <c:pt idx="33">
                  <c:v>3898.4056032634003</c:v>
                </c:pt>
                <c:pt idx="34">
                  <c:v>3905.3777368317997</c:v>
                </c:pt>
                <c:pt idx="35">
                  <c:v>3910.8025264982002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2447.2310101856997</c:v>
                </c:pt>
                <c:pt idx="2">
                  <c:v>2404.0866096606001</c:v>
                </c:pt>
                <c:pt idx="3">
                  <c:v>2372.3507697302002</c:v>
                </c:pt>
                <c:pt idx="4">
                  <c:v>2349.8943488005002</c:v>
                </c:pt>
                <c:pt idx="5">
                  <c:v>2334.0583639586002</c:v>
                </c:pt>
                <c:pt idx="6">
                  <c:v>2321.7050932796001</c:v>
                </c:pt>
                <c:pt idx="7">
                  <c:v>2311.1199510151005</c:v>
                </c:pt>
                <c:pt idx="8">
                  <c:v>2301.5108009357004</c:v>
                </c:pt>
                <c:pt idx="9">
                  <c:v>2292.4379885326002</c:v>
                </c:pt>
                <c:pt idx="10">
                  <c:v>2283.7926134833001</c:v>
                </c:pt>
                <c:pt idx="11">
                  <c:v>2274.5844930781</c:v>
                </c:pt>
                <c:pt idx="12">
                  <c:v>2264.3893464005</c:v>
                </c:pt>
                <c:pt idx="13">
                  <c:v>2252.9709571838998</c:v>
                </c:pt>
                <c:pt idx="14">
                  <c:v>2240.2499694634998</c:v>
                </c:pt>
                <c:pt idx="15">
                  <c:v>2226.2838076030002</c:v>
                </c:pt>
                <c:pt idx="16">
                  <c:v>2212.1495000662999</c:v>
                </c:pt>
                <c:pt idx="17">
                  <c:v>2198.3780288817998</c:v>
                </c:pt>
                <c:pt idx="18">
                  <c:v>2185.1411459701003</c:v>
                </c:pt>
                <c:pt idx="19">
                  <c:v>2172.4706709745001</c:v>
                </c:pt>
                <c:pt idx="20">
                  <c:v>2160.1675377639999</c:v>
                </c:pt>
                <c:pt idx="21">
                  <c:v>2148.4665347113</c:v>
                </c:pt>
                <c:pt idx="22">
                  <c:v>2137.3739862796001</c:v>
                </c:pt>
                <c:pt idx="23">
                  <c:v>2126.8892538374998</c:v>
                </c:pt>
                <c:pt idx="24">
                  <c:v>2116.9435500771001</c:v>
                </c:pt>
                <c:pt idx="25">
                  <c:v>2106.9151285841003</c:v>
                </c:pt>
                <c:pt idx="26">
                  <c:v>2097.0303253323</c:v>
                </c:pt>
                <c:pt idx="27">
                  <c:v>2087.1649955075</c:v>
                </c:pt>
                <c:pt idx="28">
                  <c:v>2077.1932861680002</c:v>
                </c:pt>
                <c:pt idx="29">
                  <c:v>2066.9814076571001</c:v>
                </c:pt>
                <c:pt idx="30">
                  <c:v>2056.3417706984997</c:v>
                </c:pt>
                <c:pt idx="31">
                  <c:v>2045.035492685</c:v>
                </c:pt>
                <c:pt idx="32">
                  <c:v>2032.7974162233002</c:v>
                </c:pt>
                <c:pt idx="33">
                  <c:v>2019.3594990117999</c:v>
                </c:pt>
                <c:pt idx="34">
                  <c:v>2004.4710333100002</c:v>
                </c:pt>
                <c:pt idx="35">
                  <c:v>1987.9136855755999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1212.9146708534001</c:v>
                </c:pt>
                <c:pt idx="2">
                  <c:v>1187.3327431115999</c:v>
                </c:pt>
                <c:pt idx="3">
                  <c:v>1165.7173480540998</c:v>
                </c:pt>
                <c:pt idx="4">
                  <c:v>1146.8541089844998</c:v>
                </c:pt>
                <c:pt idx="5">
                  <c:v>1129.4941041325001</c:v>
                </c:pt>
                <c:pt idx="6">
                  <c:v>1112.2541548670001</c:v>
                </c:pt>
                <c:pt idx="7">
                  <c:v>1094.4148602855</c:v>
                </c:pt>
                <c:pt idx="8">
                  <c:v>1075.7039481877</c:v>
                </c:pt>
                <c:pt idx="9">
                  <c:v>1056.0441349678001</c:v>
                </c:pt>
                <c:pt idx="10">
                  <c:v>1035.520240502</c:v>
                </c:pt>
                <c:pt idx="11">
                  <c:v>1013.9636691088001</c:v>
                </c:pt>
                <c:pt idx="12">
                  <c:v>991.4838669646</c:v>
                </c:pt>
                <c:pt idx="13">
                  <c:v>968.2856669194</c:v>
                </c:pt>
                <c:pt idx="14">
                  <c:v>944.6111058393999</c:v>
                </c:pt>
                <c:pt idx="15">
                  <c:v>920.70315941090007</c:v>
                </c:pt>
                <c:pt idx="16">
                  <c:v>897.08264494469995</c:v>
                </c:pt>
                <c:pt idx="17">
                  <c:v>874.06719555030008</c:v>
                </c:pt>
                <c:pt idx="18">
                  <c:v>851.8087489950999</c:v>
                </c:pt>
                <c:pt idx="19">
                  <c:v>830.36034427190009</c:v>
                </c:pt>
                <c:pt idx="20">
                  <c:v>809.66059547170005</c:v>
                </c:pt>
                <c:pt idx="21">
                  <c:v>789.73406098199996</c:v>
                </c:pt>
                <c:pt idx="22">
                  <c:v>770.51419765940011</c:v>
                </c:pt>
                <c:pt idx="23">
                  <c:v>751.91250054010004</c:v>
                </c:pt>
                <c:pt idx="24">
                  <c:v>733.80405318320004</c:v>
                </c:pt>
                <c:pt idx="25">
                  <c:v>715.91218999340003</c:v>
                </c:pt>
                <c:pt idx="26">
                  <c:v>698.17806541369998</c:v>
                </c:pt>
                <c:pt idx="27">
                  <c:v>680.46129546189991</c:v>
                </c:pt>
                <c:pt idx="28">
                  <c:v>662.63746697650004</c:v>
                </c:pt>
                <c:pt idx="29">
                  <c:v>644.60830767560003</c:v>
                </c:pt>
                <c:pt idx="30">
                  <c:v>626.29533342989998</c:v>
                </c:pt>
                <c:pt idx="31">
                  <c:v>607.64153194100004</c:v>
                </c:pt>
                <c:pt idx="32">
                  <c:v>588.61555760110002</c:v>
                </c:pt>
                <c:pt idx="33">
                  <c:v>569.21341750629995</c:v>
                </c:pt>
                <c:pt idx="34">
                  <c:v>549.45813701069994</c:v>
                </c:pt>
                <c:pt idx="35">
                  <c:v>529.39746574640003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2187.6691358731996</c:v>
                </c:pt>
                <c:pt idx="2">
                  <c:v>2142.7255228537001</c:v>
                </c:pt>
                <c:pt idx="3">
                  <c:v>2102.0956213436002</c:v>
                </c:pt>
                <c:pt idx="4">
                  <c:v>2063.4390713000998</c:v>
                </c:pt>
                <c:pt idx="5">
                  <c:v>2024.6921147171001</c:v>
                </c:pt>
                <c:pt idx="6">
                  <c:v>1983.6863763793001</c:v>
                </c:pt>
                <c:pt idx="7">
                  <c:v>1939.4618664787999</c:v>
                </c:pt>
                <c:pt idx="8">
                  <c:v>1891.8828904970001</c:v>
                </c:pt>
                <c:pt idx="9">
                  <c:v>1841.1864932751</c:v>
                </c:pt>
                <c:pt idx="10">
                  <c:v>1787.8843567646002</c:v>
                </c:pt>
                <c:pt idx="11">
                  <c:v>1732.1702576529999</c:v>
                </c:pt>
                <c:pt idx="12">
                  <c:v>1674.6828198750002</c:v>
                </c:pt>
                <c:pt idx="13">
                  <c:v>1616.1737723870001</c:v>
                </c:pt>
                <c:pt idx="14">
                  <c:v>1557.3734371841999</c:v>
                </c:pt>
                <c:pt idx="15">
                  <c:v>1498.9179058923</c:v>
                </c:pt>
                <c:pt idx="16">
                  <c:v>1441.7133427829999</c:v>
                </c:pt>
                <c:pt idx="17">
                  <c:v>1386.3406164522999</c:v>
                </c:pt>
                <c:pt idx="18">
                  <c:v>1333.0928638582002</c:v>
                </c:pt>
                <c:pt idx="19">
                  <c:v>1282.0691013552998</c:v>
                </c:pt>
                <c:pt idx="20">
                  <c:v>1233.1754819128</c:v>
                </c:pt>
                <c:pt idx="21">
                  <c:v>1186.3781656512999</c:v>
                </c:pt>
                <c:pt idx="22">
                  <c:v>1141.5121460819</c:v>
                </c:pt>
                <c:pt idx="23">
                  <c:v>1098.3722551279</c:v>
                </c:pt>
                <c:pt idx="24">
                  <c:v>1056.7030102297999</c:v>
                </c:pt>
                <c:pt idx="25">
                  <c:v>1016.088013382</c:v>
                </c:pt>
                <c:pt idx="26">
                  <c:v>976.35773560429993</c:v>
                </c:pt>
                <c:pt idx="27">
                  <c:v>937.27839512829996</c:v>
                </c:pt>
                <c:pt idx="28">
                  <c:v>898.66318242980003</c:v>
                </c:pt>
                <c:pt idx="29">
                  <c:v>860.38973806299998</c:v>
                </c:pt>
                <c:pt idx="30">
                  <c:v>822.39236968490002</c:v>
                </c:pt>
                <c:pt idx="31">
                  <c:v>784.65805761839999</c:v>
                </c:pt>
                <c:pt idx="32">
                  <c:v>747.2222879185</c:v>
                </c:pt>
                <c:pt idx="33">
                  <c:v>710.16122752659999</c:v>
                </c:pt>
                <c:pt idx="34">
                  <c:v>673.58202986959998</c:v>
                </c:pt>
                <c:pt idx="35">
                  <c:v>637.61218711779998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7155.2959561260996</c:v>
                </c:pt>
                <c:pt idx="2">
                  <c:v>7266.2132914534996</c:v>
                </c:pt>
                <c:pt idx="3">
                  <c:v>7418.7469692374007</c:v>
                </c:pt>
                <c:pt idx="4">
                  <c:v>7607.0649777618992</c:v>
                </c:pt>
                <c:pt idx="5">
                  <c:v>7820.8296870038002</c:v>
                </c:pt>
                <c:pt idx="6">
                  <c:v>8047.3301217407006</c:v>
                </c:pt>
                <c:pt idx="7">
                  <c:v>8252.4227675857001</c:v>
                </c:pt>
                <c:pt idx="8">
                  <c:v>8458.5612997458993</c:v>
                </c:pt>
                <c:pt idx="9">
                  <c:v>8676.320149474901</c:v>
                </c:pt>
                <c:pt idx="10">
                  <c:v>8909.7957707407004</c:v>
                </c:pt>
                <c:pt idx="11">
                  <c:v>9164.3583528841991</c:v>
                </c:pt>
                <c:pt idx="12">
                  <c:v>9431.0660068708003</c:v>
                </c:pt>
                <c:pt idx="13">
                  <c:v>9700.6874878626004</c:v>
                </c:pt>
                <c:pt idx="14">
                  <c:v>9966.6086430463001</c:v>
                </c:pt>
                <c:pt idx="15">
                  <c:v>10224.7495495537</c:v>
                </c:pt>
                <c:pt idx="16">
                  <c:v>10470.4504416728</c:v>
                </c:pt>
                <c:pt idx="17">
                  <c:v>10706.0885090959</c:v>
                </c:pt>
                <c:pt idx="18">
                  <c:v>10933.5075213869</c:v>
                </c:pt>
                <c:pt idx="19">
                  <c:v>11154.0375917937</c:v>
                </c:pt>
                <c:pt idx="20">
                  <c:v>11367.626238007</c:v>
                </c:pt>
                <c:pt idx="21">
                  <c:v>11577.437746484398</c:v>
                </c:pt>
                <c:pt idx="22">
                  <c:v>11785.269554854998</c:v>
                </c:pt>
                <c:pt idx="23">
                  <c:v>11993.315726181001</c:v>
                </c:pt>
                <c:pt idx="24">
                  <c:v>12203.707351978999</c:v>
                </c:pt>
                <c:pt idx="25">
                  <c:v>12414.706344877</c:v>
                </c:pt>
                <c:pt idx="26">
                  <c:v>12630.993728399999</c:v>
                </c:pt>
                <c:pt idx="27">
                  <c:v>12854.816259067</c:v>
                </c:pt>
                <c:pt idx="28">
                  <c:v>13089.056336513</c:v>
                </c:pt>
                <c:pt idx="29">
                  <c:v>13336.543084313</c:v>
                </c:pt>
                <c:pt idx="30">
                  <c:v>13599.357846511</c:v>
                </c:pt>
                <c:pt idx="31">
                  <c:v>13878.665983094001</c:v>
                </c:pt>
                <c:pt idx="32">
                  <c:v>14175.0042521</c:v>
                </c:pt>
                <c:pt idx="33">
                  <c:v>14488.692122321001</c:v>
                </c:pt>
                <c:pt idx="34">
                  <c:v>14819.810021355999</c:v>
                </c:pt>
                <c:pt idx="35">
                  <c:v>15168.123324884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8197.7914196772999</c:v>
                </c:pt>
                <c:pt idx="2">
                  <c:v>8199.1584762424991</c:v>
                </c:pt>
                <c:pt idx="3">
                  <c:v>8247.1395731056</c:v>
                </c:pt>
                <c:pt idx="4">
                  <c:v>8335.3222600353001</c:v>
                </c:pt>
                <c:pt idx="5">
                  <c:v>8453.3015928802997</c:v>
                </c:pt>
                <c:pt idx="6">
                  <c:v>8588.3604531140991</c:v>
                </c:pt>
                <c:pt idx="7">
                  <c:v>8706.7958955167014</c:v>
                </c:pt>
                <c:pt idx="8">
                  <c:v>8828.0572918326998</c:v>
                </c:pt>
                <c:pt idx="9">
                  <c:v>8961.463125235101</c:v>
                </c:pt>
                <c:pt idx="10">
                  <c:v>9110.3241216651004</c:v>
                </c:pt>
                <c:pt idx="11">
                  <c:v>9279.602070986999</c:v>
                </c:pt>
                <c:pt idx="12">
                  <c:v>9461.6021613001994</c:v>
                </c:pt>
                <c:pt idx="13">
                  <c:v>9648.2164245043987</c:v>
                </c:pt>
                <c:pt idx="14">
                  <c:v>9833.6468708226002</c:v>
                </c:pt>
                <c:pt idx="15">
                  <c:v>10014.3368159807</c:v>
                </c:pt>
                <c:pt idx="16">
                  <c:v>10186.037630526902</c:v>
                </c:pt>
                <c:pt idx="17">
                  <c:v>10350.810638954699</c:v>
                </c:pt>
                <c:pt idx="18">
                  <c:v>10510.3447686053</c:v>
                </c:pt>
                <c:pt idx="19">
                  <c:v>10665.8590756825</c:v>
                </c:pt>
                <c:pt idx="20">
                  <c:v>10817.2713487001</c:v>
                </c:pt>
                <c:pt idx="21">
                  <c:v>10967.356932645998</c:v>
                </c:pt>
                <c:pt idx="22">
                  <c:v>11117.594124266001</c:v>
                </c:pt>
                <c:pt idx="23">
                  <c:v>11269.7731449739</c:v>
                </c:pt>
                <c:pt idx="24">
                  <c:v>11425.581464859901</c:v>
                </c:pt>
                <c:pt idx="25">
                  <c:v>11583.180404763301</c:v>
                </c:pt>
                <c:pt idx="26">
                  <c:v>11746.456932064501</c:v>
                </c:pt>
                <c:pt idx="27">
                  <c:v>11917.0445532882</c:v>
                </c:pt>
                <c:pt idx="28">
                  <c:v>12097.108984261999</c:v>
                </c:pt>
                <c:pt idx="29">
                  <c:v>12288.765684929998</c:v>
                </c:pt>
                <c:pt idx="30">
                  <c:v>12493.470234184002</c:v>
                </c:pt>
                <c:pt idx="31">
                  <c:v>12711.867733642001</c:v>
                </c:pt>
                <c:pt idx="32">
                  <c:v>12944.045949359001</c:v>
                </c:pt>
                <c:pt idx="33">
                  <c:v>13189.910612964999</c:v>
                </c:pt>
                <c:pt idx="34">
                  <c:v>13449.178577623001</c:v>
                </c:pt>
                <c:pt idx="35">
                  <c:v>13721.316587126001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6658.6287487728996</c:v>
                </c:pt>
                <c:pt idx="2">
                  <c:v>6581.7879782632999</c:v>
                </c:pt>
                <c:pt idx="3">
                  <c:v>6542.2281149665996</c:v>
                </c:pt>
                <c:pt idx="4">
                  <c:v>6534.9249038991011</c:v>
                </c:pt>
                <c:pt idx="5">
                  <c:v>6552.3206963049006</c:v>
                </c:pt>
                <c:pt idx="6">
                  <c:v>6585.2378691647</c:v>
                </c:pt>
                <c:pt idx="7">
                  <c:v>6609.7050157673002</c:v>
                </c:pt>
                <c:pt idx="8">
                  <c:v>6637.7633892382</c:v>
                </c:pt>
                <c:pt idx="9">
                  <c:v>6675.3036101463003</c:v>
                </c:pt>
                <c:pt idx="10">
                  <c:v>6724.2073731930996</c:v>
                </c:pt>
                <c:pt idx="11">
                  <c:v>6787.7777159605002</c:v>
                </c:pt>
                <c:pt idx="12">
                  <c:v>6861.2547218019999</c:v>
                </c:pt>
                <c:pt idx="13">
                  <c:v>6939.4994348924001</c:v>
                </c:pt>
                <c:pt idx="14">
                  <c:v>7018.8356950431998</c:v>
                </c:pt>
                <c:pt idx="15">
                  <c:v>7097.0116666168997</c:v>
                </c:pt>
                <c:pt idx="16">
                  <c:v>7171.2103703872999</c:v>
                </c:pt>
                <c:pt idx="17">
                  <c:v>7242.6946989984999</c:v>
                </c:pt>
                <c:pt idx="18">
                  <c:v>7312.5581036439999</c:v>
                </c:pt>
                <c:pt idx="19">
                  <c:v>7381.5846476598008</c:v>
                </c:pt>
                <c:pt idx="20">
                  <c:v>7449.6767403900994</c:v>
                </c:pt>
                <c:pt idx="21">
                  <c:v>7518.5688664727995</c:v>
                </c:pt>
                <c:pt idx="22">
                  <c:v>7589.1108493379998</c:v>
                </c:pt>
                <c:pt idx="23">
                  <c:v>7662.3274276000002</c:v>
                </c:pt>
                <c:pt idx="24">
                  <c:v>7739.1485836498005</c:v>
                </c:pt>
                <c:pt idx="25">
                  <c:v>7818.1873562545998</c:v>
                </c:pt>
                <c:pt idx="26">
                  <c:v>7901.7455251824003</c:v>
                </c:pt>
                <c:pt idx="27">
                  <c:v>7990.6238139962988</c:v>
                </c:pt>
                <c:pt idx="28">
                  <c:v>8085.9469128941009</c:v>
                </c:pt>
                <c:pt idx="29">
                  <c:v>8188.8094820036995</c:v>
                </c:pt>
                <c:pt idx="30">
                  <c:v>8299.8900603021993</c:v>
                </c:pt>
                <c:pt idx="31">
                  <c:v>8419.3537172747001</c:v>
                </c:pt>
                <c:pt idx="32">
                  <c:v>8547.0132048802006</c:v>
                </c:pt>
                <c:pt idx="33">
                  <c:v>8682.5761239878993</c:v>
                </c:pt>
                <c:pt idx="34">
                  <c:v>8825.6482135026017</c:v>
                </c:pt>
                <c:pt idx="35">
                  <c:v>8975.6976993973003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4061.8888972335003</c:v>
                </c:pt>
                <c:pt idx="2">
                  <c:v>3987.6883408704002</c:v>
                </c:pt>
                <c:pt idx="3">
                  <c:v>3934.3392778183002</c:v>
                </c:pt>
                <c:pt idx="4">
                  <c:v>3898.5739445466997</c:v>
                </c:pt>
                <c:pt idx="5">
                  <c:v>3876.0131535638002</c:v>
                </c:pt>
                <c:pt idx="6">
                  <c:v>3861.4506045646003</c:v>
                </c:pt>
                <c:pt idx="7">
                  <c:v>3841.5943047281003</c:v>
                </c:pt>
                <c:pt idx="8">
                  <c:v>3821.8984543913002</c:v>
                </c:pt>
                <c:pt idx="9">
                  <c:v>3805.1710218771996</c:v>
                </c:pt>
                <c:pt idx="10">
                  <c:v>3792.1439256502003</c:v>
                </c:pt>
                <c:pt idx="11">
                  <c:v>3784.4819406701999</c:v>
                </c:pt>
                <c:pt idx="12">
                  <c:v>3780.2728156695998</c:v>
                </c:pt>
                <c:pt idx="13">
                  <c:v>3777.4774263353002</c:v>
                </c:pt>
                <c:pt idx="14">
                  <c:v>3774.7694199405</c:v>
                </c:pt>
                <c:pt idx="15">
                  <c:v>3771.4618479982005</c:v>
                </c:pt>
                <c:pt idx="16">
                  <c:v>3766.5152212601001</c:v>
                </c:pt>
                <c:pt idx="17">
                  <c:v>3760.6817961318002</c:v>
                </c:pt>
                <c:pt idx="18">
                  <c:v>3754.6434927304995</c:v>
                </c:pt>
                <c:pt idx="19">
                  <c:v>3748.8961444910001</c:v>
                </c:pt>
                <c:pt idx="20">
                  <c:v>3743.4718951340001</c:v>
                </c:pt>
                <c:pt idx="21">
                  <c:v>3739.1621929966</c:v>
                </c:pt>
                <c:pt idx="22">
                  <c:v>3736.2934577498004</c:v>
                </c:pt>
                <c:pt idx="23">
                  <c:v>3735.2184719652</c:v>
                </c:pt>
                <c:pt idx="24">
                  <c:v>3736.1963301104001</c:v>
                </c:pt>
                <c:pt idx="25">
                  <c:v>3738.4210632688</c:v>
                </c:pt>
                <c:pt idx="26">
                  <c:v>3742.6583217766001</c:v>
                </c:pt>
                <c:pt idx="27">
                  <c:v>3748.9541258711001</c:v>
                </c:pt>
                <c:pt idx="28">
                  <c:v>3757.4724318053995</c:v>
                </c:pt>
                <c:pt idx="29">
                  <c:v>3768.3870067979997</c:v>
                </c:pt>
                <c:pt idx="30">
                  <c:v>3781.7296017932999</c:v>
                </c:pt>
                <c:pt idx="31">
                  <c:v>3797.3472927169</c:v>
                </c:pt>
                <c:pt idx="32">
                  <c:v>3814.9679332748001</c:v>
                </c:pt>
                <c:pt idx="33">
                  <c:v>3834.3161551455</c:v>
                </c:pt>
                <c:pt idx="34">
                  <c:v>3855.1267602807002</c:v>
                </c:pt>
                <c:pt idx="35">
                  <c:v>3877.1330528402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2447.2310101856997</c:v>
                </c:pt>
                <c:pt idx="2">
                  <c:v>2404.0866096606001</c:v>
                </c:pt>
                <c:pt idx="3">
                  <c:v>2372.3507697302002</c:v>
                </c:pt>
                <c:pt idx="4">
                  <c:v>2349.8943497996001</c:v>
                </c:pt>
                <c:pt idx="5">
                  <c:v>2334.0583639545998</c:v>
                </c:pt>
                <c:pt idx="6">
                  <c:v>2321.7050932796001</c:v>
                </c:pt>
                <c:pt idx="7">
                  <c:v>2304.7818183208997</c:v>
                </c:pt>
                <c:pt idx="8">
                  <c:v>2286.1476154258999</c:v>
                </c:pt>
                <c:pt idx="9">
                  <c:v>2267.4387340402</c:v>
                </c:pt>
                <c:pt idx="10">
                  <c:v>2249.1006682742</c:v>
                </c:pt>
                <c:pt idx="11">
                  <c:v>2232.2164038706001</c:v>
                </c:pt>
                <c:pt idx="12">
                  <c:v>2216.0703533209003</c:v>
                </c:pt>
                <c:pt idx="13">
                  <c:v>2199.8787651994003</c:v>
                </c:pt>
                <c:pt idx="14">
                  <c:v>2183.2226089441001</c:v>
                </c:pt>
                <c:pt idx="15">
                  <c:v>2165.9850246729998</c:v>
                </c:pt>
                <c:pt idx="16">
                  <c:v>2147.8080687717998</c:v>
                </c:pt>
                <c:pt idx="17">
                  <c:v>2129.2120702785005</c:v>
                </c:pt>
                <c:pt idx="18">
                  <c:v>2110.6684907293998</c:v>
                </c:pt>
                <c:pt idx="19">
                  <c:v>2092.5205644824</c:v>
                </c:pt>
                <c:pt idx="20">
                  <c:v>2074.8370924028</c:v>
                </c:pt>
                <c:pt idx="21">
                  <c:v>2058.0343059562001</c:v>
                </c:pt>
                <c:pt idx="22">
                  <c:v>2042.2578600642</c:v>
                </c:pt>
                <c:pt idx="23">
                  <c:v>2027.6388411691998</c:v>
                </c:pt>
                <c:pt idx="24">
                  <c:v>2014.2347879596</c:v>
                </c:pt>
                <c:pt idx="25">
                  <c:v>2001.5562107855001</c:v>
                </c:pt>
                <c:pt idx="26">
                  <c:v>1989.8621539644</c:v>
                </c:pt>
                <c:pt idx="27">
                  <c:v>1979.0326847279</c:v>
                </c:pt>
                <c:pt idx="28">
                  <c:v>1968.9961161468</c:v>
                </c:pt>
                <c:pt idx="29">
                  <c:v>1959.6962320145999</c:v>
                </c:pt>
                <c:pt idx="30">
                  <c:v>1951.0258335419001</c:v>
                </c:pt>
                <c:pt idx="31">
                  <c:v>1942.8067097682997</c:v>
                </c:pt>
                <c:pt idx="32">
                  <c:v>1934.819872538</c:v>
                </c:pt>
                <c:pt idx="33">
                  <c:v>1926.8638715973</c:v>
                </c:pt>
                <c:pt idx="34">
                  <c:v>1918.7647125586002</c:v>
                </c:pt>
                <c:pt idx="35">
                  <c:v>1910.3709394041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1212.9146708534001</c:v>
                </c:pt>
                <c:pt idx="2">
                  <c:v>1187.3327431115999</c:v>
                </c:pt>
                <c:pt idx="3">
                  <c:v>1165.7173480540998</c:v>
                </c:pt>
                <c:pt idx="4">
                  <c:v>1146.8541089844998</c:v>
                </c:pt>
                <c:pt idx="5">
                  <c:v>1129.4941041305001</c:v>
                </c:pt>
                <c:pt idx="6">
                  <c:v>1112.2541548639999</c:v>
                </c:pt>
                <c:pt idx="7">
                  <c:v>1091.6541462494999</c:v>
                </c:pt>
                <c:pt idx="8">
                  <c:v>1068.7067037074</c:v>
                </c:pt>
                <c:pt idx="9">
                  <c:v>1044.1948983115001</c:v>
                </c:pt>
                <c:pt idx="10">
                  <c:v>1018.4359516011</c:v>
                </c:pt>
                <c:pt idx="11">
                  <c:v>992.05003731099998</c:v>
                </c:pt>
                <c:pt idx="12">
                  <c:v>965.17122990220003</c:v>
                </c:pt>
                <c:pt idx="13">
                  <c:v>937.92072865130001</c:v>
                </c:pt>
                <c:pt idx="14">
                  <c:v>910.50235782680011</c:v>
                </c:pt>
                <c:pt idx="15">
                  <c:v>883.15352307220007</c:v>
                </c:pt>
                <c:pt idx="16">
                  <c:v>855.97990691170003</c:v>
                </c:pt>
                <c:pt idx="17">
                  <c:v>829.26650377509998</c:v>
                </c:pt>
                <c:pt idx="18">
                  <c:v>803.24522598039994</c:v>
                </c:pt>
                <c:pt idx="19">
                  <c:v>778.07114718260004</c:v>
                </c:pt>
                <c:pt idx="20">
                  <c:v>753.78910772659992</c:v>
                </c:pt>
                <c:pt idx="21">
                  <c:v>730.49666858170008</c:v>
                </c:pt>
                <c:pt idx="22">
                  <c:v>708.19417555509995</c:v>
                </c:pt>
                <c:pt idx="23">
                  <c:v>686.85738659049991</c:v>
                </c:pt>
                <c:pt idx="24">
                  <c:v>666.42632819799996</c:v>
                </c:pt>
                <c:pt idx="25">
                  <c:v>646.70408172539999</c:v>
                </c:pt>
                <c:pt idx="26">
                  <c:v>627.65160805810001</c:v>
                </c:pt>
                <c:pt idx="27">
                  <c:v>609.13538953699992</c:v>
                </c:pt>
                <c:pt idx="28">
                  <c:v>591.03792860110013</c:v>
                </c:pt>
                <c:pt idx="29">
                  <c:v>573.26529389180007</c:v>
                </c:pt>
                <c:pt idx="30">
                  <c:v>555.73660143970005</c:v>
                </c:pt>
                <c:pt idx="31">
                  <c:v>538.37847963729996</c:v>
                </c:pt>
                <c:pt idx="32">
                  <c:v>521.12883463340006</c:v>
                </c:pt>
                <c:pt idx="33">
                  <c:v>503.94812446769998</c:v>
                </c:pt>
                <c:pt idx="34">
                  <c:v>486.82029982519998</c:v>
                </c:pt>
                <c:pt idx="35">
                  <c:v>469.74887024610001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2187.6691358731996</c:v>
                </c:pt>
                <c:pt idx="2">
                  <c:v>2142.7255228527001</c:v>
                </c:pt>
                <c:pt idx="3">
                  <c:v>2102.0956213426002</c:v>
                </c:pt>
                <c:pt idx="4">
                  <c:v>2063.4390712980999</c:v>
                </c:pt>
                <c:pt idx="5">
                  <c:v>2024.6921147121</c:v>
                </c:pt>
                <c:pt idx="6">
                  <c:v>1983.6863763722999</c:v>
                </c:pt>
                <c:pt idx="7">
                  <c:v>1934.7660901506999</c:v>
                </c:pt>
                <c:pt idx="8">
                  <c:v>1879.6732266554998</c:v>
                </c:pt>
                <c:pt idx="9">
                  <c:v>1820.1373665874999</c:v>
                </c:pt>
                <c:pt idx="10">
                  <c:v>1757.1480359134</c:v>
                </c:pt>
                <c:pt idx="11">
                  <c:v>1692.1754023321998</c:v>
                </c:pt>
                <c:pt idx="12">
                  <c:v>1626.0780190675</c:v>
                </c:pt>
                <c:pt idx="13">
                  <c:v>1559.6165414739</c:v>
                </c:pt>
                <c:pt idx="14">
                  <c:v>1493.5391997520001</c:v>
                </c:pt>
                <c:pt idx="15">
                  <c:v>1428.5051951958999</c:v>
                </c:pt>
                <c:pt idx="16">
                  <c:v>1364.8993565142</c:v>
                </c:pt>
                <c:pt idx="17">
                  <c:v>1303.2081501253999</c:v>
                </c:pt>
                <c:pt idx="18">
                  <c:v>1243.7898868827001</c:v>
                </c:pt>
                <c:pt idx="19">
                  <c:v>1186.8572676602</c:v>
                </c:pt>
                <c:pt idx="20">
                  <c:v>1132.4550515035</c:v>
                </c:pt>
                <c:pt idx="21">
                  <c:v>1080.6440322425999</c:v>
                </c:pt>
                <c:pt idx="22">
                  <c:v>1031.3546623668001</c:v>
                </c:pt>
                <c:pt idx="23">
                  <c:v>984.47445619869995</c:v>
                </c:pt>
                <c:pt idx="24">
                  <c:v>939.8429615189001</c:v>
                </c:pt>
                <c:pt idx="25">
                  <c:v>897.16394954780003</c:v>
                </c:pt>
                <c:pt idx="26">
                  <c:v>856.28983611640001</c:v>
                </c:pt>
                <c:pt idx="27">
                  <c:v>816.9872521835</c:v>
                </c:pt>
                <c:pt idx="28">
                  <c:v>779.05405232650003</c:v>
                </c:pt>
                <c:pt idx="29">
                  <c:v>742.33596298249995</c:v>
                </c:pt>
                <c:pt idx="30">
                  <c:v>706.71679591399993</c:v>
                </c:pt>
                <c:pt idx="31">
                  <c:v>672.10925594380001</c:v>
                </c:pt>
                <c:pt idx="32">
                  <c:v>638.45322684689995</c:v>
                </c:pt>
                <c:pt idx="33">
                  <c:v>605.72117747029995</c:v>
                </c:pt>
                <c:pt idx="34">
                  <c:v>573.91429477660006</c:v>
                </c:pt>
                <c:pt idx="35">
                  <c:v>543.05405923069998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31856.513869999999</c:v>
                </c:pt>
                <c:pt idx="2">
                  <c:v>31683.95378</c:v>
                </c:pt>
                <c:pt idx="3">
                  <c:v>31675.776519999999</c:v>
                </c:pt>
                <c:pt idx="4">
                  <c:v>31805.6397</c:v>
                </c:pt>
                <c:pt idx="5">
                  <c:v>32035.25808</c:v>
                </c:pt>
                <c:pt idx="6">
                  <c:v>32318.527699999999</c:v>
                </c:pt>
                <c:pt idx="7">
                  <c:v>32533.17758</c:v>
                </c:pt>
                <c:pt idx="8">
                  <c:v>32738.881659999999</c:v>
                </c:pt>
                <c:pt idx="9">
                  <c:v>32963.088510000001</c:v>
                </c:pt>
                <c:pt idx="10">
                  <c:v>33211.344550000002</c:v>
                </c:pt>
                <c:pt idx="11">
                  <c:v>33497.155579999999</c:v>
                </c:pt>
                <c:pt idx="12">
                  <c:v>33797.588380000001</c:v>
                </c:pt>
                <c:pt idx="13">
                  <c:v>34088.966869999997</c:v>
                </c:pt>
                <c:pt idx="14">
                  <c:v>34355.270420000001</c:v>
                </c:pt>
                <c:pt idx="15">
                  <c:v>34587.474779999997</c:v>
                </c:pt>
                <c:pt idx="16">
                  <c:v>34773.642549999997</c:v>
                </c:pt>
                <c:pt idx="17">
                  <c:v>34920.423970000003</c:v>
                </c:pt>
                <c:pt idx="18">
                  <c:v>35033.475570000002</c:v>
                </c:pt>
                <c:pt idx="19">
                  <c:v>35116.864679999999</c:v>
                </c:pt>
                <c:pt idx="20">
                  <c:v>35170.556759999999</c:v>
                </c:pt>
                <c:pt idx="21">
                  <c:v>35202.530590000002</c:v>
                </c:pt>
                <c:pt idx="22">
                  <c:v>35216.540849999998</c:v>
                </c:pt>
                <c:pt idx="23">
                  <c:v>35216.87068</c:v>
                </c:pt>
                <c:pt idx="24">
                  <c:v>35207.138140000003</c:v>
                </c:pt>
                <c:pt idx="25">
                  <c:v>35181.05629</c:v>
                </c:pt>
                <c:pt idx="26">
                  <c:v>35147.717559999997</c:v>
                </c:pt>
                <c:pt idx="27">
                  <c:v>35109.600810000004</c:v>
                </c:pt>
                <c:pt idx="28">
                  <c:v>35070.276270000002</c:v>
                </c:pt>
                <c:pt idx="29">
                  <c:v>35032.94657</c:v>
                </c:pt>
                <c:pt idx="30">
                  <c:v>34998.9473</c:v>
                </c:pt>
                <c:pt idx="31">
                  <c:v>34967.472750000001</c:v>
                </c:pt>
                <c:pt idx="32">
                  <c:v>34936.314579999998</c:v>
                </c:pt>
                <c:pt idx="33">
                  <c:v>34902.872779999998</c:v>
                </c:pt>
                <c:pt idx="34">
                  <c:v>34864.201370000002</c:v>
                </c:pt>
                <c:pt idx="35">
                  <c:v>34816.919390000003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1.991142024</c:v>
                </c:pt>
                <c:pt idx="2">
                  <c:v>2.0604708770000002</c:v>
                </c:pt>
                <c:pt idx="3">
                  <c:v>2.1381484749999999</c:v>
                </c:pt>
                <c:pt idx="4">
                  <c:v>2.2225146750000002</c:v>
                </c:pt>
                <c:pt idx="5">
                  <c:v>2.310837545</c:v>
                </c:pt>
                <c:pt idx="6">
                  <c:v>2.3996487320000002</c:v>
                </c:pt>
                <c:pt idx="7">
                  <c:v>2.4789963739999998</c:v>
                </c:pt>
                <c:pt idx="8">
                  <c:v>2.554036585</c:v>
                </c:pt>
                <c:pt idx="9">
                  <c:v>2.6272860759999999</c:v>
                </c:pt>
                <c:pt idx="10">
                  <c:v>2.6994436940000002</c:v>
                </c:pt>
                <c:pt idx="11">
                  <c:v>2.771869546</c:v>
                </c:pt>
                <c:pt idx="12">
                  <c:v>2.8428657529999999</c:v>
                </c:pt>
                <c:pt idx="13">
                  <c:v>2.9106282110000001</c:v>
                </c:pt>
                <c:pt idx="14">
                  <c:v>2.9739539260000001</c:v>
                </c:pt>
                <c:pt idx="15">
                  <c:v>3.032198121</c:v>
                </c:pt>
                <c:pt idx="16">
                  <c:v>3.0844525850000002</c:v>
                </c:pt>
                <c:pt idx="17">
                  <c:v>3.13134939</c:v>
                </c:pt>
                <c:pt idx="18">
                  <c:v>3.1734410990000002</c:v>
                </c:pt>
                <c:pt idx="19">
                  <c:v>3.211149212</c:v>
                </c:pt>
                <c:pt idx="20">
                  <c:v>3.2445508740000002</c:v>
                </c:pt>
                <c:pt idx="21">
                  <c:v>3.2743913899999999</c:v>
                </c:pt>
                <c:pt idx="22">
                  <c:v>3.3010667749999998</c:v>
                </c:pt>
                <c:pt idx="23">
                  <c:v>3.3250172390000001</c:v>
                </c:pt>
                <c:pt idx="24">
                  <c:v>3.3466276050000001</c:v>
                </c:pt>
                <c:pt idx="25">
                  <c:v>3.3654501720000001</c:v>
                </c:pt>
                <c:pt idx="26">
                  <c:v>3.3823161530000001</c:v>
                </c:pt>
                <c:pt idx="27">
                  <c:v>3.3975086409999999</c:v>
                </c:pt>
                <c:pt idx="28">
                  <c:v>3.411400929</c:v>
                </c:pt>
                <c:pt idx="29">
                  <c:v>3.4243354429999999</c:v>
                </c:pt>
                <c:pt idx="30">
                  <c:v>3.4364972859999998</c:v>
                </c:pt>
                <c:pt idx="31">
                  <c:v>3.4478888379999999</c:v>
                </c:pt>
                <c:pt idx="32">
                  <c:v>3.458389221</c:v>
                </c:pt>
                <c:pt idx="33">
                  <c:v>3.467837775</c:v>
                </c:pt>
                <c:pt idx="34">
                  <c:v>3.4760378119999999</c:v>
                </c:pt>
                <c:pt idx="35">
                  <c:v>3.482749139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62.914827690000003</c:v>
                </c:pt>
                <c:pt idx="2">
                  <c:v>82.978712590000001</c:v>
                </c:pt>
                <c:pt idx="3">
                  <c:v>104.7030018</c:v>
                </c:pt>
                <c:pt idx="4">
                  <c:v>128.21140159999999</c:v>
                </c:pt>
                <c:pt idx="5">
                  <c:v>153.14079100000001</c:v>
                </c:pt>
                <c:pt idx="6">
                  <c:v>179.09732740000001</c:v>
                </c:pt>
                <c:pt idx="7">
                  <c:v>206.06346389999999</c:v>
                </c:pt>
                <c:pt idx="8">
                  <c:v>239.3722894</c:v>
                </c:pt>
                <c:pt idx="9">
                  <c:v>284.31310860000002</c:v>
                </c:pt>
                <c:pt idx="10">
                  <c:v>347.11184939999998</c:v>
                </c:pt>
                <c:pt idx="11">
                  <c:v>432.73447529999999</c:v>
                </c:pt>
                <c:pt idx="12">
                  <c:v>541.08405889999995</c:v>
                </c:pt>
                <c:pt idx="13">
                  <c:v>671.41931199999999</c:v>
                </c:pt>
                <c:pt idx="14">
                  <c:v>822.88042310000003</c:v>
                </c:pt>
                <c:pt idx="15">
                  <c:v>994.69664880000005</c:v>
                </c:pt>
                <c:pt idx="16">
                  <c:v>1186.1739950000001</c:v>
                </c:pt>
                <c:pt idx="17">
                  <c:v>1398.407044</c:v>
                </c:pt>
                <c:pt idx="18">
                  <c:v>1632.1084699999999</c:v>
                </c:pt>
                <c:pt idx="19">
                  <c:v>1887.750616</c:v>
                </c:pt>
                <c:pt idx="20">
                  <c:v>2165.3261649999999</c:v>
                </c:pt>
                <c:pt idx="21">
                  <c:v>2465.8957639999999</c:v>
                </c:pt>
                <c:pt idx="22">
                  <c:v>2790.232771</c:v>
                </c:pt>
                <c:pt idx="23">
                  <c:v>3139.4097609999999</c:v>
                </c:pt>
                <c:pt idx="24">
                  <c:v>3514.6530419999999</c:v>
                </c:pt>
                <c:pt idx="25">
                  <c:v>3915.4976769999998</c:v>
                </c:pt>
                <c:pt idx="26">
                  <c:v>4344.5582249999998</c:v>
                </c:pt>
                <c:pt idx="27">
                  <c:v>4803.5957589999998</c:v>
                </c:pt>
                <c:pt idx="28">
                  <c:v>5294.9850930000002</c:v>
                </c:pt>
                <c:pt idx="29">
                  <c:v>5821.4318389999999</c:v>
                </c:pt>
                <c:pt idx="30">
                  <c:v>6385.543173</c:v>
                </c:pt>
                <c:pt idx="31">
                  <c:v>6989.6085329999996</c:v>
                </c:pt>
                <c:pt idx="32">
                  <c:v>7635.6603059999998</c:v>
                </c:pt>
                <c:pt idx="33">
                  <c:v>8325.6875770000006</c:v>
                </c:pt>
                <c:pt idx="34">
                  <c:v>9061.5854710000003</c:v>
                </c:pt>
                <c:pt idx="35">
                  <c:v>9845.0423879999998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31921.419839999999</c:v>
                      </c:pt>
                      <c:pt idx="2">
                        <c:v>31768.992969999999</c:v>
                      </c:pt>
                      <c:pt idx="3">
                        <c:v>31782.617679999999</c:v>
                      </c:pt>
                      <c:pt idx="4">
                        <c:v>31936.073619999999</c:v>
                      </c:pt>
                      <c:pt idx="5">
                        <c:v>32190.709719999999</c:v>
                      </c:pt>
                      <c:pt idx="6">
                        <c:v>32500.024669999999</c:v>
                      </c:pt>
                      <c:pt idx="7">
                        <c:v>32741.72004</c:v>
                      </c:pt>
                      <c:pt idx="8">
                        <c:v>32980.807979999998</c:v>
                      </c:pt>
                      <c:pt idx="9">
                        <c:v>33250.028919999997</c:v>
                      </c:pt>
                      <c:pt idx="10">
                        <c:v>33561.155859999999</c:v>
                      </c:pt>
                      <c:pt idx="11">
                        <c:v>33932.661950000002</c:v>
                      </c:pt>
                      <c:pt idx="12">
                        <c:v>34341.515330000002</c:v>
                      </c:pt>
                      <c:pt idx="13">
                        <c:v>34763.296829999999</c:v>
                      </c:pt>
                      <c:pt idx="14">
                        <c:v>35181.124819999997</c:v>
                      </c:pt>
                      <c:pt idx="15">
                        <c:v>35585.203650000003</c:v>
                      </c:pt>
                      <c:pt idx="16">
                        <c:v>35962.901019999998</c:v>
                      </c:pt>
                      <c:pt idx="17">
                        <c:v>36321.962390000001</c:v>
                      </c:pt>
                      <c:pt idx="18">
                        <c:v>36668.757510000003</c:v>
                      </c:pt>
                      <c:pt idx="19">
                        <c:v>37007.82647</c:v>
                      </c:pt>
                      <c:pt idx="20">
                        <c:v>37339.127500000002</c:v>
                      </c:pt>
                      <c:pt idx="21">
                        <c:v>37671.700779999999</c:v>
                      </c:pt>
                      <c:pt idx="22">
                        <c:v>38010.074719999997</c:v>
                      </c:pt>
                      <c:pt idx="23">
                        <c:v>38359.605490000002</c:v>
                      </c:pt>
                      <c:pt idx="24">
                        <c:v>38725.137840000003</c:v>
                      </c:pt>
                      <c:pt idx="25">
                        <c:v>39099.919450000001</c:v>
                      </c:pt>
                      <c:pt idx="26">
                        <c:v>39495.658130000003</c:v>
                      </c:pt>
                      <c:pt idx="27">
                        <c:v>39916.594120000002</c:v>
                      </c:pt>
                      <c:pt idx="28">
                        <c:v>40368.6728</c:v>
                      </c:pt>
                      <c:pt idx="29">
                        <c:v>40857.802790000002</c:v>
                      </c:pt>
                      <c:pt idx="30">
                        <c:v>41387.927009999999</c:v>
                      </c:pt>
                      <c:pt idx="31">
                        <c:v>41960.529210000001</c:v>
                      </c:pt>
                      <c:pt idx="32">
                        <c:v>42575.43331</c:v>
                      </c:pt>
                      <c:pt idx="33">
                        <c:v>43232.028230000004</c:v>
                      </c:pt>
                      <c:pt idx="34">
                        <c:v>43929.262909999998</c:v>
                      </c:pt>
                      <c:pt idx="35">
                        <c:v>44665.444560000004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31856.513869999999</c:v>
                </c:pt>
                <c:pt idx="2">
                  <c:v>31683.95378</c:v>
                </c:pt>
                <c:pt idx="3">
                  <c:v>31675.776519999999</c:v>
                </c:pt>
                <c:pt idx="4">
                  <c:v>31805.63969</c:v>
                </c:pt>
                <c:pt idx="5">
                  <c:v>32035.25808</c:v>
                </c:pt>
                <c:pt idx="6">
                  <c:v>32318.527689999999</c:v>
                </c:pt>
                <c:pt idx="7">
                  <c:v>32632.500260000001</c:v>
                </c:pt>
                <c:pt idx="8">
                  <c:v>32968.369570000003</c:v>
                </c:pt>
                <c:pt idx="9">
                  <c:v>33321.829830000002</c:v>
                </c:pt>
                <c:pt idx="10">
                  <c:v>33693.028729999998</c:v>
                </c:pt>
                <c:pt idx="11">
                  <c:v>34064.487639999999</c:v>
                </c:pt>
                <c:pt idx="12">
                  <c:v>34425.927830000001</c:v>
                </c:pt>
                <c:pt idx="13">
                  <c:v>34768.503850000001</c:v>
                </c:pt>
                <c:pt idx="14">
                  <c:v>35085.504970000002</c:v>
                </c:pt>
                <c:pt idx="15">
                  <c:v>35373.013599999998</c:v>
                </c:pt>
                <c:pt idx="16">
                  <c:v>35646.326739999997</c:v>
                </c:pt>
                <c:pt idx="17">
                  <c:v>35910.336580000003</c:v>
                </c:pt>
                <c:pt idx="18">
                  <c:v>36164.767079999998</c:v>
                </c:pt>
                <c:pt idx="19">
                  <c:v>36408.731879999999</c:v>
                </c:pt>
                <c:pt idx="20">
                  <c:v>36638.71168</c:v>
                </c:pt>
                <c:pt idx="21">
                  <c:v>36861.161820000001</c:v>
                </c:pt>
                <c:pt idx="22">
                  <c:v>37079.134859999998</c:v>
                </c:pt>
                <c:pt idx="23">
                  <c:v>37296.443950000001</c:v>
                </c:pt>
                <c:pt idx="24">
                  <c:v>37516.479950000001</c:v>
                </c:pt>
                <c:pt idx="25">
                  <c:v>37732.145689999998</c:v>
                </c:pt>
                <c:pt idx="26">
                  <c:v>37954.178110000001</c:v>
                </c:pt>
                <c:pt idx="27">
                  <c:v>38186.457999999999</c:v>
                </c:pt>
                <c:pt idx="28">
                  <c:v>38432.892090000001</c:v>
                </c:pt>
                <c:pt idx="29">
                  <c:v>38696.721819999999</c:v>
                </c:pt>
                <c:pt idx="30">
                  <c:v>38979.226150000002</c:v>
                </c:pt>
                <c:pt idx="31">
                  <c:v>39279.539360000002</c:v>
                </c:pt>
                <c:pt idx="32">
                  <c:v>39595.014589999999</c:v>
                </c:pt>
                <c:pt idx="33">
                  <c:v>39921.614379999999</c:v>
                </c:pt>
                <c:pt idx="34">
                  <c:v>40254.27162</c:v>
                </c:pt>
                <c:pt idx="35">
                  <c:v>40587.17411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1.991142024</c:v>
                </c:pt>
                <c:pt idx="2">
                  <c:v>2.0604708760000001</c:v>
                </c:pt>
                <c:pt idx="3">
                  <c:v>2.1381484739999999</c:v>
                </c:pt>
                <c:pt idx="4">
                  <c:v>2.2225146750000002</c:v>
                </c:pt>
                <c:pt idx="5">
                  <c:v>2.310837544</c:v>
                </c:pt>
                <c:pt idx="6">
                  <c:v>2.3996487310000001</c:v>
                </c:pt>
                <c:pt idx="7">
                  <c:v>2.4873405719999999</c:v>
                </c:pt>
                <c:pt idx="8">
                  <c:v>2.5734439349999998</c:v>
                </c:pt>
                <c:pt idx="9">
                  <c:v>2.6578395239999999</c:v>
                </c:pt>
                <c:pt idx="10">
                  <c:v>2.7407614900000001</c:v>
                </c:pt>
                <c:pt idx="11">
                  <c:v>2.820949508</c:v>
                </c:pt>
                <c:pt idx="12">
                  <c:v>2.897712625</c:v>
                </c:pt>
                <c:pt idx="13">
                  <c:v>2.970456279</c:v>
                </c:pt>
                <c:pt idx="14">
                  <c:v>3.0387445830000002</c:v>
                </c:pt>
                <c:pt idx="15">
                  <c:v>3.102359672</c:v>
                </c:pt>
                <c:pt idx="16">
                  <c:v>3.1626859199999999</c:v>
                </c:pt>
                <c:pt idx="17">
                  <c:v>3.2202470700000001</c:v>
                </c:pt>
                <c:pt idx="18">
                  <c:v>3.275131928</c:v>
                </c:pt>
                <c:pt idx="19">
                  <c:v>3.327370669</c:v>
                </c:pt>
                <c:pt idx="20">
                  <c:v>3.3767645929999999</c:v>
                </c:pt>
                <c:pt idx="21">
                  <c:v>3.423942389</c:v>
                </c:pt>
                <c:pt idx="22">
                  <c:v>3.4692497859999998</c:v>
                </c:pt>
                <c:pt idx="23">
                  <c:v>3.5130947610000001</c:v>
                </c:pt>
                <c:pt idx="24">
                  <c:v>3.5558492429999999</c:v>
                </c:pt>
                <c:pt idx="25">
                  <c:v>3.5970029760000002</c:v>
                </c:pt>
                <c:pt idx="26">
                  <c:v>3.6375294560000002</c:v>
                </c:pt>
                <c:pt idx="27">
                  <c:v>3.6778355390000002</c:v>
                </c:pt>
                <c:pt idx="28">
                  <c:v>3.7183302039999999</c:v>
                </c:pt>
                <c:pt idx="29">
                  <c:v>3.7593665199999999</c:v>
                </c:pt>
                <c:pt idx="30">
                  <c:v>3.8011318090000001</c:v>
                </c:pt>
                <c:pt idx="31">
                  <c:v>3.8436298720000002</c:v>
                </c:pt>
                <c:pt idx="32">
                  <c:v>3.886708976</c:v>
                </c:pt>
                <c:pt idx="33">
                  <c:v>3.9300927419999998</c:v>
                </c:pt>
                <c:pt idx="34">
                  <c:v>3.9734091660000002</c:v>
                </c:pt>
                <c:pt idx="35">
                  <c:v>4.0162137710000003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62.914827699999996</c:v>
                </c:pt>
                <c:pt idx="2">
                  <c:v>82.978712590000001</c:v>
                </c:pt>
                <c:pt idx="3">
                  <c:v>104.7030018</c:v>
                </c:pt>
                <c:pt idx="4">
                  <c:v>128.21140170000001</c:v>
                </c:pt>
                <c:pt idx="5">
                  <c:v>153.1407911</c:v>
                </c:pt>
                <c:pt idx="6">
                  <c:v>179.0973276</c:v>
                </c:pt>
                <c:pt idx="7">
                  <c:v>206.10785229999999</c:v>
                </c:pt>
                <c:pt idx="8">
                  <c:v>234.479826</c:v>
                </c:pt>
                <c:pt idx="9">
                  <c:v>264.6336834</c:v>
                </c:pt>
                <c:pt idx="10">
                  <c:v>297.09038870000001</c:v>
                </c:pt>
                <c:pt idx="11">
                  <c:v>332.12374110000002</c:v>
                </c:pt>
                <c:pt idx="12">
                  <c:v>370.0659053</c:v>
                </c:pt>
                <c:pt idx="13">
                  <c:v>411.22462739999997</c:v>
                </c:pt>
                <c:pt idx="14">
                  <c:v>455.90036809999998</c:v>
                </c:pt>
                <c:pt idx="15">
                  <c:v>504.41621750000002</c:v>
                </c:pt>
                <c:pt idx="16">
                  <c:v>557.37845730000004</c:v>
                </c:pt>
                <c:pt idx="17">
                  <c:v>614.95637120000004</c:v>
                </c:pt>
                <c:pt idx="18">
                  <c:v>677.13408349999997</c:v>
                </c:pt>
                <c:pt idx="19">
                  <c:v>743.9025603</c:v>
                </c:pt>
                <c:pt idx="20">
                  <c:v>815.22530059999997</c:v>
                </c:pt>
                <c:pt idx="21">
                  <c:v>891.46296229999996</c:v>
                </c:pt>
                <c:pt idx="22">
                  <c:v>972.97540049999998</c:v>
                </c:pt>
                <c:pt idx="23">
                  <c:v>1060.2515599999999</c:v>
                </c:pt>
                <c:pt idx="24">
                  <c:v>1153.8699200000001</c:v>
                </c:pt>
                <c:pt idx="25">
                  <c:v>1254.0272769999999</c:v>
                </c:pt>
                <c:pt idx="26">
                  <c:v>1361.798753</c:v>
                </c:pt>
                <c:pt idx="27">
                  <c:v>1478.09413</c:v>
                </c:pt>
                <c:pt idx="28">
                  <c:v>1603.955821</c:v>
                </c:pt>
                <c:pt idx="29">
                  <c:v>1740.5250120000001</c:v>
                </c:pt>
                <c:pt idx="30">
                  <c:v>1888.954031</c:v>
                </c:pt>
                <c:pt idx="31">
                  <c:v>2050.3643699999998</c:v>
                </c:pt>
                <c:pt idx="32">
                  <c:v>2225.8351360000001</c:v>
                </c:pt>
                <c:pt idx="33">
                  <c:v>2416.3963370000001</c:v>
                </c:pt>
                <c:pt idx="34">
                  <c:v>2623.0237259999999</c:v>
                </c:pt>
                <c:pt idx="35">
                  <c:v>2846.630979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31921.419839999999</c:v>
                      </c:pt>
                      <c:pt idx="2">
                        <c:v>31768.99296</c:v>
                      </c:pt>
                      <c:pt idx="3">
                        <c:v>31782.617679999999</c:v>
                      </c:pt>
                      <c:pt idx="4">
                        <c:v>31936.073609999999</c:v>
                      </c:pt>
                      <c:pt idx="5">
                        <c:v>32190.709709999999</c:v>
                      </c:pt>
                      <c:pt idx="6">
                        <c:v>32500.024669999999</c:v>
                      </c:pt>
                      <c:pt idx="7">
                        <c:v>32841.095459999997</c:v>
                      </c:pt>
                      <c:pt idx="8">
                        <c:v>33205.422839999999</c:v>
                      </c:pt>
                      <c:pt idx="9">
                        <c:v>33589.121350000001</c:v>
                      </c:pt>
                      <c:pt idx="10">
                        <c:v>33992.859880000004</c:v>
                      </c:pt>
                      <c:pt idx="11">
                        <c:v>34399.432330000003</c:v>
                      </c:pt>
                      <c:pt idx="12">
                        <c:v>34798.891439999999</c:v>
                      </c:pt>
                      <c:pt idx="13">
                        <c:v>35182.698929999999</c:v>
                      </c:pt>
                      <c:pt idx="14">
                        <c:v>35544.444080000001</c:v>
                      </c:pt>
                      <c:pt idx="15">
                        <c:v>35880.532180000002</c:v>
                      </c:pt>
                      <c:pt idx="16">
                        <c:v>36206.867890000001</c:v>
                      </c:pt>
                      <c:pt idx="17">
                        <c:v>36528.513200000001</c:v>
                      </c:pt>
                      <c:pt idx="18">
                        <c:v>36845.176299999999</c:v>
                      </c:pt>
                      <c:pt idx="19">
                        <c:v>37155.961810000001</c:v>
                      </c:pt>
                      <c:pt idx="20">
                        <c:v>37457.313750000001</c:v>
                      </c:pt>
                      <c:pt idx="21">
                        <c:v>37756.048719999999</c:v>
                      </c:pt>
                      <c:pt idx="22">
                        <c:v>38055.579510000003</c:v>
                      </c:pt>
                      <c:pt idx="23">
                        <c:v>38360.208599999998</c:v>
                      </c:pt>
                      <c:pt idx="24">
                        <c:v>38673.905709999999</c:v>
                      </c:pt>
                      <c:pt idx="25">
                        <c:v>38989.769970000001</c:v>
                      </c:pt>
                      <c:pt idx="26">
                        <c:v>39319.614390000002</c:v>
                      </c:pt>
                      <c:pt idx="27">
                        <c:v>39668.229959999997</c:v>
                      </c:pt>
                      <c:pt idx="28">
                        <c:v>40040.566229999997</c:v>
                      </c:pt>
                      <c:pt idx="29">
                        <c:v>40441.00619</c:v>
                      </c:pt>
                      <c:pt idx="30">
                        <c:v>40871.981299999999</c:v>
                      </c:pt>
                      <c:pt idx="31">
                        <c:v>41333.747340000002</c:v>
                      </c:pt>
                      <c:pt idx="32">
                        <c:v>41824.736409999998</c:v>
                      </c:pt>
                      <c:pt idx="33">
                        <c:v>42341.940779999997</c:v>
                      </c:pt>
                      <c:pt idx="34">
                        <c:v>42881.26872</c:v>
                      </c:pt>
                      <c:pt idx="35">
                        <c:v>43437.821259999997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-3.3747826999999688</c:v>
                </c:pt>
                <c:pt idx="1">
                  <c:v>-13.579333799999972</c:v>
                </c:pt>
                <c:pt idx="2">
                  <c:v>-20.395317000000091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26.341816999999537</c:v>
                </c:pt>
                <c:pt idx="1">
                  <c:v>60.194195000000036</c:v>
                </c:pt>
                <c:pt idx="2">
                  <c:v>387.13913799999955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-12.501067599999942</c:v>
                </c:pt>
                <c:pt idx="1">
                  <c:v>-27.026396599999998</c:v>
                </c:pt>
                <c:pt idx="2">
                  <c:v>-8.9445349999998598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146.54035999999905</c:v>
                </c:pt>
                <c:pt idx="1">
                  <c:v>57.72780000000057</c:v>
                </c:pt>
                <c:pt idx="2">
                  <c:v>182.5687399999988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-2.1070934114000046</c:v>
                </c:pt>
                <c:pt idx="1">
                  <c:v>-4.2975751316000057</c:v>
                </c:pt>
                <c:pt idx="2">
                  <c:v>-7.0246210367000046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14.508144491400003</c:v>
                </c:pt>
                <c:pt idx="1">
                  <c:v>32.840147501600001</c:v>
                </c:pt>
                <c:pt idx="2">
                  <c:v>60.639952206700009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28.997360020000002</c:v>
                </c:pt>
                <c:pt idx="1">
                  <c:v>80.402369350000001</c:v>
                </c:pt>
                <c:pt idx="2">
                  <c:v>242.32607795999996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198.40473000000202</c:v>
                </c:pt>
                <c:pt idx="1">
                  <c:v>186.26120999999694</c:v>
                </c:pt>
                <c:pt idx="2">
                  <c:v>836.30943000000116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3.5653938370358492E-4</c:v>
                </c:pt>
                <c:pt idx="1">
                  <c:v>7.0658502258835916E-4</c:v>
                </c:pt>
                <c:pt idx="2">
                  <c:v>4.8382032067980735E-4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-2.3966338037401114E-4</c:v>
                </c:pt>
                <c:pt idx="1">
                  <c:v>1.747229987806111E-2</c:v>
                </c:pt>
                <c:pt idx="2">
                  <c:v>6.9609153827306564E-2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6.5978037298660363E-4</c:v>
                </c:pt>
                <c:pt idx="1">
                  <c:v>1.2766260141474335E-3</c:v>
                </c:pt>
                <c:pt idx="2">
                  <c:v>2.1241483459653425E-3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4.7460765201241605E-4</c:v>
                </c:pt>
                <c:pt idx="1">
                  <c:v>5.5501518759219493E-3</c:v>
                </c:pt>
                <c:pt idx="2">
                  <c:v>1.2316412584607689E-2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-3.9235506894268421E-5</c:v>
                </c:pt>
                <c:pt idx="1">
                  <c:v>2.888051440471421E-4</c:v>
                </c:pt>
                <c:pt idx="2">
                  <c:v>8.3944439315621598E-4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2.5263036135205448E-3</c:v>
                </c:pt>
                <c:pt idx="1">
                  <c:v>7.660006020249935E-3</c:v>
                </c:pt>
                <c:pt idx="2">
                  <c:v>2.1409365717658863E-2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3.7383321552391102E-3</c:v>
                </c:pt>
                <c:pt idx="1">
                  <c:v>3.2954473901510628E-2</c:v>
                </c:pt>
                <c:pt idx="2">
                  <c:v>0.10678234469208592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15.7586612184</c:v>
                </c:pt>
                <c:pt idx="1">
                  <c:v>11.460594532</c:v>
                </c:pt>
                <c:pt idx="2">
                  <c:v>6.9459473864999994</c:v>
                </c:pt>
                <c:pt idx="3">
                  <c:v>1.6434010169000002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8.7701395439999992</c:v>
                </c:pt>
                <c:pt idx="1">
                  <c:v>5.8027435010000001</c:v>
                </c:pt>
                <c:pt idx="2">
                  <c:v>3.9432964770000001</c:v>
                </c:pt>
                <c:pt idx="3">
                  <c:v>2.406834811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20.437044118000003</c:v>
                </c:pt>
                <c:pt idx="1">
                  <c:v>21.475128140999999</c:v>
                </c:pt>
                <c:pt idx="2">
                  <c:v>24.159375589</c:v>
                </c:pt>
                <c:pt idx="3">
                  <c:v>31.521447434999999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15.441185340000001</c:v>
                </c:pt>
                <c:pt idx="1">
                  <c:v>15.24118893</c:v>
                </c:pt>
                <c:pt idx="2">
                  <c:v>15.01314932</c:v>
                </c:pt>
                <c:pt idx="3">
                  <c:v>16.733048830000001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20.524407159999999</c:v>
                </c:pt>
                <c:pt idx="1">
                  <c:v>16.41923684</c:v>
                </c:pt>
                <c:pt idx="2">
                  <c:v>15.18322987</c:v>
                </c:pt>
                <c:pt idx="3">
                  <c:v>17.058623690000001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15.168501481000003</c:v>
                </c:pt>
                <c:pt idx="1">
                  <c:v>7.8480897619999999</c:v>
                </c:pt>
                <c:pt idx="2">
                  <c:v>5.1198125733000008</c:v>
                </c:pt>
                <c:pt idx="3">
                  <c:v>3.5610122387000001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18.986307289999999</c:v>
                </c:pt>
                <c:pt idx="1">
                  <c:v>15.181605530000001</c:v>
                </c:pt>
                <c:pt idx="2">
                  <c:v>9.388472234</c:v>
                </c:pt>
                <c:pt idx="3">
                  <c:v>1.901196111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21.67064117</c:v>
                </c:pt>
                <c:pt idx="1">
                  <c:v>18.896125829999999</c:v>
                </c:pt>
                <c:pt idx="2">
                  <c:v>13.47803964</c:v>
                </c:pt>
                <c:pt idx="3">
                  <c:v>6.0607930679999997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6.3804348580000001</c:v>
                </c:pt>
                <c:pt idx="1">
                  <c:v>5.6583477920000007</c:v>
                </c:pt>
                <c:pt idx="2">
                  <c:v>3.9700671882999998</c:v>
                </c:pt>
                <c:pt idx="3">
                  <c:v>1.5325385275000001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46.797902687000004</c:v>
                </c:pt>
                <c:pt idx="1">
                  <c:v>28.082827205000001</c:v>
                </c:pt>
                <c:pt idx="2">
                  <c:v>19.620145666999999</c:v>
                </c:pt>
                <c:pt idx="3">
                  <c:v>12.134637637000001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22.698076988</c:v>
                </c:pt>
                <c:pt idx="1">
                  <c:v>26.503694910700002</c:v>
                </c:pt>
                <c:pt idx="2">
                  <c:v>24.974335615600001</c:v>
                </c:pt>
                <c:pt idx="3">
                  <c:v>14.1614738532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26.923979363000001</c:v>
                </c:pt>
                <c:pt idx="1">
                  <c:v>26.114673680999999</c:v>
                </c:pt>
                <c:pt idx="2">
                  <c:v>22.83559013</c:v>
                </c:pt>
                <c:pt idx="3">
                  <c:v>17.929875167300001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4.6652668572708667E-3</c:v>
                </c:pt>
                <c:pt idx="8">
                  <c:v>1.0069319439780289E-2</c:v>
                </c:pt>
                <c:pt idx="9">
                  <c:v>1.1688794716214757E-2</c:v>
                </c:pt>
                <c:pt idx="10">
                  <c:v>1.3506286428812242E-2</c:v>
                </c:pt>
                <c:pt idx="11">
                  <c:v>1.5842902199909137E-2</c:v>
                </c:pt>
                <c:pt idx="12">
                  <c:v>1.8737353230026788E-2</c:v>
                </c:pt>
                <c:pt idx="13">
                  <c:v>2.1905158433173311E-2</c:v>
                </c:pt>
                <c:pt idx="14">
                  <c:v>2.5034594173505731E-2</c:v>
                </c:pt>
                <c:pt idx="15">
                  <c:v>2.8129737388081333E-2</c:v>
                </c:pt>
                <c:pt idx="16">
                  <c:v>3.1568215169670566E-2</c:v>
                </c:pt>
                <c:pt idx="17">
                  <c:v>3.5517470919245619E-2</c:v>
                </c:pt>
                <c:pt idx="18">
                  <c:v>3.9945687028595467E-2</c:v>
                </c:pt>
                <c:pt idx="19">
                  <c:v>4.474807350100285E-2</c:v>
                </c:pt>
                <c:pt idx="20">
                  <c:v>4.9809169322959423E-2</c:v>
                </c:pt>
                <c:pt idx="21">
                  <c:v>5.501258930651387E-2</c:v>
                </c:pt>
                <c:pt idx="22">
                  <c:v>6.0244390025182781E-2</c:v>
                </c:pt>
                <c:pt idx="23">
                  <c:v>6.5394029473267556E-2</c:v>
                </c:pt>
                <c:pt idx="24">
                  <c:v>7.0351845471838814E-2</c:v>
                </c:pt>
                <c:pt idx="25">
                  <c:v>7.5030050633026146E-2</c:v>
                </c:pt>
                <c:pt idx="26">
                  <c:v>7.9459558809050757E-2</c:v>
                </c:pt>
                <c:pt idx="27">
                  <c:v>8.3366971167098347E-2</c:v>
                </c:pt>
                <c:pt idx="28">
                  <c:v>8.6618920768895213E-2</c:v>
                </c:pt>
                <c:pt idx="29">
                  <c:v>8.9092732809767483E-2</c:v>
                </c:pt>
                <c:pt idx="30">
                  <c:v>9.0687830428285432E-2</c:v>
                </c:pt>
                <c:pt idx="31">
                  <c:v>9.1323750713603991E-2</c:v>
                </c:pt>
                <c:pt idx="32">
                  <c:v>9.0927929682542263E-2</c:v>
                </c:pt>
                <c:pt idx="33">
                  <c:v>8.9435085121257973E-2</c:v>
                </c:pt>
                <c:pt idx="34">
                  <c:v>8.6784117371586422E-2</c:v>
                </c:pt>
                <c:pt idx="35">
                  <c:v>8.2918595116940441E-2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-2.0430324099152131E-12</c:v>
                </c:pt>
                <c:pt idx="1">
                  <c:v>1.5602852343477025E-11</c:v>
                </c:pt>
                <c:pt idx="2">
                  <c:v>3.2016389539535339E-11</c:v>
                </c:pt>
                <c:pt idx="3">
                  <c:v>-4.0076386653709051E-11</c:v>
                </c:pt>
                <c:pt idx="4">
                  <c:v>8.8946183751659191E-11</c:v>
                </c:pt>
                <c:pt idx="5">
                  <c:v>1.187774323341273E-10</c:v>
                </c:pt>
                <c:pt idx="6">
                  <c:v>1.8408208291020856E-10</c:v>
                </c:pt>
                <c:pt idx="7">
                  <c:v>4.812811770128711E-3</c:v>
                </c:pt>
                <c:pt idx="8">
                  <c:v>9.3657905275221776E-3</c:v>
                </c:pt>
                <c:pt idx="9">
                  <c:v>8.0334679625082561E-3</c:v>
                </c:pt>
                <c:pt idx="10">
                  <c:v>6.6355562850504146E-3</c:v>
                </c:pt>
                <c:pt idx="11">
                  <c:v>5.8022122716370195E-3</c:v>
                </c:pt>
                <c:pt idx="12">
                  <c:v>5.799018271707812E-3</c:v>
                </c:pt>
                <c:pt idx="13">
                  <c:v>6.231328988014706E-3</c:v>
                </c:pt>
                <c:pt idx="14">
                  <c:v>6.6109255932080835E-3</c:v>
                </c:pt>
                <c:pt idx="15">
                  <c:v>6.8964584590742728E-3</c:v>
                </c:pt>
                <c:pt idx="16">
                  <c:v>7.6717463811180053E-3</c:v>
                </c:pt>
                <c:pt idx="17">
                  <c:v>8.7841977301232887E-3</c:v>
                </c:pt>
                <c:pt idx="18">
                  <c:v>1.0151095411095046E-2</c:v>
                </c:pt>
                <c:pt idx="19">
                  <c:v>1.1689194309080886E-2</c:v>
                </c:pt>
                <c:pt idx="20">
                  <c:v>1.3333555935429953E-2</c:v>
                </c:pt>
                <c:pt idx="21">
                  <c:v>1.5025161352509642E-2</c:v>
                </c:pt>
                <c:pt idx="22">
                  <c:v>1.6729293314668769E-2</c:v>
                </c:pt>
                <c:pt idx="23">
                  <c:v>1.8432147481925343E-2</c:v>
                </c:pt>
                <c:pt idx="24">
                  <c:v>2.0122581193895206E-2</c:v>
                </c:pt>
                <c:pt idx="25">
                  <c:v>2.1809089524140957E-2</c:v>
                </c:pt>
                <c:pt idx="26">
                  <c:v>2.3437556324311215E-2</c:v>
                </c:pt>
                <c:pt idx="27">
                  <c:v>2.5019255314445266E-2</c:v>
                </c:pt>
                <c:pt idx="28">
                  <c:v>2.6572223572879583E-2</c:v>
                </c:pt>
                <c:pt idx="29">
                  <c:v>2.8093215131553162E-2</c:v>
                </c:pt>
                <c:pt idx="30">
                  <c:v>2.9572902799589684E-2</c:v>
                </c:pt>
                <c:pt idx="31">
                  <c:v>3.0994334803453816E-2</c:v>
                </c:pt>
                <c:pt idx="32">
                  <c:v>3.2339215148372569E-2</c:v>
                </c:pt>
                <c:pt idx="33">
                  <c:v>3.3600140506852005E-2</c:v>
                </c:pt>
                <c:pt idx="34">
                  <c:v>3.4760989015465871E-2</c:v>
                </c:pt>
                <c:pt idx="35">
                  <c:v>3.5793615142623025E-2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-3.097844203381328E-11</c:v>
                </c:pt>
                <c:pt idx="4">
                  <c:v>-2.0066026618081878E-10</c:v>
                </c:pt>
                <c:pt idx="5">
                  <c:v>6.3398175598194939E-11</c:v>
                </c:pt>
                <c:pt idx="6">
                  <c:v>-8.2437723314399136E-11</c:v>
                </c:pt>
                <c:pt idx="7">
                  <c:v>4.7740480539670838E-3</c:v>
                </c:pt>
                <c:pt idx="8">
                  <c:v>9.3145966777663514E-3</c:v>
                </c:pt>
                <c:pt idx="9">
                  <c:v>8.1228378543340973E-3</c:v>
                </c:pt>
                <c:pt idx="10">
                  <c:v>7.0010901495665134E-3</c:v>
                </c:pt>
                <c:pt idx="11">
                  <c:v>6.5361230351645982E-3</c:v>
                </c:pt>
                <c:pt idx="12">
                  <c:v>7.3380468510000352E-3</c:v>
                </c:pt>
                <c:pt idx="13">
                  <c:v>9.1094768727590925E-3</c:v>
                </c:pt>
                <c:pt idx="14">
                  <c:v>1.1359378980303703E-2</c:v>
                </c:pt>
                <c:pt idx="15">
                  <c:v>1.3996744601829869E-2</c:v>
                </c:pt>
                <c:pt idx="16">
                  <c:v>1.7346784237630031E-2</c:v>
                </c:pt>
                <c:pt idx="17">
                  <c:v>2.1278194034604736E-2</c:v>
                </c:pt>
                <c:pt idx="18">
                  <c:v>2.5590075889436958E-2</c:v>
                </c:pt>
                <c:pt idx="19">
                  <c:v>3.0116815448762768E-2</c:v>
                </c:pt>
                <c:pt idx="20">
                  <c:v>3.4720316216008795E-2</c:v>
                </c:pt>
                <c:pt idx="21">
                  <c:v>3.9252377119442849E-2</c:v>
                </c:pt>
                <c:pt idx="22">
                  <c:v>4.3597976469328392E-2</c:v>
                </c:pt>
                <c:pt idx="23">
                  <c:v>4.7743805176593934E-2</c:v>
                </c:pt>
                <c:pt idx="24">
                  <c:v>5.1690800776894363E-2</c:v>
                </c:pt>
                <c:pt idx="25">
                  <c:v>5.5420655599958124E-2</c:v>
                </c:pt>
                <c:pt idx="26">
                  <c:v>5.8692606121931723E-2</c:v>
                </c:pt>
                <c:pt idx="27">
                  <c:v>6.1269167922924472E-2</c:v>
                </c:pt>
                <c:pt idx="28">
                  <c:v>6.3166316416388479E-2</c:v>
                </c:pt>
                <c:pt idx="29">
                  <c:v>6.4439713936641274E-2</c:v>
                </c:pt>
                <c:pt idx="30">
                  <c:v>6.5131326515822208E-2</c:v>
                </c:pt>
                <c:pt idx="31">
                  <c:v>6.5175529425451462E-2</c:v>
                </c:pt>
                <c:pt idx="32">
                  <c:v>6.4465852128872791E-2</c:v>
                </c:pt>
                <c:pt idx="33">
                  <c:v>6.2999660609830865E-2</c:v>
                </c:pt>
                <c:pt idx="34">
                  <c:v>6.0792176105709972E-2</c:v>
                </c:pt>
                <c:pt idx="35">
                  <c:v>5.7847608129830252E-2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-4.2252046306145985E-10</c:v>
                </c:pt>
                <c:pt idx="2">
                  <c:v>0</c:v>
                </c:pt>
                <c:pt idx="3">
                  <c:v>-3.6841985018298828E-10</c:v>
                </c:pt>
                <c:pt idx="4">
                  <c:v>3.9119885109073493E-10</c:v>
                </c:pt>
                <c:pt idx="5">
                  <c:v>0</c:v>
                </c:pt>
                <c:pt idx="6">
                  <c:v>-3.4367064749574183E-11</c:v>
                </c:pt>
                <c:pt idx="7">
                  <c:v>1.5938268199762184E-3</c:v>
                </c:pt>
                <c:pt idx="8">
                  <c:v>3.1856677163855096E-3</c:v>
                </c:pt>
                <c:pt idx="9">
                  <c:v>1.6257458389405954E-3</c:v>
                </c:pt>
                <c:pt idx="10">
                  <c:v>-4.2064656325080385E-4</c:v>
                </c:pt>
                <c:pt idx="11">
                  <c:v>-2.1208207679968005E-3</c:v>
                </c:pt>
                <c:pt idx="12">
                  <c:v>-3.3226082110149324E-3</c:v>
                </c:pt>
                <c:pt idx="13">
                  <c:v>-4.1285524231996495E-3</c:v>
                </c:pt>
                <c:pt idx="14">
                  <c:v>-4.7360322819782752E-3</c:v>
                </c:pt>
                <c:pt idx="15">
                  <c:v>-5.1697622650452857E-3</c:v>
                </c:pt>
                <c:pt idx="16">
                  <c:v>-5.2122659518150094E-3</c:v>
                </c:pt>
                <c:pt idx="17">
                  <c:v>-4.9081198740614784E-3</c:v>
                </c:pt>
                <c:pt idx="18">
                  <c:v>-4.3225657802493656E-3</c:v>
                </c:pt>
                <c:pt idx="19">
                  <c:v>-3.530993887006173E-3</c:v>
                </c:pt>
                <c:pt idx="20">
                  <c:v>-2.5915407972130211E-3</c:v>
                </c:pt>
                <c:pt idx="21">
                  <c:v>-1.5419118944282051E-3</c:v>
                </c:pt>
                <c:pt idx="22">
                  <c:v>-4.1680221553741514E-4</c:v>
                </c:pt>
                <c:pt idx="23">
                  <c:v>7.4867981390824845E-4</c:v>
                </c:pt>
                <c:pt idx="24">
                  <c:v>1.921878651240716E-3</c:v>
                </c:pt>
                <c:pt idx="25">
                  <c:v>3.0841742549712059E-3</c:v>
                </c:pt>
                <c:pt idx="26">
                  <c:v>4.1944478760589377E-3</c:v>
                </c:pt>
                <c:pt idx="27">
                  <c:v>5.2493296338431694E-3</c:v>
                </c:pt>
                <c:pt idx="28">
                  <c:v>6.2047858369864706E-3</c:v>
                </c:pt>
                <c:pt idx="29">
                  <c:v>7.0134532827668128E-3</c:v>
                </c:pt>
                <c:pt idx="30">
                  <c:v>7.6397691623613095E-3</c:v>
                </c:pt>
                <c:pt idx="31">
                  <c:v>8.0633828523617446E-3</c:v>
                </c:pt>
                <c:pt idx="32">
                  <c:v>8.2655052461109157E-3</c:v>
                </c:pt>
                <c:pt idx="33">
                  <c:v>8.2186946999704968E-3</c:v>
                </c:pt>
                <c:pt idx="34">
                  <c:v>7.8926016632896445E-3</c:v>
                </c:pt>
                <c:pt idx="35">
                  <c:v>7.2566425957689695E-3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9.0668805796667584E-11</c:v>
                </c:pt>
                <c:pt idx="1">
                  <c:v>2.1938006966593093E-13</c:v>
                </c:pt>
                <c:pt idx="2">
                  <c:v>5.7013860299548469E-10</c:v>
                </c:pt>
                <c:pt idx="3">
                  <c:v>4.5894221756270781E-10</c:v>
                </c:pt>
                <c:pt idx="4">
                  <c:v>7.737375185001838E-10</c:v>
                </c:pt>
                <c:pt idx="5">
                  <c:v>6.4411853628598692E-10</c:v>
                </c:pt>
                <c:pt idx="6">
                  <c:v>8.7241347479505293E-10</c:v>
                </c:pt>
                <c:pt idx="7">
                  <c:v>-5.7622560196068928E-4</c:v>
                </c:pt>
                <c:pt idx="8">
                  <c:v>-1.8155748009054395E-3</c:v>
                </c:pt>
                <c:pt idx="9">
                  <c:v>-7.4168980761425418E-3</c:v>
                </c:pt>
                <c:pt idx="10">
                  <c:v>-1.3987460894353099E-2</c:v>
                </c:pt>
                <c:pt idx="11">
                  <c:v>-2.1942483822534609E-2</c:v>
                </c:pt>
                <c:pt idx="12">
                  <c:v>-3.0587209453454056E-2</c:v>
                </c:pt>
                <c:pt idx="13">
                  <c:v>-3.966984440547705E-2</c:v>
                </c:pt>
                <c:pt idx="14">
                  <c:v>-4.9106135547856589E-2</c:v>
                </c:pt>
                <c:pt idx="15">
                  <c:v>-5.8612518138455028E-2</c:v>
                </c:pt>
                <c:pt idx="16">
                  <c:v>-6.652503236184848E-2</c:v>
                </c:pt>
                <c:pt idx="17">
                  <c:v>-7.3421903770430674E-2</c:v>
                </c:pt>
                <c:pt idx="18">
                  <c:v>-7.9413906854736926E-2</c:v>
                </c:pt>
                <c:pt idx="19">
                  <c:v>-8.4645271748013728E-2</c:v>
                </c:pt>
                <c:pt idx="20">
                  <c:v>-8.9254445546670946E-2</c:v>
                </c:pt>
                <c:pt idx="21">
                  <c:v>-9.3347564856008369E-2</c:v>
                </c:pt>
                <c:pt idx="22">
                  <c:v>-9.7017029876926175E-2</c:v>
                </c:pt>
                <c:pt idx="23">
                  <c:v>-0.10031339991245924</c:v>
                </c:pt>
                <c:pt idx="24">
                  <c:v>-0.10328632628522338</c:v>
                </c:pt>
                <c:pt idx="25">
                  <c:v>-0.10600575822779823</c:v>
                </c:pt>
                <c:pt idx="26">
                  <c:v>-0.10871450710589314</c:v>
                </c:pt>
                <c:pt idx="27">
                  <c:v>-0.11135386502935929</c:v>
                </c:pt>
                <c:pt idx="28">
                  <c:v>-0.11399652775340308</c:v>
                </c:pt>
                <c:pt idx="29">
                  <c:v>-0.11672986795934148</c:v>
                </c:pt>
                <c:pt idx="30">
                  <c:v>-0.1196584534031081</c:v>
                </c:pt>
                <c:pt idx="31">
                  <c:v>-0.12291683539404596</c:v>
                </c:pt>
                <c:pt idx="32">
                  <c:v>-0.12666436240344459</c:v>
                </c:pt>
                <c:pt idx="33">
                  <c:v>-0.1310603238950766</c:v>
                </c:pt>
                <c:pt idx="34">
                  <c:v>-0.13630082435123747</c:v>
                </c:pt>
                <c:pt idx="35">
                  <c:v>-0.14266517973900583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-1.6491408239005523E-10</c:v>
                </c:pt>
                <c:pt idx="1">
                  <c:v>9.4650065562973396E-11</c:v>
                </c:pt>
                <c:pt idx="2">
                  <c:v>-8.657619066099187E-11</c:v>
                </c:pt>
                <c:pt idx="3">
                  <c:v>-1.8473633733862016E-10</c:v>
                </c:pt>
                <c:pt idx="4">
                  <c:v>-1.1734724303380517E-11</c:v>
                </c:pt>
                <c:pt idx="5">
                  <c:v>-2.7235769195499415E-11</c:v>
                </c:pt>
                <c:pt idx="6">
                  <c:v>2.2445711955754177E-10</c:v>
                </c:pt>
                <c:pt idx="7">
                  <c:v>-2.5523358816769037E-2</c:v>
                </c:pt>
                <c:pt idx="8">
                  <c:v>-5.0402721153334329E-2</c:v>
                </c:pt>
                <c:pt idx="9">
                  <c:v>-7.4965083847395642E-2</c:v>
                </c:pt>
                <c:pt idx="10">
                  <c:v>-9.594770151700871E-2</c:v>
                </c:pt>
                <c:pt idx="11">
                  <c:v>-0.11125617953268074</c:v>
                </c:pt>
                <c:pt idx="12">
                  <c:v>-0.12274947650773904</c:v>
                </c:pt>
                <c:pt idx="13">
                  <c:v>-0.13172362013812244</c:v>
                </c:pt>
                <c:pt idx="14">
                  <c:v>-0.13900798768027012</c:v>
                </c:pt>
                <c:pt idx="15">
                  <c:v>-0.14491239848730952</c:v>
                </c:pt>
                <c:pt idx="16">
                  <c:v>-0.14981200709190046</c:v>
                </c:pt>
                <c:pt idx="17">
                  <c:v>-0.15375233502281371</c:v>
                </c:pt>
                <c:pt idx="18">
                  <c:v>-0.15650163204236545</c:v>
                </c:pt>
                <c:pt idx="19">
                  <c:v>-0.15806555098875785</c:v>
                </c:pt>
                <c:pt idx="20">
                  <c:v>-0.15857380030956281</c:v>
                </c:pt>
                <c:pt idx="21">
                  <c:v>-0.1581534875313646</c:v>
                </c:pt>
                <c:pt idx="22">
                  <c:v>-0.15698515543413483</c:v>
                </c:pt>
                <c:pt idx="23">
                  <c:v>-0.15519491467455737</c:v>
                </c:pt>
                <c:pt idx="24">
                  <c:v>-0.15289979533671016</c:v>
                </c:pt>
                <c:pt idx="25">
                  <c:v>-0.15030054689835393</c:v>
                </c:pt>
                <c:pt idx="26">
                  <c:v>-0.14766970578776262</c:v>
                </c:pt>
                <c:pt idx="27">
                  <c:v>-0.14514526136105743</c:v>
                </c:pt>
                <c:pt idx="28">
                  <c:v>-0.14285886448777241</c:v>
                </c:pt>
                <c:pt idx="29">
                  <c:v>-0.14094814776962583</c:v>
                </c:pt>
                <c:pt idx="30">
                  <c:v>-0.13957050918513292</c:v>
                </c:pt>
                <c:pt idx="31">
                  <c:v>-0.13894338963867825</c:v>
                </c:pt>
                <c:pt idx="32">
                  <c:v>-0.13932349880989203</c:v>
                </c:pt>
                <c:pt idx="33">
                  <c:v>-0.14094080736390557</c:v>
                </c:pt>
                <c:pt idx="34">
                  <c:v>-0.14403257678266401</c:v>
                </c:pt>
                <c:pt idx="35">
                  <c:v>-0.14887126870150802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-2.5946067516713356E-10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1.7857049172675943E-10</c:v>
                      </c:pt>
                      <c:pt idx="6">
                        <c:v>1.755400269587426E-10</c:v>
                      </c:pt>
                      <c:pt idx="7">
                        <c:v>2.0774130723513196E-3</c:v>
                      </c:pt>
                      <c:pt idx="8">
                        <c:v>4.0297355480278796E-3</c:v>
                      </c:pt>
                      <c:pt idx="9">
                        <c:v>2.0177986110267998E-3</c:v>
                      </c:pt>
                      <c:pt idx="10">
                        <c:v>-3.2990443265645819E-4</c:v>
                      </c:pt>
                      <c:pt idx="11">
                        <c:v>-2.2295743448508265E-3</c:v>
                      </c:pt>
                      <c:pt idx="12">
                        <c:v>-3.5128401364743489E-3</c:v>
                      </c:pt>
                      <c:pt idx="13">
                        <c:v>-4.3807414463890026E-3</c:v>
                      </c:pt>
                      <c:pt idx="14">
                        <c:v>-5.1183993573090669E-3</c:v>
                      </c:pt>
                      <c:pt idx="15">
                        <c:v>-5.749994059439989E-3</c:v>
                      </c:pt>
                      <c:pt idx="16">
                        <c:v>-5.9512400416185107E-3</c:v>
                      </c:pt>
                      <c:pt idx="17">
                        <c:v>-5.795471186798351E-3</c:v>
                      </c:pt>
                      <c:pt idx="18">
                        <c:v>-5.3466388823346644E-3</c:v>
                      </c:pt>
                      <c:pt idx="19">
                        <c:v>-4.681467864737332E-3</c:v>
                      </c:pt>
                      <c:pt idx="20">
                        <c:v>-3.8625645196090908E-3</c:v>
                      </c:pt>
                      <c:pt idx="21">
                        <c:v>-2.9373647872934505E-3</c:v>
                      </c:pt>
                      <c:pt idx="22">
                        <c:v>-1.9453015472350454E-3</c:v>
                      </c:pt>
                      <c:pt idx="23">
                        <c:v>-9.1580405143765198E-4</c:v>
                      </c:pt>
                      <c:pt idx="24">
                        <c:v>1.2417478102144663E-4</c:v>
                      </c:pt>
                      <c:pt idx="25">
                        <c:v>1.1576349034629896E-3</c:v>
                      </c:pt>
                      <c:pt idx="26">
                        <c:v>2.1304667698647251E-3</c:v>
                      </c:pt>
                      <c:pt idx="27">
                        <c:v>3.0264769367405187E-3</c:v>
                      </c:pt>
                      <c:pt idx="28">
                        <c:v>3.8121908394139759E-3</c:v>
                      </c:pt>
                      <c:pt idx="29">
                        <c:v>4.4453908371546724E-3</c:v>
                      </c:pt>
                      <c:pt idx="30">
                        <c:v>4.8868566881592468E-3</c:v>
                      </c:pt>
                      <c:pt idx="31">
                        <c:v>5.0962350638616982E-3</c:v>
                      </c:pt>
                      <c:pt idx="32">
                        <c:v>5.0249668242934309E-3</c:v>
                      </c:pt>
                      <c:pt idx="33">
                        <c:v>4.6182300289463463E-3</c:v>
                      </c:pt>
                      <c:pt idx="34">
                        <c:v>3.807009803024064E-3</c:v>
                      </c:pt>
                      <c:pt idx="35">
                        <c:v>2.5027924802123458E-3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-9.781995213842265E-10</c:v>
                </c:pt>
                <c:pt idx="1">
                  <c:v>-1.6322545537406086E-9</c:v>
                </c:pt>
                <c:pt idx="2">
                  <c:v>-2.5084763155547307E-9</c:v>
                </c:pt>
                <c:pt idx="3">
                  <c:v>-3.5662512942735702E-9</c:v>
                </c:pt>
                <c:pt idx="4">
                  <c:v>-4.2774925823607646E-9</c:v>
                </c:pt>
                <c:pt idx="5">
                  <c:v>-4.8530913732136582E-9</c:v>
                </c:pt>
                <c:pt idx="6">
                  <c:v>-5.0397371831323312E-9</c:v>
                </c:pt>
                <c:pt idx="7">
                  <c:v>-1.2040661206176417E-2</c:v>
                </c:pt>
                <c:pt idx="8">
                  <c:v>-2.6287760286413664E-2</c:v>
                </c:pt>
                <c:pt idx="9">
                  <c:v>-3.9522536949380682E-2</c:v>
                </c:pt>
                <c:pt idx="10">
                  <c:v>-5.1539711074923278E-2</c:v>
                </c:pt>
                <c:pt idx="11">
                  <c:v>-6.1100240362597424E-2</c:v>
                </c:pt>
                <c:pt idx="12">
                  <c:v>-6.8840807767731604E-2</c:v>
                </c:pt>
                <c:pt idx="13">
                  <c:v>-7.5127194871501102E-2</c:v>
                </c:pt>
                <c:pt idx="14">
                  <c:v>-8.0178708229813767E-2</c:v>
                </c:pt>
                <c:pt idx="15">
                  <c:v>-8.423941946804081E-2</c:v>
                </c:pt>
                <c:pt idx="16">
                  <c:v>-8.8354348660141024E-2</c:v>
                </c:pt>
                <c:pt idx="17">
                  <c:v>-9.2696784386683939E-2</c:v>
                </c:pt>
                <c:pt idx="18">
                  <c:v>-9.7209717869365386E-2</c:v>
                </c:pt>
                <c:pt idx="19">
                  <c:v>-0.10180332262388192</c:v>
                </c:pt>
                <c:pt idx="20">
                  <c:v>-0.10637615347990848</c:v>
                </c:pt>
                <c:pt idx="21">
                  <c:v>-0.11080199242305344</c:v>
                </c:pt>
                <c:pt idx="22">
                  <c:v>-0.11498227689112972</c:v>
                </c:pt>
                <c:pt idx="23">
                  <c:v>-0.11887517581867724</c:v>
                </c:pt>
                <c:pt idx="24">
                  <c:v>-0.12245814434439839</c:v>
                </c:pt>
                <c:pt idx="25">
                  <c:v>-0.12571346738690081</c:v>
                </c:pt>
                <c:pt idx="26">
                  <c:v>-0.12857731194140742</c:v>
                </c:pt>
                <c:pt idx="27">
                  <c:v>-0.13084512649028068</c:v>
                </c:pt>
                <c:pt idx="28">
                  <c:v>-0.1324771468574456</c:v>
                </c:pt>
                <c:pt idx="29">
                  <c:v>-0.13345445738012651</c:v>
                </c:pt>
                <c:pt idx="30">
                  <c:v>-0.13373301288638428</c:v>
                </c:pt>
                <c:pt idx="31">
                  <c:v>-0.133196445013124</c:v>
                </c:pt>
                <c:pt idx="32">
                  <c:v>-0.131674987015997</c:v>
                </c:pt>
                <c:pt idx="33">
                  <c:v>-0.12899304019040025</c:v>
                </c:pt>
                <c:pt idx="34">
                  <c:v>-0.12490635007636608</c:v>
                </c:pt>
                <c:pt idx="35">
                  <c:v>-0.11902429043640483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0</c:v>
                </c:pt>
                <c:pt idx="1">
                  <c:v>-2.0284141033499736E-10</c:v>
                </c:pt>
                <c:pt idx="2">
                  <c:v>-2.0014057078299174E-10</c:v>
                </c:pt>
                <c:pt idx="3">
                  <c:v>-3.9438152743542787E-10</c:v>
                </c:pt>
                <c:pt idx="4">
                  <c:v>-3.870843645614741E-10</c:v>
                </c:pt>
                <c:pt idx="5">
                  <c:v>-3.7868130853269122E-10</c:v>
                </c:pt>
                <c:pt idx="6">
                  <c:v>-5.5498727835612272E-10</c:v>
                </c:pt>
                <c:pt idx="7">
                  <c:v>-8.4348488652998821E-3</c:v>
                </c:pt>
                <c:pt idx="8">
                  <c:v>-1.9598352729625068E-2</c:v>
                </c:pt>
                <c:pt idx="9">
                  <c:v>-3.1622562543164645E-2</c:v>
                </c:pt>
                <c:pt idx="10">
                  <c:v>-4.279987622095982E-2</c:v>
                </c:pt>
                <c:pt idx="11">
                  <c:v>-5.1526430101819676E-2</c:v>
                </c:pt>
                <c:pt idx="12">
                  <c:v>-5.8173128912904382E-2</c:v>
                </c:pt>
                <c:pt idx="13">
                  <c:v>-6.3183054250740889E-2</c:v>
                </c:pt>
                <c:pt idx="14">
                  <c:v>-6.6898243116184974E-2</c:v>
                </c:pt>
                <c:pt idx="15">
                  <c:v>-6.9562025821546469E-2</c:v>
                </c:pt>
                <c:pt idx="16">
                  <c:v>-7.2152446492872002E-2</c:v>
                </c:pt>
                <c:pt idx="17">
                  <c:v>-7.4835092387642854E-2</c:v>
                </c:pt>
                <c:pt idx="18">
                  <c:v>-7.7575235154434874E-2</c:v>
                </c:pt>
                <c:pt idx="19">
                  <c:v>-8.0267765995621576E-2</c:v>
                </c:pt>
                <c:pt idx="20">
                  <c:v>-8.2783950017573438E-2</c:v>
                </c:pt>
                <c:pt idx="21">
                  <c:v>-8.4989064345253995E-2</c:v>
                </c:pt>
                <c:pt idx="22">
                  <c:v>-8.6767286010946854E-2</c:v>
                </c:pt>
                <c:pt idx="23">
                  <c:v>-8.8036273218123684E-2</c:v>
                </c:pt>
                <c:pt idx="24">
                  <c:v>-8.8724291312171188E-2</c:v>
                </c:pt>
                <c:pt idx="25">
                  <c:v>-8.8757251933267112E-2</c:v>
                </c:pt>
                <c:pt idx="26">
                  <c:v>-8.8026944573041721E-2</c:v>
                </c:pt>
                <c:pt idx="27">
                  <c:v>-8.6409647487341923E-2</c:v>
                </c:pt>
                <c:pt idx="28">
                  <c:v>-8.3811728615377667E-2</c:v>
                </c:pt>
                <c:pt idx="29">
                  <c:v>-8.0147767227608191E-2</c:v>
                </c:pt>
                <c:pt idx="30">
                  <c:v>-7.5303495272487919E-2</c:v>
                </c:pt>
                <c:pt idx="31">
                  <c:v>-6.9108805384346828E-2</c:v>
                </c:pt>
                <c:pt idx="32">
                  <c:v>-6.1341332497791723E-2</c:v>
                </c:pt>
                <c:pt idx="33">
                  <c:v>-5.1732791250007404E-2</c:v>
                </c:pt>
                <c:pt idx="34">
                  <c:v>-3.9921325089762538E-2</c:v>
                </c:pt>
                <c:pt idx="35">
                  <c:v>-2.5392137188359309E-2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-6.853191347744314E-10</c:v>
                </c:pt>
                <c:pt idx="1">
                  <c:v>-1.5642513950808734E-9</c:v>
                </c:pt>
                <c:pt idx="2">
                  <c:v>-2.6254831642091858E-9</c:v>
                </c:pt>
                <c:pt idx="3">
                  <c:v>-3.7509356731746379E-9</c:v>
                </c:pt>
                <c:pt idx="4">
                  <c:v>-4.415789622846944E-9</c:v>
                </c:pt>
                <c:pt idx="5">
                  <c:v>-5.1205470974480249E-9</c:v>
                </c:pt>
                <c:pt idx="6">
                  <c:v>-5.1525028688104157E-9</c:v>
                </c:pt>
                <c:pt idx="7">
                  <c:v>-1.3246767995983122E-2</c:v>
                </c:pt>
                <c:pt idx="8">
                  <c:v>-2.954452517629147E-2</c:v>
                </c:pt>
                <c:pt idx="9">
                  <c:v>-4.5394420976268668E-2</c:v>
                </c:pt>
                <c:pt idx="10">
                  <c:v>-5.9632295125754076E-2</c:v>
                </c:pt>
                <c:pt idx="11">
                  <c:v>-7.083285501974268E-2</c:v>
                </c:pt>
                <c:pt idx="12">
                  <c:v>-7.9725200632651316E-2</c:v>
                </c:pt>
                <c:pt idx="13">
                  <c:v>-8.6828531091986183E-2</c:v>
                </c:pt>
                <c:pt idx="14">
                  <c:v>-9.2479309519143849E-2</c:v>
                </c:pt>
                <c:pt idx="15">
                  <c:v>-9.6984980797935938E-2</c:v>
                </c:pt>
                <c:pt idx="16">
                  <c:v>-0.10146143839408195</c:v>
                </c:pt>
                <c:pt idx="17">
                  <c:v>-0.10622928128135412</c:v>
                </c:pt>
                <c:pt idx="18">
                  <c:v>-0.11123664361190444</c:v>
                </c:pt>
                <c:pt idx="19">
                  <c:v>-0.11638325856656606</c:v>
                </c:pt>
                <c:pt idx="20">
                  <c:v>-0.12155405930655949</c:v>
                </c:pt>
                <c:pt idx="21">
                  <c:v>-0.12661525729075429</c:v>
                </c:pt>
                <c:pt idx="22">
                  <c:v>-0.13145548900124671</c:v>
                </c:pt>
                <c:pt idx="23">
                  <c:v>-0.13602696082124488</c:v>
                </c:pt>
                <c:pt idx="24">
                  <c:v>-0.14030789196278548</c:v>
                </c:pt>
                <c:pt idx="25">
                  <c:v>-0.14427367495528598</c:v>
                </c:pt>
                <c:pt idx="26">
                  <c:v>-0.14791696880912142</c:v>
                </c:pt>
                <c:pt idx="27">
                  <c:v>-0.15095910916193456</c:v>
                </c:pt>
                <c:pt idx="28">
                  <c:v>-0.15333288193186834</c:v>
                </c:pt>
                <c:pt idx="29">
                  <c:v>-0.15500408441552205</c:v>
                </c:pt>
                <c:pt idx="30">
                  <c:v>-0.15590988469699274</c:v>
                </c:pt>
                <c:pt idx="31">
                  <c:v>-0.15590045933890651</c:v>
                </c:pt>
                <c:pt idx="32">
                  <c:v>-0.15475084538875383</c:v>
                </c:pt>
                <c:pt idx="33">
                  <c:v>-0.15220664168593234</c:v>
                </c:pt>
                <c:pt idx="34">
                  <c:v>-0.14791178717071307</c:v>
                </c:pt>
                <c:pt idx="35">
                  <c:v>-0.14130307381941742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7.7467365855454773E-11</c:v>
                </c:pt>
                <c:pt idx="4">
                  <c:v>-8.3254847460523251E-11</c:v>
                </c:pt>
                <c:pt idx="5">
                  <c:v>7.3890005225507593E-11</c:v>
                </c:pt>
                <c:pt idx="6">
                  <c:v>-4.0826486635836545E-10</c:v>
                </c:pt>
                <c:pt idx="7">
                  <c:v>-5.0623641469960123E-4</c:v>
                </c:pt>
                <c:pt idx="8">
                  <c:v>-2.1511903532152044E-3</c:v>
                </c:pt>
                <c:pt idx="9">
                  <c:v>-5.6050334171608984E-3</c:v>
                </c:pt>
                <c:pt idx="10">
                  <c:v>-8.7867752901128471E-3</c:v>
                </c:pt>
                <c:pt idx="11">
                  <c:v>-1.1634917028397473E-2</c:v>
                </c:pt>
                <c:pt idx="12">
                  <c:v>-1.3941415744432195E-2</c:v>
                </c:pt>
                <c:pt idx="13">
                  <c:v>-1.5792842048858557E-2</c:v>
                </c:pt>
                <c:pt idx="14">
                  <c:v>-1.7289055965118427E-2</c:v>
                </c:pt>
                <c:pt idx="15">
                  <c:v>-1.842171925220093E-2</c:v>
                </c:pt>
                <c:pt idx="16">
                  <c:v>-1.9369391152197601E-2</c:v>
                </c:pt>
                <c:pt idx="17">
                  <c:v>-2.0262190109203715E-2</c:v>
                </c:pt>
                <c:pt idx="18">
                  <c:v>-2.1151262587772224E-2</c:v>
                </c:pt>
                <c:pt idx="19">
                  <c:v>-2.2037718582386567E-2</c:v>
                </c:pt>
                <c:pt idx="20">
                  <c:v>-2.2912157681226897E-2</c:v>
                </c:pt>
                <c:pt idx="21">
                  <c:v>-2.3776768599505727E-2</c:v>
                </c:pt>
                <c:pt idx="22">
                  <c:v>-2.4631776747782164E-2</c:v>
                </c:pt>
                <c:pt idx="23">
                  <c:v>-2.542998899309723E-2</c:v>
                </c:pt>
                <c:pt idx="24">
                  <c:v>-2.6118153381625264E-2</c:v>
                </c:pt>
                <c:pt idx="25">
                  <c:v>-2.6661676869948914E-2</c:v>
                </c:pt>
                <c:pt idx="26">
                  <c:v>-2.7121565424234606E-2</c:v>
                </c:pt>
                <c:pt idx="27">
                  <c:v>-2.7577112219909439E-2</c:v>
                </c:pt>
                <c:pt idx="28">
                  <c:v>-2.7979716251757991E-2</c:v>
                </c:pt>
                <c:pt idx="29">
                  <c:v>-2.8260093847713996E-2</c:v>
                </c:pt>
                <c:pt idx="30">
                  <c:v>-2.8348178270907076E-2</c:v>
                </c:pt>
                <c:pt idx="31">
                  <c:v>-2.8222154973353231E-2</c:v>
                </c:pt>
                <c:pt idx="32">
                  <c:v>-2.7871005025400297E-2</c:v>
                </c:pt>
                <c:pt idx="33">
                  <c:v>-2.7214751733926623E-2</c:v>
                </c:pt>
                <c:pt idx="34">
                  <c:v>-2.6138312841955447E-2</c:v>
                </c:pt>
                <c:pt idx="35">
                  <c:v>-2.4483509491501576E-2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-1.7950231301355757E-9</c:v>
                </c:pt>
                <c:pt idx="1">
                  <c:v>-4.4415254807361748E-9</c:v>
                </c:pt>
                <c:pt idx="2">
                  <c:v>-5.7689840682328963E-9</c:v>
                </c:pt>
                <c:pt idx="3">
                  <c:v>-8.7493120526360713E-9</c:v>
                </c:pt>
                <c:pt idx="4">
                  <c:v>-1.0028618269153355E-8</c:v>
                </c:pt>
                <c:pt idx="5">
                  <c:v>-1.1154754009368162E-8</c:v>
                </c:pt>
                <c:pt idx="6">
                  <c:v>-1.1423878287786238E-8</c:v>
                </c:pt>
                <c:pt idx="7">
                  <c:v>-1.5804725639724571E-2</c:v>
                </c:pt>
                <c:pt idx="8">
                  <c:v>-3.3758048254014406E-2</c:v>
                </c:pt>
                <c:pt idx="9">
                  <c:v>-5.1411536048758033E-2</c:v>
                </c:pt>
                <c:pt idx="10">
                  <c:v>-6.7195624531784626E-2</c:v>
                </c:pt>
                <c:pt idx="11">
                  <c:v>-7.9413440087026554E-2</c:v>
                </c:pt>
                <c:pt idx="12">
                  <c:v>-8.8790609507628182E-2</c:v>
                </c:pt>
                <c:pt idx="13">
                  <c:v>-9.5927671219874E-2</c:v>
                </c:pt>
                <c:pt idx="14">
                  <c:v>-0.10128896374119167</c:v>
                </c:pt>
                <c:pt idx="15">
                  <c:v>-0.1052421188016418</c:v>
                </c:pt>
                <c:pt idx="16">
                  <c:v>-0.10932572447343514</c:v>
                </c:pt>
                <c:pt idx="17">
                  <c:v>-0.11357581799813099</c:v>
                </c:pt>
                <c:pt idx="18">
                  <c:v>-0.11794486639883417</c:v>
                </c:pt>
                <c:pt idx="19">
                  <c:v>-0.12233929702125101</c:v>
                </c:pt>
                <c:pt idx="20">
                  <c:v>-0.1266320497528084</c:v>
                </c:pt>
                <c:pt idx="21">
                  <c:v>-0.13066020398932776</c:v>
                </c:pt>
                <c:pt idx="22">
                  <c:v>-0.13428463780928757</c:v>
                </c:pt>
                <c:pt idx="23">
                  <c:v>-0.1374221901931626</c:v>
                </c:pt>
                <c:pt idx="24">
                  <c:v>-0.14000066745396156</c:v>
                </c:pt>
                <c:pt idx="25">
                  <c:v>-0.14194058365978246</c:v>
                </c:pt>
                <c:pt idx="26">
                  <c:v>-0.14304006084622856</c:v>
                </c:pt>
                <c:pt idx="27">
                  <c:v>-0.14307923201691419</c:v>
                </c:pt>
                <c:pt idx="28">
                  <c:v>-0.1419594498020067</c:v>
                </c:pt>
                <c:pt idx="29">
                  <c:v>-0.13958373480734154</c:v>
                </c:pt>
                <c:pt idx="30">
                  <c:v>-0.13580811967686801</c:v>
                </c:pt>
                <c:pt idx="31">
                  <c:v>-0.13038657337238679</c:v>
                </c:pt>
                <c:pt idx="32">
                  <c:v>-0.12298611845493246</c:v>
                </c:pt>
                <c:pt idx="33">
                  <c:v>-0.11322372244304513</c:v>
                </c:pt>
                <c:pt idx="34">
                  <c:v>-0.10056617287958802</c:v>
                </c:pt>
                <c:pt idx="35">
                  <c:v>-8.4199798966631101E-2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0</c:v>
                </c:pt>
                <c:pt idx="1">
                  <c:v>-1.5634950001341963E-9</c:v>
                </c:pt>
                <c:pt idx="2">
                  <c:v>-2.6756763471524891E-9</c:v>
                </c:pt>
                <c:pt idx="3">
                  <c:v>-4.427807231976999E-9</c:v>
                </c:pt>
                <c:pt idx="4">
                  <c:v>-4.7355249721547921E-9</c:v>
                </c:pt>
                <c:pt idx="5">
                  <c:v>-3.967712047803218E-9</c:v>
                </c:pt>
                <c:pt idx="6">
                  <c:v>-3.8103122879107332E-9</c:v>
                </c:pt>
                <c:pt idx="7">
                  <c:v>-7.5050771540925432E-3</c:v>
                </c:pt>
                <c:pt idx="8">
                  <c:v>-1.3695339841878207E-2</c:v>
                </c:pt>
                <c:pt idx="9">
                  <c:v>-1.9800080896986594E-2</c:v>
                </c:pt>
                <c:pt idx="10">
                  <c:v>-2.5924657734355039E-2</c:v>
                </c:pt>
                <c:pt idx="11">
                  <c:v>-3.0417214671688453E-2</c:v>
                </c:pt>
                <c:pt idx="12">
                  <c:v>-3.3901930731230712E-2</c:v>
                </c:pt>
                <c:pt idx="13">
                  <c:v>-3.6529383017222083E-2</c:v>
                </c:pt>
                <c:pt idx="14">
                  <c:v>-3.844387589868925E-2</c:v>
                </c:pt>
                <c:pt idx="15">
                  <c:v>-3.9786841495770164E-2</c:v>
                </c:pt>
                <c:pt idx="16">
                  <c:v>-4.1431366886195309E-2</c:v>
                </c:pt>
                <c:pt idx="17">
                  <c:v>-4.292020200590263E-2</c:v>
                </c:pt>
                <c:pt idx="18">
                  <c:v>-4.42113165513216E-2</c:v>
                </c:pt>
                <c:pt idx="19">
                  <c:v>-4.519630261205454E-2</c:v>
                </c:pt>
                <c:pt idx="20">
                  <c:v>-4.5765643599061656E-2</c:v>
                </c:pt>
                <c:pt idx="21">
                  <c:v>-4.58128515016899E-2</c:v>
                </c:pt>
                <c:pt idx="22">
                  <c:v>-4.5346429644714914E-2</c:v>
                </c:pt>
                <c:pt idx="23">
                  <c:v>-4.4411186510405321E-2</c:v>
                </c:pt>
                <c:pt idx="24">
                  <c:v>-4.3032398724484722E-2</c:v>
                </c:pt>
                <c:pt idx="25">
                  <c:v>-4.1253513146570553E-2</c:v>
                </c:pt>
                <c:pt idx="26">
                  <c:v>-3.9007506306571682E-2</c:v>
                </c:pt>
                <c:pt idx="27">
                  <c:v>-3.6259934019903794E-2</c:v>
                </c:pt>
                <c:pt idx="28">
                  <c:v>-3.309477678467454E-2</c:v>
                </c:pt>
                <c:pt idx="29">
                  <c:v>-2.958735050610295E-2</c:v>
                </c:pt>
                <c:pt idx="30">
                  <c:v>-2.577089565690216E-2</c:v>
                </c:pt>
                <c:pt idx="31">
                  <c:v>-2.1613679809324715E-2</c:v>
                </c:pt>
                <c:pt idx="32">
                  <c:v>-1.704485325576599E-2</c:v>
                </c:pt>
                <c:pt idx="33">
                  <c:v>-1.2030995058184168E-2</c:v>
                </c:pt>
                <c:pt idx="34">
                  <c:v>-6.5215663334196039E-3</c:v>
                </c:pt>
                <c:pt idx="35">
                  <c:v>-4.1035100747888187E-4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-2.3546802285778767E-9</c:v>
                </c:pt>
                <c:pt idx="2">
                  <c:v>-3.7939592578695169E-9</c:v>
                </c:pt>
                <c:pt idx="3">
                  <c:v>-6.288194076553566E-9</c:v>
                </c:pt>
                <c:pt idx="4">
                  <c:v>-6.7805383530128438E-9</c:v>
                </c:pt>
                <c:pt idx="5">
                  <c:v>-6.2728864325123368E-9</c:v>
                </c:pt>
                <c:pt idx="6">
                  <c:v>-5.818138193447453E-9</c:v>
                </c:pt>
                <c:pt idx="7">
                  <c:v>-1.0139454064042264E-2</c:v>
                </c:pt>
                <c:pt idx="8">
                  <c:v>-1.8107447710365876E-2</c:v>
                </c:pt>
                <c:pt idx="9">
                  <c:v>-2.536581912259761E-2</c:v>
                </c:pt>
                <c:pt idx="10">
                  <c:v>-3.2105456587906089E-2</c:v>
                </c:pt>
                <c:pt idx="11">
                  <c:v>-3.6556979929700972E-2</c:v>
                </c:pt>
                <c:pt idx="12">
                  <c:v>-3.9610544973886386E-2</c:v>
                </c:pt>
                <c:pt idx="13">
                  <c:v>-4.1537490709489755E-2</c:v>
                </c:pt>
                <c:pt idx="14">
                  <c:v>-4.2572162934999769E-2</c:v>
                </c:pt>
                <c:pt idx="15">
                  <c:v>-4.291772950342021E-2</c:v>
                </c:pt>
                <c:pt idx="16">
                  <c:v>-4.3622436447598223E-2</c:v>
                </c:pt>
                <c:pt idx="17">
                  <c:v>-4.4091377577350044E-2</c:v>
                </c:pt>
                <c:pt idx="18">
                  <c:v>-4.4295087703826619E-2</c:v>
                </c:pt>
                <c:pt idx="19">
                  <c:v>-4.4080972839885435E-2</c:v>
                </c:pt>
                <c:pt idx="20">
                  <c:v>-4.3290117718080556E-2</c:v>
                </c:pt>
                <c:pt idx="21">
                  <c:v>-4.1790145980677762E-2</c:v>
                </c:pt>
                <c:pt idx="22">
                  <c:v>-3.9607012749687032E-2</c:v>
                </c:pt>
                <c:pt idx="23">
                  <c:v>-3.6800356473540075E-2</c:v>
                </c:pt>
                <c:pt idx="24">
                  <c:v>-3.3395867239983779E-2</c:v>
                </c:pt>
                <c:pt idx="25">
                  <c:v>-2.9436694305022271E-2</c:v>
                </c:pt>
                <c:pt idx="26">
                  <c:v>-2.4856686675272965E-2</c:v>
                </c:pt>
                <c:pt idx="27">
                  <c:v>-1.9605570824215435E-2</c:v>
                </c:pt>
                <c:pt idx="28">
                  <c:v>-1.3764592310593571E-2</c:v>
                </c:pt>
                <c:pt idx="29">
                  <c:v>-7.4075870384882059E-3</c:v>
                </c:pt>
                <c:pt idx="30">
                  <c:v>-5.5628549432884533E-4</c:v>
                </c:pt>
                <c:pt idx="31">
                  <c:v>6.845644349078972E-3</c:v>
                </c:pt>
                <c:pt idx="32">
                  <c:v>1.491719877287867E-2</c:v>
                </c:pt>
                <c:pt idx="33">
                  <c:v>2.3740736528329753E-2</c:v>
                </c:pt>
                <c:pt idx="34">
                  <c:v>3.34240074193628E-2</c:v>
                </c:pt>
                <c:pt idx="35">
                  <c:v>4.4157408209301474E-2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-7.8511130929825867E-10</c:v>
                </c:pt>
                <c:pt idx="4">
                  <c:v>-7.6664330439513151E-10</c:v>
                </c:pt>
                <c:pt idx="5">
                  <c:v>0</c:v>
                </c:pt>
                <c:pt idx="6">
                  <c:v>0</c:v>
                </c:pt>
                <c:pt idx="7">
                  <c:v>-2.5783544455211249E-3</c:v>
                </c:pt>
                <c:pt idx="8">
                  <c:v>-5.5695575437545441E-3</c:v>
                </c:pt>
                <c:pt idx="9">
                  <c:v>-9.7083910582835831E-3</c:v>
                </c:pt>
                <c:pt idx="10">
                  <c:v>-1.4886257523597068E-2</c:v>
                </c:pt>
                <c:pt idx="11">
                  <c:v>-1.9615669188288054E-2</c:v>
                </c:pt>
                <c:pt idx="12">
                  <c:v>-2.4003037723096865E-2</c:v>
                </c:pt>
                <c:pt idx="13">
                  <c:v>-2.7962461558287521E-2</c:v>
                </c:pt>
                <c:pt idx="14">
                  <c:v>-3.1470490537011786E-2</c:v>
                </c:pt>
                <c:pt idx="15">
                  <c:v>-3.4559363464507387E-2</c:v>
                </c:pt>
                <c:pt idx="16">
                  <c:v>-3.7806404430489327E-2</c:v>
                </c:pt>
                <c:pt idx="17">
                  <c:v>-4.0997849587031232E-2</c:v>
                </c:pt>
                <c:pt idx="18">
                  <c:v>-4.4074785232856128E-2</c:v>
                </c:pt>
                <c:pt idx="19">
                  <c:v>-4.700216681545144E-2</c:v>
                </c:pt>
                <c:pt idx="20">
                  <c:v>-4.9747473085938076E-2</c:v>
                </c:pt>
                <c:pt idx="21">
                  <c:v>-5.2242528201958183E-2</c:v>
                </c:pt>
                <c:pt idx="22">
                  <c:v>-5.4462379732636346E-2</c:v>
                </c:pt>
                <c:pt idx="23">
                  <c:v>-5.6421629826195363E-2</c:v>
                </c:pt>
                <c:pt idx="24">
                  <c:v>-5.8137307417981066E-2</c:v>
                </c:pt>
                <c:pt idx="25">
                  <c:v>-5.9631147032289777E-2</c:v>
                </c:pt>
                <c:pt idx="26">
                  <c:v>-6.0838821912741925E-2</c:v>
                </c:pt>
                <c:pt idx="27">
                  <c:v>-6.1740374133479436E-2</c:v>
                </c:pt>
                <c:pt idx="28">
                  <c:v>-6.2412362666407706E-2</c:v>
                </c:pt>
                <c:pt idx="29">
                  <c:v>-6.2920238739164192E-2</c:v>
                </c:pt>
                <c:pt idx="30">
                  <c:v>-6.3303116912520108E-2</c:v>
                </c:pt>
                <c:pt idx="31">
                  <c:v>-6.3555451712167033E-2</c:v>
                </c:pt>
                <c:pt idx="32">
                  <c:v>-6.3665675223794405E-2</c:v>
                </c:pt>
                <c:pt idx="33">
                  <c:v>-6.3660251466213569E-2</c:v>
                </c:pt>
                <c:pt idx="34">
                  <c:v>-6.3560281857786283E-2</c:v>
                </c:pt>
                <c:pt idx="35">
                  <c:v>-6.3368887901984028E-2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-9.5766192375477607E-3</c:v>
                </c:pt>
                <c:pt idx="1">
                  <c:v>-1.7940002872791776E-2</c:v>
                </c:pt>
                <c:pt idx="2">
                  <c:v>-1.3984206689368244E-2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-2.5821740335133089E-3</c:v>
                </c:pt>
                <c:pt idx="1">
                  <c:v>1.2162093249207398E-3</c:v>
                </c:pt>
                <c:pt idx="2">
                  <c:v>4.2139935154273236E-2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-9.3490898906635443E-3</c:v>
                </c:pt>
                <c:pt idx="1">
                  <c:v>-1.8258626769405598E-2</c:v>
                </c:pt>
                <c:pt idx="2">
                  <c:v>1.1386664856456301E-2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4.1275584509177796E-3</c:v>
                </c:pt>
                <c:pt idx="1">
                  <c:v>3.0327594006176353E-3</c:v>
                </c:pt>
                <c:pt idx="2">
                  <c:v>1.0432149364573432E-2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-5.1662786163996548E-2</c:v>
                </c:pt>
                <c:pt idx="1">
                  <c:v>-0.22262406447910524</c:v>
                </c:pt>
                <c:pt idx="2">
                  <c:v>-0.69747321184246758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1.1660351021252275E-3</c:v>
                </c:pt>
                <c:pt idx="1">
                  <c:v>-2.5418083224565289E-3</c:v>
                </c:pt>
                <c:pt idx="2">
                  <c:v>3.4290012179466365E-3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-0.51617519270258361</c:v>
                      </c:pt>
                      <c:pt idx="1">
                        <c:v>-1.3002178391800465</c:v>
                      </c:pt>
                      <c:pt idx="2">
                        <c:v>-2.3004726017554593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-9.5766192375477122E-3</c:v>
                </c:pt>
                <c:pt idx="1">
                  <c:v>-1.7940002872791738E-2</c:v>
                </c:pt>
                <c:pt idx="2">
                  <c:v>-1.3984206689368284E-2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-2.5821740335133514E-3</c:v>
                </c:pt>
                <c:pt idx="1">
                  <c:v>1.2162093249208361E-3</c:v>
                </c:pt>
                <c:pt idx="2">
                  <c:v>4.2139935154273278E-2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-9.34908989066352E-3</c:v>
                </c:pt>
                <c:pt idx="1">
                  <c:v>-1.8258626769405595E-2</c:v>
                </c:pt>
                <c:pt idx="2">
                  <c:v>1.138666485645623E-2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4.1275584509177232E-3</c:v>
                </c:pt>
                <c:pt idx="1">
                  <c:v>3.0327594006176462E-3</c:v>
                </c:pt>
                <c:pt idx="2">
                  <c:v>1.0432149364573373E-2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-0.51617519270258372</c:v>
                </c:pt>
                <c:pt idx="1">
                  <c:v>-1.3002178391800465</c:v>
                </c:pt>
                <c:pt idx="2">
                  <c:v>-2.3004726017554589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-5.1662786163996555E-2</c:v>
                </c:pt>
                <c:pt idx="1">
                  <c:v>-0.22262406447910521</c:v>
                </c:pt>
                <c:pt idx="2">
                  <c:v>-0.69747321184246758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-1.4819118600651339E-2</c:v>
                </c:pt>
                <c:pt idx="1">
                  <c:v>5.6657555486015277E-3</c:v>
                </c:pt>
                <c:pt idx="2">
                  <c:v>-1.8793873990925018E-2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-9.6170933609474735E-3</c:v>
                </c:pt>
                <c:pt idx="1">
                  <c:v>-1.5160031108021662E-2</c:v>
                </c:pt>
                <c:pt idx="2">
                  <c:v>2.5108052085904126E-2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-2.5826625329219309E-3</c:v>
                </c:pt>
                <c:pt idx="1">
                  <c:v>-9.9376967256784021E-3</c:v>
                </c:pt>
                <c:pt idx="2">
                  <c:v>2.9209809265647646E-2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3.427256486618038E-3</c:v>
                </c:pt>
                <c:pt idx="1">
                  <c:v>-2.6922253700217497E-3</c:v>
                </c:pt>
                <c:pt idx="2">
                  <c:v>9.6840077743842057E-3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-0.17544384437022317</c:v>
                </c:pt>
                <c:pt idx="1">
                  <c:v>3.900042177913537E-3</c:v>
                </c:pt>
                <c:pt idx="2">
                  <c:v>-0.57287103603592571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1.9382545794627626</c:v>
                </c:pt>
                <c:pt idx="1">
                  <c:v>-0.19361280623250368</c:v>
                </c:pt>
                <c:pt idx="2">
                  <c:v>8.2071375614775448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0.31515544413316182</c:v>
                </c:pt>
                <c:pt idx="1">
                  <c:v>2.1795356261786165</c:v>
                </c:pt>
                <c:pt idx="2">
                  <c:v>2.5494156787876894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4.7447852683232096E-3</c:v>
                </c:pt>
                <c:pt idx="1">
                  <c:v>0</c:v>
                </c:pt>
                <c:pt idx="2">
                  <c:v>5.2294627706811175E-2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-1.4819118600651326E-2</c:v>
                </c:pt>
                <c:pt idx="1">
                  <c:v>-2.5335091735669724E-2</c:v>
                </c:pt>
                <c:pt idx="2">
                  <c:v>-1.8793873990925025E-2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-9.6170933609475151E-3</c:v>
                </c:pt>
                <c:pt idx="1">
                  <c:v>-1.081624028142858E-2</c:v>
                </c:pt>
                <c:pt idx="2">
                  <c:v>2.5108052085904164E-2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-2.5826625329219421E-3</c:v>
                </c:pt>
                <c:pt idx="1">
                  <c:v>-8.7409501741139151E-3</c:v>
                </c:pt>
                <c:pt idx="2">
                  <c:v>2.9209809265647646E-2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3.4272564866180133E-3</c:v>
                </c:pt>
                <c:pt idx="1">
                  <c:v>1.8274915801688163E-3</c:v>
                </c:pt>
                <c:pt idx="2">
                  <c:v>9.6840077743842734E-3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-0.1754438443702232</c:v>
                </c:pt>
                <c:pt idx="1">
                  <c:v>-0.37206265284805717</c:v>
                </c:pt>
                <c:pt idx="2">
                  <c:v>-0.57287103603592571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0.31515544413316188</c:v>
                </c:pt>
                <c:pt idx="1">
                  <c:v>0.90992240392356538</c:v>
                </c:pt>
                <c:pt idx="2">
                  <c:v>2.5494156787876894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tabSelected="1"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6_00-40-39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3854147.423</v>
          </cell>
          <cell r="C2">
            <v>3927337.4589999998</v>
          </cell>
          <cell r="D2">
            <v>4010722.3360000001</v>
          </cell>
          <cell r="E2">
            <v>4101858.5010000002</v>
          </cell>
          <cell r="F2">
            <v>4199189.9859999996</v>
          </cell>
          <cell r="G2">
            <v>4302073.5089999996</v>
          </cell>
          <cell r="H2">
            <v>4407189.8020000001</v>
          </cell>
          <cell r="I2">
            <v>4504009.9780000001</v>
          </cell>
          <cell r="J2">
            <v>4601592.9519999996</v>
          </cell>
          <cell r="K2">
            <v>4719279.9910000004</v>
          </cell>
          <cell r="L2">
            <v>4840709.5990000004</v>
          </cell>
          <cell r="M2">
            <v>4948046.6459999997</v>
          </cell>
          <cell r="N2">
            <v>5044055.2369999997</v>
          </cell>
          <cell r="O2">
            <v>5131810.67</v>
          </cell>
          <cell r="P2">
            <v>5215457.085</v>
          </cell>
          <cell r="Q2">
            <v>5297784.2609999999</v>
          </cell>
          <cell r="R2">
            <v>5380628.5949999997</v>
          </cell>
          <cell r="S2">
            <v>5466930.3499999996</v>
          </cell>
          <cell r="T2">
            <v>5558772.5899999999</v>
          </cell>
          <cell r="U2">
            <v>5657570.8210000005</v>
          </cell>
          <cell r="V2">
            <v>5762713.665</v>
          </cell>
          <cell r="W2">
            <v>5878230.4040000001</v>
          </cell>
          <cell r="X2">
            <v>6004611.6469999999</v>
          </cell>
          <cell r="Y2">
            <v>6142770.5219999999</v>
          </cell>
          <cell r="Z2">
            <v>6293085.1960000005</v>
          </cell>
          <cell r="AA2">
            <v>6450413.3770000003</v>
          </cell>
          <cell r="AB2">
            <v>6621530.0640000002</v>
          </cell>
          <cell r="AC2">
            <v>6806436.5439999998</v>
          </cell>
          <cell r="AD2">
            <v>7005982.1320000002</v>
          </cell>
          <cell r="AE2">
            <v>7219842.9800000004</v>
          </cell>
          <cell r="AF2">
            <v>7447069.9910000004</v>
          </cell>
          <cell r="AG2">
            <v>7686940.0250000004</v>
          </cell>
          <cell r="AH2">
            <v>7939162.1509999996</v>
          </cell>
          <cell r="AI2">
            <v>8203698.9280000003</v>
          </cell>
          <cell r="AJ2">
            <v>8480806.3910000008</v>
          </cell>
          <cell r="AK2">
            <v>8771109.7469999995</v>
          </cell>
        </row>
        <row r="3">
          <cell r="B3">
            <v>3854147.4219999998</v>
          </cell>
          <cell r="C3">
            <v>3927337.4589999998</v>
          </cell>
          <cell r="D3">
            <v>4010722.3360000001</v>
          </cell>
          <cell r="E3">
            <v>4101858.5010000002</v>
          </cell>
          <cell r="F3">
            <v>4199189.9859999996</v>
          </cell>
          <cell r="G3">
            <v>4302073.5089999996</v>
          </cell>
          <cell r="H3">
            <v>4407189.8020000001</v>
          </cell>
          <cell r="I3">
            <v>4514440.6339999996</v>
          </cell>
          <cell r="J3">
            <v>4623653.5549999997</v>
          </cell>
          <cell r="K3">
            <v>4734956.5630000001</v>
          </cell>
          <cell r="L3">
            <v>4847453.0980000002</v>
          </cell>
          <cell r="M3">
            <v>4946723.4019999998</v>
          </cell>
          <cell r="N3">
            <v>5036497.2369999997</v>
          </cell>
          <cell r="O3">
            <v>5118994.0789999999</v>
          </cell>
          <cell r="P3">
            <v>5196892.9189999998</v>
          </cell>
          <cell r="Q3">
            <v>5272766.1179999998</v>
          </cell>
          <cell r="R3">
            <v>5350315.0180000002</v>
          </cell>
          <cell r="S3">
            <v>5432262.3219999997</v>
          </cell>
          <cell r="T3">
            <v>5520452.0149999997</v>
          </cell>
          <cell r="U3">
            <v>5615908.8320000004</v>
          </cell>
          <cell r="V3">
            <v>5717644.8080000002</v>
          </cell>
          <cell r="W3">
            <v>5829300.5899999999</v>
          </cell>
          <cell r="X3">
            <v>5950996.443</v>
          </cell>
          <cell r="Y3">
            <v>6083273.8779999996</v>
          </cell>
          <cell r="Z3">
            <v>6226102.0049999999</v>
          </cell>
          <cell r="AA3">
            <v>6374011.1799999997</v>
          </cell>
          <cell r="AB3">
            <v>6533031.1739999996</v>
          </cell>
          <cell r="AC3">
            <v>6702715.0180000002</v>
          </cell>
          <cell r="AD3">
            <v>6883288.4139999999</v>
          </cell>
          <cell r="AE3">
            <v>7073681.3830000004</v>
          </cell>
          <cell r="AF3">
            <v>7272144.2240000004</v>
          </cell>
          <cell r="AG3">
            <v>7477064.1890000002</v>
          </cell>
          <cell r="AH3">
            <v>7687103.0980000002</v>
          </cell>
          <cell r="AI3">
            <v>7900992.8940000003</v>
          </cell>
          <cell r="AJ3">
            <v>8117465.7300000004</v>
          </cell>
          <cell r="AK3">
            <v>8335222.3949999996</v>
          </cell>
        </row>
        <row r="4">
          <cell r="B4">
            <v>81750.877269999997</v>
          </cell>
          <cell r="C4">
            <v>83131.761599999998</v>
          </cell>
          <cell r="D4">
            <v>84767.590400000001</v>
          </cell>
          <cell r="E4">
            <v>86645.611260000005</v>
          </cell>
          <cell r="F4">
            <v>88718.642900000006</v>
          </cell>
          <cell r="G4">
            <v>90968.79178</v>
          </cell>
          <cell r="H4">
            <v>93315.56035</v>
          </cell>
          <cell r="I4">
            <v>95356.522010000001</v>
          </cell>
          <cell r="J4">
            <v>97344.938980000006</v>
          </cell>
          <cell r="K4">
            <v>99757.996950000001</v>
          </cell>
          <cell r="L4">
            <v>102175.0753</v>
          </cell>
          <cell r="M4">
            <v>104223.23269999999</v>
          </cell>
          <cell r="N4">
            <v>105969.93610000001</v>
          </cell>
          <cell r="O4">
            <v>107493.5414</v>
          </cell>
          <cell r="P4">
            <v>108889.3429</v>
          </cell>
          <cell r="Q4">
            <v>110219.5582</v>
          </cell>
          <cell r="R4">
            <v>111562.5542</v>
          </cell>
          <cell r="S4">
            <v>112954.55349999999</v>
          </cell>
          <cell r="T4">
            <v>114443.97930000001</v>
          </cell>
          <cell r="U4">
            <v>116066.5012</v>
          </cell>
          <cell r="V4">
            <v>117827.9423</v>
          </cell>
          <cell r="W4">
            <v>119788.2801</v>
          </cell>
          <cell r="X4">
            <v>121978.8876</v>
          </cell>
          <cell r="Y4">
            <v>124421.3167</v>
          </cell>
          <cell r="Z4">
            <v>127122.56299999999</v>
          </cell>
          <cell r="AA4">
            <v>130011.5708</v>
          </cell>
          <cell r="AB4">
            <v>133133.10800000001</v>
          </cell>
          <cell r="AC4">
            <v>136537.53080000001</v>
          </cell>
          <cell r="AD4">
            <v>140242.1888</v>
          </cell>
          <cell r="AE4">
            <v>144231.84340000001</v>
          </cell>
          <cell r="AF4">
            <v>148472.20009999999</v>
          </cell>
          <cell r="AG4">
            <v>152929.23689999999</v>
          </cell>
          <cell r="AH4">
            <v>157573.80619999999</v>
          </cell>
          <cell r="AI4">
            <v>162377.481</v>
          </cell>
          <cell r="AJ4">
            <v>167311.50140000001</v>
          </cell>
          <cell r="AK4">
            <v>172345.829</v>
          </cell>
        </row>
        <row r="5">
          <cell r="B5">
            <v>81750.877269999997</v>
          </cell>
          <cell r="C5">
            <v>83131.761599999998</v>
          </cell>
          <cell r="D5">
            <v>84767.590400000001</v>
          </cell>
          <cell r="E5">
            <v>86645.611260000005</v>
          </cell>
          <cell r="F5">
            <v>88718.642900000006</v>
          </cell>
          <cell r="G5">
            <v>90968.79178</v>
          </cell>
          <cell r="H5">
            <v>93315.56035</v>
          </cell>
          <cell r="I5">
            <v>95726.324040000007</v>
          </cell>
          <cell r="J5">
            <v>98182.218959999998</v>
          </cell>
          <cell r="K5">
            <v>100676.41220000001</v>
          </cell>
          <cell r="L5">
            <v>103149.95909999999</v>
          </cell>
          <cell r="M5">
            <v>105281.296</v>
          </cell>
          <cell r="N5">
            <v>107136.2188</v>
          </cell>
          <cell r="O5">
            <v>108765.6611</v>
          </cell>
          <cell r="P5">
            <v>110235.3199</v>
          </cell>
          <cell r="Q5">
            <v>111611.6059</v>
          </cell>
          <cell r="R5">
            <v>112994.2821</v>
          </cell>
          <cell r="S5">
            <v>114460.1826</v>
          </cell>
          <cell r="T5">
            <v>116063.10430000001</v>
          </cell>
          <cell r="U5">
            <v>117834.19010000001</v>
          </cell>
          <cell r="V5">
            <v>119772.49129999999</v>
          </cell>
          <cell r="W5">
            <v>121931.5338</v>
          </cell>
          <cell r="X5">
            <v>124336.3775</v>
          </cell>
          <cell r="Y5">
            <v>127002.09209999999</v>
          </cell>
          <cell r="Z5">
            <v>129928.7086</v>
          </cell>
          <cell r="AA5">
            <v>133039.4615</v>
          </cell>
          <cell r="AB5">
            <v>136397.4736</v>
          </cell>
          <cell r="AC5">
            <v>140024.14739999999</v>
          </cell>
          <cell r="AD5">
            <v>143926.35699999999</v>
          </cell>
          <cell r="AE5">
            <v>148076.5877</v>
          </cell>
          <cell r="AF5">
            <v>152428.72870000001</v>
          </cell>
          <cell r="AG5">
            <v>156938.77189999999</v>
          </cell>
          <cell r="AH5">
            <v>161568.36960000001</v>
          </cell>
          <cell r="AI5">
            <v>166279.995</v>
          </cell>
          <cell r="AJ5">
            <v>171035.76869999999</v>
          </cell>
          <cell r="AK5">
            <v>175797.1827</v>
          </cell>
        </row>
        <row r="6">
          <cell r="B6">
            <v>6533.6203150000001</v>
          </cell>
          <cell r="C6">
            <v>6491.1755450000001</v>
          </cell>
          <cell r="D6">
            <v>6458.0132080000003</v>
          </cell>
          <cell r="E6">
            <v>6427.2304770000001</v>
          </cell>
          <cell r="F6">
            <v>6429.7878659999997</v>
          </cell>
          <cell r="G6">
            <v>6451.2930299999998</v>
          </cell>
          <cell r="H6">
            <v>6482.7440200000001</v>
          </cell>
          <cell r="I6">
            <v>6418.3256869999996</v>
          </cell>
          <cell r="J6">
            <v>6367.2693289999997</v>
          </cell>
          <cell r="K6">
            <v>6350.9323860000004</v>
          </cell>
          <cell r="L6">
            <v>6347.4086500000003</v>
          </cell>
          <cell r="M6">
            <v>6359.0866249999999</v>
          </cell>
          <cell r="N6">
            <v>6373.2419360000004</v>
          </cell>
          <cell r="O6">
            <v>6387.0222249999997</v>
          </cell>
          <cell r="P6">
            <v>6402.3061209999996</v>
          </cell>
          <cell r="Q6">
            <v>6420.5138440000001</v>
          </cell>
          <cell r="R6">
            <v>6420.4612090000001</v>
          </cell>
          <cell r="S6">
            <v>6420.7450589999999</v>
          </cell>
          <cell r="T6">
            <v>6426.0580950000003</v>
          </cell>
          <cell r="U6">
            <v>6438.5241050000004</v>
          </cell>
          <cell r="V6">
            <v>6457.6117039999999</v>
          </cell>
          <cell r="W6">
            <v>6486.8624730000001</v>
          </cell>
          <cell r="X6">
            <v>6526.716402</v>
          </cell>
          <cell r="Y6">
            <v>6577.4676799999997</v>
          </cell>
          <cell r="Z6">
            <v>6639.2034080000003</v>
          </cell>
          <cell r="AA6">
            <v>6707.461534</v>
          </cell>
          <cell r="AB6">
            <v>6792.1571080000003</v>
          </cell>
          <cell r="AC6">
            <v>6890.9863699999996</v>
          </cell>
          <cell r="AD6">
            <v>7004.581193</v>
          </cell>
          <cell r="AE6">
            <v>7132.6100509999997</v>
          </cell>
          <cell r="AF6">
            <v>7274.5478730000004</v>
          </cell>
          <cell r="AG6">
            <v>7430.566785</v>
          </cell>
          <cell r="AH6">
            <v>7601.5773589999999</v>
          </cell>
          <cell r="AI6">
            <v>7788.9352330000002</v>
          </cell>
          <cell r="AJ6">
            <v>7994.5967479999999</v>
          </cell>
          <cell r="AK6">
            <v>8221.2834980000007</v>
          </cell>
        </row>
        <row r="7">
          <cell r="B7">
            <v>6533.6203150000001</v>
          </cell>
          <cell r="C7">
            <v>6491.1755450000001</v>
          </cell>
          <cell r="D7">
            <v>6458.0132080000003</v>
          </cell>
          <cell r="E7">
            <v>6427.2304770000001</v>
          </cell>
          <cell r="F7">
            <v>6429.7878659999997</v>
          </cell>
          <cell r="G7">
            <v>6451.2930299999998</v>
          </cell>
          <cell r="H7">
            <v>6482.7440200000001</v>
          </cell>
          <cell r="I7">
            <v>6519.630134</v>
          </cell>
          <cell r="J7">
            <v>6560.7631149999997</v>
          </cell>
          <cell r="K7">
            <v>6605.1266670000005</v>
          </cell>
          <cell r="L7">
            <v>6652.1613459999999</v>
          </cell>
          <cell r="M7">
            <v>6688.2064899999996</v>
          </cell>
          <cell r="N7">
            <v>6716.8762809999998</v>
          </cell>
          <cell r="O7">
            <v>6740.6409400000002</v>
          </cell>
          <cell r="P7">
            <v>6761.9811479999998</v>
          </cell>
          <cell r="Q7">
            <v>6782.9693969999998</v>
          </cell>
          <cell r="R7">
            <v>6804.8925230000004</v>
          </cell>
          <cell r="S7">
            <v>6829.7866240000003</v>
          </cell>
          <cell r="T7">
            <v>6859.4817780000003</v>
          </cell>
          <cell r="U7">
            <v>6894.6693299999997</v>
          </cell>
          <cell r="V7">
            <v>6933.8710950000004</v>
          </cell>
          <cell r="W7">
            <v>6980.4465270000001</v>
          </cell>
          <cell r="X7">
            <v>7034.3910230000001</v>
          </cell>
          <cell r="Y7">
            <v>7095.6615069999998</v>
          </cell>
          <cell r="Z7">
            <v>7163.8507220000001</v>
          </cell>
          <cell r="AA7">
            <v>7233.3965609999996</v>
          </cell>
          <cell r="AB7">
            <v>7310.2012020000002</v>
          </cell>
          <cell r="AC7">
            <v>7394.5873019999999</v>
          </cell>
          <cell r="AD7">
            <v>7486.4019360000002</v>
          </cell>
          <cell r="AE7">
            <v>7584.3948909999999</v>
          </cell>
          <cell r="AF7">
            <v>7686.9201670000002</v>
          </cell>
          <cell r="AG7">
            <v>7792.6603139999997</v>
          </cell>
          <cell r="AH7">
            <v>7900.552686</v>
          </cell>
          <cell r="AI7">
            <v>8009.7023550000004</v>
          </cell>
          <cell r="AJ7">
            <v>8119.2840990000004</v>
          </cell>
          <cell r="AK7">
            <v>8228.4850079999997</v>
          </cell>
        </row>
        <row r="8">
          <cell r="B8">
            <v>157700.0429</v>
          </cell>
          <cell r="C8">
            <v>160492.0344</v>
          </cell>
          <cell r="D8">
            <v>163750.66680000001</v>
          </cell>
          <cell r="E8">
            <v>167485.8964</v>
          </cell>
          <cell r="F8">
            <v>171576.7046</v>
          </cell>
          <cell r="G8">
            <v>175989.5533</v>
          </cell>
          <cell r="H8">
            <v>180559.2279</v>
          </cell>
          <cell r="I8">
            <v>184766.6727</v>
          </cell>
          <cell r="J8">
            <v>188920.7432</v>
          </cell>
          <cell r="K8">
            <v>193760.1495</v>
          </cell>
          <cell r="L8">
            <v>198704.71040000001</v>
          </cell>
          <cell r="M8">
            <v>203078.0062</v>
          </cell>
          <cell r="N8">
            <v>206964.23259999999</v>
          </cell>
          <cell r="O8">
            <v>210442.899</v>
          </cell>
          <cell r="P8">
            <v>213635.80439999999</v>
          </cell>
          <cell r="Q8">
            <v>216636.02660000001</v>
          </cell>
          <cell r="R8">
            <v>219598.5226</v>
          </cell>
          <cell r="S8">
            <v>222588.32769999999</v>
          </cell>
          <cell r="T8">
            <v>225692.90289999999</v>
          </cell>
          <cell r="U8">
            <v>228981.99549999999</v>
          </cell>
          <cell r="V8">
            <v>232455.38589999999</v>
          </cell>
          <cell r="W8">
            <v>236250.22200000001</v>
          </cell>
          <cell r="X8">
            <v>240419.93350000001</v>
          </cell>
          <cell r="Y8">
            <v>245010.15030000001</v>
          </cell>
          <cell r="Z8">
            <v>250042.31700000001</v>
          </cell>
          <cell r="AA8">
            <v>255348.1519</v>
          </cell>
          <cell r="AB8">
            <v>261046.5276</v>
          </cell>
          <cell r="AC8">
            <v>267225.32339999999</v>
          </cell>
          <cell r="AD8">
            <v>273921.30290000001</v>
          </cell>
          <cell r="AE8">
            <v>281124.07890000002</v>
          </cell>
          <cell r="AF8">
            <v>288787.1862</v>
          </cell>
          <cell r="AG8">
            <v>296853.26049999997</v>
          </cell>
          <cell r="AH8">
            <v>305265.75660000002</v>
          </cell>
          <cell r="AI8">
            <v>313970.2144</v>
          </cell>
          <cell r="AJ8">
            <v>322910.766</v>
          </cell>
          <cell r="AK8">
            <v>332028.0086</v>
          </cell>
        </row>
        <row r="9">
          <cell r="B9">
            <v>157700.0429</v>
          </cell>
          <cell r="C9">
            <v>160492.0344</v>
          </cell>
          <cell r="D9">
            <v>163750.66680000001</v>
          </cell>
          <cell r="E9">
            <v>167485.8964</v>
          </cell>
          <cell r="F9">
            <v>171576.7046</v>
          </cell>
          <cell r="G9">
            <v>175989.5533</v>
          </cell>
          <cell r="H9">
            <v>180559.2279</v>
          </cell>
          <cell r="I9">
            <v>185241.83119999999</v>
          </cell>
          <cell r="J9">
            <v>190009.62710000001</v>
          </cell>
          <cell r="K9">
            <v>194853.97719999999</v>
          </cell>
          <cell r="L9">
            <v>199710.25440000001</v>
          </cell>
          <cell r="M9">
            <v>204021.02359999999</v>
          </cell>
          <cell r="N9">
            <v>207866.67679999999</v>
          </cell>
          <cell r="O9">
            <v>211302.95019999999</v>
          </cell>
          <cell r="P9">
            <v>214420.68309999999</v>
          </cell>
          <cell r="Q9">
            <v>217324.22380000001</v>
          </cell>
          <cell r="R9">
            <v>220194.23989999999</v>
          </cell>
          <cell r="S9">
            <v>223163.451</v>
          </cell>
          <cell r="T9">
            <v>226328.46249999999</v>
          </cell>
          <cell r="U9">
            <v>229751.54800000001</v>
          </cell>
          <cell r="V9">
            <v>233423.0528</v>
          </cell>
          <cell r="W9">
            <v>237472.64139999999</v>
          </cell>
          <cell r="X9">
            <v>241946.03270000001</v>
          </cell>
          <cell r="Y9">
            <v>246877.89180000001</v>
          </cell>
          <cell r="Z9">
            <v>252277.4197</v>
          </cell>
          <cell r="AA9">
            <v>257968.37469999999</v>
          </cell>
          <cell r="AB9">
            <v>264117.57160000002</v>
          </cell>
          <cell r="AC9">
            <v>270758.73249999998</v>
          </cell>
          <cell r="AD9">
            <v>277911.22090000001</v>
          </cell>
          <cell r="AE9">
            <v>285541.2733</v>
          </cell>
          <cell r="AF9">
            <v>293580.59519999998</v>
          </cell>
          <cell r="AG9">
            <v>301957.26909999998</v>
          </cell>
          <cell r="AH9">
            <v>310602.77169999998</v>
          </cell>
          <cell r="AI9">
            <v>319446.4228</v>
          </cell>
          <cell r="AJ9">
            <v>328414.96769999998</v>
          </cell>
          <cell r="AK9">
            <v>337432.89909999998</v>
          </cell>
        </row>
        <row r="10">
          <cell r="B10">
            <v>125571.2019</v>
          </cell>
          <cell r="C10">
            <v>130066.54919999999</v>
          </cell>
          <cell r="D10">
            <v>134915.465</v>
          </cell>
          <cell r="E10">
            <v>139689.19500000001</v>
          </cell>
          <cell r="F10">
            <v>144411.11360000001</v>
          </cell>
          <cell r="G10">
            <v>149048.1703</v>
          </cell>
          <cell r="H10">
            <v>153522.09220000001</v>
          </cell>
          <cell r="I10">
            <v>156207.44020000001</v>
          </cell>
          <cell r="J10">
            <v>158892.89920000001</v>
          </cell>
          <cell r="K10">
            <v>163390.5668</v>
          </cell>
          <cell r="L10">
            <v>167505.2824</v>
          </cell>
          <cell r="M10">
            <v>170290.77059999999</v>
          </cell>
          <cell r="N10">
            <v>172172.76209999999</v>
          </cell>
          <cell r="O10">
            <v>173592.11670000001</v>
          </cell>
          <cell r="P10">
            <v>175009.23300000001</v>
          </cell>
          <cell r="Q10">
            <v>176654.5436</v>
          </cell>
          <cell r="R10">
            <v>178362.48300000001</v>
          </cell>
          <cell r="S10">
            <v>180448.0428</v>
          </cell>
          <cell r="T10">
            <v>182996.24400000001</v>
          </cell>
          <cell r="U10">
            <v>186021.4063</v>
          </cell>
          <cell r="V10">
            <v>189520.8487</v>
          </cell>
          <cell r="W10">
            <v>193528.76</v>
          </cell>
          <cell r="X10">
            <v>198074.24110000001</v>
          </cell>
          <cell r="Y10">
            <v>203162.81659999999</v>
          </cell>
          <cell r="Z10">
            <v>208762.7041</v>
          </cell>
          <cell r="AA10">
            <v>214808.18229999999</v>
          </cell>
          <cell r="AB10">
            <v>221502.035</v>
          </cell>
          <cell r="AC10">
            <v>228727.88449999999</v>
          </cell>
          <cell r="AD10">
            <v>236462.4454</v>
          </cell>
          <cell r="AE10">
            <v>244576.8934</v>
          </cell>
          <cell r="AF10">
            <v>252917.64189999999</v>
          </cell>
          <cell r="AG10">
            <v>261375.73300000001</v>
          </cell>
          <cell r="AH10">
            <v>269883.63929999998</v>
          </cell>
          <cell r="AI10">
            <v>278391.86700000003</v>
          </cell>
          <cell r="AJ10">
            <v>286858.71220000001</v>
          </cell>
          <cell r="AK10">
            <v>295242.46669999999</v>
          </cell>
        </row>
        <row r="11">
          <cell r="B11">
            <v>125571.2019</v>
          </cell>
          <cell r="C11">
            <v>130066.54919999999</v>
          </cell>
          <cell r="D11">
            <v>134915.465</v>
          </cell>
          <cell r="E11">
            <v>139689.19500000001</v>
          </cell>
          <cell r="F11">
            <v>144411.11360000001</v>
          </cell>
          <cell r="G11">
            <v>149048.1703</v>
          </cell>
          <cell r="H11">
            <v>153522.09229999999</v>
          </cell>
          <cell r="I11">
            <v>157880.71549999999</v>
          </cell>
          <cell r="J11">
            <v>162212.12520000001</v>
          </cell>
          <cell r="K11">
            <v>166587.2262</v>
          </cell>
          <cell r="L11">
            <v>170756.6972</v>
          </cell>
          <cell r="M11">
            <v>173812.5595</v>
          </cell>
          <cell r="N11">
            <v>176245.86439999999</v>
          </cell>
          <cell r="O11">
            <v>178344.8922</v>
          </cell>
          <cell r="P11">
            <v>180373.36979999999</v>
          </cell>
          <cell r="Q11">
            <v>182524.7378</v>
          </cell>
          <cell r="R11">
            <v>185022.1808</v>
          </cell>
          <cell r="S11">
            <v>187971.70569999999</v>
          </cell>
          <cell r="T11">
            <v>191409.8708</v>
          </cell>
          <cell r="U11">
            <v>195324.34479999999</v>
          </cell>
          <cell r="V11">
            <v>199699.13080000001</v>
          </cell>
          <cell r="W11">
            <v>204562.57389999999</v>
          </cell>
          <cell r="X11">
            <v>209943.31820000001</v>
          </cell>
          <cell r="Y11">
            <v>215841.37580000001</v>
          </cell>
          <cell r="Z11">
            <v>222213.58600000001</v>
          </cell>
          <cell r="AA11">
            <v>228983.079</v>
          </cell>
          <cell r="AB11">
            <v>236200.88860000001</v>
          </cell>
          <cell r="AC11">
            <v>243903.24780000001</v>
          </cell>
          <cell r="AD11">
            <v>252073.18119999999</v>
          </cell>
          <cell r="AE11">
            <v>260576.9069</v>
          </cell>
          <cell r="AF11">
            <v>269254.79460000002</v>
          </cell>
          <cell r="AG11">
            <v>278000.15370000002</v>
          </cell>
          <cell r="AH11">
            <v>286756.51730000001</v>
          </cell>
          <cell r="AI11">
            <v>295485.64500000002</v>
          </cell>
          <cell r="AJ11">
            <v>304155.56349999999</v>
          </cell>
          <cell r="AK11">
            <v>312734.6299</v>
          </cell>
        </row>
        <row r="12">
          <cell r="B12">
            <v>22090.314689999999</v>
          </cell>
          <cell r="C12">
            <v>22495.312119999999</v>
          </cell>
          <cell r="D12">
            <v>22953.87789</v>
          </cell>
          <cell r="E12">
            <v>23449.427619999999</v>
          </cell>
          <cell r="F12">
            <v>23989.108329999999</v>
          </cell>
          <cell r="G12">
            <v>24574.071670000001</v>
          </cell>
          <cell r="H12">
            <v>25187.945179999999</v>
          </cell>
          <cell r="I12">
            <v>25658.676319999999</v>
          </cell>
          <cell r="J12">
            <v>26089.172190000001</v>
          </cell>
          <cell r="K12">
            <v>26598.96429</v>
          </cell>
          <cell r="L12">
            <v>27106.992770000001</v>
          </cell>
          <cell r="M12">
            <v>27557.16216</v>
          </cell>
          <cell r="N12">
            <v>27965.262490000001</v>
          </cell>
          <cell r="O12">
            <v>28351.304349999999</v>
          </cell>
          <cell r="P12">
            <v>28738.50662</v>
          </cell>
          <cell r="Q12">
            <v>29141.29392</v>
          </cell>
          <cell r="R12">
            <v>29568.472750000001</v>
          </cell>
          <cell r="S12">
            <v>30022.37573</v>
          </cell>
          <cell r="T12">
            <v>30515.112529999999</v>
          </cell>
          <cell r="U12">
            <v>31056.118640000001</v>
          </cell>
          <cell r="V12">
            <v>31647.90855</v>
          </cell>
          <cell r="W12">
            <v>32305.04235</v>
          </cell>
          <cell r="X12">
            <v>33035.381580000001</v>
          </cell>
          <cell r="Y12">
            <v>33843.832600000002</v>
          </cell>
          <cell r="Z12">
            <v>34732.166290000001</v>
          </cell>
          <cell r="AA12">
            <v>35684.083290000002</v>
          </cell>
          <cell r="AB12">
            <v>36708.602039999998</v>
          </cell>
          <cell r="AC12">
            <v>37820.5792</v>
          </cell>
          <cell r="AD12">
            <v>39023.253270000001</v>
          </cell>
          <cell r="AE12">
            <v>40313.778789999997</v>
          </cell>
          <cell r="AF12">
            <v>41686.912900000003</v>
          </cell>
          <cell r="AG12">
            <v>43140.089209999998</v>
          </cell>
          <cell r="AH12">
            <v>44673.743130000003</v>
          </cell>
          <cell r="AI12">
            <v>46288.961089999997</v>
          </cell>
          <cell r="AJ12">
            <v>47988.620269999999</v>
          </cell>
          <cell r="AK12">
            <v>49778.007859999998</v>
          </cell>
        </row>
        <row r="13">
          <cell r="B13">
            <v>22090.314689999999</v>
          </cell>
          <cell r="C13">
            <v>22495.312119999999</v>
          </cell>
          <cell r="D13">
            <v>22953.87789</v>
          </cell>
          <cell r="E13">
            <v>23449.427629999998</v>
          </cell>
          <cell r="F13">
            <v>23989.108339999999</v>
          </cell>
          <cell r="G13">
            <v>24574.071680000001</v>
          </cell>
          <cell r="H13">
            <v>25187.945189999999</v>
          </cell>
          <cell r="I13">
            <v>25822.686610000001</v>
          </cell>
          <cell r="J13">
            <v>26475.163189999999</v>
          </cell>
          <cell r="K13">
            <v>27145.379010000001</v>
          </cell>
          <cell r="L13">
            <v>27820.689350000001</v>
          </cell>
          <cell r="M13">
            <v>28425.98905</v>
          </cell>
          <cell r="N13">
            <v>28979.341329999999</v>
          </cell>
          <cell r="O13">
            <v>29496.430209999999</v>
          </cell>
          <cell r="P13">
            <v>29995.85643</v>
          </cell>
          <cell r="Q13">
            <v>30494.750339999999</v>
          </cell>
          <cell r="R13">
            <v>31017.51741</v>
          </cell>
          <cell r="S13">
            <v>31582.840179999999</v>
          </cell>
          <cell r="T13">
            <v>32202.971430000001</v>
          </cell>
          <cell r="U13">
            <v>32883.862240000002</v>
          </cell>
          <cell r="V13">
            <v>33623.309820000002</v>
          </cell>
          <cell r="W13">
            <v>34431.28456</v>
          </cell>
          <cell r="X13">
            <v>35311.645510000002</v>
          </cell>
          <cell r="Y13">
            <v>36266.200470000003</v>
          </cell>
          <cell r="Z13">
            <v>37293.331169999998</v>
          </cell>
          <cell r="AA13">
            <v>38372.649660000003</v>
          </cell>
          <cell r="AB13">
            <v>39516.044159999998</v>
          </cell>
          <cell r="AC13">
            <v>40726.517760000002</v>
          </cell>
          <cell r="AD13">
            <v>42004.338159999999</v>
          </cell>
          <cell r="AE13">
            <v>43341.830909999997</v>
          </cell>
          <cell r="AF13">
            <v>44727.65309</v>
          </cell>
          <cell r="AG13">
            <v>46151.855609999999</v>
          </cell>
          <cell r="AH13">
            <v>47606.677250000001</v>
          </cell>
          <cell r="AI13">
            <v>49085.142070000002</v>
          </cell>
          <cell r="AJ13">
            <v>50580.461280000003</v>
          </cell>
          <cell r="AK13">
            <v>52085.71918</v>
          </cell>
        </row>
        <row r="14">
          <cell r="B14">
            <v>16306.072099999999</v>
          </cell>
          <cell r="C14">
            <v>16670.622520000001</v>
          </cell>
          <cell r="D14">
            <v>17070.171180000001</v>
          </cell>
          <cell r="E14">
            <v>17496.529600000002</v>
          </cell>
          <cell r="F14">
            <v>17946.204580000001</v>
          </cell>
          <cell r="G14">
            <v>18417.79595</v>
          </cell>
          <cell r="H14">
            <v>18898.21991</v>
          </cell>
          <cell r="I14">
            <v>19287.477490000001</v>
          </cell>
          <cell r="J14">
            <v>19669.023840000002</v>
          </cell>
          <cell r="K14">
            <v>20178.435679999999</v>
          </cell>
          <cell r="L14">
            <v>20665.733189999999</v>
          </cell>
          <cell r="M14">
            <v>21032.881700000002</v>
          </cell>
          <cell r="N14">
            <v>21308.29391</v>
          </cell>
          <cell r="O14">
            <v>21524.658810000001</v>
          </cell>
          <cell r="P14">
            <v>21717.24581</v>
          </cell>
          <cell r="Q14">
            <v>21906.377919999999</v>
          </cell>
          <cell r="R14">
            <v>22098.394560000001</v>
          </cell>
          <cell r="S14">
            <v>22313.62686</v>
          </cell>
          <cell r="T14">
            <v>22563.161909999999</v>
          </cell>
          <cell r="U14">
            <v>22853.383000000002</v>
          </cell>
          <cell r="V14">
            <v>23185.783350000002</v>
          </cell>
          <cell r="W14">
            <v>23570.98647</v>
          </cell>
          <cell r="X14">
            <v>24014.431390000002</v>
          </cell>
          <cell r="Y14">
            <v>24518.793150000001</v>
          </cell>
          <cell r="Z14">
            <v>25083.258140000002</v>
          </cell>
          <cell r="AA14">
            <v>25694.94269</v>
          </cell>
          <cell r="AB14">
            <v>26367.581969999999</v>
          </cell>
          <cell r="AC14">
            <v>27105.844539999998</v>
          </cell>
          <cell r="AD14">
            <v>27909.574229999998</v>
          </cell>
          <cell r="AE14">
            <v>28769.42152</v>
          </cell>
          <cell r="AF14">
            <v>29672.705870000002</v>
          </cell>
          <cell r="AG14">
            <v>30609.74596</v>
          </cell>
          <cell r="AH14">
            <v>31573.8704</v>
          </cell>
          <cell r="AI14">
            <v>32558.483069999998</v>
          </cell>
          <cell r="AJ14">
            <v>33557.225939999997</v>
          </cell>
          <cell r="AK14">
            <v>34563.960520000001</v>
          </cell>
        </row>
        <row r="15">
          <cell r="B15">
            <v>16306.072099999999</v>
          </cell>
          <cell r="C15">
            <v>16670.622520000001</v>
          </cell>
          <cell r="D15">
            <v>17070.171190000001</v>
          </cell>
          <cell r="E15">
            <v>17496.529600000002</v>
          </cell>
          <cell r="F15">
            <v>17946.204580000001</v>
          </cell>
          <cell r="G15">
            <v>18417.795959999999</v>
          </cell>
          <cell r="H15">
            <v>18898.21992</v>
          </cell>
          <cell r="I15">
            <v>19383.256880000001</v>
          </cell>
          <cell r="J15">
            <v>19871.121060000001</v>
          </cell>
          <cell r="K15">
            <v>20361.925459999999</v>
          </cell>
          <cell r="L15">
            <v>20836.700690000001</v>
          </cell>
          <cell r="M15">
            <v>21213.764429999999</v>
          </cell>
          <cell r="N15">
            <v>21523.64632</v>
          </cell>
          <cell r="O15">
            <v>21786.698629999999</v>
          </cell>
          <cell r="P15">
            <v>22024.281760000002</v>
          </cell>
          <cell r="Q15">
            <v>22254.777249999999</v>
          </cell>
          <cell r="R15">
            <v>22500.409329999999</v>
          </cell>
          <cell r="S15">
            <v>22777.33122</v>
          </cell>
          <cell r="T15">
            <v>23096.106690000001</v>
          </cell>
          <cell r="U15">
            <v>23461.784049999998</v>
          </cell>
          <cell r="V15">
            <v>23874.29795</v>
          </cell>
          <cell r="W15">
            <v>24342.543280000002</v>
          </cell>
          <cell r="X15">
            <v>24870.452020000001</v>
          </cell>
          <cell r="Y15">
            <v>25459.71372</v>
          </cell>
          <cell r="Z15">
            <v>26108.37687</v>
          </cell>
          <cell r="AA15">
            <v>26802.286660000002</v>
          </cell>
          <cell r="AB15">
            <v>27552.234420000001</v>
          </cell>
          <cell r="AC15">
            <v>28360.584910000001</v>
          </cell>
          <cell r="AD15">
            <v>29226.058969999998</v>
          </cell>
          <cell r="AE15">
            <v>30137.72251</v>
          </cell>
          <cell r="AF15">
            <v>31081.183929999999</v>
          </cell>
          <cell r="AG15">
            <v>32044.682000000001</v>
          </cell>
          <cell r="AH15">
            <v>33019.511039999998</v>
          </cell>
          <cell r="AI15">
            <v>33998.11479</v>
          </cell>
          <cell r="AJ15">
            <v>34973.460019999999</v>
          </cell>
          <cell r="AK15">
            <v>35938.789620000003</v>
          </cell>
        </row>
        <row r="16">
          <cell r="B16">
            <v>86967.448350000006</v>
          </cell>
          <cell r="C16">
            <v>89285.318809999997</v>
          </cell>
          <cell r="D16">
            <v>91730.7117</v>
          </cell>
          <cell r="E16">
            <v>94268.223119999995</v>
          </cell>
          <cell r="F16">
            <v>96901.423039999994</v>
          </cell>
          <cell r="G16">
            <v>99635.451530000006</v>
          </cell>
          <cell r="H16">
            <v>102398.5649</v>
          </cell>
          <cell r="I16">
            <v>104318.75900000001</v>
          </cell>
          <cell r="J16">
            <v>106202.3613</v>
          </cell>
          <cell r="K16">
            <v>108914.933</v>
          </cell>
          <cell r="L16">
            <v>111396.09269999999</v>
          </cell>
          <cell r="M16">
            <v>113052.9607</v>
          </cell>
          <cell r="N16">
            <v>114105.8615</v>
          </cell>
          <cell r="O16">
            <v>114791.9241</v>
          </cell>
          <cell r="P16">
            <v>115354.28780000001</v>
          </cell>
          <cell r="Q16">
            <v>115922.9203</v>
          </cell>
          <cell r="R16">
            <v>116638.01390000001</v>
          </cell>
          <cell r="S16">
            <v>117546.932</v>
          </cell>
          <cell r="T16">
            <v>118712.78909999999</v>
          </cell>
          <cell r="U16">
            <v>120159.9702</v>
          </cell>
          <cell r="V16">
            <v>121893.0555</v>
          </cell>
          <cell r="W16">
            <v>123952.8092</v>
          </cell>
          <cell r="X16">
            <v>126362.8527</v>
          </cell>
          <cell r="Y16">
            <v>129127.3141</v>
          </cell>
          <cell r="Z16">
            <v>132228.05309999999</v>
          </cell>
          <cell r="AA16">
            <v>135607.75380000001</v>
          </cell>
          <cell r="AB16">
            <v>139308.4031</v>
          </cell>
          <cell r="AC16">
            <v>143388.42129999999</v>
          </cell>
          <cell r="AD16">
            <v>147840.44680000001</v>
          </cell>
          <cell r="AE16">
            <v>152592.44579999999</v>
          </cell>
          <cell r="AF16">
            <v>157554.9454</v>
          </cell>
          <cell r="AG16">
            <v>162668.78649999999</v>
          </cell>
          <cell r="AH16">
            <v>167899.8168</v>
          </cell>
          <cell r="AI16">
            <v>173209.4915</v>
          </cell>
          <cell r="AJ16">
            <v>178558.4137</v>
          </cell>
          <cell r="AK16">
            <v>183907.09789999999</v>
          </cell>
        </row>
        <row r="17">
          <cell r="B17">
            <v>86967.448350000006</v>
          </cell>
          <cell r="C17">
            <v>89285.31882</v>
          </cell>
          <cell r="D17">
            <v>91730.711710000003</v>
          </cell>
          <cell r="E17">
            <v>94268.223140000002</v>
          </cell>
          <cell r="F17">
            <v>96901.423070000004</v>
          </cell>
          <cell r="G17">
            <v>99635.451560000001</v>
          </cell>
          <cell r="H17">
            <v>102398.565</v>
          </cell>
          <cell r="I17">
            <v>105157.4859</v>
          </cell>
          <cell r="J17">
            <v>107896.3864</v>
          </cell>
          <cell r="K17">
            <v>110616.33259999999</v>
          </cell>
          <cell r="L17">
            <v>113167.60769999999</v>
          </cell>
          <cell r="M17">
            <v>115013.6314</v>
          </cell>
          <cell r="N17">
            <v>116416.40300000001</v>
          </cell>
          <cell r="O17">
            <v>117531.77220000001</v>
          </cell>
          <cell r="P17">
            <v>118511.7133</v>
          </cell>
          <cell r="Q17">
            <v>119477.799</v>
          </cell>
          <cell r="R17">
            <v>120579.3498</v>
          </cell>
          <cell r="S17">
            <v>121924.8423</v>
          </cell>
          <cell r="T17">
            <v>123578.6308</v>
          </cell>
          <cell r="U17">
            <v>125562.3104</v>
          </cell>
          <cell r="V17">
            <v>127874.94869999999</v>
          </cell>
          <cell r="W17">
            <v>130546.8515</v>
          </cell>
          <cell r="X17">
            <v>133592.63579999999</v>
          </cell>
          <cell r="Y17">
            <v>137014.12710000001</v>
          </cell>
          <cell r="Z17">
            <v>140790.5203</v>
          </cell>
          <cell r="AA17">
            <v>144860.68799999999</v>
          </cell>
          <cell r="AB17">
            <v>149269.03409999999</v>
          </cell>
          <cell r="AC17">
            <v>154027.72260000001</v>
          </cell>
          <cell r="AD17">
            <v>159125.6661</v>
          </cell>
          <cell r="AE17">
            <v>164485.33259999999</v>
          </cell>
          <cell r="AF17">
            <v>170010.1875</v>
          </cell>
          <cell r="AG17">
            <v>175626.82019999999</v>
          </cell>
          <cell r="AH17">
            <v>181285.13690000001</v>
          </cell>
          <cell r="AI17">
            <v>186943.27849999999</v>
          </cell>
          <cell r="AJ17">
            <v>192562.78109999999</v>
          </cell>
          <cell r="AK17">
            <v>198106.60219999999</v>
          </cell>
        </row>
        <row r="18">
          <cell r="B18">
            <v>29077.376339999999</v>
          </cell>
          <cell r="C18">
            <v>29813.867590000002</v>
          </cell>
          <cell r="D18">
            <v>30610.356039999999</v>
          </cell>
          <cell r="E18">
            <v>31443.725910000001</v>
          </cell>
          <cell r="F18">
            <v>32309.598139999998</v>
          </cell>
          <cell r="G18">
            <v>33206.263200000001</v>
          </cell>
          <cell r="H18">
            <v>34118.338159999999</v>
          </cell>
          <cell r="I18">
            <v>34823.622770000002</v>
          </cell>
          <cell r="J18">
            <v>35528.806149999997</v>
          </cell>
          <cell r="K18">
            <v>36513.350420000002</v>
          </cell>
          <cell r="L18">
            <v>37441.236550000001</v>
          </cell>
          <cell r="M18">
            <v>38111.660309999999</v>
          </cell>
          <cell r="N18">
            <v>38585.858990000001</v>
          </cell>
          <cell r="O18">
            <v>38939.689019999998</v>
          </cell>
          <cell r="P18">
            <v>39253.782249999997</v>
          </cell>
          <cell r="Q18">
            <v>39573.91848</v>
          </cell>
          <cell r="R18">
            <v>39910.870009999999</v>
          </cell>
          <cell r="S18">
            <v>40305.819779999998</v>
          </cell>
          <cell r="T18">
            <v>40781.193570000003</v>
          </cell>
          <cell r="U18">
            <v>41348.64071</v>
          </cell>
          <cell r="V18">
            <v>42013.631280000001</v>
          </cell>
          <cell r="W18">
            <v>42790.783600000002</v>
          </cell>
          <cell r="X18">
            <v>43691.522210000003</v>
          </cell>
          <cell r="Y18">
            <v>44720.683169999997</v>
          </cell>
          <cell r="Z18">
            <v>45876.04926</v>
          </cell>
          <cell r="AA18">
            <v>47141.91876</v>
          </cell>
          <cell r="AB18">
            <v>48534.35325</v>
          </cell>
          <cell r="AC18">
            <v>50063.914470000003</v>
          </cell>
          <cell r="AD18">
            <v>51729.327949999999</v>
          </cell>
          <cell r="AE18">
            <v>53510.017399999997</v>
          </cell>
          <cell r="AF18">
            <v>55379.473330000001</v>
          </cell>
          <cell r="AG18">
            <v>57318.57157</v>
          </cell>
          <cell r="AH18">
            <v>59315.331539999999</v>
          </cell>
          <cell r="AI18">
            <v>61358.877240000002</v>
          </cell>
          <cell r="AJ18">
            <v>63439.655079999997</v>
          </cell>
          <cell r="AK18">
            <v>65549.597710000002</v>
          </cell>
        </row>
        <row r="19">
          <cell r="B19">
            <v>29077.376339999999</v>
          </cell>
          <cell r="C19">
            <v>29813.867590000002</v>
          </cell>
          <cell r="D19">
            <v>30610.356039999999</v>
          </cell>
          <cell r="E19">
            <v>31443.725910000001</v>
          </cell>
          <cell r="F19">
            <v>32309.598139999998</v>
          </cell>
          <cell r="G19">
            <v>33206.263209999997</v>
          </cell>
          <cell r="H19">
            <v>34118.338170000003</v>
          </cell>
          <cell r="I19">
            <v>35039.707990000003</v>
          </cell>
          <cell r="J19">
            <v>35968.27059</v>
          </cell>
          <cell r="K19">
            <v>36904.525240000003</v>
          </cell>
          <cell r="L19">
            <v>37802.232649999998</v>
          </cell>
          <cell r="M19">
            <v>38497.079089999999</v>
          </cell>
          <cell r="N19">
            <v>39057.135370000004</v>
          </cell>
          <cell r="O19">
            <v>39528.374620000002</v>
          </cell>
          <cell r="P19">
            <v>39957.173470000002</v>
          </cell>
          <cell r="Q19">
            <v>40381.855340000002</v>
          </cell>
          <cell r="R19">
            <v>40842.098700000002</v>
          </cell>
          <cell r="S19">
            <v>41369.108079999998</v>
          </cell>
          <cell r="T19">
            <v>41983.974049999997</v>
          </cell>
          <cell r="U19">
            <v>42696.675450000002</v>
          </cell>
          <cell r="V19">
            <v>43510.652759999997</v>
          </cell>
          <cell r="W19">
            <v>44437.698109999998</v>
          </cell>
          <cell r="X19">
            <v>45486.694799999997</v>
          </cell>
          <cell r="Y19">
            <v>46660.448049999999</v>
          </cell>
          <cell r="Z19">
            <v>47953.971790000003</v>
          </cell>
          <cell r="AA19">
            <v>49348.480819999997</v>
          </cell>
          <cell r="AB19">
            <v>50853.745000000003</v>
          </cell>
          <cell r="AC19">
            <v>52475.37601</v>
          </cell>
          <cell r="AD19">
            <v>54209.54393</v>
          </cell>
          <cell r="AE19">
            <v>56031.565779999997</v>
          </cell>
          <cell r="AF19">
            <v>57910.142910000002</v>
          </cell>
          <cell r="AG19">
            <v>59820.613680000002</v>
          </cell>
          <cell r="AH19">
            <v>61745.594590000001</v>
          </cell>
          <cell r="AI19">
            <v>63670.571969999997</v>
          </cell>
          <cell r="AJ19">
            <v>65582.360220000002</v>
          </cell>
          <cell r="AK19">
            <v>67468.476339999994</v>
          </cell>
        </row>
        <row r="20">
          <cell r="B20">
            <v>80205.785529999994</v>
          </cell>
          <cell r="C20">
            <v>82184.94743</v>
          </cell>
          <cell r="D20">
            <v>84347.647010000001</v>
          </cell>
          <cell r="E20">
            <v>86596.701449999993</v>
          </cell>
          <cell r="F20">
            <v>88938.382110000006</v>
          </cell>
          <cell r="G20">
            <v>91373.790439999997</v>
          </cell>
          <cell r="H20">
            <v>93861.214080000005</v>
          </cell>
          <cell r="I20">
            <v>95654.631789999999</v>
          </cell>
          <cell r="J20">
            <v>97405.715760000006</v>
          </cell>
          <cell r="K20">
            <v>99881.239060000007</v>
          </cell>
          <cell r="L20">
            <v>102231.71580000001</v>
          </cell>
          <cell r="M20">
            <v>103950.9872</v>
          </cell>
          <cell r="N20">
            <v>105182.6449</v>
          </cell>
          <cell r="O20">
            <v>106126.05869999999</v>
          </cell>
          <cell r="P20">
            <v>106994.93859999999</v>
          </cell>
          <cell r="Q20">
            <v>107909.7669</v>
          </cell>
          <cell r="R20">
            <v>108915.5186</v>
          </cell>
          <cell r="S20">
            <v>110093.61659999999</v>
          </cell>
          <cell r="T20">
            <v>111502.32120000001</v>
          </cell>
          <cell r="U20">
            <v>113170.20759999999</v>
          </cell>
          <cell r="V20">
            <v>115110.32369999999</v>
          </cell>
          <cell r="W20">
            <v>117359.5012</v>
          </cell>
          <cell r="X20">
            <v>119947.6942</v>
          </cell>
          <cell r="Y20">
            <v>122884.65730000001</v>
          </cell>
          <cell r="Z20">
            <v>126160.8322</v>
          </cell>
          <cell r="AA20">
            <v>129733.23450000001</v>
          </cell>
          <cell r="AB20">
            <v>133630.87299999999</v>
          </cell>
          <cell r="AC20">
            <v>137901.56409999999</v>
          </cell>
          <cell r="AD20">
            <v>142539.54120000001</v>
          </cell>
          <cell r="AE20">
            <v>147487.26269999999</v>
          </cell>
          <cell r="AF20">
            <v>152673.00169999999</v>
          </cell>
          <cell r="AG20">
            <v>158050.37349999999</v>
          </cell>
          <cell r="AH20">
            <v>163595.6844</v>
          </cell>
          <cell r="AI20">
            <v>169285.4173</v>
          </cell>
          <cell r="AJ20">
            <v>175099.5099</v>
          </cell>
          <cell r="AK20">
            <v>181022.57620000001</v>
          </cell>
        </row>
        <row r="21">
          <cell r="B21">
            <v>80205.785529999994</v>
          </cell>
          <cell r="C21">
            <v>82184.94743</v>
          </cell>
          <cell r="D21">
            <v>84347.647020000004</v>
          </cell>
          <cell r="E21">
            <v>86596.701459999997</v>
          </cell>
          <cell r="F21">
            <v>88938.382129999998</v>
          </cell>
          <cell r="G21">
            <v>91373.790470000007</v>
          </cell>
          <cell r="H21">
            <v>93861.214110000001</v>
          </cell>
          <cell r="I21">
            <v>96381.158309999999</v>
          </cell>
          <cell r="J21">
            <v>98928.985990000001</v>
          </cell>
          <cell r="K21">
            <v>101508.4752</v>
          </cell>
          <cell r="L21">
            <v>103994.1424</v>
          </cell>
          <cell r="M21">
            <v>105940.9871</v>
          </cell>
          <cell r="N21">
            <v>107533.7666</v>
          </cell>
          <cell r="O21">
            <v>108905.25260000001</v>
          </cell>
          <cell r="P21">
            <v>110187.11010000001</v>
          </cell>
          <cell r="Q21">
            <v>111485.6547</v>
          </cell>
          <cell r="R21">
            <v>112911.8631</v>
          </cell>
          <cell r="S21">
            <v>114549.91680000001</v>
          </cell>
          <cell r="T21">
            <v>116453.41529999999</v>
          </cell>
          <cell r="U21">
            <v>118644.0399</v>
          </cell>
          <cell r="V21">
            <v>121126.4887</v>
          </cell>
          <cell r="W21">
            <v>123925.6888</v>
          </cell>
          <cell r="X21">
            <v>127061.9801</v>
          </cell>
          <cell r="Y21">
            <v>130540.16529999999</v>
          </cell>
          <cell r="Z21">
            <v>134344.0986</v>
          </cell>
          <cell r="AA21">
            <v>138423.2193</v>
          </cell>
          <cell r="AB21">
            <v>142798.29490000001</v>
          </cell>
          <cell r="AC21">
            <v>147483.38380000001</v>
          </cell>
          <cell r="AD21">
            <v>152467.8548</v>
          </cell>
          <cell r="AE21">
            <v>157684.33259999999</v>
          </cell>
          <cell r="AF21">
            <v>163047.89199999999</v>
          </cell>
          <cell r="AG21">
            <v>168493.00940000001</v>
          </cell>
          <cell r="AH21">
            <v>173975.60800000001</v>
          </cell>
          <cell r="AI21">
            <v>179460.49600000001</v>
          </cell>
          <cell r="AJ21">
            <v>184916.3996</v>
          </cell>
          <cell r="AK21">
            <v>190313.74410000001</v>
          </cell>
        </row>
        <row r="22">
          <cell r="B22">
            <v>81062.006940000007</v>
          </cell>
          <cell r="C22">
            <v>83763.242880000005</v>
          </cell>
          <cell r="D22">
            <v>86522.432499999995</v>
          </cell>
          <cell r="E22">
            <v>89317.452350000007</v>
          </cell>
          <cell r="F22">
            <v>92159.065969999996</v>
          </cell>
          <cell r="G22">
            <v>95053.586819999997</v>
          </cell>
          <cell r="H22">
            <v>97980.657080000004</v>
          </cell>
          <cell r="I22">
            <v>100199.2542</v>
          </cell>
          <cell r="J22">
            <v>102637.4314</v>
          </cell>
          <cell r="K22">
            <v>106303.46610000001</v>
          </cell>
          <cell r="L22">
            <v>109834.59729999999</v>
          </cell>
          <cell r="M22">
            <v>112460.5389</v>
          </cell>
          <cell r="N22">
            <v>114366.2202</v>
          </cell>
          <cell r="O22">
            <v>115815.341</v>
          </cell>
          <cell r="P22">
            <v>117100.89780000001</v>
          </cell>
          <cell r="Q22">
            <v>118377.5552</v>
          </cell>
          <cell r="R22">
            <v>119703.7727</v>
          </cell>
          <cell r="S22">
            <v>121241.5334</v>
          </cell>
          <cell r="T22">
            <v>123059.44190000001</v>
          </cell>
          <cell r="U22">
            <v>125179.9238</v>
          </cell>
          <cell r="V22">
            <v>127619.0287</v>
          </cell>
          <cell r="W22">
            <v>130408.8058</v>
          </cell>
          <cell r="X22">
            <v>133588.04990000001</v>
          </cell>
          <cell r="Y22">
            <v>137156.66269999999</v>
          </cell>
          <cell r="Z22">
            <v>141085.22140000001</v>
          </cell>
          <cell r="AA22">
            <v>145335.89379999999</v>
          </cell>
          <cell r="AB22">
            <v>149913.8314</v>
          </cell>
          <cell r="AC22">
            <v>154935.86439999999</v>
          </cell>
          <cell r="AD22">
            <v>160384.71549999999</v>
          </cell>
          <cell r="AE22">
            <v>166161.09160000001</v>
          </cell>
          <cell r="AF22">
            <v>172150.38149999999</v>
          </cell>
          <cell r="AG22">
            <v>178292.3486</v>
          </cell>
          <cell r="AH22">
            <v>184565.77679999999</v>
          </cell>
          <cell r="AI22">
            <v>190933.76149999999</v>
          </cell>
          <cell r="AJ22">
            <v>197356.61859999999</v>
          </cell>
          <cell r="AK22">
            <v>203795.26560000001</v>
          </cell>
        </row>
        <row r="23">
          <cell r="B23">
            <v>81062.006940000007</v>
          </cell>
          <cell r="C23">
            <v>83763.242880000005</v>
          </cell>
          <cell r="D23">
            <v>86522.432499999995</v>
          </cell>
          <cell r="E23">
            <v>89317.452359999996</v>
          </cell>
          <cell r="F23">
            <v>92159.065990000003</v>
          </cell>
          <cell r="G23">
            <v>95053.586850000007</v>
          </cell>
          <cell r="H23">
            <v>97980.65711</v>
          </cell>
          <cell r="I23">
            <v>100933.09209999999</v>
          </cell>
          <cell r="J23">
            <v>103912.49099999999</v>
          </cell>
          <cell r="K23">
            <v>106926.0151</v>
          </cell>
          <cell r="L23">
            <v>109779.088</v>
          </cell>
          <cell r="M23">
            <v>111877.82799999999</v>
          </cell>
          <cell r="N23">
            <v>113537.9471</v>
          </cell>
          <cell r="O23">
            <v>114938.9072</v>
          </cell>
          <cell r="P23">
            <v>116250.15240000001</v>
          </cell>
          <cell r="Q23">
            <v>117600.4804</v>
          </cell>
          <cell r="R23">
            <v>119103.25</v>
          </cell>
          <cell r="S23">
            <v>120847.12940000001</v>
          </cell>
          <cell r="T23">
            <v>122888.8149</v>
          </cell>
          <cell r="U23">
            <v>125247.7683</v>
          </cell>
          <cell r="V23">
            <v>127938.1315</v>
          </cell>
          <cell r="W23">
            <v>130979.04090000001</v>
          </cell>
          <cell r="X23">
            <v>134399.6391</v>
          </cell>
          <cell r="Y23">
            <v>138205.8414</v>
          </cell>
          <cell r="Z23">
            <v>142374.91740000001</v>
          </cell>
          <cell r="AA23">
            <v>146874.54380000001</v>
          </cell>
          <cell r="AB23">
            <v>151715.39009999999</v>
          </cell>
          <cell r="AC23">
            <v>156921.03750000001</v>
          </cell>
          <cell r="AD23">
            <v>162477.06340000001</v>
          </cell>
          <cell r="AE23">
            <v>168290.26</v>
          </cell>
          <cell r="AF23">
            <v>174249.49410000001</v>
          </cell>
          <cell r="AG23">
            <v>180276.15659999999</v>
          </cell>
          <cell r="AH23">
            <v>186322.0392</v>
          </cell>
          <cell r="AI23">
            <v>192349.44380000001</v>
          </cell>
          <cell r="AJ23">
            <v>198324.68030000001</v>
          </cell>
          <cell r="AK23">
            <v>204215.31400000001</v>
          </cell>
        </row>
        <row r="24">
          <cell r="B24">
            <v>104630.7294</v>
          </cell>
          <cell r="C24">
            <v>106785.18520000001</v>
          </cell>
          <cell r="D24">
            <v>109270.0517</v>
          </cell>
          <cell r="E24">
            <v>111986.18769999999</v>
          </cell>
          <cell r="F24">
            <v>114882.3171</v>
          </cell>
          <cell r="G24">
            <v>117932.75109999999</v>
          </cell>
          <cell r="H24">
            <v>121060.6869</v>
          </cell>
          <cell r="I24">
            <v>123753.65979999999</v>
          </cell>
          <cell r="J24">
            <v>126444.6085</v>
          </cell>
          <cell r="K24">
            <v>129917.4895</v>
          </cell>
          <cell r="L24">
            <v>133387.84400000001</v>
          </cell>
          <cell r="M24">
            <v>136260.8953</v>
          </cell>
          <cell r="N24">
            <v>138652.36859999999</v>
          </cell>
          <cell r="O24">
            <v>140727.09820000001</v>
          </cell>
          <cell r="P24">
            <v>142678.43090000001</v>
          </cell>
          <cell r="Q24">
            <v>144624.4026</v>
          </cell>
          <cell r="R24">
            <v>146566.1263</v>
          </cell>
          <cell r="S24">
            <v>148646.6011</v>
          </cell>
          <cell r="T24">
            <v>150934.39309999999</v>
          </cell>
          <cell r="U24">
            <v>153469.96359999999</v>
          </cell>
          <cell r="V24">
            <v>156257.4768</v>
          </cell>
          <cell r="W24">
            <v>159365.95980000001</v>
          </cell>
          <cell r="X24">
            <v>162827.31169999999</v>
          </cell>
          <cell r="Y24">
            <v>166662.7066</v>
          </cell>
          <cell r="Z24">
            <v>170873.08499999999</v>
          </cell>
          <cell r="AA24">
            <v>175368.88570000001</v>
          </cell>
          <cell r="AB24">
            <v>180276.23970000001</v>
          </cell>
          <cell r="AC24">
            <v>185582.386</v>
          </cell>
          <cell r="AD24">
            <v>191293.44829999999</v>
          </cell>
          <cell r="AE24">
            <v>197368.26869999999</v>
          </cell>
          <cell r="AF24">
            <v>203743.6189</v>
          </cell>
          <cell r="AG24">
            <v>210365.88190000001</v>
          </cell>
          <cell r="AH24">
            <v>217195.44330000001</v>
          </cell>
          <cell r="AI24">
            <v>224197.97</v>
          </cell>
          <cell r="AJ24">
            <v>231342.2628</v>
          </cell>
          <cell r="AK24">
            <v>238598.69</v>
          </cell>
        </row>
        <row r="25">
          <cell r="B25">
            <v>104630.7294</v>
          </cell>
          <cell r="C25">
            <v>106785.18520000001</v>
          </cell>
          <cell r="D25">
            <v>109270.0517</v>
          </cell>
          <cell r="E25">
            <v>111986.18769999999</v>
          </cell>
          <cell r="F25">
            <v>114882.3171</v>
          </cell>
          <cell r="G25">
            <v>117932.75109999999</v>
          </cell>
          <cell r="H25">
            <v>121060.6869</v>
          </cell>
          <cell r="I25">
            <v>124248.514</v>
          </cell>
          <cell r="J25">
            <v>127493.1516</v>
          </cell>
          <cell r="K25">
            <v>130800.4979</v>
          </cell>
          <cell r="L25">
            <v>134079.57519999999</v>
          </cell>
          <cell r="M25">
            <v>136868.75020000001</v>
          </cell>
          <cell r="N25">
            <v>139305.33919999999</v>
          </cell>
          <cell r="O25">
            <v>141494.34150000001</v>
          </cell>
          <cell r="P25">
            <v>143549.9191</v>
          </cell>
          <cell r="Q25">
            <v>145572.3266</v>
          </cell>
          <cell r="R25">
            <v>147681.16680000001</v>
          </cell>
          <cell r="S25">
            <v>149967.25750000001</v>
          </cell>
          <cell r="T25">
            <v>152490.8265</v>
          </cell>
          <cell r="U25">
            <v>155281.71840000001</v>
          </cell>
          <cell r="V25">
            <v>158334.2127</v>
          </cell>
          <cell r="W25">
            <v>161708.89240000001</v>
          </cell>
          <cell r="X25">
            <v>165430.43710000001</v>
          </cell>
          <cell r="Y25">
            <v>169512.54949999999</v>
          </cell>
          <cell r="Z25">
            <v>173947.21280000001</v>
          </cell>
          <cell r="AA25">
            <v>178636.76329999999</v>
          </cell>
          <cell r="AB25">
            <v>183658.11120000001</v>
          </cell>
          <cell r="AC25">
            <v>189028.77489999999</v>
          </cell>
          <cell r="AD25">
            <v>194749.4633</v>
          </cell>
          <cell r="AE25">
            <v>200768.85620000001</v>
          </cell>
          <cell r="AF25">
            <v>207012.91639999999</v>
          </cell>
          <cell r="AG25">
            <v>213418.88829999999</v>
          </cell>
          <cell r="AH25">
            <v>219939.6526</v>
          </cell>
          <cell r="AI25">
            <v>226533.8849</v>
          </cell>
          <cell r="AJ25">
            <v>233162.16759999999</v>
          </cell>
          <cell r="AK25">
            <v>239785.19779999999</v>
          </cell>
        </row>
        <row r="26">
          <cell r="B26">
            <v>271138.58409999998</v>
          </cell>
          <cell r="C26">
            <v>275430.69890000002</v>
          </cell>
          <cell r="D26">
            <v>280681.86200000002</v>
          </cell>
          <cell r="E26">
            <v>286761.16649999999</v>
          </cell>
          <cell r="F26">
            <v>293592.91460000002</v>
          </cell>
          <cell r="G26">
            <v>301104.71470000001</v>
          </cell>
          <cell r="H26">
            <v>309090.63919999998</v>
          </cell>
          <cell r="I26">
            <v>317022.46529999998</v>
          </cell>
          <cell r="J26">
            <v>325138.99160000001</v>
          </cell>
          <cell r="K26">
            <v>334139.96580000001</v>
          </cell>
          <cell r="L26">
            <v>344009.67180000001</v>
          </cell>
          <cell r="M26">
            <v>354235.45010000002</v>
          </cell>
          <cell r="N26">
            <v>364658.3689</v>
          </cell>
          <cell r="O26">
            <v>375241.76510000002</v>
          </cell>
          <cell r="P26">
            <v>386046.2562</v>
          </cell>
          <cell r="Q26">
            <v>397156.35759999999</v>
          </cell>
          <cell r="R26">
            <v>408648.83980000002</v>
          </cell>
          <cell r="S26">
            <v>420651.10239999997</v>
          </cell>
          <cell r="T26">
            <v>433296.77549999999</v>
          </cell>
          <cell r="U26">
            <v>446699.39630000002</v>
          </cell>
          <cell r="V26">
            <v>460857.58020000003</v>
          </cell>
          <cell r="W26">
            <v>475963.4178</v>
          </cell>
          <cell r="X26">
            <v>492109.32539999997</v>
          </cell>
          <cell r="Y26">
            <v>509391.05119999999</v>
          </cell>
          <cell r="Z26">
            <v>527885.68949999998</v>
          </cell>
          <cell r="AA26">
            <v>547357.05949999997</v>
          </cell>
          <cell r="AB26">
            <v>568039.16229999997</v>
          </cell>
          <cell r="AC26">
            <v>590012.89630000002</v>
          </cell>
          <cell r="AD26">
            <v>613400.01569999999</v>
          </cell>
          <cell r="AE26">
            <v>638324.42619999999</v>
          </cell>
          <cell r="AF26">
            <v>664891.61300000001</v>
          </cell>
          <cell r="AG26">
            <v>693193.91940000001</v>
          </cell>
          <cell r="AH26">
            <v>723332.89339999994</v>
          </cell>
          <cell r="AI26">
            <v>755446.79709999997</v>
          </cell>
          <cell r="AJ26">
            <v>789715.57810000004</v>
          </cell>
          <cell r="AK26">
            <v>826368.00890000002</v>
          </cell>
        </row>
        <row r="27">
          <cell r="B27">
            <v>271138.58409999998</v>
          </cell>
          <cell r="C27">
            <v>275430.69890000002</v>
          </cell>
          <cell r="D27">
            <v>280681.86200000002</v>
          </cell>
          <cell r="E27">
            <v>286761.16639999999</v>
          </cell>
          <cell r="F27">
            <v>293592.91460000002</v>
          </cell>
          <cell r="G27">
            <v>301104.71470000001</v>
          </cell>
          <cell r="H27">
            <v>309090.63909999997</v>
          </cell>
          <cell r="I27">
            <v>317488.38439999998</v>
          </cell>
          <cell r="J27">
            <v>326290.9351</v>
          </cell>
          <cell r="K27">
            <v>335523.40299999999</v>
          </cell>
          <cell r="L27">
            <v>345243.72249999997</v>
          </cell>
          <cell r="M27">
            <v>354999.54379999998</v>
          </cell>
          <cell r="N27">
            <v>364703.29749999999</v>
          </cell>
          <cell r="O27">
            <v>374359.55089999997</v>
          </cell>
          <cell r="P27">
            <v>384023.40460000001</v>
          </cell>
          <cell r="Q27">
            <v>393771.9387</v>
          </cell>
          <cell r="R27">
            <v>403791.32199999999</v>
          </cell>
          <cell r="S27">
            <v>414238.50040000002</v>
          </cell>
          <cell r="T27">
            <v>425222.93530000001</v>
          </cell>
          <cell r="U27">
            <v>436806.34769999998</v>
          </cell>
          <cell r="V27">
            <v>448927.64909999998</v>
          </cell>
          <cell r="W27">
            <v>461722.74589999998</v>
          </cell>
          <cell r="X27">
            <v>475228.2255</v>
          </cell>
          <cell r="Y27">
            <v>489475.46010000003</v>
          </cell>
          <cell r="Z27">
            <v>504471.84080000001</v>
          </cell>
          <cell r="AA27">
            <v>519920.11420000001</v>
          </cell>
          <cell r="AB27">
            <v>536000.68740000005</v>
          </cell>
          <cell r="AC27">
            <v>552756.15139999997</v>
          </cell>
          <cell r="AD27">
            <v>570236.63040000002</v>
          </cell>
          <cell r="AE27">
            <v>588471.98309999995</v>
          </cell>
          <cell r="AF27">
            <v>607458.62560000003</v>
          </cell>
          <cell r="AG27">
            <v>627175.10369999998</v>
          </cell>
          <cell r="AH27">
            <v>647593.09490000003</v>
          </cell>
          <cell r="AI27">
            <v>668676.39569999999</v>
          </cell>
          <cell r="AJ27">
            <v>690378.34290000005</v>
          </cell>
          <cell r="AK27">
            <v>712639.1888</v>
          </cell>
        </row>
        <row r="28">
          <cell r="B28">
            <v>6786.964524</v>
          </cell>
          <cell r="C28">
            <v>6903.7545909999999</v>
          </cell>
          <cell r="D28">
            <v>7033.0750280000002</v>
          </cell>
          <cell r="E28">
            <v>7172.3310979999997</v>
          </cell>
          <cell r="F28">
            <v>7321.0321549999999</v>
          </cell>
          <cell r="G28">
            <v>7478.2584479999996</v>
          </cell>
          <cell r="H28">
            <v>7638.2012180000002</v>
          </cell>
          <cell r="I28">
            <v>7768.6009690000001</v>
          </cell>
          <cell r="J28">
            <v>7894.0488450000003</v>
          </cell>
          <cell r="K28">
            <v>8049.6522340000001</v>
          </cell>
          <cell r="L28">
            <v>8204.7210140000007</v>
          </cell>
          <cell r="M28">
            <v>8332.7891560000007</v>
          </cell>
          <cell r="N28">
            <v>8439.070796</v>
          </cell>
          <cell r="O28">
            <v>8529.8134449999998</v>
          </cell>
          <cell r="P28">
            <v>8612.7905750000009</v>
          </cell>
          <cell r="Q28">
            <v>8693.1139660000008</v>
          </cell>
          <cell r="R28">
            <v>8774.1741729999994</v>
          </cell>
          <cell r="S28">
            <v>8860.3529890000009</v>
          </cell>
          <cell r="T28">
            <v>8955.4237030000004</v>
          </cell>
          <cell r="U28">
            <v>9061.8123109999997</v>
          </cell>
          <cell r="V28">
            <v>9179.2202010000001</v>
          </cell>
          <cell r="W28">
            <v>9312.9144539999998</v>
          </cell>
          <cell r="X28">
            <v>9464.0427510000009</v>
          </cell>
          <cell r="Y28">
            <v>9633.8039059999992</v>
          </cell>
          <cell r="Z28">
            <v>9822.5124510000005</v>
          </cell>
          <cell r="AA28">
            <v>10023.60763</v>
          </cell>
          <cell r="AB28">
            <v>10244.961740000001</v>
          </cell>
          <cell r="AC28">
            <v>10487.06388</v>
          </cell>
          <cell r="AD28">
            <v>10750.4799</v>
          </cell>
          <cell r="AE28">
            <v>11033.572840000001</v>
          </cell>
          <cell r="AF28">
            <v>11333.583989999999</v>
          </cell>
          <cell r="AG28">
            <v>11648.091619999999</v>
          </cell>
          <cell r="AH28">
            <v>11975.27526</v>
          </cell>
          <cell r="AI28">
            <v>12313.52225</v>
          </cell>
          <cell r="AJ28">
            <v>12661.37954</v>
          </cell>
          <cell r="AK28">
            <v>13017.532810000001</v>
          </cell>
        </row>
        <row r="29">
          <cell r="B29">
            <v>6786.964524</v>
          </cell>
          <cell r="C29">
            <v>6903.7545909999999</v>
          </cell>
          <cell r="D29">
            <v>7033.0750280000002</v>
          </cell>
          <cell r="E29">
            <v>7172.3310979999997</v>
          </cell>
          <cell r="F29">
            <v>7321.0321540000004</v>
          </cell>
          <cell r="G29">
            <v>7478.2584479999996</v>
          </cell>
          <cell r="H29">
            <v>7638.2012180000002</v>
          </cell>
          <cell r="I29">
            <v>7799.5832609999998</v>
          </cell>
          <cell r="J29">
            <v>7961.8334709999999</v>
          </cell>
          <cell r="K29">
            <v>8125.0405190000001</v>
          </cell>
          <cell r="L29">
            <v>8286.3125330000003</v>
          </cell>
          <cell r="M29">
            <v>8421.8368989999999</v>
          </cell>
          <cell r="N29">
            <v>8538.3141109999997</v>
          </cell>
          <cell r="O29">
            <v>8640.3949379999995</v>
          </cell>
          <cell r="P29">
            <v>8733.3852540000007</v>
          </cell>
          <cell r="Q29">
            <v>8822.2393360000005</v>
          </cell>
          <cell r="R29">
            <v>8914.1218609999996</v>
          </cell>
          <cell r="S29">
            <v>9014.1713319999999</v>
          </cell>
          <cell r="T29">
            <v>9125.6694150000003</v>
          </cell>
          <cell r="U29">
            <v>9250.2889059999998</v>
          </cell>
          <cell r="V29">
            <v>9386.9888749999991</v>
          </cell>
          <cell r="W29">
            <v>9540.4011840000003</v>
          </cell>
          <cell r="X29">
            <v>9711.0931450000007</v>
          </cell>
          <cell r="Y29">
            <v>9899.7147920000007</v>
          </cell>
          <cell r="Z29">
            <v>10105.980390000001</v>
          </cell>
          <cell r="AA29">
            <v>10322.72372</v>
          </cell>
          <cell r="AB29">
            <v>10557.100189999999</v>
          </cell>
          <cell r="AC29">
            <v>10808.98378</v>
          </cell>
          <cell r="AD29">
            <v>11078.285040000001</v>
          </cell>
          <cell r="AE29">
            <v>11362.52068</v>
          </cell>
          <cell r="AF29">
            <v>11658.06561</v>
          </cell>
          <cell r="AG29">
            <v>11961.67225</v>
          </cell>
          <cell r="AH29">
            <v>12270.70874</v>
          </cell>
          <cell r="AI29">
            <v>12582.779210000001</v>
          </cell>
          <cell r="AJ29">
            <v>12895.59614</v>
          </cell>
          <cell r="AK29">
            <v>13206.92951</v>
          </cell>
        </row>
        <row r="30">
          <cell r="B30">
            <v>78079.915919999999</v>
          </cell>
          <cell r="C30">
            <v>79423.514899999995</v>
          </cell>
          <cell r="D30">
            <v>80911.268190000003</v>
          </cell>
          <cell r="E30">
            <v>82513.324930000002</v>
          </cell>
          <cell r="F30">
            <v>84224.040519999995</v>
          </cell>
          <cell r="G30">
            <v>86032.833790000004</v>
          </cell>
          <cell r="H30">
            <v>87872.878479999999</v>
          </cell>
          <cell r="I30">
            <v>89373.048630000005</v>
          </cell>
          <cell r="J30">
            <v>90816.250459999996</v>
          </cell>
          <cell r="K30">
            <v>92606.373200000002</v>
          </cell>
          <cell r="L30">
            <v>94390.345579999994</v>
          </cell>
          <cell r="M30">
            <v>95863.691990000007</v>
          </cell>
          <cell r="N30">
            <v>97086.397880000004</v>
          </cell>
          <cell r="O30">
            <v>98130.337090000001</v>
          </cell>
          <cell r="P30">
            <v>99084.938710000002</v>
          </cell>
          <cell r="Q30">
            <v>100009.0107</v>
          </cell>
          <cell r="R30">
            <v>100941.55929999999</v>
          </cell>
          <cell r="S30">
            <v>101932.99430000001</v>
          </cell>
          <cell r="T30">
            <v>103026.72530000001</v>
          </cell>
          <cell r="U30">
            <v>104250.6618</v>
          </cell>
          <cell r="V30">
            <v>105601.3685</v>
          </cell>
          <cell r="W30">
            <v>107139.4399</v>
          </cell>
          <cell r="X30">
            <v>108878.0794</v>
          </cell>
          <cell r="Y30">
            <v>110831.07859999999</v>
          </cell>
          <cell r="Z30">
            <v>113002.05620000001</v>
          </cell>
          <cell r="AA30">
            <v>115315.5344</v>
          </cell>
          <cell r="AB30">
            <v>117862.0793</v>
          </cell>
          <cell r="AC30">
            <v>120647.3178</v>
          </cell>
          <cell r="AD30">
            <v>123677.7596</v>
          </cell>
          <cell r="AE30">
            <v>126934.5724</v>
          </cell>
          <cell r="AF30">
            <v>130386.019</v>
          </cell>
          <cell r="AG30">
            <v>134004.23869999999</v>
          </cell>
          <cell r="AH30">
            <v>137768.28829999999</v>
          </cell>
          <cell r="AI30">
            <v>141659.6151</v>
          </cell>
          <cell r="AJ30">
            <v>145661.5025</v>
          </cell>
          <cell r="AK30">
            <v>149758.83009999999</v>
          </cell>
        </row>
        <row r="31">
          <cell r="B31">
            <v>78079.915919999999</v>
          </cell>
          <cell r="C31">
            <v>79423.514899999995</v>
          </cell>
          <cell r="D31">
            <v>80911.268190000003</v>
          </cell>
          <cell r="E31">
            <v>82513.324930000002</v>
          </cell>
          <cell r="F31">
            <v>84224.040510000006</v>
          </cell>
          <cell r="G31">
            <v>86032.833790000004</v>
          </cell>
          <cell r="H31">
            <v>87872.878469999996</v>
          </cell>
          <cell r="I31">
            <v>89729.48113</v>
          </cell>
          <cell r="J31">
            <v>91596.071519999998</v>
          </cell>
          <cell r="K31">
            <v>93473.669760000004</v>
          </cell>
          <cell r="L31">
            <v>95329.006590000005</v>
          </cell>
          <cell r="M31">
            <v>96888.132339999996</v>
          </cell>
          <cell r="N31">
            <v>98228.132100000003</v>
          </cell>
          <cell r="O31">
            <v>99402.510190000001</v>
          </cell>
          <cell r="P31">
            <v>100472.3075</v>
          </cell>
          <cell r="Q31">
            <v>101494.51979999999</v>
          </cell>
          <cell r="R31">
            <v>102551.5726</v>
          </cell>
          <cell r="S31">
            <v>103702.5812</v>
          </cell>
          <cell r="T31">
            <v>104985.2991</v>
          </cell>
          <cell r="U31">
            <v>106418.9709</v>
          </cell>
          <cell r="V31">
            <v>107991.62119999999</v>
          </cell>
          <cell r="W31">
            <v>109756.53690000001</v>
          </cell>
          <cell r="X31">
            <v>111720.2445</v>
          </cell>
          <cell r="Y31">
            <v>113890.22229999999</v>
          </cell>
          <cell r="Z31">
            <v>116263.18309999999</v>
          </cell>
          <cell r="AA31">
            <v>118756.6838</v>
          </cell>
          <cell r="AB31">
            <v>121453.0432</v>
          </cell>
          <cell r="AC31">
            <v>124350.8113</v>
          </cell>
          <cell r="AD31">
            <v>127448.9592</v>
          </cell>
          <cell r="AE31">
            <v>130718.91800000001</v>
          </cell>
          <cell r="AF31">
            <v>134118.9835</v>
          </cell>
          <cell r="AG31">
            <v>137611.79389999999</v>
          </cell>
          <cell r="AH31">
            <v>141167.07149999999</v>
          </cell>
          <cell r="AI31">
            <v>144757.25330000001</v>
          </cell>
          <cell r="AJ31">
            <v>148356.0226</v>
          </cell>
          <cell r="AK31">
            <v>151937.72450000001</v>
          </cell>
        </row>
        <row r="32">
          <cell r="B32">
            <v>15431.506740000001</v>
          </cell>
          <cell r="C32">
            <v>15999.34143</v>
          </cell>
          <cell r="D32">
            <v>16561.013719999999</v>
          </cell>
          <cell r="E32">
            <v>17115.603019999999</v>
          </cell>
          <cell r="F32">
            <v>17674.87932</v>
          </cell>
          <cell r="G32">
            <v>18244.02043</v>
          </cell>
          <cell r="H32">
            <v>18817.972229999999</v>
          </cell>
          <cell r="I32">
            <v>19304.978869999999</v>
          </cell>
          <cell r="J32">
            <v>19903.310990000002</v>
          </cell>
          <cell r="K32">
            <v>20829.990020000001</v>
          </cell>
          <cell r="L32">
            <v>21775.986629999999</v>
          </cell>
          <cell r="M32">
            <v>22543.670020000001</v>
          </cell>
          <cell r="N32">
            <v>23132.674660000001</v>
          </cell>
          <cell r="O32">
            <v>23588.468130000001</v>
          </cell>
          <cell r="P32">
            <v>23974.68665</v>
          </cell>
          <cell r="Q32">
            <v>24326.70565</v>
          </cell>
          <cell r="R32">
            <v>24697.983820000001</v>
          </cell>
          <cell r="S32">
            <v>25121.09849</v>
          </cell>
          <cell r="T32">
            <v>25615.490809999999</v>
          </cell>
          <cell r="U32">
            <v>26184.71272</v>
          </cell>
          <cell r="V32">
            <v>26831.394990000001</v>
          </cell>
          <cell r="W32">
            <v>27562.27894</v>
          </cell>
          <cell r="X32">
            <v>28387.717700000001</v>
          </cell>
          <cell r="Y32">
            <v>29302.298910000001</v>
          </cell>
          <cell r="Z32">
            <v>30292.3135</v>
          </cell>
          <cell r="AA32">
            <v>31347.996709999999</v>
          </cell>
          <cell r="AB32">
            <v>32491.046549999999</v>
          </cell>
          <cell r="AC32">
            <v>33760.48388</v>
          </cell>
          <cell r="AD32">
            <v>35152.913780000003</v>
          </cell>
          <cell r="AE32">
            <v>36640.531569999999</v>
          </cell>
          <cell r="AF32">
            <v>38192.410640000002</v>
          </cell>
          <cell r="AG32">
            <v>39801.639439999999</v>
          </cell>
          <cell r="AH32">
            <v>41476.978170000002</v>
          </cell>
          <cell r="AI32">
            <v>43214.540309999997</v>
          </cell>
          <cell r="AJ32">
            <v>45006.992729999998</v>
          </cell>
          <cell r="AK32">
            <v>46846.346490000004</v>
          </cell>
        </row>
        <row r="33">
          <cell r="B33">
            <v>15431.506740000001</v>
          </cell>
          <cell r="C33">
            <v>15999.34143</v>
          </cell>
          <cell r="D33">
            <v>16561.013729999999</v>
          </cell>
          <cell r="E33">
            <v>17115.603029999998</v>
          </cell>
          <cell r="F33">
            <v>17674.87932</v>
          </cell>
          <cell r="G33">
            <v>18244.02044</v>
          </cell>
          <cell r="H33">
            <v>18817.972229999999</v>
          </cell>
          <cell r="I33">
            <v>19391.284060000002</v>
          </cell>
          <cell r="J33">
            <v>19962.22869</v>
          </cell>
          <cell r="K33">
            <v>20532.05789</v>
          </cell>
          <cell r="L33">
            <v>21056.175500000001</v>
          </cell>
          <cell r="M33">
            <v>21407.559150000001</v>
          </cell>
          <cell r="N33">
            <v>21663.814989999999</v>
          </cell>
          <cell r="O33">
            <v>21867.253820000002</v>
          </cell>
          <cell r="P33">
            <v>22056.304039999999</v>
          </cell>
          <cell r="Q33">
            <v>22258.88366</v>
          </cell>
          <cell r="R33">
            <v>22501.518069999998</v>
          </cell>
          <cell r="S33">
            <v>22804.660189999999</v>
          </cell>
          <cell r="T33">
            <v>23179.763630000001</v>
          </cell>
          <cell r="U33">
            <v>23628.537329999999</v>
          </cell>
          <cell r="V33">
            <v>24152.295239999999</v>
          </cell>
          <cell r="W33">
            <v>24750.21933</v>
          </cell>
          <cell r="X33">
            <v>25425.95865</v>
          </cell>
          <cell r="Y33">
            <v>26178.402569999998</v>
          </cell>
          <cell r="Z33">
            <v>27000.771079999999</v>
          </cell>
          <cell r="AA33">
            <v>27889.097379999999</v>
          </cell>
          <cell r="AB33">
            <v>28842.260269999999</v>
          </cell>
          <cell r="AC33">
            <v>29865.361089999999</v>
          </cell>
          <cell r="AD33">
            <v>30955.117590000002</v>
          </cell>
          <cell r="AE33">
            <v>32091.385539999999</v>
          </cell>
          <cell r="AF33">
            <v>33250.94227</v>
          </cell>
          <cell r="AG33">
            <v>34418.426800000001</v>
          </cell>
          <cell r="AH33">
            <v>35585.433259999998</v>
          </cell>
          <cell r="AI33">
            <v>36745.869509999997</v>
          </cell>
          <cell r="AJ33">
            <v>37894.437879999998</v>
          </cell>
          <cell r="AK33">
            <v>39025.948839999997</v>
          </cell>
        </row>
        <row r="34">
          <cell r="B34">
            <v>20625.000660000002</v>
          </cell>
          <cell r="C34">
            <v>21150.60397</v>
          </cell>
          <cell r="D34">
            <v>21712.146219999999</v>
          </cell>
          <cell r="E34">
            <v>22285.26672</v>
          </cell>
          <cell r="F34">
            <v>22904.194630000002</v>
          </cell>
          <cell r="G34">
            <v>23581.11621</v>
          </cell>
          <cell r="H34">
            <v>24299.476119999999</v>
          </cell>
          <cell r="I34">
            <v>24808.515019999999</v>
          </cell>
          <cell r="J34">
            <v>25275.30258</v>
          </cell>
          <cell r="K34">
            <v>25934.865549999999</v>
          </cell>
          <cell r="L34">
            <v>26606.461350000001</v>
          </cell>
          <cell r="M34">
            <v>27199.223330000001</v>
          </cell>
          <cell r="N34">
            <v>27732.208750000002</v>
          </cell>
          <cell r="O34">
            <v>28219.506990000002</v>
          </cell>
          <cell r="P34">
            <v>28684.04248</v>
          </cell>
          <cell r="Q34">
            <v>29135.874380000001</v>
          </cell>
          <cell r="R34">
            <v>29558.493699999999</v>
          </cell>
          <cell r="S34">
            <v>29979.963230000001</v>
          </cell>
          <cell r="T34">
            <v>30425.880529999999</v>
          </cell>
          <cell r="U34">
            <v>30915.768929999998</v>
          </cell>
          <cell r="V34">
            <v>31459.93505</v>
          </cell>
          <cell r="W34">
            <v>32084.772690000002</v>
          </cell>
          <cell r="X34">
            <v>32806.954460000001</v>
          </cell>
          <cell r="Y34">
            <v>33634.412629999999</v>
          </cell>
          <cell r="Z34">
            <v>34567.84865</v>
          </cell>
          <cell r="AA34">
            <v>35587.020199999999</v>
          </cell>
          <cell r="AB34">
            <v>36729.10555</v>
          </cell>
          <cell r="AC34">
            <v>38017.684690000002</v>
          </cell>
          <cell r="AD34">
            <v>39462.824189999999</v>
          </cell>
          <cell r="AE34">
            <v>41058.810169999997</v>
          </cell>
          <cell r="AF34">
            <v>42794.049809999997</v>
          </cell>
          <cell r="AG34">
            <v>44666.065049999997</v>
          </cell>
          <cell r="AH34">
            <v>46680.509129999999</v>
          </cell>
          <cell r="AI34">
            <v>48839.315390000003</v>
          </cell>
          <cell r="AJ34">
            <v>51143.494830000003</v>
          </cell>
          <cell r="AK34">
            <v>53594.49611</v>
          </cell>
        </row>
        <row r="35">
          <cell r="B35">
            <v>20625.000660000002</v>
          </cell>
          <cell r="C35">
            <v>21150.60397</v>
          </cell>
          <cell r="D35">
            <v>21712.146209999999</v>
          </cell>
          <cell r="E35">
            <v>22285.26672</v>
          </cell>
          <cell r="F35">
            <v>22904.194630000002</v>
          </cell>
          <cell r="G35">
            <v>23581.11621</v>
          </cell>
          <cell r="H35">
            <v>24299.476119999999</v>
          </cell>
          <cell r="I35">
            <v>25048.35932</v>
          </cell>
          <cell r="J35">
            <v>25821.665290000001</v>
          </cell>
          <cell r="K35">
            <v>26616.188559999999</v>
          </cell>
          <cell r="L35">
            <v>27402.8295</v>
          </cell>
          <cell r="M35">
            <v>28060.255069999999</v>
          </cell>
          <cell r="N35">
            <v>28627.233680000001</v>
          </cell>
          <cell r="O35">
            <v>29125.076150000001</v>
          </cell>
          <cell r="P35">
            <v>29578.131679999999</v>
          </cell>
          <cell r="Q35">
            <v>30008.963070000002</v>
          </cell>
          <cell r="R35">
            <v>30447.640299999999</v>
          </cell>
          <cell r="S35">
            <v>30916.56565</v>
          </cell>
          <cell r="T35">
            <v>31431.58929</v>
          </cell>
          <cell r="U35">
            <v>32002.029419999999</v>
          </cell>
          <cell r="V35">
            <v>32629.261689999999</v>
          </cell>
          <cell r="W35">
            <v>33331.640460000002</v>
          </cell>
          <cell r="X35">
            <v>34118.65539</v>
          </cell>
          <cell r="Y35">
            <v>34996.230499999998</v>
          </cell>
          <cell r="Z35">
            <v>35964.5219</v>
          </cell>
          <cell r="AA35">
            <v>37001.132980000002</v>
          </cell>
          <cell r="AB35">
            <v>38128.316740000002</v>
          </cell>
          <cell r="AC35">
            <v>39353.392290000003</v>
          </cell>
          <cell r="AD35">
            <v>40678.280250000003</v>
          </cell>
          <cell r="AE35">
            <v>42091.402860000002</v>
          </cell>
          <cell r="AF35">
            <v>43575.209329999998</v>
          </cell>
          <cell r="AG35">
            <v>45114.381860000001</v>
          </cell>
          <cell r="AH35">
            <v>46696.396959999998</v>
          </cell>
          <cell r="AI35">
            <v>48309.068460000002</v>
          </cell>
          <cell r="AJ35">
            <v>49939.976069999997</v>
          </cell>
          <cell r="AK35">
            <v>51576.284849999996</v>
          </cell>
        </row>
        <row r="36">
          <cell r="B36">
            <v>2017586.2379999999</v>
          </cell>
          <cell r="C36">
            <v>2055203.0630000001</v>
          </cell>
          <cell r="D36">
            <v>2099034.5589999999</v>
          </cell>
          <cell r="E36">
            <v>2147874.6460000002</v>
          </cell>
          <cell r="F36">
            <v>2200488.7489999998</v>
          </cell>
          <cell r="G36">
            <v>2256364.429</v>
          </cell>
          <cell r="H36">
            <v>2313621.6060000001</v>
          </cell>
          <cell r="I36">
            <v>2366759.5499999998</v>
          </cell>
          <cell r="J36">
            <v>2419941.8509999998</v>
          </cell>
          <cell r="K36">
            <v>2483111.9670000002</v>
          </cell>
          <cell r="L36">
            <v>2548668.4109999998</v>
          </cell>
          <cell r="M36">
            <v>2607336.6340000001</v>
          </cell>
          <cell r="N36">
            <v>2659722.2200000002</v>
          </cell>
          <cell r="O36">
            <v>2707003.2289999998</v>
          </cell>
          <cell r="P36">
            <v>2751056.69</v>
          </cell>
          <cell r="Q36">
            <v>2793288.2629999998</v>
          </cell>
          <cell r="R36">
            <v>2834893.3569999998</v>
          </cell>
          <cell r="S36">
            <v>2877393.7850000001</v>
          </cell>
          <cell r="T36">
            <v>2921955.429</v>
          </cell>
          <cell r="U36">
            <v>2969413.611</v>
          </cell>
          <cell r="V36">
            <v>3019603.821</v>
          </cell>
          <cell r="W36">
            <v>3074398.9730000002</v>
          </cell>
          <cell r="X36">
            <v>3134277.5839999998</v>
          </cell>
          <cell r="Y36">
            <v>3199750.7850000001</v>
          </cell>
          <cell r="Z36">
            <v>3271032.7009999999</v>
          </cell>
          <cell r="AA36">
            <v>3345678.0619999999</v>
          </cell>
          <cell r="AB36">
            <v>3426428.6359999999</v>
          </cell>
          <cell r="AC36">
            <v>3513461.2719999999</v>
          </cell>
          <cell r="AD36">
            <v>3607168.1370000001</v>
          </cell>
          <cell r="AE36">
            <v>3707338.0150000001</v>
          </cell>
          <cell r="AF36">
            <v>3813331.889</v>
          </cell>
          <cell r="AG36">
            <v>3924452.1269999999</v>
          </cell>
          <cell r="AH36">
            <v>4040091.9550000001</v>
          </cell>
          <cell r="AI36">
            <v>4159719.5559999999</v>
          </cell>
          <cell r="AJ36">
            <v>4282838.8420000002</v>
          </cell>
          <cell r="AK36">
            <v>4408972.0120000001</v>
          </cell>
        </row>
        <row r="37">
          <cell r="B37">
            <v>2017586.2379999999</v>
          </cell>
          <cell r="C37">
            <v>2055203.0619999999</v>
          </cell>
          <cell r="D37">
            <v>2099034.5589999999</v>
          </cell>
          <cell r="E37">
            <v>2147874.645</v>
          </cell>
          <cell r="F37">
            <v>2200488.7489999998</v>
          </cell>
          <cell r="G37">
            <v>2256364.429</v>
          </cell>
          <cell r="H37">
            <v>2313621.6060000001</v>
          </cell>
          <cell r="I37">
            <v>2372013.6860000002</v>
          </cell>
          <cell r="J37">
            <v>2431432.37</v>
          </cell>
          <cell r="K37">
            <v>2491929.9870000002</v>
          </cell>
          <cell r="L37">
            <v>2552984.716</v>
          </cell>
          <cell r="M37">
            <v>2607545.0550000002</v>
          </cell>
          <cell r="N37">
            <v>2656732.287</v>
          </cell>
          <cell r="O37">
            <v>2701477.0729999999</v>
          </cell>
          <cell r="P37">
            <v>2743048.3050000002</v>
          </cell>
          <cell r="Q37">
            <v>2782773.1170000001</v>
          </cell>
          <cell r="R37">
            <v>2822723.696</v>
          </cell>
          <cell r="S37">
            <v>2864412.3679999998</v>
          </cell>
          <cell r="T37">
            <v>2908897.87</v>
          </cell>
          <cell r="U37">
            <v>2956830.0070000002</v>
          </cell>
          <cell r="V37">
            <v>3007885.7740000002</v>
          </cell>
          <cell r="W37">
            <v>3063815.6189999999</v>
          </cell>
          <cell r="X37">
            <v>3124984.38</v>
          </cell>
          <cell r="Y37">
            <v>3191766.2170000002</v>
          </cell>
          <cell r="Z37">
            <v>3264227.5950000002</v>
          </cell>
          <cell r="AA37">
            <v>3339825.841</v>
          </cell>
          <cell r="AB37">
            <v>3421098.8339999998</v>
          </cell>
          <cell r="AC37">
            <v>3508204.699</v>
          </cell>
          <cell r="AD37">
            <v>3601336.62</v>
          </cell>
          <cell r="AE37">
            <v>3700036.8909999998</v>
          </cell>
          <cell r="AF37">
            <v>3803436.42</v>
          </cell>
          <cell r="AG37">
            <v>3910658.111</v>
          </cell>
          <cell r="AH37">
            <v>4020916.5019999999</v>
          </cell>
          <cell r="AI37">
            <v>4133439.45</v>
          </cell>
          <cell r="AJ37">
            <v>4247443.3820000002</v>
          </cell>
          <cell r="AK37">
            <v>4362124.53</v>
          </cell>
        </row>
        <row r="38">
          <cell r="B38">
            <v>540249.26740000001</v>
          </cell>
          <cell r="C38">
            <v>548220.87219999998</v>
          </cell>
          <cell r="D38">
            <v>557091.1912</v>
          </cell>
          <cell r="E38">
            <v>566420.30649999995</v>
          </cell>
          <cell r="F38">
            <v>576143.10049999994</v>
          </cell>
          <cell r="G38">
            <v>586226.01419999998</v>
          </cell>
          <cell r="H38">
            <v>596149.98210000002</v>
          </cell>
          <cell r="I38">
            <v>606149.92790000001</v>
          </cell>
          <cell r="J38">
            <v>616311.99509999994</v>
          </cell>
          <cell r="K38">
            <v>627136.52049999998</v>
          </cell>
          <cell r="L38">
            <v>639058.93969999999</v>
          </cell>
          <cell r="M38">
            <v>650053.78650000005</v>
          </cell>
          <cell r="N38">
            <v>660870.8456</v>
          </cell>
          <cell r="O38">
            <v>671553.63919999998</v>
          </cell>
          <cell r="P38">
            <v>682193.07550000004</v>
          </cell>
          <cell r="Q38">
            <v>692873.3774</v>
          </cell>
          <cell r="R38">
            <v>703700.88269999996</v>
          </cell>
          <cell r="S38">
            <v>714763.35060000001</v>
          </cell>
          <cell r="T38">
            <v>726141.44689999998</v>
          </cell>
          <cell r="U38">
            <v>737899.44169999997</v>
          </cell>
          <cell r="V38">
            <v>749473.80729999999</v>
          </cell>
          <cell r="W38">
            <v>762111.33790000004</v>
          </cell>
          <cell r="X38">
            <v>775299.91969999997</v>
          </cell>
          <cell r="Y38">
            <v>789080.4425</v>
          </cell>
          <cell r="Z38">
            <v>803479.63760000002</v>
          </cell>
          <cell r="AA38">
            <v>816703.33319999999</v>
          </cell>
          <cell r="AB38">
            <v>831407.40460000001</v>
          </cell>
          <cell r="AC38">
            <v>846761.92729999998</v>
          </cell>
          <cell r="AD38">
            <v>862802.15040000004</v>
          </cell>
          <cell r="AE38">
            <v>879534.86329999997</v>
          </cell>
          <cell r="AF38">
            <v>896941.33030000003</v>
          </cell>
          <cell r="AG38">
            <v>914994.87760000001</v>
          </cell>
          <cell r="AH38">
            <v>933670.83420000004</v>
          </cell>
          <cell r="AI38">
            <v>952949.44979999994</v>
          </cell>
          <cell r="AJ38">
            <v>972814.44700000004</v>
          </cell>
          <cell r="AK38">
            <v>993250.8541</v>
          </cell>
        </row>
        <row r="39">
          <cell r="B39">
            <v>540249.26740000001</v>
          </cell>
          <cell r="C39">
            <v>548220.87210000004</v>
          </cell>
          <cell r="D39">
            <v>557091.1912</v>
          </cell>
          <cell r="E39">
            <v>566420.30649999995</v>
          </cell>
          <cell r="F39">
            <v>576143.10049999994</v>
          </cell>
          <cell r="G39">
            <v>586226.01419999998</v>
          </cell>
          <cell r="H39">
            <v>596149.98199999996</v>
          </cell>
          <cell r="I39">
            <v>606322.00699999998</v>
          </cell>
          <cell r="J39">
            <v>616725.53830000001</v>
          </cell>
          <cell r="K39">
            <v>627355.56480000005</v>
          </cell>
          <cell r="L39">
            <v>638952.34809999994</v>
          </cell>
          <cell r="M39">
            <v>649635.2953</v>
          </cell>
          <cell r="N39">
            <v>660175.98019999999</v>
          </cell>
          <cell r="O39">
            <v>670615.61250000005</v>
          </cell>
          <cell r="P39">
            <v>681023.1851</v>
          </cell>
          <cell r="Q39">
            <v>691481.36219999997</v>
          </cell>
          <cell r="R39">
            <v>702123.49100000004</v>
          </cell>
          <cell r="S39">
            <v>713052.11450000003</v>
          </cell>
          <cell r="T39">
            <v>724345.52980000002</v>
          </cell>
          <cell r="U39">
            <v>736058.63289999997</v>
          </cell>
          <cell r="V39">
            <v>747619.01029999997</v>
          </cell>
          <cell r="W39">
            <v>760266.16379999998</v>
          </cell>
          <cell r="X39">
            <v>773480.07960000006</v>
          </cell>
          <cell r="Y39">
            <v>787292.34660000005</v>
          </cell>
          <cell r="Z39">
            <v>801720.14069999999</v>
          </cell>
          <cell r="AA39">
            <v>814962.71310000005</v>
          </cell>
          <cell r="AB39">
            <v>829665.01679999998</v>
          </cell>
          <cell r="AC39">
            <v>844990.51459999999</v>
          </cell>
          <cell r="AD39">
            <v>860958.81680000003</v>
          </cell>
          <cell r="AE39">
            <v>877559.21270000003</v>
          </cell>
          <cell r="AF39">
            <v>894756.73349999997</v>
          </cell>
          <cell r="AG39">
            <v>912510.79319999996</v>
          </cell>
          <cell r="AH39">
            <v>930781.33189999999</v>
          </cell>
          <cell r="AI39">
            <v>949528.06279999996</v>
          </cell>
          <cell r="AJ39">
            <v>968710.29020000005</v>
          </cell>
          <cell r="AK39">
            <v>988284.92929999996</v>
          </cell>
        </row>
        <row r="40">
          <cell r="B40">
            <v>4213.3121289999999</v>
          </cell>
          <cell r="C40">
            <v>4284.6792740000001</v>
          </cell>
          <cell r="D40">
            <v>4365.1968280000001</v>
          </cell>
          <cell r="E40">
            <v>4450.7083030000003</v>
          </cell>
          <cell r="F40">
            <v>4544.6848609999997</v>
          </cell>
          <cell r="G40">
            <v>4646.2843990000001</v>
          </cell>
          <cell r="H40">
            <v>4750.7489439999999</v>
          </cell>
          <cell r="I40">
            <v>4803.1111080000001</v>
          </cell>
          <cell r="J40">
            <v>4848.8506340000004</v>
          </cell>
          <cell r="K40">
            <v>4913.0459650000003</v>
          </cell>
          <cell r="L40">
            <v>4977.5812580000002</v>
          </cell>
          <cell r="M40">
            <v>5027.3618109999998</v>
          </cell>
          <cell r="N40">
            <v>5062.7848540000005</v>
          </cell>
          <cell r="O40">
            <v>5087.9975279999999</v>
          </cell>
          <cell r="P40">
            <v>5108.5751090000003</v>
          </cell>
          <cell r="Q40">
            <v>5128.3307100000002</v>
          </cell>
          <cell r="R40">
            <v>5159.0580030000001</v>
          </cell>
          <cell r="S40">
            <v>5195.2725810000002</v>
          </cell>
          <cell r="T40">
            <v>5239.748466</v>
          </cell>
          <cell r="U40">
            <v>5294.0477430000001</v>
          </cell>
          <cell r="V40">
            <v>5358.4182199999996</v>
          </cell>
          <cell r="W40">
            <v>5435.2574670000004</v>
          </cell>
          <cell r="X40">
            <v>5525.7669589999996</v>
          </cell>
          <cell r="Y40">
            <v>5630.336155</v>
          </cell>
          <cell r="Z40">
            <v>5748.6421819999996</v>
          </cell>
          <cell r="AA40">
            <v>5877.4756619999998</v>
          </cell>
          <cell r="AB40">
            <v>6016.5145519999996</v>
          </cell>
          <cell r="AC40">
            <v>6170.6067919999996</v>
          </cell>
          <cell r="AD40">
            <v>6339.6282659999997</v>
          </cell>
          <cell r="AE40">
            <v>6521.611825</v>
          </cell>
          <cell r="AF40">
            <v>6713.9426659999999</v>
          </cell>
          <cell r="AG40">
            <v>6914.8632459999999</v>
          </cell>
          <cell r="AH40">
            <v>7123.393599</v>
          </cell>
          <cell r="AI40">
            <v>7338.3610939999999</v>
          </cell>
          <cell r="AJ40">
            <v>7558.6581649999998</v>
          </cell>
          <cell r="AK40">
            <v>7783.3072890000003</v>
          </cell>
        </row>
        <row r="41">
          <cell r="B41">
            <v>4213.3121270000001</v>
          </cell>
          <cell r="C41">
            <v>4284.6792720000003</v>
          </cell>
          <cell r="D41">
            <v>4365.1968269999998</v>
          </cell>
          <cell r="E41">
            <v>4450.7083030000003</v>
          </cell>
          <cell r="F41">
            <v>4544.6848609999997</v>
          </cell>
          <cell r="G41">
            <v>4646.2843990000001</v>
          </cell>
          <cell r="H41">
            <v>4750.7489439999999</v>
          </cell>
          <cell r="I41">
            <v>4855.9159920000002</v>
          </cell>
          <cell r="J41">
            <v>4961.1446109999997</v>
          </cell>
          <cell r="K41">
            <v>5066.4742029999998</v>
          </cell>
          <cell r="L41">
            <v>5168.5408850000003</v>
          </cell>
          <cell r="M41">
            <v>5250.5593429999999</v>
          </cell>
          <cell r="N41">
            <v>5317.6536059999999</v>
          </cell>
          <cell r="O41">
            <v>5374.3939529999998</v>
          </cell>
          <cell r="P41">
            <v>5425.668189</v>
          </cell>
          <cell r="Q41">
            <v>5475.7446959999997</v>
          </cell>
          <cell r="R41">
            <v>5530.6183899999996</v>
          </cell>
          <cell r="S41">
            <v>5594.2506789999998</v>
          </cell>
          <cell r="T41">
            <v>5669.0354010000001</v>
          </cell>
          <cell r="U41">
            <v>5755.9757229999996</v>
          </cell>
          <cell r="V41">
            <v>5854.6888769999996</v>
          </cell>
          <cell r="W41">
            <v>5966.8755840000003</v>
          </cell>
          <cell r="X41">
            <v>6093.1519639999997</v>
          </cell>
          <cell r="Y41">
            <v>6233.690192</v>
          </cell>
          <cell r="Z41">
            <v>6387.9625340000002</v>
          </cell>
          <cell r="AA41">
            <v>6552.4078090000003</v>
          </cell>
          <cell r="AB41">
            <v>6729.1634249999997</v>
          </cell>
          <cell r="AC41">
            <v>6918.6575130000001</v>
          </cell>
          <cell r="AD41">
            <v>7120.5615239999997</v>
          </cell>
          <cell r="AE41">
            <v>7332.5647129999998</v>
          </cell>
          <cell r="AF41">
            <v>7551.5691729999999</v>
          </cell>
          <cell r="AG41">
            <v>7774.9522209999996</v>
          </cell>
          <cell r="AH41">
            <v>8000.7441330000001</v>
          </cell>
          <cell r="AI41">
            <v>8227.2757120000006</v>
          </cell>
          <cell r="AJ41">
            <v>8453.0269129999997</v>
          </cell>
          <cell r="AK41">
            <v>8676.5604220000005</v>
          </cell>
        </row>
        <row r="42">
          <cell r="B42">
            <v>35350.668339999997</v>
          </cell>
          <cell r="C42">
            <v>35673.196669999998</v>
          </cell>
          <cell r="D42">
            <v>36006.56192</v>
          </cell>
          <cell r="E42">
            <v>36366.202230000003</v>
          </cell>
          <cell r="F42">
            <v>36837.656089999997</v>
          </cell>
          <cell r="G42">
            <v>37408.140919999998</v>
          </cell>
          <cell r="H42">
            <v>38029.381730000001</v>
          </cell>
          <cell r="I42">
            <v>37746.874900000003</v>
          </cell>
          <cell r="J42">
            <v>37441.324610000003</v>
          </cell>
          <cell r="K42">
            <v>37274.339950000001</v>
          </cell>
          <cell r="L42">
            <v>37094.179210000002</v>
          </cell>
          <cell r="M42">
            <v>36832.481390000001</v>
          </cell>
          <cell r="N42">
            <v>36495.607839999997</v>
          </cell>
          <cell r="O42">
            <v>36103.417139999998</v>
          </cell>
          <cell r="P42">
            <v>35682.857349999998</v>
          </cell>
          <cell r="Q42">
            <v>35247.255620000004</v>
          </cell>
          <cell r="R42">
            <v>34756.277770000001</v>
          </cell>
          <cell r="S42">
            <v>34260.063580000002</v>
          </cell>
          <cell r="T42">
            <v>33770.16547</v>
          </cell>
          <cell r="U42">
            <v>33291.214679999997</v>
          </cell>
          <cell r="V42">
            <v>32822.403859999999</v>
          </cell>
          <cell r="W42">
            <v>32370.36822</v>
          </cell>
          <cell r="X42">
            <v>31937.28658</v>
          </cell>
          <cell r="Y42">
            <v>31521.890770000002</v>
          </cell>
          <cell r="Z42">
            <v>31119.618030000001</v>
          </cell>
          <cell r="AA42">
            <v>30717.349269999999</v>
          </cell>
          <cell r="AB42">
            <v>30335.52665</v>
          </cell>
          <cell r="AC42">
            <v>29964.139009999999</v>
          </cell>
          <cell r="AD42">
            <v>29599.24999</v>
          </cell>
          <cell r="AE42">
            <v>29228.306410000001</v>
          </cell>
          <cell r="AF42">
            <v>28835.731960000001</v>
          </cell>
          <cell r="AG42">
            <v>28408.814419999999</v>
          </cell>
          <cell r="AH42">
            <v>27937.56666</v>
          </cell>
          <cell r="AI42">
            <v>27411.734240000002</v>
          </cell>
          <cell r="AJ42">
            <v>26820.67236</v>
          </cell>
          <cell r="AK42">
            <v>26153.262449999998</v>
          </cell>
        </row>
        <row r="43">
          <cell r="B43">
            <v>35350.668230000003</v>
          </cell>
          <cell r="C43">
            <v>35673.196559999997</v>
          </cell>
          <cell r="D43">
            <v>36006.561820000003</v>
          </cell>
          <cell r="E43">
            <v>36366.202129999998</v>
          </cell>
          <cell r="F43">
            <v>36837.655989999999</v>
          </cell>
          <cell r="G43">
            <v>37408.140820000001</v>
          </cell>
          <cell r="H43">
            <v>38029.381630000003</v>
          </cell>
          <cell r="I43">
            <v>38669.435400000002</v>
          </cell>
          <cell r="J43">
            <v>39317.927239999997</v>
          </cell>
          <cell r="K43">
            <v>39972.003660000002</v>
          </cell>
          <cell r="L43">
            <v>40611.234830000001</v>
          </cell>
          <cell r="M43">
            <v>41142.031009999999</v>
          </cell>
          <cell r="N43">
            <v>41588.992610000001</v>
          </cell>
          <cell r="O43">
            <v>41973.472309999997</v>
          </cell>
          <cell r="P43">
            <v>42317.986089999999</v>
          </cell>
          <cell r="Q43">
            <v>42642.24912</v>
          </cell>
          <cell r="R43">
            <v>42986.001129999997</v>
          </cell>
          <cell r="S43">
            <v>43374.005790000003</v>
          </cell>
          <cell r="T43">
            <v>43818.276570000002</v>
          </cell>
          <cell r="U43">
            <v>44322.020239999998</v>
          </cell>
          <cell r="V43">
            <v>44882.031860000003</v>
          </cell>
          <cell r="W43">
            <v>45506.270040000003</v>
          </cell>
          <cell r="X43">
            <v>46198.278389999999</v>
          </cell>
          <cell r="Y43">
            <v>46960.41734</v>
          </cell>
          <cell r="Z43">
            <v>47791.863899999997</v>
          </cell>
          <cell r="AA43">
            <v>48678.596879999997</v>
          </cell>
          <cell r="AB43">
            <v>49634.751810000002</v>
          </cell>
          <cell r="AC43">
            <v>50666.019540000001</v>
          </cell>
          <cell r="AD43">
            <v>51773.837870000003</v>
          </cell>
          <cell r="AE43">
            <v>52948.735390000002</v>
          </cell>
          <cell r="AF43">
            <v>54176.146979999998</v>
          </cell>
          <cell r="AG43">
            <v>55443.177649999998</v>
          </cell>
          <cell r="AH43">
            <v>56739.335120000003</v>
          </cell>
          <cell r="AI43">
            <v>58054.703809999999</v>
          </cell>
          <cell r="AJ43">
            <v>59379.252619999999</v>
          </cell>
          <cell r="AK43">
            <v>60702.53095</v>
          </cell>
        </row>
        <row r="44">
          <cell r="B44">
            <v>3918.7916530000002</v>
          </cell>
          <cell r="C44">
            <v>3935.8140279999998</v>
          </cell>
          <cell r="D44">
            <v>3951.7297229999999</v>
          </cell>
          <cell r="E44">
            <v>3972.407432</v>
          </cell>
          <cell r="F44">
            <v>4006.2500879999998</v>
          </cell>
          <cell r="G44">
            <v>4051.9387240000001</v>
          </cell>
          <cell r="H44">
            <v>4105.3578470000002</v>
          </cell>
          <cell r="I44">
            <v>5030.6561650000003</v>
          </cell>
          <cell r="J44">
            <v>5991.1881309999999</v>
          </cell>
          <cell r="K44">
            <v>6997.4707390000003</v>
          </cell>
          <cell r="L44">
            <v>8045.7704299999996</v>
          </cell>
          <cell r="M44">
            <v>9135.6350899999998</v>
          </cell>
          <cell r="N44">
            <v>10265.57596</v>
          </cell>
          <cell r="O44">
            <v>11435.248879999999</v>
          </cell>
          <cell r="P44">
            <v>12646.225930000001</v>
          </cell>
          <cell r="Q44">
            <v>13900.084919999999</v>
          </cell>
          <cell r="R44">
            <v>15192.77153</v>
          </cell>
          <cell r="S44">
            <v>16530.161909999999</v>
          </cell>
          <cell r="T44">
            <v>17919.15076</v>
          </cell>
          <cell r="U44">
            <v>19366.485499999999</v>
          </cell>
          <cell r="V44">
            <v>20877.60512</v>
          </cell>
          <cell r="W44">
            <v>22462.335780000001</v>
          </cell>
          <cell r="X44">
            <v>24130.204849999998</v>
          </cell>
          <cell r="Y44">
            <v>25890.856950000001</v>
          </cell>
          <cell r="Z44">
            <v>27753.860939999999</v>
          </cell>
          <cell r="AA44">
            <v>29723.22222</v>
          </cell>
          <cell r="AB44">
            <v>31816.653859999999</v>
          </cell>
          <cell r="AC44">
            <v>34052.274619999997</v>
          </cell>
          <cell r="AD44">
            <v>36447.74351</v>
          </cell>
          <cell r="AE44">
            <v>39018.898910000004</v>
          </cell>
          <cell r="AF44">
            <v>41781.414040000003</v>
          </cell>
          <cell r="AG44">
            <v>44754.892440000003</v>
          </cell>
          <cell r="AH44">
            <v>47965.002059999999</v>
          </cell>
          <cell r="AI44">
            <v>51443.668859999998</v>
          </cell>
          <cell r="AJ44">
            <v>55233.487520000002</v>
          </cell>
          <cell r="AK44">
            <v>59395.649100000002</v>
          </cell>
        </row>
        <row r="45">
          <cell r="B45">
            <v>3918.7916530000002</v>
          </cell>
          <cell r="C45">
            <v>3935.8140269999999</v>
          </cell>
          <cell r="D45">
            <v>3951.7297229999999</v>
          </cell>
          <cell r="E45">
            <v>3972.4074310000001</v>
          </cell>
          <cell r="F45">
            <v>4006.2500869999999</v>
          </cell>
          <cell r="G45">
            <v>4051.9387219999999</v>
          </cell>
          <cell r="H45">
            <v>4105.3578459999999</v>
          </cell>
          <cell r="I45">
            <v>4162.5394900000001</v>
          </cell>
          <cell r="J45">
            <v>4221.6336250000004</v>
          </cell>
          <cell r="K45">
            <v>4281.7676019999999</v>
          </cell>
          <cell r="L45">
            <v>4341.7154760000003</v>
          </cell>
          <cell r="M45">
            <v>4395.8467890000002</v>
          </cell>
          <cell r="N45">
            <v>4444.4795640000002</v>
          </cell>
          <cell r="O45">
            <v>4488.2679520000002</v>
          </cell>
          <cell r="P45">
            <v>4528.1785440000003</v>
          </cell>
          <cell r="Q45">
            <v>4565.2533670000003</v>
          </cell>
          <cell r="R45">
            <v>4601.9583000000002</v>
          </cell>
          <cell r="S45">
            <v>4640.5045469999995</v>
          </cell>
          <cell r="T45">
            <v>4682.0428629999997</v>
          </cell>
          <cell r="U45">
            <v>4727.0169740000001</v>
          </cell>
          <cell r="V45">
            <v>4775.2352970000002</v>
          </cell>
          <cell r="W45">
            <v>4827.4118159999998</v>
          </cell>
          <cell r="X45">
            <v>4883.9047680000003</v>
          </cell>
          <cell r="Y45">
            <v>4945.0311089999996</v>
          </cell>
          <cell r="Z45">
            <v>5010.9464360000002</v>
          </cell>
          <cell r="AA45">
            <v>5080.5831040000003</v>
          </cell>
          <cell r="AB45">
            <v>5155.0604960000001</v>
          </cell>
          <cell r="AC45">
            <v>5234.8398340000003</v>
          </cell>
          <cell r="AD45">
            <v>5320.1598020000001</v>
          </cell>
          <cell r="AE45">
            <v>5410.6422839999996</v>
          </cell>
          <cell r="AF45">
            <v>5505.5215269999999</v>
          </cell>
          <cell r="AG45">
            <v>5603.9743920000001</v>
          </cell>
          <cell r="AH45">
            <v>5705.2030430000004</v>
          </cell>
          <cell r="AI45">
            <v>5808.3711739999999</v>
          </cell>
          <cell r="AJ45">
            <v>5912.5845790000003</v>
          </cell>
          <cell r="AK45">
            <v>6016.8939229999996</v>
          </cell>
        </row>
        <row r="46">
          <cell r="B46">
            <v>398.34881999999999</v>
          </cell>
          <cell r="C46">
            <v>400.93682580000001</v>
          </cell>
          <cell r="D46">
            <v>404.00359159999999</v>
          </cell>
          <cell r="E46">
            <v>406.82888250000002</v>
          </cell>
          <cell r="F46">
            <v>411.49840829999999</v>
          </cell>
          <cell r="G46">
            <v>417.45955479999998</v>
          </cell>
          <cell r="H46">
            <v>422.37608030000001</v>
          </cell>
          <cell r="I46">
            <v>403.094065</v>
          </cell>
          <cell r="J46">
            <v>384.13068340000001</v>
          </cell>
          <cell r="K46">
            <v>367.56065030000002</v>
          </cell>
          <cell r="L46">
            <v>351.98845540000002</v>
          </cell>
          <cell r="M46">
            <v>336.83348569999998</v>
          </cell>
          <cell r="N46">
            <v>321.77063809999999</v>
          </cell>
          <cell r="O46">
            <v>306.8604684</v>
          </cell>
          <cell r="P46">
            <v>292.27733449999999</v>
          </cell>
          <cell r="Q46">
            <v>278.09720959999999</v>
          </cell>
          <cell r="R46">
            <v>264.59658439999998</v>
          </cell>
          <cell r="S46">
            <v>251.69635260000001</v>
          </cell>
          <cell r="T46">
            <v>239.3348407</v>
          </cell>
          <cell r="U46">
            <v>227.44236889999999</v>
          </cell>
          <cell r="V46">
            <v>215.91300480000001</v>
          </cell>
          <cell r="W46">
            <v>204.7580748</v>
          </cell>
          <cell r="X46">
            <v>193.90374499999999</v>
          </cell>
          <cell r="Y46">
            <v>183.2711271</v>
          </cell>
          <cell r="Z46">
            <v>172.77159760000001</v>
          </cell>
          <cell r="AA46">
            <v>162.23581480000001</v>
          </cell>
          <cell r="AB46">
            <v>151.70336710000001</v>
          </cell>
          <cell r="AC46">
            <v>141.1270753</v>
          </cell>
          <cell r="AD46">
            <v>130.4218869</v>
          </cell>
          <cell r="AE46">
            <v>119.4721452</v>
          </cell>
          <cell r="AF46">
            <v>108.1606371</v>
          </cell>
          <cell r="AG46">
            <v>96.390294479999994</v>
          </cell>
          <cell r="AH46">
            <v>84.076922139999994</v>
          </cell>
          <cell r="AI46">
            <v>71.133649930000004</v>
          </cell>
          <cell r="AJ46">
            <v>57.468002319999997</v>
          </cell>
          <cell r="AK46">
            <v>42.975362609999998</v>
          </cell>
        </row>
        <row r="47">
          <cell r="B47">
            <v>398.3487973</v>
          </cell>
          <cell r="C47">
            <v>400.93680410000002</v>
          </cell>
          <cell r="D47">
            <v>404.00357059999999</v>
          </cell>
          <cell r="E47">
            <v>406.82886250000001</v>
          </cell>
          <cell r="F47">
            <v>411.4983886</v>
          </cell>
          <cell r="G47">
            <v>417.4595352</v>
          </cell>
          <cell r="H47">
            <v>422.37606060000002</v>
          </cell>
          <cell r="I47">
            <v>426.6047896</v>
          </cell>
          <cell r="J47">
            <v>430.49299860000002</v>
          </cell>
          <cell r="K47">
            <v>434.2337607</v>
          </cell>
          <cell r="L47">
            <v>437.770309</v>
          </cell>
          <cell r="M47">
            <v>439.98418629999998</v>
          </cell>
          <cell r="N47">
            <v>441.20395239999999</v>
          </cell>
          <cell r="O47">
            <v>441.74309119999998</v>
          </cell>
          <cell r="P47">
            <v>441.90900959999999</v>
          </cell>
          <cell r="Q47">
            <v>441.96362529999999</v>
          </cell>
          <cell r="R47">
            <v>443.35219439999997</v>
          </cell>
          <cell r="S47">
            <v>445.82934719999997</v>
          </cell>
          <cell r="T47">
            <v>449.30057950000003</v>
          </cell>
          <cell r="U47">
            <v>453.6800882</v>
          </cell>
          <cell r="V47">
            <v>458.8273987</v>
          </cell>
          <cell r="W47">
            <v>464.86488439999999</v>
          </cell>
          <cell r="X47">
            <v>471.7950902</v>
          </cell>
          <cell r="Y47">
            <v>479.62285739999999</v>
          </cell>
          <cell r="Z47">
            <v>488.32423139999997</v>
          </cell>
          <cell r="AA47">
            <v>497.62304840000002</v>
          </cell>
          <cell r="AB47">
            <v>507.7989536</v>
          </cell>
          <cell r="AC47">
            <v>518.88958990000003</v>
          </cell>
          <cell r="AD47">
            <v>530.89360079999994</v>
          </cell>
          <cell r="AE47">
            <v>543.69323589999999</v>
          </cell>
          <cell r="AF47">
            <v>557.1105483</v>
          </cell>
          <cell r="AG47">
            <v>570.9833155</v>
          </cell>
          <cell r="AH47">
            <v>585.17428800000005</v>
          </cell>
          <cell r="AI47">
            <v>599.56076499999995</v>
          </cell>
          <cell r="AJ47">
            <v>614.02479949999997</v>
          </cell>
          <cell r="AK47">
            <v>628.44873700000005</v>
          </cell>
        </row>
        <row r="48">
          <cell r="B48">
            <v>559.21752379999998</v>
          </cell>
          <cell r="C48">
            <v>562.8506668</v>
          </cell>
          <cell r="D48">
            <v>567.1559115</v>
          </cell>
          <cell r="E48">
            <v>571.12216450000005</v>
          </cell>
          <cell r="F48">
            <v>577.67742599999997</v>
          </cell>
          <cell r="G48">
            <v>586.04591449999998</v>
          </cell>
          <cell r="H48">
            <v>592.94792380000001</v>
          </cell>
          <cell r="I48">
            <v>678.4818315</v>
          </cell>
          <cell r="J48">
            <v>761.11322729999995</v>
          </cell>
          <cell r="K48">
            <v>845.54943939999998</v>
          </cell>
          <cell r="L48">
            <v>930.15738380000005</v>
          </cell>
          <cell r="M48">
            <v>1014.012536</v>
          </cell>
          <cell r="N48">
            <v>1096.2684369999999</v>
          </cell>
          <cell r="O48">
            <v>1177.04277</v>
          </cell>
          <cell r="P48">
            <v>1257.035905</v>
          </cell>
          <cell r="Q48">
            <v>1336.8195599999999</v>
          </cell>
          <cell r="R48">
            <v>1418.2464849999999</v>
          </cell>
          <cell r="S48">
            <v>1501.7905410000001</v>
          </cell>
          <cell r="T48">
            <v>1588.0225419999999</v>
          </cell>
          <cell r="U48">
            <v>1677.482143</v>
          </cell>
          <cell r="V48">
            <v>1770.421137</v>
          </cell>
          <cell r="W48">
            <v>1868.0394020000001</v>
          </cell>
          <cell r="X48">
            <v>1970.9991339999999</v>
          </cell>
          <cell r="Y48">
            <v>2079.9418919999998</v>
          </cell>
          <cell r="Z48">
            <v>2195.4082739999999</v>
          </cell>
          <cell r="AA48">
            <v>2316.756711</v>
          </cell>
          <cell r="AB48">
            <v>2446.0769019999998</v>
          </cell>
          <cell r="AC48">
            <v>2584.7628749999999</v>
          </cell>
          <cell r="AD48">
            <v>2733.8540280000002</v>
          </cell>
          <cell r="AE48">
            <v>2893.8485219999998</v>
          </cell>
          <cell r="AF48">
            <v>3065.0278509999998</v>
          </cell>
          <cell r="AG48">
            <v>3248.016114</v>
          </cell>
          <cell r="AH48">
            <v>3443.914921</v>
          </cell>
          <cell r="AI48">
            <v>3654.1207800000002</v>
          </cell>
          <cell r="AJ48">
            <v>3880.5078520000002</v>
          </cell>
          <cell r="AK48">
            <v>4125.6348109999999</v>
          </cell>
        </row>
        <row r="49">
          <cell r="B49">
            <v>559.2176485</v>
          </cell>
          <cell r="C49">
            <v>562.85079370000005</v>
          </cell>
          <cell r="D49">
            <v>567.15604069999995</v>
          </cell>
          <cell r="E49">
            <v>571.12229609999997</v>
          </cell>
          <cell r="F49">
            <v>577.67755990000001</v>
          </cell>
          <cell r="G49">
            <v>586.04605100000003</v>
          </cell>
          <cell r="H49">
            <v>592.94806200000005</v>
          </cell>
          <cell r="I49">
            <v>598.88451750000002</v>
          </cell>
          <cell r="J49">
            <v>604.34293749999995</v>
          </cell>
          <cell r="K49">
            <v>609.59436589999996</v>
          </cell>
          <cell r="L49">
            <v>614.55911100000003</v>
          </cell>
          <cell r="M49">
            <v>617.66703859999996</v>
          </cell>
          <cell r="N49">
            <v>619.37939410000001</v>
          </cell>
          <cell r="O49">
            <v>620.13625839999997</v>
          </cell>
          <cell r="P49">
            <v>620.36918109999999</v>
          </cell>
          <cell r="Q49">
            <v>620.44585270000005</v>
          </cell>
          <cell r="R49">
            <v>622.39518050000004</v>
          </cell>
          <cell r="S49">
            <v>625.87270460000002</v>
          </cell>
          <cell r="T49">
            <v>630.74575649999997</v>
          </cell>
          <cell r="U49">
            <v>636.89388240000005</v>
          </cell>
          <cell r="V49">
            <v>644.11987850000003</v>
          </cell>
          <cell r="W49">
            <v>652.59553749999998</v>
          </cell>
          <cell r="X49">
            <v>662.32443190000004</v>
          </cell>
          <cell r="Y49">
            <v>673.31335820000004</v>
          </cell>
          <cell r="Z49">
            <v>685.52868790000002</v>
          </cell>
          <cell r="AA49">
            <v>698.58273150000002</v>
          </cell>
          <cell r="AB49">
            <v>712.868066</v>
          </cell>
          <cell r="AC49">
            <v>728.43753570000001</v>
          </cell>
          <cell r="AD49">
            <v>745.28923650000002</v>
          </cell>
          <cell r="AE49">
            <v>763.25786579999999</v>
          </cell>
          <cell r="AF49">
            <v>782.09361449999994</v>
          </cell>
          <cell r="AG49">
            <v>801.56874860000005</v>
          </cell>
          <cell r="AH49">
            <v>821.49059190000003</v>
          </cell>
          <cell r="AI49">
            <v>841.68689189999998</v>
          </cell>
          <cell r="AJ49">
            <v>861.99207019999994</v>
          </cell>
          <cell r="AK49">
            <v>882.24095869999996</v>
          </cell>
        </row>
        <row r="50">
          <cell r="B50">
            <v>46402.331720000002</v>
          </cell>
          <cell r="C50">
            <v>47138.91128</v>
          </cell>
          <cell r="D50">
            <v>47864.2889</v>
          </cell>
          <cell r="E50">
            <v>48662.891130000004</v>
          </cell>
          <cell r="F50">
            <v>49405.204610000001</v>
          </cell>
          <cell r="G50">
            <v>50158.793879999997</v>
          </cell>
          <cell r="H50">
            <v>50953.79088</v>
          </cell>
          <cell r="I50">
            <v>52389.226560000003</v>
          </cell>
          <cell r="J50">
            <v>54013.568879999999</v>
          </cell>
          <cell r="K50">
            <v>55863.558859999997</v>
          </cell>
          <cell r="L50">
            <v>57718.896009999997</v>
          </cell>
          <cell r="M50">
            <v>59243.586340000002</v>
          </cell>
          <cell r="N50">
            <v>60538.48158</v>
          </cell>
          <cell r="O50">
            <v>61699.49396</v>
          </cell>
          <cell r="P50">
            <v>62814.113369999999</v>
          </cell>
          <cell r="Q50">
            <v>63938.91878</v>
          </cell>
          <cell r="R50">
            <v>65120.222650000003</v>
          </cell>
          <cell r="S50">
            <v>66411.138659999997</v>
          </cell>
          <cell r="T50">
            <v>67831.738270000002</v>
          </cell>
          <cell r="U50">
            <v>69404.649210000003</v>
          </cell>
          <cell r="V50">
            <v>71141.929659999994</v>
          </cell>
          <cell r="W50">
            <v>73095.68492</v>
          </cell>
          <cell r="X50">
            <v>75298.495349999997</v>
          </cell>
          <cell r="Y50">
            <v>77779.055600000007</v>
          </cell>
          <cell r="Z50">
            <v>80563.192049999998</v>
          </cell>
          <cell r="AA50">
            <v>83634.928119999997</v>
          </cell>
          <cell r="AB50">
            <v>87099.763489999998</v>
          </cell>
          <cell r="AC50">
            <v>91008.087150000007</v>
          </cell>
          <cell r="AD50">
            <v>95412.72133</v>
          </cell>
          <cell r="AE50">
            <v>100354.618</v>
          </cell>
          <cell r="AF50">
            <v>105875.38589999999</v>
          </cell>
          <cell r="AG50">
            <v>112038.7638</v>
          </cell>
          <cell r="AH50">
            <v>118938.1623</v>
          </cell>
          <cell r="AI50">
            <v>126691.6972</v>
          </cell>
          <cell r="AJ50">
            <v>135453.71470000001</v>
          </cell>
          <cell r="AK50">
            <v>145431.62899999999</v>
          </cell>
        </row>
        <row r="51">
          <cell r="B51">
            <v>46402.331709999999</v>
          </cell>
          <cell r="C51">
            <v>47138.911269999997</v>
          </cell>
          <cell r="D51">
            <v>47864.288890000003</v>
          </cell>
          <cell r="E51">
            <v>48662.891109999997</v>
          </cell>
          <cell r="F51">
            <v>49405.204599999997</v>
          </cell>
          <cell r="G51">
            <v>50158.793870000001</v>
          </cell>
          <cell r="H51">
            <v>50953.790869999997</v>
          </cell>
          <cell r="I51">
            <v>51791.302049999998</v>
          </cell>
          <cell r="J51">
            <v>52652.519500000002</v>
          </cell>
          <cell r="K51">
            <v>53526.802730000003</v>
          </cell>
          <cell r="L51">
            <v>54390.677629999998</v>
          </cell>
          <cell r="M51">
            <v>55098.87876</v>
          </cell>
          <cell r="N51">
            <v>55675.825230000002</v>
          </cell>
          <cell r="O51">
            <v>56150.588960000001</v>
          </cell>
          <cell r="P51">
            <v>56559.799209999997</v>
          </cell>
          <cell r="Q51">
            <v>56939.457020000002</v>
          </cell>
          <cell r="R51">
            <v>57304.760739999998</v>
          </cell>
          <cell r="S51">
            <v>57697.224620000001</v>
          </cell>
          <cell r="T51">
            <v>58151.408109999997</v>
          </cell>
          <cell r="U51">
            <v>58687.661990000001</v>
          </cell>
          <cell r="V51">
            <v>59307.67179</v>
          </cell>
          <cell r="W51">
            <v>60041.858549999997</v>
          </cell>
          <cell r="X51">
            <v>60897.846160000001</v>
          </cell>
          <cell r="Y51">
            <v>61880.608619999999</v>
          </cell>
          <cell r="Z51">
            <v>62990.410620000002</v>
          </cell>
          <cell r="AA51">
            <v>64189.372470000002</v>
          </cell>
          <cell r="AB51">
            <v>65516.133450000001</v>
          </cell>
          <cell r="AC51">
            <v>66972.086729999995</v>
          </cell>
          <cell r="AD51">
            <v>68553.827009999994</v>
          </cell>
          <cell r="AE51">
            <v>70241.924360000005</v>
          </cell>
          <cell r="AF51">
            <v>72009.360270000005</v>
          </cell>
          <cell r="AG51">
            <v>73831.125769999999</v>
          </cell>
          <cell r="AH51">
            <v>75686.418449999997</v>
          </cell>
          <cell r="AI51">
            <v>77556.721690000006</v>
          </cell>
          <cell r="AJ51">
            <v>79424.920100000003</v>
          </cell>
          <cell r="AK51">
            <v>81274.972649999996</v>
          </cell>
        </row>
        <row r="52">
          <cell r="B52">
            <v>924.79195589999995</v>
          </cell>
          <cell r="C52">
            <v>939.47188329999994</v>
          </cell>
          <cell r="D52">
            <v>953.92855740000005</v>
          </cell>
          <cell r="E52">
            <v>969.84458759999995</v>
          </cell>
          <cell r="F52">
            <v>984.63879110000005</v>
          </cell>
          <cell r="G52">
            <v>999.65771940000002</v>
          </cell>
          <cell r="H52">
            <v>1015.501898</v>
          </cell>
          <cell r="I52">
            <v>1028.7903349999999</v>
          </cell>
          <cell r="J52">
            <v>1044.3145079999999</v>
          </cell>
          <cell r="K52">
            <v>1062.515639</v>
          </cell>
          <cell r="L52">
            <v>1078.9623819999999</v>
          </cell>
          <cell r="M52">
            <v>1087.3744320000001</v>
          </cell>
          <cell r="N52">
            <v>1089.8002899999999</v>
          </cell>
          <cell r="O52">
            <v>1088.07221</v>
          </cell>
          <cell r="P52">
            <v>1083.7422389999999</v>
          </cell>
          <cell r="Q52">
            <v>1077.705735</v>
          </cell>
          <cell r="R52">
            <v>1070.590338</v>
          </cell>
          <cell r="S52">
            <v>1063.0405459999999</v>
          </cell>
          <cell r="T52">
            <v>1055.072261</v>
          </cell>
          <cell r="U52">
            <v>1046.674698</v>
          </cell>
          <cell r="V52">
            <v>1037.6049479999999</v>
          </cell>
          <cell r="W52">
            <v>1028.1179910000001</v>
          </cell>
          <cell r="X52">
            <v>1018.044034</v>
          </cell>
          <cell r="Y52">
            <v>1007.026586</v>
          </cell>
          <cell r="Z52">
            <v>994.52903309999999</v>
          </cell>
          <cell r="AA52">
            <v>979.36853789999998</v>
          </cell>
          <cell r="AB52">
            <v>961.63722099999995</v>
          </cell>
          <cell r="AC52">
            <v>940.43861049999998</v>
          </cell>
          <cell r="AD52">
            <v>914.5846841</v>
          </cell>
          <cell r="AE52">
            <v>882.41351899999995</v>
          </cell>
          <cell r="AF52">
            <v>841.88205970000001</v>
          </cell>
          <cell r="AG52">
            <v>790.65347210000004</v>
          </cell>
          <cell r="AH52">
            <v>725.96403659999999</v>
          </cell>
          <cell r="AI52">
            <v>644.34399159999998</v>
          </cell>
          <cell r="AJ52">
            <v>541.38336600000002</v>
          </cell>
          <cell r="AK52">
            <v>411.371013</v>
          </cell>
        </row>
        <row r="53">
          <cell r="B53">
            <v>924.79195579999998</v>
          </cell>
          <cell r="C53">
            <v>939.47188310000001</v>
          </cell>
          <cell r="D53">
            <v>953.9285572</v>
          </cell>
          <cell r="E53">
            <v>969.84458729999994</v>
          </cell>
          <cell r="F53">
            <v>984.6387909</v>
          </cell>
          <cell r="G53">
            <v>999.65771919999997</v>
          </cell>
          <cell r="H53">
            <v>1015.501898</v>
          </cell>
          <cell r="I53">
            <v>1032.1933779999999</v>
          </cell>
          <cell r="J53">
            <v>1049.357321</v>
          </cell>
          <cell r="K53">
            <v>1066.781663</v>
          </cell>
          <cell r="L53">
            <v>1083.998568</v>
          </cell>
          <cell r="M53">
            <v>1098.1129169999999</v>
          </cell>
          <cell r="N53">
            <v>1109.6113800000001</v>
          </cell>
          <cell r="O53">
            <v>1119.0733540000001</v>
          </cell>
          <cell r="P53">
            <v>1127.2288570000001</v>
          </cell>
          <cell r="Q53">
            <v>1134.795384</v>
          </cell>
          <cell r="R53">
            <v>1142.075836</v>
          </cell>
          <cell r="S53">
            <v>1149.897586</v>
          </cell>
          <cell r="T53">
            <v>1158.9493990000001</v>
          </cell>
          <cell r="U53">
            <v>1169.6368629999999</v>
          </cell>
          <cell r="V53">
            <v>1181.9935720000001</v>
          </cell>
          <cell r="W53">
            <v>1196.6258110000001</v>
          </cell>
          <cell r="X53">
            <v>1213.685524</v>
          </cell>
          <cell r="Y53">
            <v>1233.271841</v>
          </cell>
          <cell r="Z53">
            <v>1255.39004</v>
          </cell>
          <cell r="AA53">
            <v>1279.285181</v>
          </cell>
          <cell r="AB53">
            <v>1305.727341</v>
          </cell>
          <cell r="AC53">
            <v>1334.744285</v>
          </cell>
          <cell r="AD53">
            <v>1366.268147</v>
          </cell>
          <cell r="AE53">
            <v>1399.9116899999999</v>
          </cell>
          <cell r="AF53">
            <v>1435.13644</v>
          </cell>
          <cell r="AG53">
            <v>1471.44397</v>
          </cell>
          <cell r="AH53">
            <v>1508.4196930000001</v>
          </cell>
          <cell r="AI53">
            <v>1545.6945740000001</v>
          </cell>
          <cell r="AJ53">
            <v>1582.927506</v>
          </cell>
          <cell r="AK53">
            <v>1619.7987929999999</v>
          </cell>
        </row>
        <row r="54">
          <cell r="B54">
            <v>1343.8780650000001</v>
          </cell>
          <cell r="C54">
            <v>1365.210466</v>
          </cell>
          <cell r="D54">
            <v>1386.2184420000001</v>
          </cell>
          <cell r="E54">
            <v>1409.3471070000001</v>
          </cell>
          <cell r="F54">
            <v>1430.84557</v>
          </cell>
          <cell r="G54">
            <v>1452.6705959999999</v>
          </cell>
          <cell r="H54">
            <v>1475.694849</v>
          </cell>
          <cell r="I54">
            <v>1492.589919</v>
          </cell>
          <cell r="J54">
            <v>1512.492808</v>
          </cell>
          <cell r="K54">
            <v>1535.998801</v>
          </cell>
          <cell r="L54">
            <v>1556.6619780000001</v>
          </cell>
          <cell r="M54">
            <v>1565.4215899999999</v>
          </cell>
          <cell r="N54">
            <v>1565.2605269999999</v>
          </cell>
          <cell r="O54">
            <v>1558.828865</v>
          </cell>
          <cell r="P54">
            <v>1548.3517810000001</v>
          </cell>
          <cell r="Q54">
            <v>1535.0937630000001</v>
          </cell>
          <cell r="R54">
            <v>1519.920312</v>
          </cell>
          <cell r="S54">
            <v>1503.7027129999999</v>
          </cell>
          <cell r="T54">
            <v>1486.4035140000001</v>
          </cell>
          <cell r="U54">
            <v>1467.9342449999999</v>
          </cell>
          <cell r="V54">
            <v>1447.8657330000001</v>
          </cell>
          <cell r="W54">
            <v>1426.444986</v>
          </cell>
          <cell r="X54">
            <v>1403.296126</v>
          </cell>
          <cell r="Y54">
            <v>1377.754747</v>
          </cell>
          <cell r="Z54">
            <v>1348.8753059999999</v>
          </cell>
          <cell r="AA54">
            <v>1314.8026600000001</v>
          </cell>
          <cell r="AB54">
            <v>1275.3537060000001</v>
          </cell>
          <cell r="AC54">
            <v>1228.926058</v>
          </cell>
          <cell r="AD54">
            <v>1173.4400439999999</v>
          </cell>
          <cell r="AE54">
            <v>1106.0899199999999</v>
          </cell>
          <cell r="AF54">
            <v>1023.453939</v>
          </cell>
          <cell r="AG54">
            <v>921.56759380000005</v>
          </cell>
          <cell r="AH54">
            <v>795.68550660000005</v>
          </cell>
          <cell r="AI54">
            <v>639.84736150000003</v>
          </cell>
          <cell r="AJ54">
            <v>446.46448880000003</v>
          </cell>
          <cell r="AK54">
            <v>205.6855065</v>
          </cell>
        </row>
        <row r="55">
          <cell r="B55">
            <v>1343.8780650000001</v>
          </cell>
          <cell r="C55">
            <v>1365.2104650000001</v>
          </cell>
          <cell r="D55">
            <v>1386.218441</v>
          </cell>
          <cell r="E55">
            <v>1409.3471070000001</v>
          </cell>
          <cell r="F55">
            <v>1430.84557</v>
          </cell>
          <cell r="G55">
            <v>1452.6705959999999</v>
          </cell>
          <cell r="H55">
            <v>1475.694849</v>
          </cell>
          <cell r="I55">
            <v>1499.9503729999999</v>
          </cell>
          <cell r="J55">
            <v>1524.892466</v>
          </cell>
          <cell r="K55">
            <v>1550.2129620000001</v>
          </cell>
          <cell r="L55">
            <v>1575.2320179999999</v>
          </cell>
          <cell r="M55">
            <v>1595.742538</v>
          </cell>
          <cell r="N55">
            <v>1612.4517350000001</v>
          </cell>
          <cell r="O55">
            <v>1626.2015730000001</v>
          </cell>
          <cell r="P55">
            <v>1638.0528890000001</v>
          </cell>
          <cell r="Q55">
            <v>1649.0483240000001</v>
          </cell>
          <cell r="R55">
            <v>1659.6280429999999</v>
          </cell>
          <cell r="S55">
            <v>1670.9943599999999</v>
          </cell>
          <cell r="T55">
            <v>1684.1481650000001</v>
          </cell>
          <cell r="U55">
            <v>1699.678846</v>
          </cell>
          <cell r="V55">
            <v>1717.635219</v>
          </cell>
          <cell r="W55">
            <v>1738.8983209999999</v>
          </cell>
          <cell r="X55">
            <v>1763.6889490000001</v>
          </cell>
          <cell r="Y55">
            <v>1792.151159</v>
          </cell>
          <cell r="Z55">
            <v>1824.2926170000001</v>
          </cell>
          <cell r="AA55">
            <v>1859.016271</v>
          </cell>
          <cell r="AB55">
            <v>1897.4411720000001</v>
          </cell>
          <cell r="AC55">
            <v>1939.6076660000001</v>
          </cell>
          <cell r="AD55">
            <v>1985.4171329999999</v>
          </cell>
          <cell r="AE55">
            <v>2034.306853</v>
          </cell>
          <cell r="AF55">
            <v>2085.4943309999999</v>
          </cell>
          <cell r="AG55">
            <v>2138.2552730000002</v>
          </cell>
          <cell r="AH55">
            <v>2191.9872089999999</v>
          </cell>
          <cell r="AI55">
            <v>2246.1538730000002</v>
          </cell>
          <cell r="AJ55">
            <v>2300.2595780000001</v>
          </cell>
          <cell r="AK55">
            <v>2353.8397519999999</v>
          </cell>
        </row>
        <row r="56">
          <cell r="B56">
            <v>1220.9208349999999</v>
          </cell>
          <cell r="C56">
            <v>1240.301442</v>
          </cell>
          <cell r="D56">
            <v>1259.387307</v>
          </cell>
          <cell r="E56">
            <v>1280.3998309999999</v>
          </cell>
          <cell r="F56">
            <v>1299.9313059999999</v>
          </cell>
          <cell r="G56">
            <v>1319.759466</v>
          </cell>
          <cell r="H56">
            <v>1340.67713</v>
          </cell>
          <cell r="I56">
            <v>1356.142317</v>
          </cell>
          <cell r="J56">
            <v>1374.3516959999999</v>
          </cell>
          <cell r="K56">
            <v>1395.848287</v>
          </cell>
          <cell r="L56">
            <v>1414.776245</v>
          </cell>
          <cell r="M56">
            <v>1422.9006810000001</v>
          </cell>
          <cell r="N56">
            <v>1422.9312749999999</v>
          </cell>
          <cell r="O56">
            <v>1417.2762359999999</v>
          </cell>
          <cell r="P56">
            <v>1407.9585999999999</v>
          </cell>
          <cell r="Q56">
            <v>1396.128919</v>
          </cell>
          <cell r="R56">
            <v>1382.57574</v>
          </cell>
          <cell r="S56">
            <v>1368.093764</v>
          </cell>
          <cell r="T56">
            <v>1352.651871</v>
          </cell>
          <cell r="U56">
            <v>1336.1731810000001</v>
          </cell>
          <cell r="V56">
            <v>1318.2714430000001</v>
          </cell>
          <cell r="W56">
            <v>1299.176995</v>
          </cell>
          <cell r="X56">
            <v>1278.554547</v>
          </cell>
          <cell r="Y56">
            <v>1255.807507</v>
          </cell>
          <cell r="Z56">
            <v>1230.0848000000001</v>
          </cell>
          <cell r="AA56">
            <v>1199.707557</v>
          </cell>
          <cell r="AB56">
            <v>1164.524643</v>
          </cell>
          <cell r="AC56">
            <v>1123.0946610000001</v>
          </cell>
          <cell r="AD56">
            <v>1073.545175</v>
          </cell>
          <cell r="AE56">
            <v>1013.3459</v>
          </cell>
          <cell r="AF56">
            <v>939.409896</v>
          </cell>
          <cell r="AG56">
            <v>848.16267830000004</v>
          </cell>
          <cell r="AH56">
            <v>735.32804380000005</v>
          </cell>
          <cell r="AI56">
            <v>595.53507930000001</v>
          </cell>
          <cell r="AJ56">
            <v>421.94608099999999</v>
          </cell>
          <cell r="AK56">
            <v>205.6855065</v>
          </cell>
        </row>
        <row r="57">
          <cell r="B57">
            <v>1220.9208349999999</v>
          </cell>
          <cell r="C57">
            <v>1240.301442</v>
          </cell>
          <cell r="D57">
            <v>1259.387307</v>
          </cell>
          <cell r="E57">
            <v>1280.3998300000001</v>
          </cell>
          <cell r="F57">
            <v>1299.9313059999999</v>
          </cell>
          <cell r="G57">
            <v>1319.7594650000001</v>
          </cell>
          <cell r="H57">
            <v>1340.67713</v>
          </cell>
          <cell r="I57">
            <v>1362.713411</v>
          </cell>
          <cell r="J57">
            <v>1385.3734440000001</v>
          </cell>
          <cell r="K57">
            <v>1408.377258</v>
          </cell>
          <cell r="L57">
            <v>1431.1072119999999</v>
          </cell>
          <cell r="M57">
            <v>1449.7411360000001</v>
          </cell>
          <cell r="N57">
            <v>1464.9215360000001</v>
          </cell>
          <cell r="O57">
            <v>1477.4133420000001</v>
          </cell>
          <cell r="P57">
            <v>1488.180329</v>
          </cell>
          <cell r="Q57">
            <v>1498.169744</v>
          </cell>
          <cell r="R57">
            <v>1507.781479</v>
          </cell>
          <cell r="S57">
            <v>1518.1078419999999</v>
          </cell>
          <cell r="T57">
            <v>1530.058149</v>
          </cell>
          <cell r="U57">
            <v>1544.1678609999999</v>
          </cell>
          <cell r="V57">
            <v>1560.481327</v>
          </cell>
          <cell r="W57">
            <v>1579.7989749999999</v>
          </cell>
          <cell r="X57">
            <v>1602.321402</v>
          </cell>
          <cell r="Y57">
            <v>1628.1794809999999</v>
          </cell>
          <cell r="Z57">
            <v>1657.380177</v>
          </cell>
          <cell r="AA57">
            <v>1688.9268139999999</v>
          </cell>
          <cell r="AB57">
            <v>1723.836053</v>
          </cell>
          <cell r="AC57">
            <v>1762.1445530000001</v>
          </cell>
          <cell r="AD57">
            <v>1803.7627130000001</v>
          </cell>
          <cell r="AE57">
            <v>1848.1793</v>
          </cell>
          <cell r="AF57">
            <v>1894.6834140000001</v>
          </cell>
          <cell r="AG57">
            <v>1942.6170279999999</v>
          </cell>
          <cell r="AH57">
            <v>1991.4327969999999</v>
          </cell>
          <cell r="AI57">
            <v>2040.6435180000001</v>
          </cell>
          <cell r="AJ57">
            <v>2089.7988570000002</v>
          </cell>
          <cell r="AK57">
            <v>2138.4767489999999</v>
          </cell>
        </row>
        <row r="58">
          <cell r="B58">
            <v>2402.7509070000001</v>
          </cell>
          <cell r="C58">
            <v>2440.8878279999999</v>
          </cell>
          <cell r="D58">
            <v>2478.4484189999998</v>
          </cell>
          <cell r="E58">
            <v>2519.8006359999999</v>
          </cell>
          <cell r="F58">
            <v>2558.2381789999999</v>
          </cell>
          <cell r="G58">
            <v>2597.259591</v>
          </cell>
          <cell r="H58">
            <v>2638.4251260000001</v>
          </cell>
          <cell r="I58">
            <v>3173.1528579999999</v>
          </cell>
          <cell r="J58">
            <v>3763.6177280000002</v>
          </cell>
          <cell r="K58">
            <v>4420.468355</v>
          </cell>
          <cell r="L58">
            <v>5133.5231750000003</v>
          </cell>
          <cell r="M58">
            <v>5872.8818810000002</v>
          </cell>
          <cell r="N58">
            <v>6642.6084110000002</v>
          </cell>
          <cell r="O58">
            <v>7450.051273</v>
          </cell>
          <cell r="P58">
            <v>8305.4993529999992</v>
          </cell>
          <cell r="Q58">
            <v>9218.8622140000007</v>
          </cell>
          <cell r="R58">
            <v>10201.41447</v>
          </cell>
          <cell r="S58">
            <v>11268.3498</v>
          </cell>
          <cell r="T58">
            <v>12432.25151</v>
          </cell>
          <cell r="U58">
            <v>13708.16826</v>
          </cell>
          <cell r="V58">
            <v>15111.2469</v>
          </cell>
          <cell r="W58">
            <v>16667.73113</v>
          </cell>
          <cell r="X58">
            <v>18403.92484</v>
          </cell>
          <cell r="Y58">
            <v>20349.214209999998</v>
          </cell>
          <cell r="Z58">
            <v>22536.532190000002</v>
          </cell>
          <cell r="AA58">
            <v>24991.03008</v>
          </cell>
          <cell r="AB58">
            <v>27778.591509999998</v>
          </cell>
          <cell r="AC58">
            <v>30958.947899999999</v>
          </cell>
          <cell r="AD58">
            <v>34602.176059999998</v>
          </cell>
          <cell r="AE58">
            <v>38784.87055</v>
          </cell>
          <cell r="AF58">
            <v>43595.507469999997</v>
          </cell>
          <cell r="AG58">
            <v>49145.792670000003</v>
          </cell>
          <cell r="AH58">
            <v>55579.569430000003</v>
          </cell>
          <cell r="AI58">
            <v>63077.976450000002</v>
          </cell>
          <cell r="AJ58">
            <v>71873.984769999995</v>
          </cell>
          <cell r="AK58">
            <v>82274.202600000004</v>
          </cell>
        </row>
        <row r="59">
          <cell r="B59">
            <v>2402.7509070000001</v>
          </cell>
          <cell r="C59">
            <v>2440.887827</v>
          </cell>
          <cell r="D59">
            <v>2478.4484189999998</v>
          </cell>
          <cell r="E59">
            <v>2519.8006350000001</v>
          </cell>
          <cell r="F59">
            <v>2558.2381780000001</v>
          </cell>
          <cell r="G59">
            <v>2597.2595900000001</v>
          </cell>
          <cell r="H59">
            <v>2638.4251250000002</v>
          </cell>
          <cell r="I59">
            <v>2681.7920760000002</v>
          </cell>
          <cell r="J59">
            <v>2726.386555</v>
          </cell>
          <cell r="K59">
            <v>2771.6575899999998</v>
          </cell>
          <cell r="L59">
            <v>2816.389674</v>
          </cell>
          <cell r="M59">
            <v>2853.0608539999998</v>
          </cell>
          <cell r="N59">
            <v>2882.935571</v>
          </cell>
          <cell r="O59">
            <v>2907.5191890000001</v>
          </cell>
          <cell r="P59">
            <v>2928.7084</v>
          </cell>
          <cell r="Q59">
            <v>2948.3673629999998</v>
          </cell>
          <cell r="R59">
            <v>2967.2830610000001</v>
          </cell>
          <cell r="S59">
            <v>2987.6051320000001</v>
          </cell>
          <cell r="T59">
            <v>3011.12309</v>
          </cell>
          <cell r="U59">
            <v>3038.8907140000001</v>
          </cell>
          <cell r="V59">
            <v>3070.9952819999999</v>
          </cell>
          <cell r="W59">
            <v>3109.0120179999999</v>
          </cell>
          <cell r="X59">
            <v>3153.3356920000001</v>
          </cell>
          <cell r="Y59">
            <v>3204.2238619999998</v>
          </cell>
          <cell r="Z59">
            <v>3261.6902340000001</v>
          </cell>
          <cell r="AA59">
            <v>3323.7733680000001</v>
          </cell>
          <cell r="AB59">
            <v>3392.474037</v>
          </cell>
          <cell r="AC59">
            <v>3467.8643790000001</v>
          </cell>
          <cell r="AD59">
            <v>3549.7680650000002</v>
          </cell>
          <cell r="AE59">
            <v>3637.1790000000001</v>
          </cell>
          <cell r="AF59">
            <v>3728.6981430000001</v>
          </cell>
          <cell r="AG59">
            <v>3823.030514</v>
          </cell>
          <cell r="AH59">
            <v>3919.0989460000001</v>
          </cell>
          <cell r="AI59">
            <v>4015.9446370000001</v>
          </cell>
          <cell r="AJ59">
            <v>4112.6813380000003</v>
          </cell>
          <cell r="AK59">
            <v>4208.4784319999999</v>
          </cell>
        </row>
        <row r="60">
          <cell r="B60">
            <v>873.49172490000001</v>
          </cell>
          <cell r="C60">
            <v>887.35732459999997</v>
          </cell>
          <cell r="D60">
            <v>901.01205540000001</v>
          </cell>
          <cell r="E60">
            <v>916.04518859999996</v>
          </cell>
          <cell r="F60">
            <v>930.01872530000003</v>
          </cell>
          <cell r="G60">
            <v>944.20452079999995</v>
          </cell>
          <cell r="H60">
            <v>959.16978819999997</v>
          </cell>
          <cell r="I60">
            <v>1689.3097849999999</v>
          </cell>
          <cell r="J60">
            <v>2493.1885560000001</v>
          </cell>
          <cell r="K60">
            <v>3384.854765</v>
          </cell>
          <cell r="L60">
            <v>4362.0333760000003</v>
          </cell>
          <cell r="M60">
            <v>5399.306141</v>
          </cell>
          <cell r="N60">
            <v>6496.8026689999997</v>
          </cell>
          <cell r="O60">
            <v>7659.966367</v>
          </cell>
          <cell r="P60">
            <v>8899.238652</v>
          </cell>
          <cell r="Q60">
            <v>10226.34417</v>
          </cell>
          <cell r="R60">
            <v>11655.710870000001</v>
          </cell>
          <cell r="S60">
            <v>13207.34208</v>
          </cell>
          <cell r="T60">
            <v>14899.245510000001</v>
          </cell>
          <cell r="U60">
            <v>16753.039919999999</v>
          </cell>
          <cell r="V60">
            <v>18791.13089</v>
          </cell>
          <cell r="W60">
            <v>21050.458009999998</v>
          </cell>
          <cell r="X60">
            <v>23569.229240000001</v>
          </cell>
          <cell r="Y60">
            <v>26390.593919999999</v>
          </cell>
          <cell r="Z60">
            <v>29563.290830000002</v>
          </cell>
          <cell r="AA60">
            <v>33126.693509999997</v>
          </cell>
          <cell r="AB60">
            <v>37175.062030000001</v>
          </cell>
          <cell r="AC60">
            <v>41796.581579999998</v>
          </cell>
          <cell r="AD60">
            <v>47095.090100000001</v>
          </cell>
          <cell r="AE60">
            <v>53185.09463</v>
          </cell>
          <cell r="AF60">
            <v>60199.208050000001</v>
          </cell>
          <cell r="AG60">
            <v>68304.186069999996</v>
          </cell>
          <cell r="AH60">
            <v>77714.076570000005</v>
          </cell>
          <cell r="AI60">
            <v>88698.396070000003</v>
          </cell>
          <cell r="AJ60">
            <v>101603.636</v>
          </cell>
          <cell r="AK60">
            <v>116885.5482</v>
          </cell>
        </row>
        <row r="61">
          <cell r="B61">
            <v>873.49172480000004</v>
          </cell>
          <cell r="C61">
            <v>887.35732440000004</v>
          </cell>
          <cell r="D61">
            <v>901.01205519999996</v>
          </cell>
          <cell r="E61">
            <v>916.04518840000003</v>
          </cell>
          <cell r="F61">
            <v>930.01872509999998</v>
          </cell>
          <cell r="G61">
            <v>944.20452060000002</v>
          </cell>
          <cell r="H61">
            <v>959.16978810000001</v>
          </cell>
          <cell r="I61">
            <v>974.93535529999997</v>
          </cell>
          <cell r="J61">
            <v>991.14717689999998</v>
          </cell>
          <cell r="K61">
            <v>1007.604953</v>
          </cell>
          <cell r="L61">
            <v>1023.866799</v>
          </cell>
          <cell r="M61">
            <v>1037.1981940000001</v>
          </cell>
          <cell r="N61">
            <v>1048.0588110000001</v>
          </cell>
          <cell r="O61">
            <v>1056.995909</v>
          </cell>
          <cell r="P61">
            <v>1064.699008</v>
          </cell>
          <cell r="Q61">
            <v>1071.845804</v>
          </cell>
          <cell r="R61">
            <v>1078.722393</v>
          </cell>
          <cell r="S61">
            <v>1086.1102530000001</v>
          </cell>
          <cell r="T61">
            <v>1094.6599430000001</v>
          </cell>
          <cell r="U61">
            <v>1104.7545500000001</v>
          </cell>
          <cell r="V61">
            <v>1116.4258050000001</v>
          </cell>
          <cell r="W61">
            <v>1130.2463620000001</v>
          </cell>
          <cell r="X61">
            <v>1146.359735</v>
          </cell>
          <cell r="Y61">
            <v>1164.859557</v>
          </cell>
          <cell r="Z61">
            <v>1185.75081</v>
          </cell>
          <cell r="AA61">
            <v>1208.320436</v>
          </cell>
          <cell r="AB61">
            <v>1233.295791</v>
          </cell>
          <cell r="AC61">
            <v>1260.7031030000001</v>
          </cell>
          <cell r="AD61">
            <v>1290.478267</v>
          </cell>
          <cell r="AE61">
            <v>1322.255529</v>
          </cell>
          <cell r="AF61">
            <v>1355.5262849999999</v>
          </cell>
          <cell r="AG61">
            <v>1389.819757</v>
          </cell>
          <cell r="AH61">
            <v>1424.7443559999999</v>
          </cell>
          <cell r="AI61">
            <v>1459.9515180000001</v>
          </cell>
          <cell r="AJ61">
            <v>1495.1190570000001</v>
          </cell>
          <cell r="AK61">
            <v>1529.9450139999999</v>
          </cell>
        </row>
        <row r="62">
          <cell r="B62">
            <v>6724.2714459999997</v>
          </cell>
          <cell r="C62">
            <v>6831.0109300000004</v>
          </cell>
          <cell r="D62">
            <v>6936.1271139999999</v>
          </cell>
          <cell r="E62">
            <v>7051.854448</v>
          </cell>
          <cell r="F62">
            <v>7159.4248479999997</v>
          </cell>
          <cell r="G62">
            <v>7268.6292480000002</v>
          </cell>
          <cell r="H62">
            <v>7383.8341399999999</v>
          </cell>
          <cell r="I62">
            <v>7711.1636630000003</v>
          </cell>
          <cell r="J62">
            <v>8077.7778900000003</v>
          </cell>
          <cell r="K62">
            <v>8491.2677000000003</v>
          </cell>
          <cell r="L62">
            <v>8920.0264950000001</v>
          </cell>
          <cell r="M62">
            <v>9312.1245029999991</v>
          </cell>
          <cell r="N62">
            <v>9681.8762139999999</v>
          </cell>
          <cell r="O62">
            <v>10043.797839999999</v>
          </cell>
          <cell r="P62">
            <v>10412.060149999999</v>
          </cell>
          <cell r="Q62">
            <v>10796.671039999999</v>
          </cell>
          <cell r="R62">
            <v>11206.642180000001</v>
          </cell>
          <cell r="S62">
            <v>11652.89524</v>
          </cell>
          <cell r="T62">
            <v>12141.33056</v>
          </cell>
          <cell r="U62">
            <v>12678.823539999999</v>
          </cell>
          <cell r="V62">
            <v>13270.885200000001</v>
          </cell>
          <cell r="W62">
            <v>13931.168320000001</v>
          </cell>
          <cell r="X62">
            <v>14670.77391</v>
          </cell>
          <cell r="Y62">
            <v>15501.090819999999</v>
          </cell>
          <cell r="Z62">
            <v>16434.049930000001</v>
          </cell>
          <cell r="AA62">
            <v>17474.068650000001</v>
          </cell>
          <cell r="AB62">
            <v>18652.093830000002</v>
          </cell>
          <cell r="AC62">
            <v>19990.231240000001</v>
          </cell>
          <cell r="AD62">
            <v>21513.587729999999</v>
          </cell>
          <cell r="AE62">
            <v>23247.398430000001</v>
          </cell>
          <cell r="AF62">
            <v>25220.064030000001</v>
          </cell>
          <cell r="AG62">
            <v>27468.915430000001</v>
          </cell>
          <cell r="AH62">
            <v>30043.51381</v>
          </cell>
          <cell r="AI62">
            <v>33006.334479999998</v>
          </cell>
          <cell r="AJ62">
            <v>36438.049599999998</v>
          </cell>
          <cell r="AK62">
            <v>40445.393179999999</v>
          </cell>
        </row>
        <row r="63">
          <cell r="B63">
            <v>6724.2714450000003</v>
          </cell>
          <cell r="C63">
            <v>6831.010929</v>
          </cell>
          <cell r="D63">
            <v>6936.1271120000001</v>
          </cell>
          <cell r="E63">
            <v>7051.8544460000003</v>
          </cell>
          <cell r="F63">
            <v>7159.4248459999999</v>
          </cell>
          <cell r="G63">
            <v>7268.6292460000004</v>
          </cell>
          <cell r="H63">
            <v>7383.8341389999996</v>
          </cell>
          <cell r="I63">
            <v>7505.1998610000001</v>
          </cell>
          <cell r="J63">
            <v>7630.000916</v>
          </cell>
          <cell r="K63">
            <v>7756.6953629999998</v>
          </cell>
          <cell r="L63">
            <v>7881.8815130000003</v>
          </cell>
          <cell r="M63">
            <v>7984.5086119999996</v>
          </cell>
          <cell r="N63">
            <v>8068.1152860000002</v>
          </cell>
          <cell r="O63">
            <v>8136.9144200000001</v>
          </cell>
          <cell r="P63">
            <v>8196.2140429999999</v>
          </cell>
          <cell r="Q63">
            <v>8251.2311520000003</v>
          </cell>
          <cell r="R63">
            <v>8304.1681779999999</v>
          </cell>
          <cell r="S63">
            <v>8361.0410449999999</v>
          </cell>
          <cell r="T63">
            <v>8426.8578460000008</v>
          </cell>
          <cell r="U63">
            <v>8504.5676619999995</v>
          </cell>
          <cell r="V63">
            <v>8594.4147470000007</v>
          </cell>
          <cell r="W63">
            <v>8700.8074830000005</v>
          </cell>
          <cell r="X63">
            <v>8824.8506689999995</v>
          </cell>
          <cell r="Y63">
            <v>8967.2650969999995</v>
          </cell>
          <cell r="Z63">
            <v>9128.0891260000008</v>
          </cell>
          <cell r="AA63">
            <v>9301.8335169999991</v>
          </cell>
          <cell r="AB63">
            <v>9494.0975839999992</v>
          </cell>
          <cell r="AC63">
            <v>9705.0832119999995</v>
          </cell>
          <cell r="AD63">
            <v>9934.2969300000004</v>
          </cell>
          <cell r="AE63">
            <v>10178.9231</v>
          </cell>
          <cell r="AF63">
            <v>10435.046410000001</v>
          </cell>
          <cell r="AG63">
            <v>10699.042750000001</v>
          </cell>
          <cell r="AH63">
            <v>10967.8976</v>
          </cell>
          <cell r="AI63">
            <v>11238.92765</v>
          </cell>
          <cell r="AJ63">
            <v>11509.652700000001</v>
          </cell>
          <cell r="AK63">
            <v>11777.748180000001</v>
          </cell>
        </row>
        <row r="64">
          <cell r="B64">
            <v>7911.853419</v>
          </cell>
          <cell r="C64">
            <v>8013.3794820000003</v>
          </cell>
          <cell r="D64">
            <v>8112.8762779999997</v>
          </cell>
          <cell r="E64">
            <v>8217.0310379999992</v>
          </cell>
          <cell r="F64">
            <v>8315.7085630000001</v>
          </cell>
          <cell r="G64">
            <v>8421.0248680000004</v>
          </cell>
          <cell r="H64">
            <v>8525.2742429999998</v>
          </cell>
          <cell r="I64">
            <v>8752.0965219999998</v>
          </cell>
          <cell r="J64">
            <v>8976.2468379999991</v>
          </cell>
          <cell r="K64">
            <v>9221.2490980000002</v>
          </cell>
          <cell r="L64">
            <v>9481.1634150000009</v>
          </cell>
          <cell r="M64">
            <v>9718.2614389999999</v>
          </cell>
          <cell r="N64">
            <v>9950.1985769999992</v>
          </cell>
          <cell r="O64">
            <v>10186.04017</v>
          </cell>
          <cell r="P64">
            <v>10432.57048</v>
          </cell>
          <cell r="Q64">
            <v>10693.968940000001</v>
          </cell>
          <cell r="R64">
            <v>10978.60046</v>
          </cell>
          <cell r="S64">
            <v>11289.29139</v>
          </cell>
          <cell r="T64">
            <v>11628.673860000001</v>
          </cell>
          <cell r="U64">
            <v>12001.106820000001</v>
          </cell>
          <cell r="V64">
            <v>12406.62724</v>
          </cell>
          <cell r="W64">
            <v>12860.570400000001</v>
          </cell>
          <cell r="X64">
            <v>13369.170899999999</v>
          </cell>
          <cell r="Y64">
            <v>13939.55399</v>
          </cell>
          <cell r="Z64">
            <v>14579.47257</v>
          </cell>
          <cell r="AA64">
            <v>15281.37232</v>
          </cell>
          <cell r="AB64">
            <v>16077.41562</v>
          </cell>
          <cell r="AC64">
            <v>16981.611339999999</v>
          </cell>
          <cell r="AD64">
            <v>18010.119129999999</v>
          </cell>
          <cell r="AE64">
            <v>19179.22453</v>
          </cell>
          <cell r="AF64">
            <v>20507.329710000002</v>
          </cell>
          <cell r="AG64">
            <v>22018.60039</v>
          </cell>
          <cell r="AH64">
            <v>23744.798839999999</v>
          </cell>
          <cell r="AI64">
            <v>25726.40825</v>
          </cell>
          <cell r="AJ64">
            <v>28015.908210000001</v>
          </cell>
          <cell r="AK64">
            <v>30682.853190000002</v>
          </cell>
        </row>
        <row r="65">
          <cell r="B65">
            <v>7911.853419</v>
          </cell>
          <cell r="C65">
            <v>8013.3794850000004</v>
          </cell>
          <cell r="D65">
            <v>8112.8762850000003</v>
          </cell>
          <cell r="E65">
            <v>8217.0310489999993</v>
          </cell>
          <cell r="F65">
            <v>8315.7085769999994</v>
          </cell>
          <cell r="G65">
            <v>8421.0248850000007</v>
          </cell>
          <cell r="H65">
            <v>8525.2742610000005</v>
          </cell>
          <cell r="I65">
            <v>8629.3816590000006</v>
          </cell>
          <cell r="J65">
            <v>8732.7530839999999</v>
          </cell>
          <cell r="K65">
            <v>8835.8463809999994</v>
          </cell>
          <cell r="L65">
            <v>8943.1540769999992</v>
          </cell>
          <cell r="M65">
            <v>9030.8511620000008</v>
          </cell>
          <cell r="N65">
            <v>9103.5399369999996</v>
          </cell>
          <cell r="O65">
            <v>9165.0483820000009</v>
          </cell>
          <cell r="P65">
            <v>9219.4556470000007</v>
          </cell>
          <cell r="Q65">
            <v>9270.5573339999992</v>
          </cell>
          <cell r="R65">
            <v>9326.0119529999993</v>
          </cell>
          <cell r="S65">
            <v>9389.7866689999992</v>
          </cell>
          <cell r="T65">
            <v>9463.4411990000008</v>
          </cell>
          <cell r="U65">
            <v>9547.2389449999991</v>
          </cell>
          <cell r="V65">
            <v>9636.7091079999991</v>
          </cell>
          <cell r="W65">
            <v>9740.6753769999996</v>
          </cell>
          <cell r="X65">
            <v>9858.5054340000006</v>
          </cell>
          <cell r="Y65">
            <v>9990.1025179999997</v>
          </cell>
          <cell r="Z65">
            <v>10135.24006</v>
          </cell>
          <cell r="AA65">
            <v>10279.663420000001</v>
          </cell>
          <cell r="AB65">
            <v>10439.191709999999</v>
          </cell>
          <cell r="AC65">
            <v>10613.380789999999</v>
          </cell>
          <cell r="AD65">
            <v>10801.71722</v>
          </cell>
          <cell r="AE65">
            <v>11002.158429999999</v>
          </cell>
          <cell r="AF65">
            <v>11211.890579999999</v>
          </cell>
          <cell r="AG65">
            <v>11428.26496</v>
          </cell>
          <cell r="AH65">
            <v>11649.01988</v>
          </cell>
          <cell r="AI65">
            <v>11872.092860000001</v>
          </cell>
          <cell r="AJ65">
            <v>12095.53702</v>
          </cell>
          <cell r="AK65">
            <v>12317.494199999999</v>
          </cell>
        </row>
        <row r="66">
          <cell r="B66">
            <v>109.8412999</v>
          </cell>
          <cell r="C66">
            <v>111.5848945</v>
          </cell>
          <cell r="D66">
            <v>113.30197250000001</v>
          </cell>
          <cell r="E66">
            <v>115.1923841</v>
          </cell>
          <cell r="F66">
            <v>116.94955179999999</v>
          </cell>
          <cell r="G66">
            <v>118.7334109</v>
          </cell>
          <cell r="H66">
            <v>120.6152884</v>
          </cell>
          <cell r="I66">
            <v>123.1596098</v>
          </cell>
          <cell r="J66">
            <v>126.0659012</v>
          </cell>
          <cell r="K66">
            <v>129.4049191</v>
          </cell>
          <cell r="L66">
            <v>132.65290659999999</v>
          </cell>
          <cell r="M66">
            <v>135.03769439999999</v>
          </cell>
          <cell r="N66">
            <v>136.80016090000001</v>
          </cell>
          <cell r="O66">
            <v>138.16292849999999</v>
          </cell>
          <cell r="P66">
            <v>139.3224227</v>
          </cell>
          <cell r="Q66">
            <v>140.3996338</v>
          </cell>
          <cell r="R66">
            <v>141.48773349999999</v>
          </cell>
          <cell r="S66">
            <v>142.68938009999999</v>
          </cell>
          <cell r="T66">
            <v>144.0306836</v>
          </cell>
          <cell r="U66">
            <v>145.5394794</v>
          </cell>
          <cell r="V66">
            <v>147.21738680000001</v>
          </cell>
          <cell r="W66">
            <v>149.14409380000001</v>
          </cell>
          <cell r="X66">
            <v>151.3510838</v>
          </cell>
          <cell r="Y66">
            <v>153.854555</v>
          </cell>
          <cell r="Z66">
            <v>156.6570644</v>
          </cell>
          <cell r="AA66">
            <v>159.67262959999999</v>
          </cell>
          <cell r="AB66">
            <v>163.03896520000001</v>
          </cell>
          <cell r="AC66">
            <v>166.76944639999999</v>
          </cell>
          <cell r="AD66">
            <v>170.86426130000001</v>
          </cell>
          <cell r="AE66">
            <v>175.2822764</v>
          </cell>
          <cell r="AF66">
            <v>179.96194729999999</v>
          </cell>
          <cell r="AG66">
            <v>184.85317240000001</v>
          </cell>
          <cell r="AH66">
            <v>189.91935340000001</v>
          </cell>
          <cell r="AI66">
            <v>195.11560069999999</v>
          </cell>
          <cell r="AJ66">
            <v>200.3901693</v>
          </cell>
          <cell r="AK66">
            <v>205.6855065</v>
          </cell>
        </row>
        <row r="67">
          <cell r="B67">
            <v>109.8412999</v>
          </cell>
          <cell r="C67">
            <v>111.5848945</v>
          </cell>
          <cell r="D67">
            <v>113.30197250000001</v>
          </cell>
          <cell r="E67">
            <v>115.1923841</v>
          </cell>
          <cell r="F67">
            <v>116.9495517</v>
          </cell>
          <cell r="G67">
            <v>118.7334109</v>
          </cell>
          <cell r="H67">
            <v>120.6152884</v>
          </cell>
          <cell r="I67">
            <v>122.5978034</v>
          </cell>
          <cell r="J67">
            <v>124.6364346</v>
          </cell>
          <cell r="K67">
            <v>126.7059946</v>
          </cell>
          <cell r="L67">
            <v>128.75091639999999</v>
          </cell>
          <cell r="M67">
            <v>130.427335</v>
          </cell>
          <cell r="N67">
            <v>131.79305410000001</v>
          </cell>
          <cell r="O67">
            <v>132.9168913</v>
          </cell>
          <cell r="P67">
            <v>133.88555349999999</v>
          </cell>
          <cell r="Q67">
            <v>134.7842607</v>
          </cell>
          <cell r="R67">
            <v>135.6489895</v>
          </cell>
          <cell r="S67">
            <v>136.5780106</v>
          </cell>
          <cell r="T67">
            <v>137.65313119999999</v>
          </cell>
          <cell r="U67">
            <v>138.92252479999999</v>
          </cell>
          <cell r="V67">
            <v>140.39018129999999</v>
          </cell>
          <cell r="W67">
            <v>142.1281118</v>
          </cell>
          <cell r="X67">
            <v>144.1543633</v>
          </cell>
          <cell r="Y67">
            <v>146.4807098</v>
          </cell>
          <cell r="Z67">
            <v>149.10777820000001</v>
          </cell>
          <cell r="AA67">
            <v>151.94590120000001</v>
          </cell>
          <cell r="AB67">
            <v>155.086544</v>
          </cell>
          <cell r="AC67">
            <v>158.5330045</v>
          </cell>
          <cell r="AD67">
            <v>162.27722170000001</v>
          </cell>
          <cell r="AE67">
            <v>166.27320209999999</v>
          </cell>
          <cell r="AF67">
            <v>170.4569888</v>
          </cell>
          <cell r="AG67">
            <v>174.76938179999999</v>
          </cell>
          <cell r="AH67">
            <v>179.16113870000001</v>
          </cell>
          <cell r="AI67">
            <v>183.58842780000001</v>
          </cell>
          <cell r="AJ67">
            <v>188.01073450000001</v>
          </cell>
          <cell r="AK67">
            <v>192.39008720000001</v>
          </cell>
        </row>
      </sheetData>
      <sheetData sheetId="4">
        <row r="2">
          <cell r="B2">
            <v>5223867.193</v>
          </cell>
          <cell r="C2">
            <v>5286913.7989999996</v>
          </cell>
          <cell r="D2">
            <v>5355133.3600000003</v>
          </cell>
          <cell r="E2">
            <v>5429583.8789999997</v>
          </cell>
          <cell r="F2">
            <v>5511038.5820000004</v>
          </cell>
          <cell r="G2">
            <v>5600032.1859999998</v>
          </cell>
          <cell r="H2">
            <v>5696705.6279999996</v>
          </cell>
          <cell r="I2">
            <v>5799691.591</v>
          </cell>
          <cell r="J2">
            <v>5908640.5750000002</v>
          </cell>
          <cell r="K2">
            <v>6025122.5389999999</v>
          </cell>
          <cell r="L2">
            <v>6149955.6979999999</v>
          </cell>
          <cell r="M2">
            <v>6282459.307</v>
          </cell>
          <cell r="N2">
            <v>6421618.9840000002</v>
          </cell>
          <cell r="O2">
            <v>6566568.5530000003</v>
          </cell>
          <cell r="P2">
            <v>6716828.1509999996</v>
          </cell>
          <cell r="Q2">
            <v>6872255.96</v>
          </cell>
          <cell r="R2">
            <v>7032865.7539999997</v>
          </cell>
          <cell r="S2">
            <v>7199002.108</v>
          </cell>
          <cell r="T2">
            <v>7371271.3930000002</v>
          </cell>
          <cell r="U2">
            <v>7550440.8640000001</v>
          </cell>
          <cell r="V2">
            <v>7737234.159</v>
          </cell>
          <cell r="W2">
            <v>7932614.3490000004</v>
          </cell>
          <cell r="X2">
            <v>8137634.3449999997</v>
          </cell>
          <cell r="Y2">
            <v>8353412.534</v>
          </cell>
          <cell r="Z2">
            <v>8581071.3090000004</v>
          </cell>
          <cell r="AA2">
            <v>8821257.2620000001</v>
          </cell>
          <cell r="AB2">
            <v>9074917.3920000009</v>
          </cell>
          <cell r="AC2">
            <v>9343049.3310000002</v>
          </cell>
          <cell r="AD2">
            <v>9626733.4519999996</v>
          </cell>
          <cell r="AE2">
            <v>9927064.1339999996</v>
          </cell>
          <cell r="AF2">
            <v>10245074.49</v>
          </cell>
          <cell r="AG2">
            <v>10581718.460000001</v>
          </cell>
          <cell r="AH2">
            <v>10937903.619999999</v>
          </cell>
          <cell r="AI2">
            <v>11314550.310000001</v>
          </cell>
          <cell r="AJ2">
            <v>11712640.59</v>
          </cell>
          <cell r="AK2">
            <v>12133265.470000001</v>
          </cell>
        </row>
        <row r="3">
          <cell r="B3">
            <v>5223867.193</v>
          </cell>
          <cell r="C3">
            <v>5286913.7989999996</v>
          </cell>
          <cell r="D3">
            <v>5355133.3600000003</v>
          </cell>
          <cell r="E3">
            <v>5429583.8789999997</v>
          </cell>
          <cell r="F3">
            <v>5511038.5820000004</v>
          </cell>
          <cell r="G3">
            <v>5600032.1849999996</v>
          </cell>
          <cell r="H3">
            <v>5696705.6270000003</v>
          </cell>
          <cell r="I3">
            <v>5801071.642</v>
          </cell>
          <cell r="J3">
            <v>5913138.9390000002</v>
          </cell>
          <cell r="K3">
            <v>6032963.5719999997</v>
          </cell>
          <cell r="L3">
            <v>6160555.477</v>
          </cell>
          <cell r="M3">
            <v>6294813.96</v>
          </cell>
          <cell r="N3">
            <v>6434600.5690000001</v>
          </cell>
          <cell r="O3">
            <v>6578989.5360000003</v>
          </cell>
          <cell r="P3">
            <v>6727353.2079999996</v>
          </cell>
          <cell r="Q3">
            <v>6879358.8380000005</v>
          </cell>
          <cell r="R3">
            <v>7035111.3810000001</v>
          </cell>
          <cell r="S3">
            <v>7195049.0080000004</v>
          </cell>
          <cell r="T3">
            <v>7359806.2000000002</v>
          </cell>
          <cell r="U3">
            <v>7530091.784</v>
          </cell>
          <cell r="V3">
            <v>7706489.8459999999</v>
          </cell>
          <cell r="W3">
            <v>7889759.1449999996</v>
          </cell>
          <cell r="X3">
            <v>8080692.7560000001</v>
          </cell>
          <cell r="Y3">
            <v>8280087.352</v>
          </cell>
          <cell r="Z3">
            <v>8488680.8619999997</v>
          </cell>
          <cell r="AA3">
            <v>8706694.3300000001</v>
          </cell>
          <cell r="AB3">
            <v>8934593.3330000006</v>
          </cell>
          <cell r="AC3">
            <v>9172911.4140000008</v>
          </cell>
          <cell r="AD3">
            <v>9422223.966</v>
          </cell>
          <cell r="AE3">
            <v>9683051.443</v>
          </cell>
          <cell r="AF3">
            <v>9955773.3790000007</v>
          </cell>
          <cell r="AG3">
            <v>10240618.15</v>
          </cell>
          <cell r="AH3">
            <v>10537686.529999999</v>
          </cell>
          <cell r="AI3">
            <v>10846964.050000001</v>
          </cell>
          <cell r="AJ3">
            <v>11168321.51</v>
          </cell>
          <cell r="AK3">
            <v>11501507.199999999</v>
          </cell>
        </row>
        <row r="4">
          <cell r="B4">
            <v>47217.50215</v>
          </cell>
          <cell r="C4">
            <v>47791.922809999996</v>
          </cell>
          <cell r="D4">
            <v>48413.210039999998</v>
          </cell>
          <cell r="E4">
            <v>49095.615640000004</v>
          </cell>
          <cell r="F4">
            <v>49845.748760000002</v>
          </cell>
          <cell r="G4">
            <v>50668.318749999999</v>
          </cell>
          <cell r="H4">
            <v>51565.602619999998</v>
          </cell>
          <cell r="I4">
            <v>52542.097430000002</v>
          </cell>
          <cell r="J4">
            <v>53599.448830000001</v>
          </cell>
          <cell r="K4">
            <v>54757.094499999999</v>
          </cell>
          <cell r="L4">
            <v>56022.895329999999</v>
          </cell>
          <cell r="M4">
            <v>57380.560559999998</v>
          </cell>
          <cell r="N4">
            <v>58811.404369999997</v>
          </cell>
          <cell r="O4">
            <v>60299.501490000002</v>
          </cell>
          <cell r="P4">
            <v>61833.733200000002</v>
          </cell>
          <cell r="Q4">
            <v>63406.957920000001</v>
          </cell>
          <cell r="R4">
            <v>65018.585939999997</v>
          </cell>
          <cell r="S4">
            <v>66669.88867</v>
          </cell>
          <cell r="T4">
            <v>68364.011429999999</v>
          </cell>
          <cell r="U4">
            <v>70105.275689999995</v>
          </cell>
          <cell r="V4">
            <v>71897.533649999998</v>
          </cell>
          <cell r="W4">
            <v>73746.059890000004</v>
          </cell>
          <cell r="X4">
            <v>75656.925319999995</v>
          </cell>
          <cell r="Y4">
            <v>77636.469870000001</v>
          </cell>
          <cell r="Z4">
            <v>79690.326209999999</v>
          </cell>
          <cell r="AA4">
            <v>81819.392860000007</v>
          </cell>
          <cell r="AB4">
            <v>84023.706980000003</v>
          </cell>
          <cell r="AC4">
            <v>86304.197109999994</v>
          </cell>
          <cell r="AD4">
            <v>88662.436159999997</v>
          </cell>
          <cell r="AE4">
            <v>91099.208899999998</v>
          </cell>
          <cell r="AF4">
            <v>93613.114490000007</v>
          </cell>
          <cell r="AG4">
            <v>96199.930099999998</v>
          </cell>
          <cell r="AH4">
            <v>98852.652260000003</v>
          </cell>
          <cell r="AI4">
            <v>101561.819</v>
          </cell>
          <cell r="AJ4">
            <v>104315.5053</v>
          </cell>
          <cell r="AK4">
            <v>107099.11960000001</v>
          </cell>
        </row>
        <row r="5">
          <cell r="B5">
            <v>47217.50215</v>
          </cell>
          <cell r="C5">
            <v>47791.922809999996</v>
          </cell>
          <cell r="D5">
            <v>48413.210039999998</v>
          </cell>
          <cell r="E5">
            <v>49095.615640000004</v>
          </cell>
          <cell r="F5">
            <v>49845.748760000002</v>
          </cell>
          <cell r="G5">
            <v>50668.318749999999</v>
          </cell>
          <cell r="H5">
            <v>51565.602619999998</v>
          </cell>
          <cell r="I5">
            <v>52538.683969999998</v>
          </cell>
          <cell r="J5">
            <v>53587.813399999999</v>
          </cell>
          <cell r="K5">
            <v>54712.972520000003</v>
          </cell>
          <cell r="L5">
            <v>55912.08526</v>
          </cell>
          <cell r="M5">
            <v>57170.952740000001</v>
          </cell>
          <cell r="N5">
            <v>58474.705809999999</v>
          </cell>
          <cell r="O5">
            <v>59810.77089</v>
          </cell>
          <cell r="P5">
            <v>61169.938170000001</v>
          </cell>
          <cell r="Q5">
            <v>62546.494789999997</v>
          </cell>
          <cell r="R5">
            <v>63938.465909999999</v>
          </cell>
          <cell r="S5">
            <v>65347.680110000001</v>
          </cell>
          <cell r="T5">
            <v>66778.639989999996</v>
          </cell>
          <cell r="U5">
            <v>68237.283079999994</v>
          </cell>
          <cell r="V5">
            <v>69729.307539999994</v>
          </cell>
          <cell r="W5">
            <v>71262.031719999999</v>
          </cell>
          <cell r="X5">
            <v>72843.80575</v>
          </cell>
          <cell r="Y5">
            <v>74483.364149999994</v>
          </cell>
          <cell r="Z5">
            <v>76188.943329999995</v>
          </cell>
          <cell r="AA5">
            <v>77964.807979999998</v>
          </cell>
          <cell r="AB5">
            <v>79816.313529999999</v>
          </cell>
          <cell r="AC5">
            <v>81749.92396</v>
          </cell>
          <cell r="AD5">
            <v>83772.642569999996</v>
          </cell>
          <cell r="AE5">
            <v>85890.679090000005</v>
          </cell>
          <cell r="AF5">
            <v>88108.328080000007</v>
          </cell>
          <cell r="AG5">
            <v>90427.799799999993</v>
          </cell>
          <cell r="AH5">
            <v>92849.464040000006</v>
          </cell>
          <cell r="AI5">
            <v>95371.989629999996</v>
          </cell>
          <cell r="AJ5">
            <v>97992.392470000006</v>
          </cell>
          <cell r="AK5">
            <v>100706.03969999999</v>
          </cell>
        </row>
        <row r="6">
          <cell r="B6">
            <v>1844.8052849999999</v>
          </cell>
          <cell r="C6">
            <v>1864.3939499999999</v>
          </cell>
          <cell r="D6">
            <v>1882.0341229999999</v>
          </cell>
          <cell r="E6">
            <v>1897.749765</v>
          </cell>
          <cell r="F6">
            <v>1912.1045690000001</v>
          </cell>
          <cell r="G6">
            <v>1925.5925360000001</v>
          </cell>
          <cell r="H6">
            <v>1938.5213120000001</v>
          </cell>
          <cell r="I6">
            <v>1949.6491779999999</v>
          </cell>
          <cell r="J6">
            <v>1959.0034740000001</v>
          </cell>
          <cell r="K6">
            <v>1967.404276</v>
          </cell>
          <cell r="L6">
            <v>1975.4639709999999</v>
          </cell>
          <cell r="M6">
            <v>1983.6516059999999</v>
          </cell>
          <cell r="N6">
            <v>1992.225158</v>
          </cell>
          <cell r="O6">
            <v>2001.321747</v>
          </cell>
          <cell r="P6">
            <v>2011.0655019999999</v>
          </cell>
          <cell r="Q6">
            <v>2021.587986</v>
          </cell>
          <cell r="R6">
            <v>2032.6660240000001</v>
          </cell>
          <cell r="S6">
            <v>2044.26422</v>
          </cell>
          <cell r="T6">
            <v>2056.4744839999998</v>
          </cell>
          <cell r="U6">
            <v>2069.438889</v>
          </cell>
          <cell r="V6">
            <v>2083.2735459999999</v>
          </cell>
          <cell r="W6">
            <v>2098.1261650000001</v>
          </cell>
          <cell r="X6">
            <v>2114.1373269999999</v>
          </cell>
          <cell r="Y6">
            <v>2131.4308350000001</v>
          </cell>
          <cell r="Z6">
            <v>2150.1051090000001</v>
          </cell>
          <cell r="AA6">
            <v>2170.1396840000002</v>
          </cell>
          <cell r="AB6">
            <v>2191.64894</v>
          </cell>
          <cell r="AC6">
            <v>2214.722663</v>
          </cell>
          <cell r="AD6">
            <v>2239.4533849999998</v>
          </cell>
          <cell r="AE6">
            <v>2265.932296</v>
          </cell>
          <cell r="AF6">
            <v>2294.2425320000002</v>
          </cell>
          <cell r="AG6">
            <v>2324.4645449999998</v>
          </cell>
          <cell r="AH6">
            <v>2356.6907299999998</v>
          </cell>
          <cell r="AI6">
            <v>2391.0432689999998</v>
          </cell>
          <cell r="AJ6">
            <v>2427.686087</v>
          </cell>
          <cell r="AK6">
            <v>2466.8361319999999</v>
          </cell>
        </row>
        <row r="7">
          <cell r="B7">
            <v>1844.8052849999999</v>
          </cell>
          <cell r="C7">
            <v>1864.3939499999999</v>
          </cell>
          <cell r="D7">
            <v>1882.0341229999999</v>
          </cell>
          <cell r="E7">
            <v>1897.749765</v>
          </cell>
          <cell r="F7">
            <v>1912.1045690000001</v>
          </cell>
          <cell r="G7">
            <v>1925.5925360000001</v>
          </cell>
          <cell r="H7">
            <v>1938.5213120000001</v>
          </cell>
          <cell r="I7">
            <v>1951.0906179999999</v>
          </cell>
          <cell r="J7">
            <v>1963.4591359999999</v>
          </cell>
          <cell r="K7">
            <v>1975.7655380000001</v>
          </cell>
          <cell r="L7">
            <v>1988.141245</v>
          </cell>
          <cell r="M7">
            <v>2000.4973030000001</v>
          </cell>
          <cell r="N7">
            <v>2012.762819</v>
          </cell>
          <cell r="O7">
            <v>2024.926921</v>
          </cell>
          <cell r="P7">
            <v>2037.0347260000001</v>
          </cell>
          <cell r="Q7">
            <v>2049.1700599999999</v>
          </cell>
          <cell r="R7">
            <v>2061.4334669999998</v>
          </cell>
          <cell r="S7">
            <v>2073.9395629999999</v>
          </cell>
          <cell r="T7">
            <v>2086.8102699999999</v>
          </cell>
          <cell r="U7">
            <v>2100.1545019999999</v>
          </cell>
          <cell r="V7">
            <v>2114.025807</v>
          </cell>
          <cell r="W7">
            <v>2128.5052690000002</v>
          </cell>
          <cell r="X7">
            <v>2143.6680540000002</v>
          </cell>
          <cell r="Y7">
            <v>2159.5732499999999</v>
          </cell>
          <cell r="Z7">
            <v>2176.2548529999999</v>
          </cell>
          <cell r="AA7">
            <v>2193.6270549999999</v>
          </cell>
          <cell r="AB7">
            <v>2211.6770940000001</v>
          </cell>
          <cell r="AC7">
            <v>2230.4269960000001</v>
          </cell>
          <cell r="AD7">
            <v>2249.9136899999999</v>
          </cell>
          <cell r="AE7">
            <v>2270.1708910000002</v>
          </cell>
          <cell r="AF7">
            <v>2291.2176330000002</v>
          </cell>
          <cell r="AG7">
            <v>2313.0618519999998</v>
          </cell>
          <cell r="AH7">
            <v>2335.7056910000001</v>
          </cell>
          <cell r="AI7">
            <v>2359.1487470000002</v>
          </cell>
          <cell r="AJ7">
            <v>2383.3886459999999</v>
          </cell>
          <cell r="AK7">
            <v>2408.4196959999999</v>
          </cell>
        </row>
        <row r="8">
          <cell r="B8">
            <v>74527.120699999999</v>
          </cell>
          <cell r="C8">
            <v>75433.057190000007</v>
          </cell>
          <cell r="D8">
            <v>76413.7402</v>
          </cell>
          <cell r="E8">
            <v>77490.580270000006</v>
          </cell>
          <cell r="F8">
            <v>78675.352849999996</v>
          </cell>
          <cell r="G8">
            <v>79976.310599999997</v>
          </cell>
          <cell r="H8">
            <v>81398.967170000004</v>
          </cell>
          <cell r="I8">
            <v>82944.952019999997</v>
          </cell>
          <cell r="J8">
            <v>84616.421570000006</v>
          </cell>
          <cell r="K8">
            <v>86438.114440000005</v>
          </cell>
          <cell r="L8">
            <v>88422.747319999995</v>
          </cell>
          <cell r="M8">
            <v>90553.892879999999</v>
          </cell>
          <cell r="N8">
            <v>92810.55558</v>
          </cell>
          <cell r="O8">
            <v>95173.022110000005</v>
          </cell>
          <cell r="P8">
            <v>97625.718059999999</v>
          </cell>
          <cell r="Q8">
            <v>100157.0411</v>
          </cell>
          <cell r="R8">
            <v>102760.9776</v>
          </cell>
          <cell r="S8">
            <v>105435.3906</v>
          </cell>
          <cell r="T8">
            <v>108181.67630000001</v>
          </cell>
          <cell r="U8">
            <v>111003.71430000001</v>
          </cell>
          <cell r="V8">
            <v>113904.8798</v>
          </cell>
          <cell r="W8">
            <v>116891.9856</v>
          </cell>
          <cell r="X8">
            <v>119973.66770000001</v>
          </cell>
          <cell r="Y8">
            <v>123159.80349999999</v>
          </cell>
          <cell r="Z8">
            <v>126460.2724</v>
          </cell>
          <cell r="AA8">
            <v>129877.3826</v>
          </cell>
          <cell r="AB8">
            <v>133413.75930000001</v>
          </cell>
          <cell r="AC8">
            <v>137074.1489</v>
          </cell>
          <cell r="AD8">
            <v>140865.2352</v>
          </cell>
          <cell r="AE8">
            <v>144794.06349999999</v>
          </cell>
          <cell r="AF8">
            <v>148866.0895</v>
          </cell>
          <cell r="AG8">
            <v>153083.7629</v>
          </cell>
          <cell r="AH8">
            <v>157446.09179999999</v>
          </cell>
          <cell r="AI8">
            <v>161949.07120000001</v>
          </cell>
          <cell r="AJ8">
            <v>166585.66010000001</v>
          </cell>
          <cell r="AK8">
            <v>171345.46520000001</v>
          </cell>
        </row>
        <row r="9">
          <cell r="B9">
            <v>74527.120699999999</v>
          </cell>
          <cell r="C9">
            <v>75433.057180000003</v>
          </cell>
          <cell r="D9">
            <v>76413.740189999997</v>
          </cell>
          <cell r="E9">
            <v>77490.580249999999</v>
          </cell>
          <cell r="F9">
            <v>78675.35282</v>
          </cell>
          <cell r="G9">
            <v>79976.310559999998</v>
          </cell>
          <cell r="H9">
            <v>81398.967120000001</v>
          </cell>
          <cell r="I9">
            <v>82945.820999999996</v>
          </cell>
          <cell r="J9">
            <v>84617.892879999999</v>
          </cell>
          <cell r="K9">
            <v>86415.771540000002</v>
          </cell>
          <cell r="L9">
            <v>88338.268509999994</v>
          </cell>
          <cell r="M9">
            <v>90367.387759999998</v>
          </cell>
          <cell r="N9">
            <v>92483.180040000007</v>
          </cell>
          <cell r="O9">
            <v>94667.479949999994</v>
          </cell>
          <cell r="P9">
            <v>96905.534060000005</v>
          </cell>
          <cell r="Q9">
            <v>99186.615720000002</v>
          </cell>
          <cell r="R9">
            <v>101503.4308</v>
          </cell>
          <cell r="S9">
            <v>103855.0926</v>
          </cell>
          <cell r="T9">
            <v>106244.98209999999</v>
          </cell>
          <cell r="U9">
            <v>108678.8916</v>
          </cell>
          <cell r="V9">
            <v>111162.0594</v>
          </cell>
          <cell r="W9">
            <v>113703.1827</v>
          </cell>
          <cell r="X9">
            <v>116312.88800000001</v>
          </cell>
          <cell r="Y9">
            <v>119002.81419999999</v>
          </cell>
          <cell r="Z9">
            <v>121784.3939</v>
          </cell>
          <cell r="AA9">
            <v>124662.13989999999</v>
          </cell>
          <cell r="AB9">
            <v>127643.80899999999</v>
          </cell>
          <cell r="AC9">
            <v>130739.29640000001</v>
          </cell>
          <cell r="AD9">
            <v>133959.80910000001</v>
          </cell>
          <cell r="AE9">
            <v>137316.1974</v>
          </cell>
          <cell r="AF9">
            <v>140817.32389999999</v>
          </cell>
          <cell r="AG9">
            <v>144469.52770000001</v>
          </cell>
          <cell r="AH9">
            <v>148276.6214</v>
          </cell>
          <cell r="AI9">
            <v>152239.82279999999</v>
          </cell>
          <cell r="AJ9">
            <v>156357.6427</v>
          </cell>
          <cell r="AK9">
            <v>160625.7677</v>
          </cell>
        </row>
        <row r="10">
          <cell r="B10">
            <v>401529.44650000002</v>
          </cell>
          <cell r="C10">
            <v>406777.728</v>
          </cell>
          <cell r="D10">
            <v>412960.58970000001</v>
          </cell>
          <cell r="E10">
            <v>420117.16070000001</v>
          </cell>
          <cell r="F10">
            <v>428224.40389999998</v>
          </cell>
          <cell r="G10">
            <v>437230.56809999997</v>
          </cell>
          <cell r="H10">
            <v>447061.69589999999</v>
          </cell>
          <cell r="I10">
            <v>457293.40269999998</v>
          </cell>
          <cell r="J10">
            <v>467786.39549999998</v>
          </cell>
          <cell r="K10">
            <v>478870.11459999997</v>
          </cell>
          <cell r="L10">
            <v>490559.2586</v>
          </cell>
          <cell r="M10">
            <v>502568.59669999999</v>
          </cell>
          <cell r="N10">
            <v>514608.30300000001</v>
          </cell>
          <cell r="O10">
            <v>526486.48849999998</v>
          </cell>
          <cell r="P10">
            <v>538143.91260000004</v>
          </cell>
          <cell r="Q10">
            <v>549613.15110000002</v>
          </cell>
          <cell r="R10">
            <v>560915.19220000005</v>
          </cell>
          <cell r="S10">
            <v>572136.31900000002</v>
          </cell>
          <cell r="T10">
            <v>583400.09770000004</v>
          </cell>
          <cell r="U10">
            <v>594841.10490000003</v>
          </cell>
          <cell r="V10">
            <v>606592.54489999998</v>
          </cell>
          <cell r="W10">
            <v>618790.42409999995</v>
          </cell>
          <cell r="X10">
            <v>631573.91520000005</v>
          </cell>
          <cell r="Y10">
            <v>645080.52850000001</v>
          </cell>
          <cell r="Z10">
            <v>659436.10649999999</v>
          </cell>
          <cell r="AA10">
            <v>674744.27280000004</v>
          </cell>
          <cell r="AB10">
            <v>691142.26240000001</v>
          </cell>
          <cell r="AC10">
            <v>708747.88769999996</v>
          </cell>
          <cell r="AD10">
            <v>727664.48179999995</v>
          </cell>
          <cell r="AE10">
            <v>747959.86479999998</v>
          </cell>
          <cell r="AF10">
            <v>769654.1764</v>
          </cell>
          <cell r="AG10">
            <v>792726.13800000004</v>
          </cell>
          <cell r="AH10">
            <v>817124.98840000003</v>
          </cell>
          <cell r="AI10">
            <v>842779.48089999997</v>
          </cell>
          <cell r="AJ10">
            <v>869602.74540000001</v>
          </cell>
          <cell r="AK10">
            <v>897493.92</v>
          </cell>
        </row>
        <row r="11">
          <cell r="B11">
            <v>401529.44650000002</v>
          </cell>
          <cell r="C11">
            <v>406777.728</v>
          </cell>
          <cell r="D11">
            <v>412960.58970000001</v>
          </cell>
          <cell r="E11">
            <v>420117.16070000001</v>
          </cell>
          <cell r="F11">
            <v>428224.40389999998</v>
          </cell>
          <cell r="G11">
            <v>437230.56809999997</v>
          </cell>
          <cell r="H11">
            <v>447061.69589999999</v>
          </cell>
          <cell r="I11">
            <v>457646.8469</v>
          </cell>
          <cell r="J11">
            <v>468936.7487</v>
          </cell>
          <cell r="K11">
            <v>480905.27960000001</v>
          </cell>
          <cell r="L11">
            <v>493482.67930000002</v>
          </cell>
          <cell r="M11">
            <v>506396.6912</v>
          </cell>
          <cell r="N11">
            <v>519418.08850000001</v>
          </cell>
          <cell r="O11">
            <v>532398.78949999996</v>
          </cell>
          <cell r="P11">
            <v>545275.12760000001</v>
          </cell>
          <cell r="Q11">
            <v>558051.79339999997</v>
          </cell>
          <cell r="R11">
            <v>570801.23860000004</v>
          </cell>
          <cell r="S11">
            <v>583638.52709999995</v>
          </cell>
          <cell r="T11">
            <v>596695.44799999997</v>
          </cell>
          <cell r="U11">
            <v>610101.38190000004</v>
          </cell>
          <cell r="V11">
            <v>623976.6923</v>
          </cell>
          <cell r="W11">
            <v>638441.05260000005</v>
          </cell>
          <cell r="X11">
            <v>653616.34629999998</v>
          </cell>
          <cell r="Y11">
            <v>669621.20109999995</v>
          </cell>
          <cell r="Z11">
            <v>686559.54009999998</v>
          </cell>
          <cell r="AA11">
            <v>704509.7916</v>
          </cell>
          <cell r="AB11">
            <v>723550.92819999997</v>
          </cell>
          <cell r="AC11">
            <v>743768.13589999999</v>
          </cell>
          <cell r="AD11">
            <v>765242.69180000003</v>
          </cell>
          <cell r="AE11">
            <v>788023.23979999998</v>
          </cell>
          <cell r="AF11">
            <v>812111.23719999997</v>
          </cell>
          <cell r="AG11">
            <v>837469.21380000003</v>
          </cell>
          <cell r="AH11">
            <v>864035.63749999995</v>
          </cell>
          <cell r="AI11">
            <v>891734.27410000004</v>
          </cell>
          <cell r="AJ11">
            <v>920478.84920000006</v>
          </cell>
          <cell r="AK11">
            <v>950174.78319999995</v>
          </cell>
        </row>
        <row r="13">
          <cell r="B13">
            <v>16084.438920000001</v>
          </cell>
          <cell r="C13">
            <v>16281.77894</v>
          </cell>
          <cell r="D13">
            <v>16497.039209999999</v>
          </cell>
          <cell r="E13">
            <v>16733.977749999998</v>
          </cell>
          <cell r="F13">
            <v>16993.88665</v>
          </cell>
          <cell r="G13">
            <v>17277.969929999999</v>
          </cell>
          <cell r="H13">
            <v>17587.538</v>
          </cell>
          <cell r="I13">
            <v>17923.47998</v>
          </cell>
          <cell r="J13">
            <v>18286.43261</v>
          </cell>
          <cell r="K13">
            <v>18677.028839999999</v>
          </cell>
          <cell r="L13">
            <v>19095.375700000001</v>
          </cell>
          <cell r="M13">
            <v>19538.042519999999</v>
          </cell>
          <cell r="N13">
            <v>20001.56279</v>
          </cell>
          <cell r="O13">
            <v>20483.383539999999</v>
          </cell>
          <cell r="P13">
            <v>20982.155200000001</v>
          </cell>
          <cell r="Q13">
            <v>21497.667369999999</v>
          </cell>
          <cell r="R13">
            <v>22030.273120000002</v>
          </cell>
          <cell r="S13">
            <v>22581.696749999999</v>
          </cell>
          <cell r="T13">
            <v>23154.490290000002</v>
          </cell>
          <cell r="U13">
            <v>23751.514039999998</v>
          </cell>
          <cell r="V13">
            <v>24375.339790000002</v>
          </cell>
          <cell r="W13">
            <v>25028.75505</v>
          </cell>
          <cell r="X13">
            <v>25714.60369</v>
          </cell>
          <cell r="Y13">
            <v>26435.614939999999</v>
          </cell>
          <cell r="Z13">
            <v>27194.147110000002</v>
          </cell>
          <cell r="AA13">
            <v>27991.09288</v>
          </cell>
          <cell r="AB13">
            <v>28827.40422</v>
          </cell>
          <cell r="AC13">
            <v>29704.169880000001</v>
          </cell>
          <cell r="AD13">
            <v>30622.520489999999</v>
          </cell>
          <cell r="AE13">
            <v>31583.28572</v>
          </cell>
          <cell r="AF13">
            <v>32586.71917</v>
          </cell>
          <cell r="AG13">
            <v>33632.525350000004</v>
          </cell>
          <cell r="AH13">
            <v>34720.008580000002</v>
          </cell>
          <cell r="AI13">
            <v>35848.167739999997</v>
          </cell>
          <cell r="AJ13">
            <v>37015.735000000001</v>
          </cell>
          <cell r="AK13">
            <v>38221.176610000002</v>
          </cell>
        </row>
        <row r="14">
          <cell r="B14">
            <v>13394.580900000001</v>
          </cell>
          <cell r="C14">
            <v>13558.975270000001</v>
          </cell>
          <cell r="D14">
            <v>13739.61822</v>
          </cell>
          <cell r="E14">
            <v>13938.864519999999</v>
          </cell>
          <cell r="F14">
            <v>14158.062400000001</v>
          </cell>
          <cell r="G14">
            <v>14398.0707</v>
          </cell>
          <cell r="H14">
            <v>14659.03356</v>
          </cell>
          <cell r="I14">
            <v>14935.658069999999</v>
          </cell>
          <cell r="J14">
            <v>15225.924429999999</v>
          </cell>
          <cell r="K14">
            <v>15535.96812</v>
          </cell>
          <cell r="L14">
            <v>15866.431860000001</v>
          </cell>
          <cell r="M14">
            <v>16210.909530000001</v>
          </cell>
          <cell r="N14">
            <v>16562.426530000001</v>
          </cell>
          <cell r="O14">
            <v>16915.731049999999</v>
          </cell>
          <cell r="P14">
            <v>17268.094560000001</v>
          </cell>
          <cell r="Q14">
            <v>17618.694439999999</v>
          </cell>
          <cell r="R14">
            <v>17967.539720000001</v>
          </cell>
          <cell r="S14">
            <v>18316.051800000001</v>
          </cell>
          <cell r="T14">
            <v>18666.63479</v>
          </cell>
          <cell r="U14">
            <v>19022.216329999999</v>
          </cell>
          <cell r="V14">
            <v>19385.800640000001</v>
          </cell>
          <cell r="W14">
            <v>19760.842420000001</v>
          </cell>
          <cell r="X14">
            <v>20151.076389999998</v>
          </cell>
          <cell r="Y14">
            <v>20560.324550000001</v>
          </cell>
          <cell r="Z14">
            <v>20992.21486</v>
          </cell>
          <cell r="AA14">
            <v>21449.384239999999</v>
          </cell>
          <cell r="AB14">
            <v>21934.734489999999</v>
          </cell>
          <cell r="AC14">
            <v>22451.345700000002</v>
          </cell>
          <cell r="AD14">
            <v>23002.285250000001</v>
          </cell>
          <cell r="AE14">
            <v>23590.043679999999</v>
          </cell>
          <cell r="AF14">
            <v>24216.162799999998</v>
          </cell>
          <cell r="AG14">
            <v>24881.272260000002</v>
          </cell>
          <cell r="AH14">
            <v>25585.294740000001</v>
          </cell>
          <cell r="AI14">
            <v>26327.582149999998</v>
          </cell>
          <cell r="AJ14">
            <v>27106.9745</v>
          </cell>
          <cell r="AK14">
            <v>27921.827700000002</v>
          </cell>
        </row>
        <row r="15">
          <cell r="B15">
            <v>13394.580900000001</v>
          </cell>
          <cell r="C15">
            <v>13558.975270000001</v>
          </cell>
          <cell r="D15">
            <v>13739.61822</v>
          </cell>
          <cell r="E15">
            <v>13938.864519999999</v>
          </cell>
          <cell r="F15">
            <v>14158.062400000001</v>
          </cell>
          <cell r="G15">
            <v>14398.0707</v>
          </cell>
          <cell r="H15">
            <v>14659.03356</v>
          </cell>
          <cell r="I15">
            <v>14940.59196</v>
          </cell>
          <cell r="J15">
            <v>15242.20391</v>
          </cell>
          <cell r="K15">
            <v>15563.32991</v>
          </cell>
          <cell r="L15">
            <v>15902.479579999999</v>
          </cell>
          <cell r="M15">
            <v>16253.64075</v>
          </cell>
          <cell r="N15">
            <v>16611.161120000001</v>
          </cell>
          <cell r="O15">
            <v>16970.770980000001</v>
          </cell>
          <cell r="P15">
            <v>17329.85457</v>
          </cell>
          <cell r="Q15">
            <v>17687.31381</v>
          </cell>
          <cell r="R15">
            <v>18043.587899999999</v>
          </cell>
          <cell r="S15">
            <v>18400.513180000002</v>
          </cell>
          <cell r="T15">
            <v>18760.79047</v>
          </cell>
          <cell r="U15">
            <v>19127.491590000001</v>
          </cell>
          <cell r="V15">
            <v>19503.619900000002</v>
          </cell>
          <cell r="W15">
            <v>19892.50086</v>
          </cell>
          <cell r="X15">
            <v>20297.633239999999</v>
          </cell>
          <cell r="Y15">
            <v>20722.512599999998</v>
          </cell>
          <cell r="Z15">
            <v>21170.365549999999</v>
          </cell>
          <cell r="AA15">
            <v>21643.39041</v>
          </cell>
          <cell r="AB15">
            <v>22143.98358</v>
          </cell>
          <cell r="AC15">
            <v>22674.68691</v>
          </cell>
          <cell r="AD15">
            <v>23237.970069999999</v>
          </cell>
          <cell r="AE15">
            <v>23835.665369999999</v>
          </cell>
          <cell r="AF15">
            <v>24468.610720000001</v>
          </cell>
          <cell r="AG15">
            <v>25136.712810000001</v>
          </cell>
          <cell r="AH15">
            <v>25839.160159999999</v>
          </cell>
          <cell r="AI15">
            <v>26574.564429999999</v>
          </cell>
          <cell r="AJ15">
            <v>27341.038430000001</v>
          </cell>
          <cell r="AK15">
            <v>28136.238440000001</v>
          </cell>
        </row>
        <row r="16">
          <cell r="B16">
            <v>36396.253879999997</v>
          </cell>
          <cell r="C16">
            <v>36852.31409</v>
          </cell>
          <cell r="D16">
            <v>37363.938219999996</v>
          </cell>
          <cell r="E16">
            <v>37936.154040000001</v>
          </cell>
          <cell r="F16">
            <v>38571.371599999999</v>
          </cell>
          <cell r="G16">
            <v>39270.751900000003</v>
          </cell>
          <cell r="H16">
            <v>40034.518949999998</v>
          </cell>
          <cell r="I16">
            <v>40838.2673</v>
          </cell>
          <cell r="J16">
            <v>41675.09633</v>
          </cell>
          <cell r="K16">
            <v>42566.542750000001</v>
          </cell>
          <cell r="L16">
            <v>43513.782579999999</v>
          </cell>
          <cell r="M16">
            <v>44495.066209999997</v>
          </cell>
          <cell r="N16">
            <v>45487.494720000002</v>
          </cell>
          <cell r="O16">
            <v>46474.737110000002</v>
          </cell>
          <cell r="P16">
            <v>47449.513700000003</v>
          </cell>
          <cell r="Q16">
            <v>48411.057710000001</v>
          </cell>
          <cell r="R16">
            <v>49363.315130000003</v>
          </cell>
          <cell r="S16">
            <v>50313.313840000003</v>
          </cell>
          <cell r="T16">
            <v>51270.77332</v>
          </cell>
          <cell r="U16">
            <v>52246.69713</v>
          </cell>
          <cell r="V16">
            <v>53252.221169999997</v>
          </cell>
          <cell r="W16">
            <v>54299.2906</v>
          </cell>
          <cell r="X16">
            <v>55400.350559999999</v>
          </cell>
          <cell r="Y16">
            <v>56567.714780000002</v>
          </cell>
          <cell r="Z16">
            <v>57812.602959999997</v>
          </cell>
          <cell r="AA16">
            <v>59143.562790000004</v>
          </cell>
          <cell r="AB16">
            <v>60568.877330000003</v>
          </cell>
          <cell r="AC16">
            <v>62097.97408</v>
          </cell>
          <cell r="AD16">
            <v>63740.281719999999</v>
          </cell>
          <cell r="AE16">
            <v>65502.946409999997</v>
          </cell>
          <cell r="AF16">
            <v>67389.558340000003</v>
          </cell>
          <cell r="AG16">
            <v>69400.612200000003</v>
          </cell>
          <cell r="AH16">
            <v>71534.505980000002</v>
          </cell>
          <cell r="AI16">
            <v>73787.975160000002</v>
          </cell>
          <cell r="AJ16">
            <v>76156.213399999993</v>
          </cell>
          <cell r="AK16">
            <v>78632.900609999997</v>
          </cell>
        </row>
        <row r="17">
          <cell r="B17">
            <v>36396.253879999997</v>
          </cell>
          <cell r="C17">
            <v>36852.31409</v>
          </cell>
          <cell r="D17">
            <v>37363.938219999996</v>
          </cell>
          <cell r="E17">
            <v>37936.154040000001</v>
          </cell>
          <cell r="F17">
            <v>38571.371599999999</v>
          </cell>
          <cell r="G17">
            <v>39270.751909999999</v>
          </cell>
          <cell r="H17">
            <v>40034.518949999998</v>
          </cell>
          <cell r="I17">
            <v>40861.599730000002</v>
          </cell>
          <cell r="J17">
            <v>41750.245510000001</v>
          </cell>
          <cell r="K17">
            <v>42698.563329999997</v>
          </cell>
          <cell r="L17">
            <v>43700.6037</v>
          </cell>
          <cell r="M17">
            <v>44734.770989999997</v>
          </cell>
          <cell r="N17">
            <v>45782.153960000003</v>
          </cell>
          <cell r="O17">
            <v>46829.55373</v>
          </cell>
          <cell r="P17">
            <v>47869.982620000002</v>
          </cell>
          <cell r="Q17">
            <v>48901.788560000001</v>
          </cell>
          <cell r="R17">
            <v>49927.641530000001</v>
          </cell>
          <cell r="S17">
            <v>50954.715069999998</v>
          </cell>
          <cell r="T17">
            <v>51993.054250000001</v>
          </cell>
          <cell r="U17">
            <v>53053.788269999997</v>
          </cell>
          <cell r="V17">
            <v>54147.88768</v>
          </cell>
          <cell r="W17">
            <v>55286.761879999998</v>
          </cell>
          <cell r="X17">
            <v>56481.963609999999</v>
          </cell>
          <cell r="Y17">
            <v>57744.681449999996</v>
          </cell>
          <cell r="Z17">
            <v>59084.867890000001</v>
          </cell>
          <cell r="AA17">
            <v>60509.765769999998</v>
          </cell>
          <cell r="AB17">
            <v>62026.786330000003</v>
          </cell>
          <cell r="AC17">
            <v>63643.560870000001</v>
          </cell>
          <cell r="AD17">
            <v>65367.290430000001</v>
          </cell>
          <cell r="AE17">
            <v>67202.733829999997</v>
          </cell>
          <cell r="AF17">
            <v>69151.065199999997</v>
          </cell>
          <cell r="AG17">
            <v>71210.309089999995</v>
          </cell>
          <cell r="AH17">
            <v>73376.258449999994</v>
          </cell>
          <cell r="AI17">
            <v>75643.053979999997</v>
          </cell>
          <cell r="AJ17">
            <v>78003.492299999998</v>
          </cell>
          <cell r="AK17">
            <v>80449.182339999999</v>
          </cell>
        </row>
        <row r="18">
          <cell r="B18">
            <v>13360.21751</v>
          </cell>
          <cell r="C18">
            <v>13527.871230000001</v>
          </cell>
          <cell r="D18">
            <v>13715.904640000001</v>
          </cell>
          <cell r="E18">
            <v>13926.731110000001</v>
          </cell>
          <cell r="F18">
            <v>14161.13565</v>
          </cell>
          <cell r="G18">
            <v>14419.320089999999</v>
          </cell>
          <cell r="H18">
            <v>14700.933080000001</v>
          </cell>
          <cell r="I18">
            <v>15000.346</v>
          </cell>
          <cell r="J18">
            <v>15316.19659</v>
          </cell>
          <cell r="K18">
            <v>15656.75022</v>
          </cell>
          <cell r="L18">
            <v>16023.00722</v>
          </cell>
          <cell r="M18">
            <v>16407.073950000002</v>
          </cell>
          <cell r="N18">
            <v>16800.301759999998</v>
          </cell>
          <cell r="O18">
            <v>17196.288519999998</v>
          </cell>
          <cell r="P18">
            <v>17591.925050000002</v>
          </cell>
          <cell r="Q18">
            <v>17986.57821</v>
          </cell>
          <cell r="R18">
            <v>18380.802169999999</v>
          </cell>
          <cell r="S18">
            <v>18776.733270000001</v>
          </cell>
          <cell r="T18">
            <v>19177.59015</v>
          </cell>
          <cell r="U18">
            <v>19587.09492</v>
          </cell>
          <cell r="V18">
            <v>20009.059270000002</v>
          </cell>
          <cell r="W18">
            <v>20447.551630000002</v>
          </cell>
          <cell r="X18">
            <v>20906.85756</v>
          </cell>
          <cell r="Y18">
            <v>21391.279129999999</v>
          </cell>
          <cell r="Z18">
            <v>21904.80242</v>
          </cell>
          <cell r="AA18">
            <v>22450.519209999999</v>
          </cell>
          <cell r="AB18">
            <v>23031.45434</v>
          </cell>
          <cell r="AC18">
            <v>23650.693070000001</v>
          </cell>
          <cell r="AD18">
            <v>24311.186140000002</v>
          </cell>
          <cell r="AE18">
            <v>25015.0677</v>
          </cell>
          <cell r="AF18">
            <v>25763.231889999999</v>
          </cell>
          <cell r="AG18">
            <v>26555.415969999998</v>
          </cell>
          <cell r="AH18">
            <v>27390.488239999999</v>
          </cell>
          <cell r="AI18">
            <v>28266.661209999998</v>
          </cell>
          <cell r="AJ18">
            <v>29181.59562</v>
          </cell>
          <cell r="AK18">
            <v>30132.460930000001</v>
          </cell>
        </row>
        <row r="19">
          <cell r="B19">
            <v>13360.21751</v>
          </cell>
          <cell r="C19">
            <v>13527.871220000001</v>
          </cell>
          <cell r="D19">
            <v>13715.904640000001</v>
          </cell>
          <cell r="E19">
            <v>13926.731110000001</v>
          </cell>
          <cell r="F19">
            <v>14161.13564</v>
          </cell>
          <cell r="G19">
            <v>14419.320089999999</v>
          </cell>
          <cell r="H19">
            <v>14700.933069999999</v>
          </cell>
          <cell r="I19">
            <v>15005.376829999999</v>
          </cell>
          <cell r="J19">
            <v>15332.030059999999</v>
          </cell>
          <cell r="K19">
            <v>15680.370569999999</v>
          </cell>
          <cell r="L19">
            <v>16048.6068</v>
          </cell>
          <cell r="M19">
            <v>16429.790840000001</v>
          </cell>
          <cell r="N19">
            <v>16817.602790000001</v>
          </cell>
          <cell r="O19">
            <v>17207.52794</v>
          </cell>
          <cell r="P19">
            <v>17597.097890000001</v>
          </cell>
          <cell r="Q19">
            <v>17985.639370000001</v>
          </cell>
          <cell r="R19">
            <v>18374.13379</v>
          </cell>
          <cell r="S19">
            <v>18764.96082</v>
          </cell>
          <cell r="T19">
            <v>19161.380219999999</v>
          </cell>
          <cell r="U19">
            <v>19567.008099999999</v>
          </cell>
          <cell r="V19">
            <v>19985.452280000001</v>
          </cell>
          <cell r="W19">
            <v>20420.501919999999</v>
          </cell>
          <cell r="X19">
            <v>20876.10339</v>
          </cell>
          <cell r="Y19">
            <v>21356.155350000001</v>
          </cell>
          <cell r="Z19">
            <v>21864.18216</v>
          </cell>
          <cell r="AA19">
            <v>22402.80056</v>
          </cell>
          <cell r="AB19">
            <v>22974.543610000001</v>
          </cell>
          <cell r="AC19">
            <v>23582.036270000001</v>
          </cell>
          <cell r="AD19">
            <v>24227.762360000001</v>
          </cell>
          <cell r="AE19">
            <v>24913.385999999999</v>
          </cell>
          <cell r="AF19">
            <v>25639.347030000001</v>
          </cell>
          <cell r="AG19">
            <v>26404.987219999999</v>
          </cell>
          <cell r="AH19">
            <v>27208.855</v>
          </cell>
          <cell r="AI19">
            <v>28048.907670000001</v>
          </cell>
          <cell r="AJ19">
            <v>28922.6234</v>
          </cell>
          <cell r="AK19">
            <v>29827.061109999999</v>
          </cell>
        </row>
        <row r="20">
          <cell r="B20">
            <v>66530.747570000007</v>
          </cell>
          <cell r="C20">
            <v>67356.465160000007</v>
          </cell>
          <cell r="D20">
            <v>68276.656749999995</v>
          </cell>
          <cell r="E20">
            <v>69301.775779999996</v>
          </cell>
          <cell r="F20">
            <v>70436.371360000005</v>
          </cell>
          <cell r="G20">
            <v>71683.014429999996</v>
          </cell>
          <cell r="H20">
            <v>73041.367719999995</v>
          </cell>
          <cell r="I20">
            <v>74473.109460000007</v>
          </cell>
          <cell r="J20">
            <v>75964.045660000003</v>
          </cell>
          <cell r="K20">
            <v>77548.970149999994</v>
          </cell>
          <cell r="L20">
            <v>79231.871350000001</v>
          </cell>
          <cell r="M20">
            <v>80978.561790000007</v>
          </cell>
          <cell r="N20">
            <v>82751.631959999999</v>
          </cell>
          <cell r="O20">
            <v>84524.391699999993</v>
          </cell>
          <cell r="P20">
            <v>86285.735960000005</v>
          </cell>
          <cell r="Q20">
            <v>88036.180619999999</v>
          </cell>
          <cell r="R20">
            <v>89782.784910000002</v>
          </cell>
          <cell r="S20">
            <v>91538.636750000005</v>
          </cell>
          <cell r="T20">
            <v>93321.474820000003</v>
          </cell>
          <cell r="U20">
            <v>95151.326549999998</v>
          </cell>
          <cell r="V20">
            <v>97048.766950000005</v>
          </cell>
          <cell r="W20">
            <v>99035.717099999994</v>
          </cell>
          <cell r="X20">
            <v>101135.3535</v>
          </cell>
          <cell r="Y20">
            <v>103371.0246</v>
          </cell>
          <cell r="Z20">
            <v>105764.673</v>
          </cell>
          <cell r="AA20">
            <v>108334.32889999999</v>
          </cell>
          <cell r="AB20">
            <v>111097.3224</v>
          </cell>
          <cell r="AC20">
            <v>114072.6697</v>
          </cell>
          <cell r="AD20">
            <v>117279.29150000001</v>
          </cell>
          <cell r="AE20">
            <v>120732.4915</v>
          </cell>
          <cell r="AF20">
            <v>124441.982</v>
          </cell>
          <cell r="AG20">
            <v>128412.6678</v>
          </cell>
          <cell r="AH20">
            <v>132646.36249999999</v>
          </cell>
          <cell r="AI20">
            <v>137142.7113</v>
          </cell>
          <cell r="AJ20">
            <v>141899.70170000001</v>
          </cell>
          <cell r="AK20">
            <v>146914.0937</v>
          </cell>
        </row>
        <row r="21">
          <cell r="B21">
            <v>66530.747570000007</v>
          </cell>
          <cell r="C21">
            <v>67356.465160000007</v>
          </cell>
          <cell r="D21">
            <v>68276.656749999995</v>
          </cell>
          <cell r="E21">
            <v>69301.775779999996</v>
          </cell>
          <cell r="F21">
            <v>70436.371360000005</v>
          </cell>
          <cell r="G21">
            <v>71683.014429999996</v>
          </cell>
          <cell r="H21">
            <v>73041.367729999998</v>
          </cell>
          <cell r="I21">
            <v>74509.486470000003</v>
          </cell>
          <cell r="J21">
            <v>76085.048349999997</v>
          </cell>
          <cell r="K21">
            <v>77766.105079999994</v>
          </cell>
          <cell r="L21">
            <v>79544.349130000002</v>
          </cell>
          <cell r="M21">
            <v>81386.098859999998</v>
          </cell>
          <cell r="N21">
            <v>83260.449259999994</v>
          </cell>
          <cell r="O21">
            <v>85145.557520000002</v>
          </cell>
          <cell r="P21">
            <v>87030.002800000002</v>
          </cell>
          <cell r="Q21">
            <v>88911.479219999994</v>
          </cell>
          <cell r="R21">
            <v>90796.530830000003</v>
          </cell>
          <cell r="S21">
            <v>92698.701209999999</v>
          </cell>
          <cell r="T21">
            <v>94635.826300000001</v>
          </cell>
          <cell r="U21">
            <v>96627.307679999998</v>
          </cell>
          <cell r="V21">
            <v>98692.310790000003</v>
          </cell>
          <cell r="W21">
            <v>100850.46550000001</v>
          </cell>
          <cell r="X21">
            <v>103121.871</v>
          </cell>
          <cell r="Y21">
            <v>105526.21090000001</v>
          </cell>
          <cell r="Z21">
            <v>108081.24430000001</v>
          </cell>
          <cell r="AA21">
            <v>110800.4411</v>
          </cell>
          <cell r="AB21">
            <v>113696.55989999999</v>
          </cell>
          <cell r="AC21">
            <v>116782.60309999999</v>
          </cell>
          <cell r="AD21">
            <v>120070.76820000001</v>
          </cell>
          <cell r="AE21">
            <v>123569.0998</v>
          </cell>
          <cell r="AF21">
            <v>127279.5073</v>
          </cell>
          <cell r="AG21">
            <v>131198.41190000001</v>
          </cell>
          <cell r="AH21">
            <v>135318.31760000001</v>
          </cell>
          <cell r="AI21">
            <v>139628.88329999999</v>
          </cell>
          <cell r="AJ21">
            <v>144117.5165</v>
          </cell>
          <cell r="AK21">
            <v>148769.67249999999</v>
          </cell>
        </row>
        <row r="22">
          <cell r="B22">
            <v>129149.4963</v>
          </cell>
          <cell r="C22">
            <v>130816.0331</v>
          </cell>
          <cell r="D22">
            <v>132738.64619999999</v>
          </cell>
          <cell r="E22">
            <v>134930.72930000001</v>
          </cell>
          <cell r="F22">
            <v>137395.3431</v>
          </cell>
          <cell r="G22">
            <v>140130.894</v>
          </cell>
          <cell r="H22">
            <v>143131.8302</v>
          </cell>
          <cell r="I22">
            <v>146304.77309999999</v>
          </cell>
          <cell r="J22">
            <v>149641.3058</v>
          </cell>
          <cell r="K22">
            <v>153261.98250000001</v>
          </cell>
          <cell r="L22">
            <v>157186.31140000001</v>
          </cell>
          <cell r="M22">
            <v>161324.51879999999</v>
          </cell>
          <cell r="N22">
            <v>165570.663</v>
          </cell>
          <cell r="O22">
            <v>169843.14610000001</v>
          </cell>
          <cell r="P22">
            <v>174100.18350000001</v>
          </cell>
          <cell r="Q22">
            <v>178329.30720000001</v>
          </cell>
          <cell r="R22">
            <v>182531.43539999999</v>
          </cell>
          <cell r="S22">
            <v>186729.80809999999</v>
          </cell>
          <cell r="T22">
            <v>190961.321</v>
          </cell>
          <cell r="U22">
            <v>195268.03909999999</v>
          </cell>
          <cell r="V22">
            <v>199693.57320000001</v>
          </cell>
          <cell r="W22">
            <v>204283.57920000001</v>
          </cell>
          <cell r="X22">
            <v>209086.7316</v>
          </cell>
          <cell r="Y22">
            <v>214150.91209999999</v>
          </cell>
          <cell r="Z22">
            <v>219518.54250000001</v>
          </cell>
          <cell r="AA22">
            <v>225224.2138</v>
          </cell>
          <cell r="AB22">
            <v>231298.23449999999</v>
          </cell>
          <cell r="AC22">
            <v>237780.75440000001</v>
          </cell>
          <cell r="AD22">
            <v>244712.24789999999</v>
          </cell>
          <cell r="AE22">
            <v>252121.3731</v>
          </cell>
          <cell r="AF22">
            <v>260019.48989999999</v>
          </cell>
          <cell r="AG22">
            <v>268405.05</v>
          </cell>
          <cell r="AH22">
            <v>277269.70559999999</v>
          </cell>
          <cell r="AI22">
            <v>286599.0846</v>
          </cell>
          <cell r="AJ22">
            <v>296372.72840000002</v>
          </cell>
          <cell r="AK22">
            <v>306564.1361</v>
          </cell>
        </row>
        <row r="23">
          <cell r="B23">
            <v>129149.4963</v>
          </cell>
          <cell r="C23">
            <v>130816.0331</v>
          </cell>
          <cell r="D23">
            <v>132738.64619999999</v>
          </cell>
          <cell r="E23">
            <v>134930.72930000001</v>
          </cell>
          <cell r="F23">
            <v>137395.3431</v>
          </cell>
          <cell r="G23">
            <v>140130.894</v>
          </cell>
          <cell r="H23">
            <v>143131.8302</v>
          </cell>
          <cell r="I23">
            <v>146390.83910000001</v>
          </cell>
          <cell r="J23">
            <v>149901.13589999999</v>
          </cell>
          <cell r="K23">
            <v>153657.40590000001</v>
          </cell>
          <cell r="L23">
            <v>157635.18340000001</v>
          </cell>
          <cell r="M23">
            <v>161743.33379999999</v>
          </cell>
          <cell r="N23">
            <v>165904.2599</v>
          </cell>
          <cell r="O23">
            <v>170065.88889999999</v>
          </cell>
          <cell r="P23">
            <v>174203.03229999999</v>
          </cell>
          <cell r="Q23">
            <v>178312.72399999999</v>
          </cell>
          <cell r="R23">
            <v>182411.21290000001</v>
          </cell>
          <cell r="S23">
            <v>186529.3511</v>
          </cell>
          <cell r="T23">
            <v>190706.80369999999</v>
          </cell>
          <cell r="U23">
            <v>194985.99429999999</v>
          </cell>
          <cell r="V23">
            <v>199409.658</v>
          </cell>
          <cell r="W23">
            <v>204020.85519999999</v>
          </cell>
          <cell r="X23">
            <v>208864.17230000001</v>
          </cell>
          <cell r="Y23">
            <v>213983.5545</v>
          </cell>
          <cell r="Z23">
            <v>219418.37400000001</v>
          </cell>
          <cell r="AA23">
            <v>225201.3223</v>
          </cell>
          <cell r="AB23">
            <v>231362.93840000001</v>
          </cell>
          <cell r="AC23">
            <v>237934.88389999999</v>
          </cell>
          <cell r="AD23">
            <v>244946.9026</v>
          </cell>
          <cell r="AE23">
            <v>252417.5484</v>
          </cell>
          <cell r="AF23">
            <v>260349.4485</v>
          </cell>
          <cell r="AG23">
            <v>268731.83029999997</v>
          </cell>
          <cell r="AH23">
            <v>277545.05369999999</v>
          </cell>
          <cell r="AI23">
            <v>286763.38500000001</v>
          </cell>
          <cell r="AJ23">
            <v>296356.39500000002</v>
          </cell>
          <cell r="AK23">
            <v>306289.58100000001</v>
          </cell>
        </row>
        <row r="24">
          <cell r="B24">
            <v>144874.83119999999</v>
          </cell>
          <cell r="C24">
            <v>146632.3193</v>
          </cell>
          <cell r="D24">
            <v>148549.9032</v>
          </cell>
          <cell r="E24">
            <v>150658.34669999999</v>
          </cell>
          <cell r="F24">
            <v>152978.7585</v>
          </cell>
          <cell r="G24">
            <v>155524.38620000001</v>
          </cell>
          <cell r="H24">
            <v>158297.77499999999</v>
          </cell>
          <cell r="I24">
            <v>161242.5705</v>
          </cell>
          <cell r="J24">
            <v>164340.5926</v>
          </cell>
          <cell r="K24">
            <v>167653.2697</v>
          </cell>
          <cell r="L24">
            <v>171196.76019999999</v>
          </cell>
          <cell r="M24">
            <v>174923.44320000001</v>
          </cell>
          <cell r="N24">
            <v>178775.58480000001</v>
          </cell>
          <cell r="O24">
            <v>182708.014</v>
          </cell>
          <cell r="P24">
            <v>186697.1759</v>
          </cell>
          <cell r="Q24">
            <v>190736.62729999999</v>
          </cell>
          <cell r="R24">
            <v>194823.74849999999</v>
          </cell>
          <cell r="S24">
            <v>198970.26010000001</v>
          </cell>
          <cell r="T24">
            <v>203197.80549999999</v>
          </cell>
          <cell r="U24">
            <v>207533.3266</v>
          </cell>
          <cell r="V24">
            <v>212003.99110000001</v>
          </cell>
          <cell r="W24">
            <v>216641.62719999999</v>
          </cell>
          <cell r="X24">
            <v>221480.7556</v>
          </cell>
          <cell r="Y24">
            <v>226557.17430000001</v>
          </cell>
          <cell r="Z24">
            <v>231905.39379999999</v>
          </cell>
          <cell r="AA24">
            <v>237549.1293</v>
          </cell>
          <cell r="AB24">
            <v>243518.52970000001</v>
          </cell>
          <cell r="AC24">
            <v>249842.68049999999</v>
          </cell>
          <cell r="AD24">
            <v>256550.283</v>
          </cell>
          <cell r="AE24">
            <v>263665.78490000003</v>
          </cell>
          <cell r="AF24">
            <v>271206.0282</v>
          </cell>
          <cell r="AG24">
            <v>279179.85580000002</v>
          </cell>
          <cell r="AH24">
            <v>287589.47470000002</v>
          </cell>
          <cell r="AI24">
            <v>296432.08429999999</v>
          </cell>
          <cell r="AJ24">
            <v>305700.71679999999</v>
          </cell>
          <cell r="AK24">
            <v>315384.5846</v>
          </cell>
        </row>
        <row r="25">
          <cell r="B25">
            <v>144874.83119999999</v>
          </cell>
          <cell r="C25">
            <v>146632.3193</v>
          </cell>
          <cell r="D25">
            <v>148549.9032</v>
          </cell>
          <cell r="E25">
            <v>150658.34669999999</v>
          </cell>
          <cell r="F25">
            <v>152978.7585</v>
          </cell>
          <cell r="G25">
            <v>155524.38620000001</v>
          </cell>
          <cell r="H25">
            <v>158297.77499999999</v>
          </cell>
          <cell r="I25">
            <v>161297.05869999999</v>
          </cell>
          <cell r="J25">
            <v>164519.81349999999</v>
          </cell>
          <cell r="K25">
            <v>167964.6752</v>
          </cell>
          <cell r="L25">
            <v>171623.1678</v>
          </cell>
          <cell r="M25">
            <v>175444.90169999999</v>
          </cell>
          <cell r="N25">
            <v>179380.18040000001</v>
          </cell>
          <cell r="O25">
            <v>183390.6115</v>
          </cell>
          <cell r="P25">
            <v>187452.14259999999</v>
          </cell>
          <cell r="Q25">
            <v>191554.08989999999</v>
          </cell>
          <cell r="R25">
            <v>195701.65229999999</v>
          </cell>
          <cell r="S25">
            <v>199912.06950000001</v>
          </cell>
          <cell r="T25">
            <v>204209.87100000001</v>
          </cell>
          <cell r="U25">
            <v>208622.44260000001</v>
          </cell>
          <cell r="V25">
            <v>213175.41680000001</v>
          </cell>
          <cell r="W25">
            <v>217897.77929999999</v>
          </cell>
          <cell r="X25">
            <v>222820.2721</v>
          </cell>
          <cell r="Y25">
            <v>227973.85260000001</v>
          </cell>
          <cell r="Z25">
            <v>233387.1096</v>
          </cell>
          <cell r="AA25">
            <v>239077.149</v>
          </cell>
          <cell r="AB25">
            <v>245063.8719</v>
          </cell>
          <cell r="AC25">
            <v>251369.32759999999</v>
          </cell>
          <cell r="AD25">
            <v>258015.98730000001</v>
          </cell>
          <cell r="AE25">
            <v>265021.83199999999</v>
          </cell>
          <cell r="AF25">
            <v>272396.80070000002</v>
          </cell>
          <cell r="AG25">
            <v>280142.99690000003</v>
          </cell>
          <cell r="AH25">
            <v>288256.41989999998</v>
          </cell>
          <cell r="AI25">
            <v>296728.12199999997</v>
          </cell>
          <cell r="AJ25">
            <v>305544.75919999997</v>
          </cell>
          <cell r="AK25">
            <v>314688.75569999998</v>
          </cell>
        </row>
        <row r="26">
          <cell r="B26">
            <v>1694030.6680000001</v>
          </cell>
          <cell r="C26">
            <v>1714100.8489999999</v>
          </cell>
          <cell r="D26">
            <v>1735419.7649999999</v>
          </cell>
          <cell r="E26">
            <v>1758429.1089999999</v>
          </cell>
          <cell r="F26">
            <v>1783510.2990000001</v>
          </cell>
          <cell r="G26">
            <v>1810980.2830000001</v>
          </cell>
          <cell r="H26">
            <v>1841036.173</v>
          </cell>
          <cell r="I26">
            <v>1873586.845</v>
          </cell>
          <cell r="J26">
            <v>1908621.798</v>
          </cell>
          <cell r="K26">
            <v>1946417.7749999999</v>
          </cell>
          <cell r="L26">
            <v>1987330.246</v>
          </cell>
          <cell r="M26">
            <v>2031557.2949999999</v>
          </cell>
          <cell r="N26">
            <v>2079176.2660000001</v>
          </cell>
          <cell r="O26">
            <v>2130209.4410000001</v>
          </cell>
          <cell r="P26">
            <v>2184682.1009999998</v>
          </cell>
          <cell r="Q26">
            <v>2242649.2349999999</v>
          </cell>
          <cell r="R26">
            <v>2304193.824</v>
          </cell>
          <cell r="S26">
            <v>2369457.719</v>
          </cell>
          <cell r="T26">
            <v>2438648.5180000002</v>
          </cell>
          <cell r="U26">
            <v>2512029.8259999999</v>
          </cell>
          <cell r="V26">
            <v>2589867.5750000002</v>
          </cell>
          <cell r="W26">
            <v>2672493.0099999998</v>
          </cell>
          <cell r="X26">
            <v>2760281.148</v>
          </cell>
          <cell r="Y26">
            <v>2853645.6979999999</v>
          </cell>
          <cell r="Z26">
            <v>2953027.327</v>
          </cell>
          <cell r="AA26">
            <v>3058752.4610000001</v>
          </cell>
          <cell r="AB26">
            <v>3171187.0010000002</v>
          </cell>
          <cell r="AC26">
            <v>3290722.7629999998</v>
          </cell>
          <cell r="AD26">
            <v>3417799.1469999999</v>
          </cell>
          <cell r="AE26">
            <v>3552914.0869999998</v>
          </cell>
          <cell r="AF26">
            <v>3696618.27</v>
          </cell>
          <cell r="AG26">
            <v>3849502.7710000002</v>
          </cell>
          <cell r="AH26">
            <v>4012196.88</v>
          </cell>
          <cell r="AI26">
            <v>4185385.9649999999</v>
          </cell>
          <cell r="AJ26">
            <v>4369832.5690000001</v>
          </cell>
          <cell r="AK26">
            <v>4566399.4809999997</v>
          </cell>
        </row>
        <row r="27">
          <cell r="B27">
            <v>1694030.6680000001</v>
          </cell>
          <cell r="C27">
            <v>1714100.8489999999</v>
          </cell>
          <cell r="D27">
            <v>1735419.7649999999</v>
          </cell>
          <cell r="E27">
            <v>1758429.1089999999</v>
          </cell>
          <cell r="F27">
            <v>1783510.2990000001</v>
          </cell>
          <cell r="G27">
            <v>1810980.2830000001</v>
          </cell>
          <cell r="H27">
            <v>1841036.173</v>
          </cell>
          <cell r="I27">
            <v>1873814.101</v>
          </cell>
          <cell r="J27">
            <v>1909431.227</v>
          </cell>
          <cell r="K27">
            <v>1948009.9720000001</v>
          </cell>
          <cell r="L27">
            <v>1989698.567</v>
          </cell>
          <cell r="M27">
            <v>2034479.4339999999</v>
          </cell>
          <cell r="N27">
            <v>2082252.8060000001</v>
          </cell>
          <cell r="O27">
            <v>2132899.4160000002</v>
          </cell>
          <cell r="P27">
            <v>2186315.8390000002</v>
          </cell>
          <cell r="Q27">
            <v>2242431.2949999999</v>
          </cell>
          <cell r="R27">
            <v>2301269.463</v>
          </cell>
          <cell r="S27">
            <v>2362937.8840000001</v>
          </cell>
          <cell r="T27">
            <v>2427601.3059999999</v>
          </cell>
          <cell r="U27">
            <v>2495451.625</v>
          </cell>
          <cell r="V27">
            <v>2566646.5219999999</v>
          </cell>
          <cell r="W27">
            <v>2641374.7140000002</v>
          </cell>
          <cell r="X27">
            <v>2719835.983</v>
          </cell>
          <cell r="Y27">
            <v>2802232.0040000002</v>
          </cell>
          <cell r="Z27">
            <v>2888752.67</v>
          </cell>
          <cell r="AA27">
            <v>2979441.574</v>
          </cell>
          <cell r="AB27">
            <v>3074363.3590000002</v>
          </cell>
          <cell r="AC27">
            <v>3173602.6630000002</v>
          </cell>
          <cell r="AD27">
            <v>3277267.6009999998</v>
          </cell>
          <cell r="AE27">
            <v>3385486.9169999999</v>
          </cell>
          <cell r="AF27">
            <v>3498395.2829999998</v>
          </cell>
          <cell r="AG27">
            <v>3616121.4049999998</v>
          </cell>
          <cell r="AH27">
            <v>3738781.3470000001</v>
          </cell>
          <cell r="AI27">
            <v>3866472.7740000002</v>
          </cell>
          <cell r="AJ27">
            <v>3999268.3229999999</v>
          </cell>
          <cell r="AK27">
            <v>4137207.5980000002</v>
          </cell>
        </row>
        <row r="28">
          <cell r="B28">
            <v>4359.8761270000005</v>
          </cell>
          <cell r="C28">
            <v>4412.0969610000002</v>
          </cell>
          <cell r="D28">
            <v>4467.8061799999996</v>
          </cell>
          <cell r="E28">
            <v>4527.5996409999998</v>
          </cell>
          <cell r="F28">
            <v>4591.8820509999996</v>
          </cell>
          <cell r="G28">
            <v>4660.9009960000003</v>
          </cell>
          <cell r="H28">
            <v>4734.6361189999998</v>
          </cell>
          <cell r="I28">
            <v>4811.8090590000002</v>
          </cell>
          <cell r="J28">
            <v>4892.0599339999999</v>
          </cell>
          <cell r="K28">
            <v>4976.6889849999998</v>
          </cell>
          <cell r="L28">
            <v>5066.1968699999998</v>
          </cell>
          <cell r="M28">
            <v>5159.6876259999999</v>
          </cell>
          <cell r="N28">
            <v>5256.0624980000002</v>
          </cell>
          <cell r="O28">
            <v>5354.4296530000001</v>
          </cell>
          <cell r="P28">
            <v>5454.2779650000002</v>
          </cell>
          <cell r="Q28">
            <v>5555.4079019999999</v>
          </cell>
          <cell r="R28">
            <v>5657.8489719999998</v>
          </cell>
          <cell r="S28">
            <v>5761.8393939999996</v>
          </cell>
          <cell r="T28">
            <v>5867.8059409999996</v>
          </cell>
          <cell r="U28">
            <v>5976.2832779999999</v>
          </cell>
          <cell r="V28">
            <v>6087.7578640000002</v>
          </cell>
          <cell r="W28">
            <v>6202.8695180000004</v>
          </cell>
          <cell r="X28">
            <v>6322.2916070000001</v>
          </cell>
          <cell r="Y28">
            <v>6446.7019060000002</v>
          </cell>
          <cell r="Z28">
            <v>6576.7245030000004</v>
          </cell>
          <cell r="AA28">
            <v>6712.5883709999998</v>
          </cell>
          <cell r="AB28">
            <v>6854.6754760000003</v>
          </cell>
          <cell r="AC28">
            <v>7003.3704120000002</v>
          </cell>
          <cell r="AD28">
            <v>7159.0624019999996</v>
          </cell>
          <cell r="AE28">
            <v>7322.0604629999998</v>
          </cell>
          <cell r="AF28">
            <v>7492.5135799999998</v>
          </cell>
          <cell r="AG28">
            <v>7670.390136</v>
          </cell>
          <cell r="AH28">
            <v>7855.502461</v>
          </cell>
          <cell r="AI28">
            <v>8047.5448779999997</v>
          </cell>
          <cell r="AJ28">
            <v>8246.1097109999992</v>
          </cell>
          <cell r="AK28">
            <v>8450.6919469999993</v>
          </cell>
        </row>
        <row r="29">
          <cell r="B29">
            <v>4359.8761270000005</v>
          </cell>
          <cell r="C29">
            <v>4412.0969610000002</v>
          </cell>
          <cell r="D29">
            <v>4467.8061799999996</v>
          </cell>
          <cell r="E29">
            <v>4527.5996409999998</v>
          </cell>
          <cell r="F29">
            <v>4591.8820519999999</v>
          </cell>
          <cell r="G29">
            <v>4660.9009969999997</v>
          </cell>
          <cell r="H29">
            <v>4734.6361200000001</v>
          </cell>
          <cell r="I29">
            <v>4812.9956609999999</v>
          </cell>
          <cell r="J29">
            <v>4895.8849810000002</v>
          </cell>
          <cell r="K29">
            <v>4983.2362640000001</v>
          </cell>
          <cell r="L29">
            <v>5074.8935959999999</v>
          </cell>
          <cell r="M29">
            <v>5169.7497190000004</v>
          </cell>
          <cell r="N29">
            <v>5266.7352760000003</v>
          </cell>
          <cell r="O29">
            <v>5365.0319570000001</v>
          </cell>
          <cell r="P29">
            <v>5464.1263399999998</v>
          </cell>
          <cell r="Q29">
            <v>5563.7903509999996</v>
          </cell>
          <cell r="R29">
            <v>5664.1408359999996</v>
          </cell>
          <cell r="S29">
            <v>5765.5493980000001</v>
          </cell>
          <cell r="T29">
            <v>5868.5400929999996</v>
          </cell>
          <cell r="U29">
            <v>5973.6921940000002</v>
          </cell>
          <cell r="V29">
            <v>6081.4966800000002</v>
          </cell>
          <cell r="W29">
            <v>6192.5741639999997</v>
          </cell>
          <cell r="X29">
            <v>6307.5676219999996</v>
          </cell>
          <cell r="Y29">
            <v>6427.110103</v>
          </cell>
          <cell r="Z29">
            <v>6551.7714930000002</v>
          </cell>
          <cell r="AA29">
            <v>6681.7406549999996</v>
          </cell>
          <cell r="AB29">
            <v>6817.3872650000003</v>
          </cell>
          <cell r="AC29">
            <v>6959.1293640000004</v>
          </cell>
          <cell r="AD29">
            <v>7107.3953419999998</v>
          </cell>
          <cell r="AE29">
            <v>7262.5298910000001</v>
          </cell>
          <cell r="AF29">
            <v>7424.7199460000002</v>
          </cell>
          <cell r="AG29">
            <v>7593.9954870000001</v>
          </cell>
          <cell r="AH29">
            <v>7770.2609320000001</v>
          </cell>
          <cell r="AI29">
            <v>7953.3160330000001</v>
          </cell>
          <cell r="AJ29">
            <v>8142.8666620000004</v>
          </cell>
          <cell r="AK29">
            <v>8338.5296340000004</v>
          </cell>
        </row>
        <row r="30">
          <cell r="B30">
            <v>43526.008020000001</v>
          </cell>
          <cell r="C30">
            <v>44045.270689999998</v>
          </cell>
          <cell r="D30">
            <v>44598.003909999999</v>
          </cell>
          <cell r="E30">
            <v>45189.7497</v>
          </cell>
          <cell r="F30">
            <v>45825.093719999997</v>
          </cell>
          <cell r="G30">
            <v>46507.007570000002</v>
          </cell>
          <cell r="H30">
            <v>47235.293239999999</v>
          </cell>
          <cell r="I30">
            <v>47993.220600000001</v>
          </cell>
          <cell r="J30">
            <v>48775.420169999998</v>
          </cell>
          <cell r="K30">
            <v>49593.562010000001</v>
          </cell>
          <cell r="L30">
            <v>50451.78587</v>
          </cell>
          <cell r="M30">
            <v>51341.88594</v>
          </cell>
          <cell r="N30">
            <v>52253.757380000003</v>
          </cell>
          <cell r="O30">
            <v>53179.34302</v>
          </cell>
          <cell r="P30">
            <v>54114.293469999997</v>
          </cell>
          <cell r="Q30">
            <v>55057.258349999996</v>
          </cell>
          <cell r="R30">
            <v>56008.742700000003</v>
          </cell>
          <cell r="S30">
            <v>56971.423600000002</v>
          </cell>
          <cell r="T30">
            <v>57949.881809999999</v>
          </cell>
          <cell r="U30">
            <v>58949.78527</v>
          </cell>
          <cell r="V30">
            <v>59976.374280000004</v>
          </cell>
          <cell r="W30">
            <v>61036.414900000003</v>
          </cell>
          <cell r="X30">
            <v>62137.046620000001</v>
          </cell>
          <cell r="Y30">
            <v>63285.516040000002</v>
          </cell>
          <cell r="Z30">
            <v>64488.633889999997</v>
          </cell>
          <cell r="AA30">
            <v>65749.510509999993</v>
          </cell>
          <cell r="AB30">
            <v>67072.843869999997</v>
          </cell>
          <cell r="AC30">
            <v>68463.458020000005</v>
          </cell>
          <cell r="AD30">
            <v>69926.317519999997</v>
          </cell>
          <cell r="AE30">
            <v>71465.70809</v>
          </cell>
          <cell r="AF30">
            <v>73084.473249999995</v>
          </cell>
          <cell r="AG30">
            <v>74783.821899999995</v>
          </cell>
          <cell r="AH30">
            <v>76563.567129999996</v>
          </cell>
          <cell r="AI30">
            <v>78422.500780000002</v>
          </cell>
          <cell r="AJ30">
            <v>80358.562340000004</v>
          </cell>
          <cell r="AK30">
            <v>82368.902390000003</v>
          </cell>
        </row>
        <row r="31">
          <cell r="B31">
            <v>43526.008020000001</v>
          </cell>
          <cell r="C31">
            <v>44045.270689999998</v>
          </cell>
          <cell r="D31">
            <v>44598.003909999999</v>
          </cell>
          <cell r="E31">
            <v>45189.749709999996</v>
          </cell>
          <cell r="F31">
            <v>45825.093730000001</v>
          </cell>
          <cell r="G31">
            <v>46507.007570000002</v>
          </cell>
          <cell r="H31">
            <v>47235.293239999999</v>
          </cell>
          <cell r="I31">
            <v>48008.751539999997</v>
          </cell>
          <cell r="J31">
            <v>48826.11634</v>
          </cell>
          <cell r="K31">
            <v>49686.420720000002</v>
          </cell>
          <cell r="L31">
            <v>50587.868309999998</v>
          </cell>
          <cell r="M31">
            <v>51519.252419999997</v>
          </cell>
          <cell r="N31">
            <v>52469.78342</v>
          </cell>
          <cell r="O31">
            <v>53431.19195</v>
          </cell>
          <cell r="P31">
            <v>54398.249129999997</v>
          </cell>
          <cell r="Q31">
            <v>55368.559990000002</v>
          </cell>
          <cell r="R31">
            <v>56343.580860000002</v>
          </cell>
          <cell r="S31">
            <v>57327.44268</v>
          </cell>
          <cell r="T31">
            <v>58325.780250000003</v>
          </cell>
          <cell r="U31">
            <v>59344.700629999999</v>
          </cell>
          <cell r="V31">
            <v>60389.355239999997</v>
          </cell>
          <cell r="W31">
            <v>61466.087149999999</v>
          </cell>
          <cell r="X31">
            <v>62581.395400000001</v>
          </cell>
          <cell r="Y31">
            <v>63741.64228</v>
          </cell>
          <cell r="Z31">
            <v>64952.548419999999</v>
          </cell>
          <cell r="AA31">
            <v>66216.096940000003</v>
          </cell>
          <cell r="AB31">
            <v>67536.054180000006</v>
          </cell>
          <cell r="AC31">
            <v>68916.670119999995</v>
          </cell>
          <cell r="AD31">
            <v>70362.311109999995</v>
          </cell>
          <cell r="AE31">
            <v>71876.534499999994</v>
          </cell>
          <cell r="AF31">
            <v>73461.358219999995</v>
          </cell>
          <cell r="AG31">
            <v>75117.264660000001</v>
          </cell>
          <cell r="AH31">
            <v>76843.504100000006</v>
          </cell>
          <cell r="AI31">
            <v>78638.29307</v>
          </cell>
          <cell r="AJ31">
            <v>80498.911980000004</v>
          </cell>
          <cell r="AK31">
            <v>82421.743789999993</v>
          </cell>
        </row>
        <row r="32">
          <cell r="B32">
            <v>25746.87141</v>
          </cell>
          <cell r="C32">
            <v>26085.858970000001</v>
          </cell>
          <cell r="D32">
            <v>26482.726709999999</v>
          </cell>
          <cell r="E32">
            <v>26939.228149999999</v>
          </cell>
          <cell r="F32">
            <v>27454.297340000001</v>
          </cell>
          <cell r="G32">
            <v>28026.704229999999</v>
          </cell>
          <cell r="H32">
            <v>28655.13624</v>
          </cell>
          <cell r="I32">
            <v>29331.812000000002</v>
          </cell>
          <cell r="J32">
            <v>30066.372770000002</v>
          </cell>
          <cell r="K32">
            <v>30897.751540000001</v>
          </cell>
          <cell r="L32">
            <v>31840.098910000001</v>
          </cell>
          <cell r="M32">
            <v>32875.94571</v>
          </cell>
          <cell r="N32">
            <v>33977.654000000002</v>
          </cell>
          <cell r="O32">
            <v>35119.543870000001</v>
          </cell>
          <cell r="P32">
            <v>36284.052199999998</v>
          </cell>
          <cell r="Q32">
            <v>37460.478009999999</v>
          </cell>
          <cell r="R32">
            <v>38647.07314</v>
          </cell>
          <cell r="S32">
            <v>39848.448669999998</v>
          </cell>
          <cell r="T32">
            <v>41073.414530000002</v>
          </cell>
          <cell r="U32">
            <v>42332.26384</v>
          </cell>
          <cell r="V32">
            <v>43635.703739999997</v>
          </cell>
          <cell r="W32">
            <v>44994.990270000002</v>
          </cell>
          <cell r="X32">
            <v>46422.38147</v>
          </cell>
          <cell r="Y32">
            <v>47929.314409999999</v>
          </cell>
          <cell r="Z32">
            <v>49524.679889999999</v>
          </cell>
          <cell r="AA32">
            <v>51214.696300000003</v>
          </cell>
          <cell r="AB32">
            <v>53006.791649999999</v>
          </cell>
          <cell r="AC32">
            <v>54913.102760000002</v>
          </cell>
          <cell r="AD32">
            <v>56946.331129999999</v>
          </cell>
          <cell r="AE32">
            <v>59115.229890000002</v>
          </cell>
          <cell r="AF32">
            <v>61422.735639999999</v>
          </cell>
          <cell r="AG32">
            <v>63868.453580000001</v>
          </cell>
          <cell r="AH32">
            <v>66451.539019999997</v>
          </cell>
          <cell r="AI32">
            <v>69170.049459999995</v>
          </cell>
          <cell r="AJ32">
            <v>72020.205419999998</v>
          </cell>
          <cell r="AK32">
            <v>74996.009590000001</v>
          </cell>
        </row>
        <row r="33">
          <cell r="B33">
            <v>25746.87141</v>
          </cell>
          <cell r="C33">
            <v>26085.858970000001</v>
          </cell>
          <cell r="D33">
            <v>26482.726709999999</v>
          </cell>
          <cell r="E33">
            <v>26939.228149999999</v>
          </cell>
          <cell r="F33">
            <v>27454.297340000001</v>
          </cell>
          <cell r="G33">
            <v>28026.704229999999</v>
          </cell>
          <cell r="H33">
            <v>28655.13624</v>
          </cell>
          <cell r="I33">
            <v>29337.936679999999</v>
          </cell>
          <cell r="J33">
            <v>30073.199700000001</v>
          </cell>
          <cell r="K33">
            <v>30859.088540000001</v>
          </cell>
          <cell r="L33">
            <v>31688.914410000001</v>
          </cell>
          <cell r="M33">
            <v>32540.533449999999</v>
          </cell>
          <cell r="N33">
            <v>33395.719929999999</v>
          </cell>
          <cell r="O33">
            <v>34242.71067</v>
          </cell>
          <cell r="P33">
            <v>35076.339319999999</v>
          </cell>
          <cell r="Q33">
            <v>35896.762990000003</v>
          </cell>
          <cell r="R33">
            <v>36708.318720000003</v>
          </cell>
          <cell r="S33">
            <v>37518.748489999998</v>
          </cell>
          <cell r="T33">
            <v>38337.937319999997</v>
          </cell>
          <cell r="U33">
            <v>39176.368820000003</v>
          </cell>
          <cell r="V33">
            <v>40044.574119999997</v>
          </cell>
          <cell r="W33">
            <v>40952.739840000002</v>
          </cell>
          <cell r="X33">
            <v>41911.083960000004</v>
          </cell>
          <cell r="Y33">
            <v>42929.400670000003</v>
          </cell>
          <cell r="Z33">
            <v>44016.224450000002</v>
          </cell>
          <cell r="AA33">
            <v>45178.890299999999</v>
          </cell>
          <cell r="AB33">
            <v>46423.986969999998</v>
          </cell>
          <cell r="AC33">
            <v>47758.270649999999</v>
          </cell>
          <cell r="AD33">
            <v>49187.981590000003</v>
          </cell>
          <cell r="AE33">
            <v>50716.688869999998</v>
          </cell>
          <cell r="AF33">
            <v>52344.266710000004</v>
          </cell>
          <cell r="AG33">
            <v>54067.578600000001</v>
          </cell>
          <cell r="AH33">
            <v>55881.594949999999</v>
          </cell>
          <cell r="AI33">
            <v>57780.067219999997</v>
          </cell>
          <cell r="AJ33">
            <v>59755.863599999997</v>
          </cell>
          <cell r="AK33">
            <v>61801.111019999997</v>
          </cell>
        </row>
        <row r="34">
          <cell r="B34">
            <v>14916.87595</v>
          </cell>
          <cell r="C34">
            <v>15104.80847</v>
          </cell>
          <cell r="D34">
            <v>15316.67663</v>
          </cell>
          <cell r="E34">
            <v>15555.125980000001</v>
          </cell>
          <cell r="F34">
            <v>15821.07792</v>
          </cell>
          <cell r="G34">
            <v>16116.18166</v>
          </cell>
          <cell r="H34">
            <v>16441.352859999999</v>
          </cell>
          <cell r="I34">
            <v>16792.622449999999</v>
          </cell>
          <cell r="J34">
            <v>17166.714499999998</v>
          </cell>
          <cell r="K34">
            <v>17572.466329999999</v>
          </cell>
          <cell r="L34">
            <v>18013.649789999999</v>
          </cell>
          <cell r="M34">
            <v>18485.430899999999</v>
          </cell>
          <cell r="N34">
            <v>18982.465690000001</v>
          </cell>
          <cell r="O34">
            <v>19500.16804</v>
          </cell>
          <cell r="P34">
            <v>20035.42124</v>
          </cell>
          <cell r="Q34">
            <v>20586.080030000001</v>
          </cell>
          <cell r="R34">
            <v>21150.997319999999</v>
          </cell>
          <cell r="S34">
            <v>21729.825219999999</v>
          </cell>
          <cell r="T34">
            <v>22323.513800000001</v>
          </cell>
          <cell r="U34">
            <v>22934.125639999998</v>
          </cell>
          <cell r="V34">
            <v>23564.267639999998</v>
          </cell>
          <cell r="W34">
            <v>24217.811129999998</v>
          </cell>
          <cell r="X34">
            <v>24899.608400000001</v>
          </cell>
          <cell r="Y34">
            <v>25614.934300000001</v>
          </cell>
          <cell r="Z34">
            <v>26368.846860000001</v>
          </cell>
          <cell r="AA34">
            <v>27164.74625</v>
          </cell>
          <cell r="AB34">
            <v>28007.129410000001</v>
          </cell>
          <cell r="AC34">
            <v>28901.748530000001</v>
          </cell>
          <cell r="AD34">
            <v>29855.013770000001</v>
          </cell>
          <cell r="AE34">
            <v>30872.894090000002</v>
          </cell>
          <cell r="AF34">
            <v>31960.178380000001</v>
          </cell>
          <cell r="AG34">
            <v>33120.68821</v>
          </cell>
          <cell r="AH34">
            <v>34357.786670000001</v>
          </cell>
          <cell r="AI34">
            <v>35674.338770000002</v>
          </cell>
          <cell r="AJ34">
            <v>37072.540459999997</v>
          </cell>
          <cell r="AK34">
            <v>38553.755810000002</v>
          </cell>
        </row>
        <row r="35">
          <cell r="B35">
            <v>14916.87595</v>
          </cell>
          <cell r="C35">
            <v>15104.80847</v>
          </cell>
          <cell r="D35">
            <v>15316.67663</v>
          </cell>
          <cell r="E35">
            <v>15555.125980000001</v>
          </cell>
          <cell r="F35">
            <v>15821.07792</v>
          </cell>
          <cell r="G35">
            <v>16116.18166</v>
          </cell>
          <cell r="H35">
            <v>16441.352859999999</v>
          </cell>
          <cell r="I35">
            <v>16797.107690000001</v>
          </cell>
          <cell r="J35">
            <v>17183.610349999999</v>
          </cell>
          <cell r="K35">
            <v>17600.8845</v>
          </cell>
          <cell r="L35">
            <v>18047.641250000001</v>
          </cell>
          <cell r="M35">
            <v>18516.63263</v>
          </cell>
          <cell r="N35">
            <v>19000.79134</v>
          </cell>
          <cell r="O35">
            <v>19494.372510000001</v>
          </cell>
          <cell r="P35">
            <v>19993.317200000001</v>
          </cell>
          <cell r="Q35">
            <v>20495.202730000001</v>
          </cell>
          <cell r="R35">
            <v>20999.82936</v>
          </cell>
          <cell r="S35">
            <v>21508.614689999999</v>
          </cell>
          <cell r="T35">
            <v>22024.032480000002</v>
          </cell>
          <cell r="U35">
            <v>22549.093509999999</v>
          </cell>
          <cell r="V35">
            <v>23086.790690000002</v>
          </cell>
          <cell r="W35">
            <v>23640.8181</v>
          </cell>
          <cell r="X35">
            <v>24215.362160000001</v>
          </cell>
          <cell r="Y35">
            <v>24814.845959999999</v>
          </cell>
          <cell r="Z35">
            <v>25443.54464</v>
          </cell>
          <cell r="AA35">
            <v>26104.329750000001</v>
          </cell>
          <cell r="AB35">
            <v>26800.62227</v>
          </cell>
          <cell r="AC35">
            <v>27536.30154</v>
          </cell>
          <cell r="AD35">
            <v>28315.40251</v>
          </cell>
          <cell r="AE35">
            <v>29141.401720000002</v>
          </cell>
          <cell r="AF35">
            <v>30016.71068</v>
          </cell>
          <cell r="AG35">
            <v>30942.66589</v>
          </cell>
          <cell r="AH35">
            <v>31919.694869999999</v>
          </cell>
          <cell r="AI35">
            <v>32947.398529999999</v>
          </cell>
          <cell r="AJ35">
            <v>34024.572540000001</v>
          </cell>
          <cell r="AK35">
            <v>35149.198819999998</v>
          </cell>
        </row>
        <row r="36">
          <cell r="B36">
            <v>1989009.473</v>
          </cell>
          <cell r="C36">
            <v>2012914.148</v>
          </cell>
          <cell r="D36">
            <v>2038690.4620000001</v>
          </cell>
          <cell r="E36">
            <v>2066768.9339999999</v>
          </cell>
          <cell r="F36">
            <v>2097474.736</v>
          </cell>
          <cell r="G36">
            <v>2131023.4300000002</v>
          </cell>
          <cell r="H36">
            <v>2167448.673</v>
          </cell>
          <cell r="I36">
            <v>2206182.3909999998</v>
          </cell>
          <cell r="J36">
            <v>2247047.0320000001</v>
          </cell>
          <cell r="K36">
            <v>2290574.2799999998</v>
          </cell>
          <cell r="L36">
            <v>2337036.7030000002</v>
          </cell>
          <cell r="M36">
            <v>2386120.557</v>
          </cell>
          <cell r="N36">
            <v>2437347.193</v>
          </cell>
          <cell r="O36">
            <v>2490264.6869999999</v>
          </cell>
          <cell r="P36">
            <v>2544544.9470000002</v>
          </cell>
          <cell r="Q36">
            <v>2599979.8130000001</v>
          </cell>
          <cell r="R36">
            <v>2656445.6189999999</v>
          </cell>
          <cell r="S36">
            <v>2713950.0380000002</v>
          </cell>
          <cell r="T36">
            <v>2772606.4640000002</v>
          </cell>
          <cell r="U36">
            <v>2832596.75</v>
          </cell>
          <cell r="V36">
            <v>2894090.12</v>
          </cell>
          <cell r="W36">
            <v>2957352.36</v>
          </cell>
          <cell r="X36">
            <v>3022689.324</v>
          </cell>
          <cell r="Y36">
            <v>3090434.273</v>
          </cell>
          <cell r="Z36">
            <v>3160921.3640000001</v>
          </cell>
          <cell r="AA36">
            <v>3234296.6710000001</v>
          </cell>
          <cell r="AB36">
            <v>3310803.9950000001</v>
          </cell>
          <cell r="AC36">
            <v>3390708.2140000002</v>
          </cell>
          <cell r="AD36">
            <v>3474303.477</v>
          </cell>
          <cell r="AE36">
            <v>3561881.236</v>
          </cell>
          <cell r="AF36">
            <v>3653690.469</v>
          </cell>
          <cell r="AG36">
            <v>3749915.9879999999</v>
          </cell>
          <cell r="AH36">
            <v>3850678.4640000002</v>
          </cell>
          <cell r="AI36">
            <v>3956048.4249999998</v>
          </cell>
          <cell r="AJ36">
            <v>4066052.5720000002</v>
          </cell>
          <cell r="AK36">
            <v>4180674.966</v>
          </cell>
        </row>
        <row r="37">
          <cell r="B37">
            <v>1989009.473</v>
          </cell>
          <cell r="C37">
            <v>2012914.148</v>
          </cell>
          <cell r="D37">
            <v>2038690.4620000001</v>
          </cell>
          <cell r="E37">
            <v>2066768.9339999999</v>
          </cell>
          <cell r="F37">
            <v>2097474.7349999999</v>
          </cell>
          <cell r="G37">
            <v>2131023.4300000002</v>
          </cell>
          <cell r="H37">
            <v>2167448.673</v>
          </cell>
          <cell r="I37">
            <v>2206720.102</v>
          </cell>
          <cell r="J37">
            <v>2248798.0860000001</v>
          </cell>
          <cell r="K37">
            <v>2293654.5490000001</v>
          </cell>
          <cell r="L37">
            <v>2341242.5</v>
          </cell>
          <cell r="M37">
            <v>2391086.682</v>
          </cell>
          <cell r="N37">
            <v>2442670.2280000001</v>
          </cell>
          <cell r="O37">
            <v>2495541.557</v>
          </cell>
          <cell r="P37">
            <v>2549354.926</v>
          </cell>
          <cell r="Q37">
            <v>2603878.733</v>
          </cell>
          <cell r="R37">
            <v>2659070.0690000001</v>
          </cell>
          <cell r="S37">
            <v>2715024.3829999999</v>
          </cell>
          <cell r="T37">
            <v>2771921.5660000001</v>
          </cell>
          <cell r="U37">
            <v>2829981.01</v>
          </cell>
          <cell r="V37">
            <v>2889385.1669999999</v>
          </cell>
          <cell r="W37">
            <v>2950398.63</v>
          </cell>
          <cell r="X37">
            <v>3013316.0389999999</v>
          </cell>
          <cell r="Y37">
            <v>3078446.031</v>
          </cell>
          <cell r="Z37">
            <v>3146085.361</v>
          </cell>
          <cell r="AA37">
            <v>3216338.8130000001</v>
          </cell>
          <cell r="AB37">
            <v>3289412.753</v>
          </cell>
          <cell r="AC37">
            <v>3365554.179</v>
          </cell>
          <cell r="AD37">
            <v>3445033.9870000002</v>
          </cell>
          <cell r="AE37">
            <v>3528106.8810000001</v>
          </cell>
          <cell r="AF37">
            <v>3614972.8339999998</v>
          </cell>
          <cell r="AG37">
            <v>3705766.6009999998</v>
          </cell>
          <cell r="AH37">
            <v>3800561.6749999998</v>
          </cell>
          <cell r="AI37">
            <v>3899372.4249999998</v>
          </cell>
          <cell r="AJ37">
            <v>4002153.6609999998</v>
          </cell>
          <cell r="AK37">
            <v>4108798.702</v>
          </cell>
        </row>
        <row r="38">
          <cell r="B38">
            <v>436561.8676</v>
          </cell>
          <cell r="C38">
            <v>441728.26329999999</v>
          </cell>
          <cell r="D38">
            <v>447133.82640000002</v>
          </cell>
          <cell r="E38">
            <v>452805.5969</v>
          </cell>
          <cell r="F38">
            <v>458771.3247</v>
          </cell>
          <cell r="G38">
            <v>465044.32299999997</v>
          </cell>
          <cell r="H38">
            <v>471598.37609999999</v>
          </cell>
          <cell r="I38">
            <v>478336.82640000002</v>
          </cell>
          <cell r="J38">
            <v>485251.38870000001</v>
          </cell>
          <cell r="K38">
            <v>492372.46340000001</v>
          </cell>
          <cell r="L38">
            <v>499766.21</v>
          </cell>
          <cell r="M38">
            <v>507436.07740000001</v>
          </cell>
          <cell r="N38">
            <v>515397.52850000001</v>
          </cell>
          <cell r="O38">
            <v>523670.76799999998</v>
          </cell>
          <cell r="P38">
            <v>532278.07209999999</v>
          </cell>
          <cell r="Q38">
            <v>541241.8112</v>
          </cell>
          <cell r="R38">
            <v>550578.15899999999</v>
          </cell>
          <cell r="S38">
            <v>560307.12620000006</v>
          </cell>
          <cell r="T38">
            <v>570450.03949999996</v>
          </cell>
          <cell r="U38">
            <v>581026.12679999997</v>
          </cell>
          <cell r="V38">
            <v>592017.31819999998</v>
          </cell>
          <cell r="W38">
            <v>603454.28559999994</v>
          </cell>
          <cell r="X38">
            <v>615349.81079999998</v>
          </cell>
          <cell r="Y38">
            <v>627708.26560000004</v>
          </cell>
          <cell r="Z38">
            <v>640528.06019999995</v>
          </cell>
          <cell r="AA38">
            <v>653702.62719999999</v>
          </cell>
          <cell r="AB38">
            <v>667233.20209999999</v>
          </cell>
          <cell r="AC38">
            <v>681105.71120000002</v>
          </cell>
          <cell r="AD38">
            <v>695304.03940000001</v>
          </cell>
          <cell r="AE38">
            <v>709815.9325</v>
          </cell>
          <cell r="AF38">
            <v>724633.53410000005</v>
          </cell>
          <cell r="AG38">
            <v>739751.52949999995</v>
          </cell>
          <cell r="AH38">
            <v>755166.52150000003</v>
          </cell>
          <cell r="AI38">
            <v>770879.17909999995</v>
          </cell>
          <cell r="AJ38">
            <v>786894.56339999998</v>
          </cell>
          <cell r="AK38">
            <v>803221.36769999994</v>
          </cell>
        </row>
        <row r="39">
          <cell r="B39">
            <v>436561.8676</v>
          </cell>
          <cell r="C39">
            <v>441728.26329999999</v>
          </cell>
          <cell r="D39">
            <v>447133.82640000002</v>
          </cell>
          <cell r="E39">
            <v>452805.5969</v>
          </cell>
          <cell r="F39">
            <v>458771.3247</v>
          </cell>
          <cell r="G39">
            <v>465044.32299999997</v>
          </cell>
          <cell r="H39">
            <v>471598.37609999999</v>
          </cell>
          <cell r="I39">
            <v>478419.3075</v>
          </cell>
          <cell r="J39">
            <v>485502.12479999999</v>
          </cell>
          <cell r="K39">
            <v>492848.11339999997</v>
          </cell>
          <cell r="L39">
            <v>500502.06559999997</v>
          </cell>
          <cell r="M39">
            <v>508432.70689999999</v>
          </cell>
          <cell r="N39">
            <v>516630.48619999998</v>
          </cell>
          <cell r="O39">
            <v>525098.21400000004</v>
          </cell>
          <cell r="P39">
            <v>533844.80429999996</v>
          </cell>
          <cell r="Q39">
            <v>542881.89439999999</v>
          </cell>
          <cell r="R39">
            <v>552232.93669999996</v>
          </cell>
          <cell r="S39">
            <v>561924.05940000003</v>
          </cell>
          <cell r="T39">
            <v>571977.67859999998</v>
          </cell>
          <cell r="U39">
            <v>582409.27289999998</v>
          </cell>
          <cell r="V39">
            <v>593193.6777</v>
          </cell>
          <cell r="W39">
            <v>604353.75549999997</v>
          </cell>
          <cell r="X39">
            <v>615894.56740000006</v>
          </cell>
          <cell r="Y39">
            <v>627812.23210000002</v>
          </cell>
          <cell r="Z39">
            <v>640096.85430000001</v>
          </cell>
          <cell r="AA39">
            <v>652635.56920000003</v>
          </cell>
          <cell r="AB39">
            <v>665428.61919999996</v>
          </cell>
          <cell r="AC39">
            <v>678468.22369999997</v>
          </cell>
          <cell r="AD39">
            <v>691746.55839999998</v>
          </cell>
          <cell r="AE39">
            <v>705260.41989999998</v>
          </cell>
          <cell r="AF39">
            <v>719011.78520000004</v>
          </cell>
          <cell r="AG39">
            <v>733007.80680000002</v>
          </cell>
          <cell r="AH39">
            <v>747260.49</v>
          </cell>
          <cell r="AI39">
            <v>761785.97089999996</v>
          </cell>
          <cell r="AJ39">
            <v>776603.62580000004</v>
          </cell>
          <cell r="AK39">
            <v>791735.02610000002</v>
          </cell>
        </row>
        <row r="40">
          <cell r="B40">
            <v>5635.470096</v>
          </cell>
          <cell r="C40">
            <v>5701.994447</v>
          </cell>
          <cell r="D40">
            <v>5772.6589530000001</v>
          </cell>
          <cell r="E40">
            <v>5848.2032570000001</v>
          </cell>
          <cell r="F40">
            <v>5929.4022459999996</v>
          </cell>
          <cell r="G40">
            <v>6016.9406820000004</v>
          </cell>
          <cell r="H40">
            <v>6111.0455650000004</v>
          </cell>
          <cell r="I40">
            <v>6207.1772730000002</v>
          </cell>
          <cell r="J40">
            <v>6303.3330459999997</v>
          </cell>
          <cell r="K40">
            <v>6400.5199570000004</v>
          </cell>
          <cell r="L40">
            <v>6499.1008629999997</v>
          </cell>
          <cell r="M40">
            <v>6597.9000830000004</v>
          </cell>
          <cell r="N40">
            <v>6695.342079</v>
          </cell>
          <cell r="O40">
            <v>6790.1281159999999</v>
          </cell>
          <cell r="P40">
            <v>6881.557084</v>
          </cell>
          <cell r="Q40">
            <v>6969.454976</v>
          </cell>
          <cell r="R40">
            <v>7054.8541850000001</v>
          </cell>
          <cell r="S40">
            <v>7138.6421819999996</v>
          </cell>
          <cell r="T40">
            <v>7221.857978</v>
          </cell>
          <cell r="U40">
            <v>7305.6789479999998</v>
          </cell>
          <cell r="V40">
            <v>7391.293181</v>
          </cell>
          <cell r="W40">
            <v>7480.045865</v>
          </cell>
          <cell r="X40">
            <v>7573.3797510000004</v>
          </cell>
          <cell r="Y40">
            <v>7672.7468429999999</v>
          </cell>
          <cell r="Z40">
            <v>7779.5153060000002</v>
          </cell>
          <cell r="AA40">
            <v>7894.6883760000001</v>
          </cell>
          <cell r="AB40">
            <v>8019.0665730000001</v>
          </cell>
          <cell r="AC40">
            <v>8153.7671350000001</v>
          </cell>
          <cell r="AD40">
            <v>8299.9678810000005</v>
          </cell>
          <cell r="AE40">
            <v>8458.6645580000004</v>
          </cell>
          <cell r="AF40">
            <v>8630.5404249999992</v>
          </cell>
          <cell r="AG40">
            <v>8816.0005280000005</v>
          </cell>
          <cell r="AH40">
            <v>9015.2561089999999</v>
          </cell>
          <cell r="AI40">
            <v>9228.3449249999994</v>
          </cell>
          <cell r="AJ40">
            <v>9455.1432559999994</v>
          </cell>
          <cell r="AK40">
            <v>9695.3804409999993</v>
          </cell>
        </row>
        <row r="41">
          <cell r="B41">
            <v>5635.470096</v>
          </cell>
          <cell r="C41">
            <v>5701.994447</v>
          </cell>
          <cell r="D41">
            <v>5772.6589530000001</v>
          </cell>
          <cell r="E41">
            <v>5848.2032570000001</v>
          </cell>
          <cell r="F41">
            <v>5929.4022450000002</v>
          </cell>
          <cell r="G41">
            <v>6016.9406820000004</v>
          </cell>
          <cell r="H41">
            <v>6111.0455650000004</v>
          </cell>
          <cell r="I41">
            <v>6211.6270130000003</v>
          </cell>
          <cell r="J41">
            <v>6318.4585829999996</v>
          </cell>
          <cell r="K41">
            <v>6431.2892229999998</v>
          </cell>
          <cell r="L41">
            <v>6549.5864849999998</v>
          </cell>
          <cell r="M41">
            <v>6671.3221130000002</v>
          </cell>
          <cell r="N41">
            <v>6794.4859139999999</v>
          </cell>
          <cell r="O41">
            <v>6917.5281130000003</v>
          </cell>
          <cell r="P41">
            <v>7039.4987899999996</v>
          </cell>
          <cell r="Q41">
            <v>7160.0189419999997</v>
          </cell>
          <cell r="R41">
            <v>7279.4181799999997</v>
          </cell>
          <cell r="S41">
            <v>7398.5701239999999</v>
          </cell>
          <cell r="T41">
            <v>7518.6814290000002</v>
          </cell>
          <cell r="U41">
            <v>7641.0962069999996</v>
          </cell>
          <cell r="V41">
            <v>7767.1117359999998</v>
          </cell>
          <cell r="W41">
            <v>7898.1102520000004</v>
          </cell>
          <cell r="X41">
            <v>8035.5060380000004</v>
          </cell>
          <cell r="Y41">
            <v>8180.6881860000003</v>
          </cell>
          <cell r="Z41">
            <v>8334.940165</v>
          </cell>
          <cell r="AA41">
            <v>8499.1501270000008</v>
          </cell>
          <cell r="AB41">
            <v>8674.2388919999994</v>
          </cell>
          <cell r="AC41">
            <v>8861.1535289999993</v>
          </cell>
          <cell r="AD41">
            <v>9060.7982100000008</v>
          </cell>
          <cell r="AE41">
            <v>9273.8467770000007</v>
          </cell>
          <cell r="AF41">
            <v>9500.6178199999995</v>
          </cell>
          <cell r="AG41">
            <v>9741.0850489999993</v>
          </cell>
          <cell r="AH41">
            <v>9994.9452199999996</v>
          </cell>
          <cell r="AI41">
            <v>10261.670169999999</v>
          </cell>
          <cell r="AJ41">
            <v>10540.5389</v>
          </cell>
          <cell r="AK41">
            <v>10830.656940000001</v>
          </cell>
        </row>
        <row r="42">
          <cell r="B42">
            <v>22391.097379999999</v>
          </cell>
          <cell r="C42">
            <v>22641.576850000001</v>
          </cell>
          <cell r="D42">
            <v>22890.688770000001</v>
          </cell>
          <cell r="E42">
            <v>23139.448110000001</v>
          </cell>
          <cell r="F42">
            <v>23392.596529999999</v>
          </cell>
          <cell r="G42">
            <v>23655.394850000001</v>
          </cell>
          <cell r="H42">
            <v>23931.169709999998</v>
          </cell>
          <cell r="I42">
            <v>24184.222519999999</v>
          </cell>
          <cell r="J42">
            <v>24402.835569999999</v>
          </cell>
          <cell r="K42">
            <v>24590.061969999999</v>
          </cell>
          <cell r="L42">
            <v>24747.271530000002</v>
          </cell>
          <cell r="M42">
            <v>24872.54651</v>
          </cell>
          <cell r="N42">
            <v>24963.347470000001</v>
          </cell>
          <cell r="O42">
            <v>25017.915669999998</v>
          </cell>
          <cell r="P42">
            <v>25035.94354</v>
          </cell>
          <cell r="Q42">
            <v>25018.178619999999</v>
          </cell>
          <cell r="R42">
            <v>24964.144840000001</v>
          </cell>
          <cell r="S42">
            <v>24875.045730000002</v>
          </cell>
          <cell r="T42">
            <v>24753.077219999999</v>
          </cell>
          <cell r="U42">
            <v>24600.881689999998</v>
          </cell>
          <cell r="V42">
            <v>24421.15078</v>
          </cell>
          <cell r="W42">
            <v>24216.778439999998</v>
          </cell>
          <cell r="X42">
            <v>23990.720979999998</v>
          </cell>
          <cell r="Y42">
            <v>23745.812959999999</v>
          </cell>
          <cell r="Z42">
            <v>23484.587869999999</v>
          </cell>
          <cell r="AA42">
            <v>23208.920050000001</v>
          </cell>
          <cell r="AB42">
            <v>22921.15971</v>
          </cell>
          <cell r="AC42">
            <v>22623.348849999998</v>
          </cell>
          <cell r="AD42">
            <v>22317.209760000002</v>
          </cell>
          <cell r="AE42">
            <v>22003.854469999998</v>
          </cell>
          <cell r="AF42">
            <v>21683.619190000001</v>
          </cell>
          <cell r="AG42">
            <v>21356.151730000001</v>
          </cell>
          <cell r="AH42">
            <v>21020.565310000002</v>
          </cell>
          <cell r="AI42">
            <v>20675.50303</v>
          </cell>
          <cell r="AJ42">
            <v>20319.16965</v>
          </cell>
          <cell r="AK42">
            <v>19949.35282</v>
          </cell>
        </row>
        <row r="43">
          <cell r="B43">
            <v>22391.09737</v>
          </cell>
          <cell r="C43">
            <v>22641.576840000002</v>
          </cell>
          <cell r="D43">
            <v>22890.688750000001</v>
          </cell>
          <cell r="E43">
            <v>23139.448090000002</v>
          </cell>
          <cell r="F43">
            <v>23392.5965</v>
          </cell>
          <cell r="G43">
            <v>23655.394820000001</v>
          </cell>
          <cell r="H43">
            <v>23931.169669999999</v>
          </cell>
          <cell r="I43">
            <v>24221.274549999998</v>
          </cell>
          <cell r="J43">
            <v>24525.99857</v>
          </cell>
          <cell r="K43">
            <v>24845.174589999999</v>
          </cell>
          <cell r="L43">
            <v>25177.672500000001</v>
          </cell>
          <cell r="M43">
            <v>25518.32746</v>
          </cell>
          <cell r="N43">
            <v>25861.787069999998</v>
          </cell>
          <cell r="O43">
            <v>26203.644990000001</v>
          </cell>
          <cell r="P43">
            <v>26540.80773</v>
          </cell>
          <cell r="Q43">
            <v>26871.467479999999</v>
          </cell>
          <cell r="R43">
            <v>27195.880150000001</v>
          </cell>
          <cell r="S43">
            <v>27515.947810000001</v>
          </cell>
          <cell r="T43">
            <v>27834.52232</v>
          </cell>
          <cell r="U43">
            <v>28154.80601</v>
          </cell>
          <cell r="V43">
            <v>28479.897110000002</v>
          </cell>
          <cell r="W43">
            <v>28813.098310000001</v>
          </cell>
          <cell r="X43">
            <v>29157.831750000001</v>
          </cell>
          <cell r="Y43">
            <v>29517.557079999999</v>
          </cell>
          <cell r="Z43">
            <v>29895.615610000001</v>
          </cell>
          <cell r="AA43">
            <v>30294.65423</v>
          </cell>
          <cell r="AB43">
            <v>30717.588810000001</v>
          </cell>
          <cell r="AC43">
            <v>31167.570449999999</v>
          </cell>
          <cell r="AD43">
            <v>31647.792420000002</v>
          </cell>
          <cell r="AE43">
            <v>32160.990709999998</v>
          </cell>
          <cell r="AF43">
            <v>32709.088589999999</v>
          </cell>
          <cell r="AG43">
            <v>33293.167090000003</v>
          </cell>
          <cell r="AH43">
            <v>33913.568290000003</v>
          </cell>
          <cell r="AI43">
            <v>34569.96286</v>
          </cell>
          <cell r="AJ43">
            <v>35261.375979999997</v>
          </cell>
          <cell r="AK43">
            <v>35986.187570000002</v>
          </cell>
        </row>
        <row r="44">
          <cell r="B44">
            <v>1608.157915</v>
          </cell>
          <cell r="C44">
            <v>1625.686784</v>
          </cell>
          <cell r="D44">
            <v>1642.4334469999999</v>
          </cell>
          <cell r="E44">
            <v>1658.4730119999999</v>
          </cell>
          <cell r="F44">
            <v>1674.192528</v>
          </cell>
          <cell r="G44">
            <v>1690.025198</v>
          </cell>
          <cell r="H44">
            <v>1706.295261</v>
          </cell>
          <cell r="I44">
            <v>1744.888543</v>
          </cell>
          <cell r="J44">
            <v>1813.6888690000001</v>
          </cell>
          <cell r="K44">
            <v>1916.4075419999999</v>
          </cell>
          <cell r="L44">
            <v>2055.3679959999999</v>
          </cell>
          <cell r="M44">
            <v>2232.482172</v>
          </cell>
          <cell r="N44">
            <v>2449.4923789999998</v>
          </cell>
          <cell r="O44">
            <v>2708.0372200000002</v>
          </cell>
          <cell r="P44">
            <v>3009.6842339999998</v>
          </cell>
          <cell r="Q44">
            <v>3355.909584</v>
          </cell>
          <cell r="R44">
            <v>3747.8861929999998</v>
          </cell>
          <cell r="S44">
            <v>4186.7011169999996</v>
          </cell>
          <cell r="T44">
            <v>4673.464148</v>
          </cell>
          <cell r="U44">
            <v>5209.3414940000002</v>
          </cell>
          <cell r="V44">
            <v>5795.5253720000001</v>
          </cell>
          <cell r="W44">
            <v>6433.3734450000002</v>
          </cell>
          <cell r="X44">
            <v>7124.4562159999996</v>
          </cell>
          <cell r="Y44">
            <v>7870.5826420000003</v>
          </cell>
          <cell r="Z44">
            <v>8673.8064419999992</v>
          </cell>
          <cell r="AA44">
            <v>9536.2236780000003</v>
          </cell>
          <cell r="AB44">
            <v>10460.396640000001</v>
          </cell>
          <cell r="AC44">
            <v>11449.520769999999</v>
          </cell>
          <cell r="AD44">
            <v>12507.466179999999</v>
          </cell>
          <cell r="AE44">
            <v>13638.714110000001</v>
          </cell>
          <cell r="AF44">
            <v>14848.31337</v>
          </cell>
          <cell r="AG44">
            <v>16141.99647</v>
          </cell>
          <cell r="AH44">
            <v>17526.434659999999</v>
          </cell>
          <cell r="AI44">
            <v>19009.550149999999</v>
          </cell>
          <cell r="AJ44">
            <v>20601.007989999998</v>
          </cell>
          <cell r="AK44">
            <v>22313.072800000002</v>
          </cell>
        </row>
        <row r="45">
          <cell r="B45">
            <v>1608.157915</v>
          </cell>
          <cell r="C45">
            <v>1625.686784</v>
          </cell>
          <cell r="D45">
            <v>1642.4334469999999</v>
          </cell>
          <cell r="E45">
            <v>1658.4730119999999</v>
          </cell>
          <cell r="F45">
            <v>1674.1925269999999</v>
          </cell>
          <cell r="G45">
            <v>1690.0251969999999</v>
          </cell>
          <cell r="H45">
            <v>1706.295261</v>
          </cell>
          <cell r="I45">
            <v>1723.183143</v>
          </cell>
          <cell r="J45">
            <v>1740.7742619999999</v>
          </cell>
          <cell r="K45">
            <v>1759.1010409999999</v>
          </cell>
          <cell r="L45">
            <v>1778.1477789999999</v>
          </cell>
          <cell r="M45">
            <v>1797.7409250000001</v>
          </cell>
          <cell r="N45">
            <v>1817.670421</v>
          </cell>
          <cell r="O45">
            <v>1837.7376569999999</v>
          </cell>
          <cell r="P45">
            <v>1857.776764</v>
          </cell>
          <cell r="Q45">
            <v>1877.6619619999999</v>
          </cell>
          <cell r="R45">
            <v>1897.348886</v>
          </cell>
          <cell r="S45">
            <v>1916.8750869999999</v>
          </cell>
          <cell r="T45">
            <v>1936.3303269999999</v>
          </cell>
          <cell r="U45">
            <v>1955.82762</v>
          </cell>
          <cell r="V45">
            <v>1975.477504</v>
          </cell>
          <cell r="W45">
            <v>1995.4038129999999</v>
          </cell>
          <cell r="X45">
            <v>2015.739482</v>
          </cell>
          <cell r="Y45">
            <v>2036.6238969999999</v>
          </cell>
          <cell r="Z45">
            <v>2058.1977240000001</v>
          </cell>
          <cell r="AA45">
            <v>2080.570068</v>
          </cell>
          <cell r="AB45">
            <v>2103.865448</v>
          </cell>
          <cell r="AC45">
            <v>2128.2219909999999</v>
          </cell>
          <cell r="AD45">
            <v>2153.784686</v>
          </cell>
          <cell r="AE45">
            <v>2180.6878219999999</v>
          </cell>
          <cell r="AF45">
            <v>2209.0397520000001</v>
          </cell>
          <cell r="AG45">
            <v>2238.9172079999998</v>
          </cell>
          <cell r="AH45">
            <v>2270.3647759999999</v>
          </cell>
          <cell r="AI45">
            <v>2303.394233</v>
          </cell>
          <cell r="AJ45">
            <v>2337.983311</v>
          </cell>
          <cell r="AK45">
            <v>2374.0743790000001</v>
          </cell>
        </row>
        <row r="46">
          <cell r="B46">
            <v>534.22115250000002</v>
          </cell>
          <cell r="C46">
            <v>540.02673130000005</v>
          </cell>
          <cell r="D46">
            <v>545.71371610000006</v>
          </cell>
          <cell r="E46">
            <v>551.26627250000001</v>
          </cell>
          <cell r="F46">
            <v>556.84211640000001</v>
          </cell>
          <cell r="G46">
            <v>562.59801059999995</v>
          </cell>
          <cell r="H46">
            <v>568.48494359999995</v>
          </cell>
          <cell r="I46">
            <v>572.3914082</v>
          </cell>
          <cell r="J46">
            <v>573.75330129999998</v>
          </cell>
          <cell r="K46">
            <v>572.71044210000002</v>
          </cell>
          <cell r="L46">
            <v>569.48917189999997</v>
          </cell>
          <cell r="M46">
            <v>564.2964905</v>
          </cell>
          <cell r="N46">
            <v>557.30138269999998</v>
          </cell>
          <cell r="O46">
            <v>548.66462000000001</v>
          </cell>
          <cell r="P46">
            <v>538.55561639999996</v>
          </cell>
          <cell r="Q46">
            <v>527.14750489999994</v>
          </cell>
          <cell r="R46">
            <v>514.62895590000005</v>
          </cell>
          <cell r="S46">
            <v>501.18025890000001</v>
          </cell>
          <cell r="T46">
            <v>486.96657169999997</v>
          </cell>
          <cell r="U46">
            <v>472.13563549999998</v>
          </cell>
          <cell r="V46">
            <v>456.81509519999997</v>
          </cell>
          <cell r="W46">
            <v>441.12108869999997</v>
          </cell>
          <cell r="X46">
            <v>425.15511229999998</v>
          </cell>
          <cell r="Y46">
            <v>409.00367210000002</v>
          </cell>
          <cell r="Z46">
            <v>392.73842550000001</v>
          </cell>
          <cell r="AA46">
            <v>376.41204909999999</v>
          </cell>
          <cell r="AB46">
            <v>360.07185220000002</v>
          </cell>
          <cell r="AC46">
            <v>343.75858799999997</v>
          </cell>
          <cell r="AD46">
            <v>327.50467680000003</v>
          </cell>
          <cell r="AE46">
            <v>311.33288429999999</v>
          </cell>
          <cell r="AF46">
            <v>295.25707740000001</v>
          </cell>
          <cell r="AG46">
            <v>279.2848755</v>
          </cell>
          <cell r="AH46">
            <v>263.42044759999999</v>
          </cell>
          <cell r="AI46">
            <v>247.66661210000001</v>
          </cell>
          <cell r="AJ46">
            <v>232.0267729</v>
          </cell>
          <cell r="AK46">
            <v>216.50675989999999</v>
          </cell>
        </row>
        <row r="47">
          <cell r="B47">
            <v>534.22115059999999</v>
          </cell>
          <cell r="C47">
            <v>540.02672689999997</v>
          </cell>
          <cell r="D47">
            <v>545.71370939999997</v>
          </cell>
          <cell r="E47">
            <v>551.26626350000004</v>
          </cell>
          <cell r="F47">
            <v>556.84210529999996</v>
          </cell>
          <cell r="G47">
            <v>562.59799750000002</v>
          </cell>
          <cell r="H47">
            <v>568.48492869999995</v>
          </cell>
          <cell r="I47">
            <v>574.42135069999995</v>
          </cell>
          <cell r="J47">
            <v>580.35007940000003</v>
          </cell>
          <cell r="K47">
            <v>586.24075270000003</v>
          </cell>
          <cell r="L47">
            <v>592.06843819999995</v>
          </cell>
          <cell r="M47">
            <v>597.71857239999997</v>
          </cell>
          <cell r="N47">
            <v>603.08077160000005</v>
          </cell>
          <cell r="O47">
            <v>608.07693400000005</v>
          </cell>
          <cell r="P47">
            <v>612.66712819999998</v>
          </cell>
          <cell r="Q47">
            <v>616.84590639999999</v>
          </cell>
          <cell r="R47">
            <v>620.7424628</v>
          </cell>
          <cell r="S47">
            <v>624.50175320000005</v>
          </cell>
          <cell r="T47">
            <v>628.2588174</v>
          </cell>
          <cell r="U47">
            <v>632.13257399999998</v>
          </cell>
          <cell r="V47">
            <v>636.22012589999997</v>
          </cell>
          <cell r="W47">
            <v>640.61778819999995</v>
          </cell>
          <cell r="X47">
            <v>645.41802749999999</v>
          </cell>
          <cell r="Y47">
            <v>650.70882659999995</v>
          </cell>
          <cell r="Z47">
            <v>656.57130340000003</v>
          </cell>
          <cell r="AA47">
            <v>663.05861279999999</v>
          </cell>
          <cell r="AB47">
            <v>670.23633380000001</v>
          </cell>
          <cell r="AC47">
            <v>678.17558840000004</v>
          </cell>
          <cell r="AD47">
            <v>686.94751450000001</v>
          </cell>
          <cell r="AE47">
            <v>696.61258740000005</v>
          </cell>
          <cell r="AF47">
            <v>707.21257969999999</v>
          </cell>
          <cell r="AG47">
            <v>718.76975570000002</v>
          </cell>
          <cell r="AH47">
            <v>731.28900529999999</v>
          </cell>
          <cell r="AI47">
            <v>744.75988150000001</v>
          </cell>
          <cell r="AJ47">
            <v>759.15770959999998</v>
          </cell>
          <cell r="AK47">
            <v>774.44399390000001</v>
          </cell>
        </row>
        <row r="48">
          <cell r="B48">
            <v>333.5687527</v>
          </cell>
          <cell r="C48">
            <v>337.19119030000002</v>
          </cell>
          <cell r="D48">
            <v>340.73990400000002</v>
          </cell>
          <cell r="E48">
            <v>344.20361650000001</v>
          </cell>
          <cell r="F48">
            <v>347.68177329999997</v>
          </cell>
          <cell r="G48">
            <v>351.27222610000001</v>
          </cell>
          <cell r="H48">
            <v>354.94282850000002</v>
          </cell>
          <cell r="I48">
            <v>361.53631150000001</v>
          </cell>
          <cell r="J48">
            <v>371.82180160000001</v>
          </cell>
          <cell r="K48">
            <v>386.05407589999999</v>
          </cell>
          <cell r="L48">
            <v>404.27217380000002</v>
          </cell>
          <cell r="M48">
            <v>426.42771190000002</v>
          </cell>
          <cell r="N48">
            <v>452.40773810000002</v>
          </cell>
          <cell r="O48">
            <v>482.0783328</v>
          </cell>
          <cell r="P48">
            <v>515.32011739999996</v>
          </cell>
          <cell r="Q48">
            <v>552.03421460000004</v>
          </cell>
          <cell r="R48">
            <v>592.19149679999998</v>
          </cell>
          <cell r="S48">
            <v>635.80263909999996</v>
          </cell>
          <cell r="T48">
            <v>682.90770050000003</v>
          </cell>
          <cell r="U48">
            <v>733.57017829999995</v>
          </cell>
          <cell r="V48">
            <v>787.86146740000004</v>
          </cell>
          <cell r="W48">
            <v>845.89715430000001</v>
          </cell>
          <cell r="X48">
            <v>907.82569049999995</v>
          </cell>
          <cell r="Y48">
            <v>973.82372499999997</v>
          </cell>
          <cell r="Z48">
            <v>1044.088608</v>
          </cell>
          <cell r="AA48">
            <v>1118.7789499999999</v>
          </cell>
          <cell r="AB48">
            <v>1198.1212619999999</v>
          </cell>
          <cell r="AC48">
            <v>1282.4144839999999</v>
          </cell>
          <cell r="AD48">
            <v>1372.0181749999999</v>
          </cell>
          <cell r="AE48">
            <v>1467.3230470000001</v>
          </cell>
          <cell r="AF48">
            <v>1568.729726</v>
          </cell>
          <cell r="AG48">
            <v>1676.6566700000001</v>
          </cell>
          <cell r="AH48">
            <v>1791.5663509999999</v>
          </cell>
          <cell r="AI48">
            <v>1913.991053</v>
          </cell>
          <cell r="AJ48">
            <v>2044.5646200000001</v>
          </cell>
          <cell r="AK48">
            <v>2184.0660939999998</v>
          </cell>
        </row>
        <row r="49">
          <cell r="B49">
            <v>333.56875739999998</v>
          </cell>
          <cell r="C49">
            <v>337.1912011</v>
          </cell>
          <cell r="D49">
            <v>340.73992129999999</v>
          </cell>
          <cell r="E49">
            <v>344.20364030000002</v>
          </cell>
          <cell r="F49">
            <v>347.6818035</v>
          </cell>
          <cell r="G49">
            <v>351.27226250000001</v>
          </cell>
          <cell r="H49">
            <v>354.94287100000003</v>
          </cell>
          <cell r="I49">
            <v>358.64108590000001</v>
          </cell>
          <cell r="J49">
            <v>362.33020520000002</v>
          </cell>
          <cell r="K49">
            <v>365.9908709</v>
          </cell>
          <cell r="L49">
            <v>369.60767170000003</v>
          </cell>
          <cell r="M49">
            <v>373.11026650000002</v>
          </cell>
          <cell r="N49">
            <v>376.4317949</v>
          </cell>
          <cell r="O49">
            <v>379.52600630000001</v>
          </cell>
          <cell r="P49">
            <v>382.37043560000001</v>
          </cell>
          <cell r="Q49">
            <v>384.96376179999999</v>
          </cell>
          <cell r="R49">
            <v>387.3891185</v>
          </cell>
          <cell r="S49">
            <v>389.73894469999999</v>
          </cell>
          <cell r="T49">
            <v>392.09862170000002</v>
          </cell>
          <cell r="U49">
            <v>394.54253310000001</v>
          </cell>
          <cell r="V49">
            <v>397.1305888</v>
          </cell>
          <cell r="W49">
            <v>399.92150600000002</v>
          </cell>
          <cell r="X49">
            <v>402.97104350000001</v>
          </cell>
          <cell r="Y49">
            <v>406.331705</v>
          </cell>
          <cell r="Z49">
            <v>410.05129410000001</v>
          </cell>
          <cell r="AA49">
            <v>414.15984809999998</v>
          </cell>
          <cell r="AB49">
            <v>418.69502130000001</v>
          </cell>
          <cell r="AC49">
            <v>423.69796819999999</v>
          </cell>
          <cell r="AD49">
            <v>429.21002069999997</v>
          </cell>
          <cell r="AE49">
            <v>435.26626090000002</v>
          </cell>
          <cell r="AF49">
            <v>441.89061930000003</v>
          </cell>
          <cell r="AG49">
            <v>449.09544690000001</v>
          </cell>
          <cell r="AH49">
            <v>456.88287539999999</v>
          </cell>
          <cell r="AI49">
            <v>465.24608419999998</v>
          </cell>
          <cell r="AJ49">
            <v>474.16997379999998</v>
          </cell>
          <cell r="AK49">
            <v>483.63139519999999</v>
          </cell>
        </row>
        <row r="50">
          <cell r="B50">
            <v>27533.715670000001</v>
          </cell>
          <cell r="C50">
            <v>27862.28269</v>
          </cell>
          <cell r="D50">
            <v>28203.85642</v>
          </cell>
          <cell r="E50">
            <v>28560.99669</v>
          </cell>
          <cell r="F50">
            <v>28931.87155</v>
          </cell>
          <cell r="G50">
            <v>29315.809809999999</v>
          </cell>
          <cell r="H50">
            <v>29713.678960000001</v>
          </cell>
          <cell r="I50">
            <v>30149.346649999999</v>
          </cell>
          <cell r="J50">
            <v>30636.451929999999</v>
          </cell>
          <cell r="K50">
            <v>31186.319729999999</v>
          </cell>
          <cell r="L50">
            <v>31801.08914</v>
          </cell>
          <cell r="M50">
            <v>32467.12444</v>
          </cell>
          <cell r="N50">
            <v>33169.673569999999</v>
          </cell>
          <cell r="O50">
            <v>33897.598669999999</v>
          </cell>
          <cell r="P50">
            <v>34644.468719999997</v>
          </cell>
          <cell r="Q50">
            <v>35407.63394</v>
          </cell>
          <cell r="R50">
            <v>36187.4683</v>
          </cell>
          <cell r="S50">
            <v>36987.350250000003</v>
          </cell>
          <cell r="T50">
            <v>37812.319819999997</v>
          </cell>
          <cell r="U50">
            <v>38668.71284</v>
          </cell>
          <cell r="V50">
            <v>39563.61103</v>
          </cell>
          <cell r="W50">
            <v>40506.224970000003</v>
          </cell>
          <cell r="X50">
            <v>41507.538419999997</v>
          </cell>
          <cell r="Y50">
            <v>42580.001969999998</v>
          </cell>
          <cell r="Z50">
            <v>43737.304369999998</v>
          </cell>
          <cell r="AA50">
            <v>44992.626120000001</v>
          </cell>
          <cell r="AB50">
            <v>46362.93103</v>
          </cell>
          <cell r="AC50">
            <v>47868.152620000001</v>
          </cell>
          <cell r="AD50">
            <v>49530.982730000003</v>
          </cell>
          <cell r="AE50">
            <v>51376.329839999999</v>
          </cell>
          <cell r="AF50">
            <v>53431.176480000002</v>
          </cell>
          <cell r="AG50">
            <v>55725.454449999997</v>
          </cell>
          <cell r="AH50">
            <v>58293.579850000002</v>
          </cell>
          <cell r="AI50">
            <v>61176.015899999999</v>
          </cell>
          <cell r="AJ50">
            <v>64421.35024</v>
          </cell>
          <cell r="AK50">
            <v>68089.305120000005</v>
          </cell>
        </row>
        <row r="51">
          <cell r="B51">
            <v>27533.715670000001</v>
          </cell>
          <cell r="C51">
            <v>27862.28268</v>
          </cell>
          <cell r="D51">
            <v>28203.85642</v>
          </cell>
          <cell r="E51">
            <v>28560.99669</v>
          </cell>
          <cell r="F51">
            <v>28931.87155</v>
          </cell>
          <cell r="G51">
            <v>29315.809809999999</v>
          </cell>
          <cell r="H51">
            <v>29713.678950000001</v>
          </cell>
          <cell r="I51">
            <v>30126.836309999999</v>
          </cell>
          <cell r="J51">
            <v>30556.030930000001</v>
          </cell>
          <cell r="K51">
            <v>31001.381990000002</v>
          </cell>
          <cell r="L51">
            <v>31461.906510000001</v>
          </cell>
          <cell r="M51">
            <v>31930.77245</v>
          </cell>
          <cell r="N51">
            <v>32400.348610000001</v>
          </cell>
          <cell r="O51">
            <v>32864.068099999997</v>
          </cell>
          <cell r="P51">
            <v>33317.26986</v>
          </cell>
          <cell r="Q51">
            <v>33757.400410000002</v>
          </cell>
          <cell r="R51">
            <v>34183.234980000001</v>
          </cell>
          <cell r="S51">
            <v>34595.605280000003</v>
          </cell>
          <cell r="T51">
            <v>34997.313569999998</v>
          </cell>
          <cell r="U51">
            <v>35392.499709999996</v>
          </cell>
          <cell r="V51">
            <v>35785.688190000001</v>
          </cell>
          <cell r="W51">
            <v>36182.567179999998</v>
          </cell>
          <cell r="X51">
            <v>36589.334560000003</v>
          </cell>
          <cell r="Y51">
            <v>37012.366959999999</v>
          </cell>
          <cell r="Z51">
            <v>37457.933389999998</v>
          </cell>
          <cell r="AA51">
            <v>37930.664570000001</v>
          </cell>
          <cell r="AB51">
            <v>38436.002189999999</v>
          </cell>
          <cell r="AC51">
            <v>38979.558949999999</v>
          </cell>
          <cell r="AD51">
            <v>39566.713629999998</v>
          </cell>
          <cell r="AE51">
            <v>40201.886630000001</v>
          </cell>
          <cell r="AF51">
            <v>40888.041859999998</v>
          </cell>
          <cell r="AG51">
            <v>41626.633009999998</v>
          </cell>
          <cell r="AH51">
            <v>42417.772850000001</v>
          </cell>
          <cell r="AI51">
            <v>43260.394359999998</v>
          </cell>
          <cell r="AJ51">
            <v>44152.371370000001</v>
          </cell>
          <cell r="AK51">
            <v>45090.612760000004</v>
          </cell>
        </row>
        <row r="52">
          <cell r="B52">
            <v>548.74308729999996</v>
          </cell>
          <cell r="C52">
            <v>555.29138190000003</v>
          </cell>
          <cell r="D52">
            <v>562.09889850000002</v>
          </cell>
          <cell r="E52">
            <v>569.21665389999998</v>
          </cell>
          <cell r="F52">
            <v>576.60813789999997</v>
          </cell>
          <cell r="G52">
            <v>584.25997340000004</v>
          </cell>
          <cell r="H52">
            <v>592.18944959999999</v>
          </cell>
          <cell r="I52">
            <v>600.29521720000002</v>
          </cell>
          <cell r="J52">
            <v>608.62098309999999</v>
          </cell>
          <cell r="K52">
            <v>617.27296550000005</v>
          </cell>
          <cell r="L52">
            <v>626.20605980000005</v>
          </cell>
          <cell r="M52">
            <v>635.08893069999999</v>
          </cell>
          <cell r="N52">
            <v>643.58476759999996</v>
          </cell>
          <cell r="O52">
            <v>651.43565679999995</v>
          </cell>
          <cell r="P52">
            <v>658.47595860000001</v>
          </cell>
          <cell r="Q52">
            <v>664.60914679999996</v>
          </cell>
          <cell r="R52">
            <v>669.7886661</v>
          </cell>
          <cell r="S52">
            <v>674.01141280000002</v>
          </cell>
          <cell r="T52">
            <v>677.29052760000002</v>
          </cell>
          <cell r="U52">
            <v>679.64538879999998</v>
          </cell>
          <cell r="V52">
            <v>681.08962310000004</v>
          </cell>
          <cell r="W52">
            <v>681.64626980000003</v>
          </cell>
          <cell r="X52">
            <v>681.33612159999996</v>
          </cell>
          <cell r="Y52">
            <v>680.16712949999999</v>
          </cell>
          <cell r="Z52">
            <v>678.12509899999998</v>
          </cell>
          <cell r="AA52">
            <v>675.148236</v>
          </cell>
          <cell r="AB52">
            <v>671.16827850000004</v>
          </cell>
          <cell r="AC52">
            <v>666.08790239999996</v>
          </cell>
          <cell r="AD52">
            <v>659.7651406</v>
          </cell>
          <cell r="AE52">
            <v>651.99509430000001</v>
          </cell>
          <cell r="AF52">
            <v>642.49590920000003</v>
          </cell>
          <cell r="AG52">
            <v>630.90132089999997</v>
          </cell>
          <cell r="AH52">
            <v>616.75317570000004</v>
          </cell>
          <cell r="AI52">
            <v>599.48825109999996</v>
          </cell>
          <cell r="AJ52">
            <v>578.42162719999999</v>
          </cell>
          <cell r="AK52">
            <v>552.72389050000004</v>
          </cell>
        </row>
        <row r="53">
          <cell r="B53">
            <v>548.74308729999996</v>
          </cell>
          <cell r="C53">
            <v>555.29138190000003</v>
          </cell>
          <cell r="D53">
            <v>562.09889840000005</v>
          </cell>
          <cell r="E53">
            <v>569.21665380000002</v>
          </cell>
          <cell r="F53">
            <v>576.60813780000001</v>
          </cell>
          <cell r="G53">
            <v>584.25997329999996</v>
          </cell>
          <cell r="H53">
            <v>592.18944950000002</v>
          </cell>
          <cell r="I53">
            <v>600.42361770000002</v>
          </cell>
          <cell r="J53">
            <v>608.97740629999998</v>
          </cell>
          <cell r="K53">
            <v>617.85319040000002</v>
          </cell>
          <cell r="L53">
            <v>627.03137919999995</v>
          </cell>
          <cell r="M53">
            <v>636.37581160000002</v>
          </cell>
          <cell r="N53">
            <v>645.73439859999996</v>
          </cell>
          <cell r="O53">
            <v>654.97626300000002</v>
          </cell>
          <cell r="P53">
            <v>664.00851039999998</v>
          </cell>
          <cell r="Q53">
            <v>672.7802504</v>
          </cell>
          <cell r="R53">
            <v>681.2670736</v>
          </cell>
          <cell r="S53">
            <v>689.48555569999996</v>
          </cell>
          <cell r="T53">
            <v>697.49154550000003</v>
          </cell>
          <cell r="U53">
            <v>705.36754980000001</v>
          </cell>
          <cell r="V53">
            <v>713.2037411</v>
          </cell>
          <cell r="W53">
            <v>721.11348369999996</v>
          </cell>
          <cell r="X53">
            <v>729.22030029999996</v>
          </cell>
          <cell r="Y53">
            <v>737.65127670000004</v>
          </cell>
          <cell r="Z53">
            <v>746.53135310000005</v>
          </cell>
          <cell r="AA53">
            <v>755.95281910000006</v>
          </cell>
          <cell r="AB53">
            <v>766.02412690000006</v>
          </cell>
          <cell r="AC53">
            <v>776.8571369</v>
          </cell>
          <cell r="AD53">
            <v>788.55904729999997</v>
          </cell>
          <cell r="AE53">
            <v>801.21795589999999</v>
          </cell>
          <cell r="AF53">
            <v>814.89293329999998</v>
          </cell>
          <cell r="AG53">
            <v>829.6129512</v>
          </cell>
          <cell r="AH53">
            <v>845.38025719999996</v>
          </cell>
          <cell r="AI53">
            <v>862.17358549999994</v>
          </cell>
          <cell r="AJ53">
            <v>879.95056209999996</v>
          </cell>
          <cell r="AK53">
            <v>898.64958139999999</v>
          </cell>
        </row>
        <row r="54">
          <cell r="B54">
            <v>797.41588769999998</v>
          </cell>
          <cell r="C54">
            <v>806.93165969999995</v>
          </cell>
          <cell r="D54">
            <v>816.82412490000002</v>
          </cell>
          <cell r="E54">
            <v>827.16741920000004</v>
          </cell>
          <cell r="F54">
            <v>837.9084871</v>
          </cell>
          <cell r="G54">
            <v>849.02788950000001</v>
          </cell>
          <cell r="H54">
            <v>860.55075050000005</v>
          </cell>
          <cell r="I54">
            <v>872.23859470000002</v>
          </cell>
          <cell r="J54">
            <v>884.11906399999998</v>
          </cell>
          <cell r="K54">
            <v>896.32808680000005</v>
          </cell>
          <cell r="L54">
            <v>908.78692490000003</v>
          </cell>
          <cell r="M54">
            <v>921.00556470000004</v>
          </cell>
          <cell r="N54">
            <v>932.48891900000001</v>
          </cell>
          <cell r="O54">
            <v>942.85788950000006</v>
          </cell>
          <cell r="P54">
            <v>951.86750789999996</v>
          </cell>
          <cell r="Q54">
            <v>959.37257790000001</v>
          </cell>
          <cell r="R54">
            <v>965.29927669999995</v>
          </cell>
          <cell r="S54">
            <v>969.63480379999999</v>
          </cell>
          <cell r="T54">
            <v>972.38787630000002</v>
          </cell>
          <cell r="U54">
            <v>973.57389890000002</v>
          </cell>
          <cell r="V54">
            <v>973.19755080000004</v>
          </cell>
          <cell r="W54">
            <v>971.2731579</v>
          </cell>
          <cell r="X54">
            <v>967.80737309999995</v>
          </cell>
          <cell r="Y54">
            <v>962.78352040000004</v>
          </cell>
          <cell r="Z54">
            <v>956.14791520000006</v>
          </cell>
          <cell r="AA54">
            <v>947.77497600000004</v>
          </cell>
          <cell r="AB54">
            <v>937.52143390000003</v>
          </cell>
          <cell r="AC54">
            <v>925.19405429999995</v>
          </cell>
          <cell r="AD54">
            <v>910.52741049999997</v>
          </cell>
          <cell r="AE54">
            <v>893.1591426</v>
          </cell>
          <cell r="AF54">
            <v>872.61214759999996</v>
          </cell>
          <cell r="AG54">
            <v>848.2863304</v>
          </cell>
          <cell r="AH54">
            <v>819.45140600000002</v>
          </cell>
          <cell r="AI54">
            <v>785.23386530000005</v>
          </cell>
          <cell r="AJ54">
            <v>744.59318540000004</v>
          </cell>
          <cell r="AK54">
            <v>696.18369329999996</v>
          </cell>
        </row>
        <row r="55">
          <cell r="B55">
            <v>797.41588769999998</v>
          </cell>
          <cell r="C55">
            <v>806.93165969999995</v>
          </cell>
          <cell r="D55">
            <v>816.82412480000005</v>
          </cell>
          <cell r="E55">
            <v>827.16741909999996</v>
          </cell>
          <cell r="F55">
            <v>837.90848700000004</v>
          </cell>
          <cell r="G55">
            <v>849.02788940000005</v>
          </cell>
          <cell r="H55">
            <v>860.55075039999997</v>
          </cell>
          <cell r="I55">
            <v>872.51638000000003</v>
          </cell>
          <cell r="J55">
            <v>884.94647169999996</v>
          </cell>
          <cell r="K55">
            <v>897.84447699999998</v>
          </cell>
          <cell r="L55">
            <v>911.18192720000002</v>
          </cell>
          <cell r="M55">
            <v>924.76095720000001</v>
          </cell>
          <cell r="N55">
            <v>938.36055620000002</v>
          </cell>
          <cell r="O55">
            <v>951.79053769999996</v>
          </cell>
          <cell r="P55">
            <v>964.9159105</v>
          </cell>
          <cell r="Q55">
            <v>977.66272219999996</v>
          </cell>
          <cell r="R55">
            <v>989.99550199999999</v>
          </cell>
          <cell r="S55">
            <v>1001.938337</v>
          </cell>
          <cell r="T55">
            <v>1013.5723850000001</v>
          </cell>
          <cell r="U55">
            <v>1025.0175429999999</v>
          </cell>
          <cell r="V55">
            <v>1036.404845</v>
          </cell>
          <cell r="W55">
            <v>1047.89903</v>
          </cell>
          <cell r="X55">
            <v>1059.6795959999999</v>
          </cell>
          <cell r="Y55">
            <v>1071.9312210000001</v>
          </cell>
          <cell r="Z55">
            <v>1084.835464</v>
          </cell>
          <cell r="AA55">
            <v>1098.526437</v>
          </cell>
          <cell r="AB55">
            <v>1113.1617389999999</v>
          </cell>
          <cell r="AC55">
            <v>1128.903922</v>
          </cell>
          <cell r="AD55">
            <v>1145.908764</v>
          </cell>
          <cell r="AE55">
            <v>1164.3042840000001</v>
          </cell>
          <cell r="AF55">
            <v>1184.176324</v>
          </cell>
          <cell r="AG55">
            <v>1205.5669820000001</v>
          </cell>
          <cell r="AH55">
            <v>1228.479527</v>
          </cell>
          <cell r="AI55">
            <v>1252.8830539999999</v>
          </cell>
          <cell r="AJ55">
            <v>1278.715987</v>
          </cell>
          <cell r="AK55">
            <v>1305.8888030000001</v>
          </cell>
        </row>
        <row r="56">
          <cell r="B56">
            <v>724.45685130000004</v>
          </cell>
          <cell r="C56">
            <v>733.10198409999998</v>
          </cell>
          <cell r="D56">
            <v>742.08934469999997</v>
          </cell>
          <cell r="E56">
            <v>751.4862862</v>
          </cell>
          <cell r="F56">
            <v>761.24460720000002</v>
          </cell>
          <cell r="G56">
            <v>771.34664740000005</v>
          </cell>
          <cell r="H56">
            <v>781.81523179999999</v>
          </cell>
          <cell r="I56">
            <v>792.43808249999995</v>
          </cell>
          <cell r="J56">
            <v>803.24203350000005</v>
          </cell>
          <cell r="K56">
            <v>814.35145890000001</v>
          </cell>
          <cell r="L56">
            <v>825.69545500000004</v>
          </cell>
          <cell r="M56">
            <v>836.82924700000001</v>
          </cell>
          <cell r="N56">
            <v>847.30331120000005</v>
          </cell>
          <cell r="O56">
            <v>856.77343480000002</v>
          </cell>
          <cell r="P56">
            <v>865.01725959999999</v>
          </cell>
          <cell r="Q56">
            <v>871.90310099999999</v>
          </cell>
          <cell r="R56">
            <v>877.36417500000005</v>
          </cell>
          <cell r="S56">
            <v>881.38923590000002</v>
          </cell>
          <cell r="T56">
            <v>883.98668369999996</v>
          </cell>
          <cell r="U56">
            <v>885.17110419999995</v>
          </cell>
          <cell r="V56">
            <v>884.94744749999995</v>
          </cell>
          <cell r="W56">
            <v>883.32961390000003</v>
          </cell>
          <cell r="X56">
            <v>880.32473479999999</v>
          </cell>
          <cell r="Y56">
            <v>875.91895850000003</v>
          </cell>
          <cell r="Z56">
            <v>870.06502599999999</v>
          </cell>
          <cell r="AA56">
            <v>862.65046770000004</v>
          </cell>
          <cell r="AB56">
            <v>853.54711050000003</v>
          </cell>
          <cell r="AC56">
            <v>842.5817131</v>
          </cell>
          <cell r="AD56">
            <v>829.51573399999995</v>
          </cell>
          <cell r="AE56">
            <v>814.02273909999997</v>
          </cell>
          <cell r="AF56">
            <v>795.672057</v>
          </cell>
          <cell r="AG56">
            <v>773.92110149999996</v>
          </cell>
          <cell r="AH56">
            <v>748.10858040000005</v>
          </cell>
          <cell r="AI56">
            <v>717.44235849999995</v>
          </cell>
          <cell r="AJ56">
            <v>680.97869530000003</v>
          </cell>
          <cell r="AK56">
            <v>637.51533329999995</v>
          </cell>
        </row>
        <row r="57">
          <cell r="B57">
            <v>724.45685130000004</v>
          </cell>
          <cell r="C57">
            <v>733.10198409999998</v>
          </cell>
          <cell r="D57">
            <v>742.08934469999997</v>
          </cell>
          <cell r="E57">
            <v>751.4862862</v>
          </cell>
          <cell r="F57">
            <v>761.24460720000002</v>
          </cell>
          <cell r="G57">
            <v>771.34664729999997</v>
          </cell>
          <cell r="H57">
            <v>781.81523170000003</v>
          </cell>
          <cell r="I57">
            <v>792.68607410000004</v>
          </cell>
          <cell r="J57">
            <v>803.97888269999999</v>
          </cell>
          <cell r="K57">
            <v>815.69679359999998</v>
          </cell>
          <cell r="L57">
            <v>827.81394269999998</v>
          </cell>
          <cell r="M57">
            <v>840.1505684</v>
          </cell>
          <cell r="N57">
            <v>852.50588110000001</v>
          </cell>
          <cell r="O57">
            <v>864.70709539999996</v>
          </cell>
          <cell r="P57">
            <v>876.63157090000004</v>
          </cell>
          <cell r="Q57">
            <v>888.21212160000005</v>
          </cell>
          <cell r="R57">
            <v>899.41652190000002</v>
          </cell>
          <cell r="S57">
            <v>910.26665530000002</v>
          </cell>
          <cell r="T57">
            <v>920.83625389999997</v>
          </cell>
          <cell r="U57">
            <v>931.23424409999996</v>
          </cell>
          <cell r="V57">
            <v>941.57967280000003</v>
          </cell>
          <cell r="W57">
            <v>952.02220469999997</v>
          </cell>
          <cell r="X57">
            <v>962.72491609999997</v>
          </cell>
          <cell r="Y57">
            <v>973.8555867</v>
          </cell>
          <cell r="Z57">
            <v>985.57916439999997</v>
          </cell>
          <cell r="AA57">
            <v>998.01749070000005</v>
          </cell>
          <cell r="AB57">
            <v>1011.313746</v>
          </cell>
          <cell r="AC57">
            <v>1025.6156080000001</v>
          </cell>
          <cell r="AD57">
            <v>1041.064603</v>
          </cell>
          <cell r="AE57">
            <v>1057.7770379999999</v>
          </cell>
          <cell r="AF57">
            <v>1075.8308979999999</v>
          </cell>
          <cell r="AG57">
            <v>1095.2644330000001</v>
          </cell>
          <cell r="AH57">
            <v>1116.0806090000001</v>
          </cell>
          <cell r="AI57">
            <v>1138.251352</v>
          </cell>
          <cell r="AJ57">
            <v>1161.720718</v>
          </cell>
          <cell r="AK57">
            <v>1186.4073760000001</v>
          </cell>
        </row>
        <row r="58">
          <cell r="B58">
            <v>1425.718447</v>
          </cell>
          <cell r="C58">
            <v>1442.731775</v>
          </cell>
          <cell r="D58">
            <v>1460.418559</v>
          </cell>
          <cell r="E58">
            <v>1478.9113789999999</v>
          </cell>
          <cell r="F58">
            <v>1498.1153890000001</v>
          </cell>
          <cell r="G58">
            <v>1517.9958340000001</v>
          </cell>
          <cell r="H58">
            <v>1538.5976370000001</v>
          </cell>
          <cell r="I58">
            <v>1578.0488419999999</v>
          </cell>
          <cell r="J58">
            <v>1644.1785970000001</v>
          </cell>
          <cell r="K58">
            <v>1742.009798</v>
          </cell>
          <cell r="L58">
            <v>1875.4348210000001</v>
          </cell>
          <cell r="M58">
            <v>2046.9171980000001</v>
          </cell>
          <cell r="N58">
            <v>2258.5495409999999</v>
          </cell>
          <cell r="O58">
            <v>2512.559221</v>
          </cell>
          <cell r="P58">
            <v>2811.5934600000001</v>
          </cell>
          <cell r="Q58">
            <v>3158.800303</v>
          </cell>
          <cell r="R58">
            <v>3557.9134589999999</v>
          </cell>
          <cell r="S58">
            <v>4013.4646819999998</v>
          </cell>
          <cell r="T58">
            <v>4530.7496080000001</v>
          </cell>
          <cell r="U58">
            <v>5115.9301990000004</v>
          </cell>
          <cell r="V58">
            <v>5776.0768900000003</v>
          </cell>
          <cell r="W58">
            <v>6519.7372420000002</v>
          </cell>
          <cell r="X58">
            <v>7357.1572310000001</v>
          </cell>
          <cell r="Y58">
            <v>8300.5158960000008</v>
          </cell>
          <cell r="Z58">
            <v>9364.1888299999991</v>
          </cell>
          <cell r="AA58">
            <v>10564.39869</v>
          </cell>
          <cell r="AB58">
            <v>11921.298709999999</v>
          </cell>
          <cell r="AC58">
            <v>13459.390799999999</v>
          </cell>
          <cell r="AD58">
            <v>15208.216280000001</v>
          </cell>
          <cell r="AE58">
            <v>17202.937109999999</v>
          </cell>
          <cell r="AF58">
            <v>19485.17455</v>
          </cell>
          <cell r="AG58">
            <v>22104.609789999999</v>
          </cell>
          <cell r="AH58">
            <v>25121.405309999998</v>
          </cell>
          <cell r="AI58">
            <v>28609.2503</v>
          </cell>
          <cell r="AJ58">
            <v>32659.539840000001</v>
          </cell>
          <cell r="AK58">
            <v>37387.357309999999</v>
          </cell>
        </row>
        <row r="59">
          <cell r="B59">
            <v>1425.718447</v>
          </cell>
          <cell r="C59">
            <v>1442.731775</v>
          </cell>
          <cell r="D59">
            <v>1460.418559</v>
          </cell>
          <cell r="E59">
            <v>1478.9113789999999</v>
          </cell>
          <cell r="F59">
            <v>1498.1153879999999</v>
          </cell>
          <cell r="G59">
            <v>1517.9958340000001</v>
          </cell>
          <cell r="H59">
            <v>1538.5976370000001</v>
          </cell>
          <cell r="I59">
            <v>1559.99108</v>
          </cell>
          <cell r="J59">
            <v>1582.2149509999999</v>
          </cell>
          <cell r="K59">
            <v>1605.2754199999999</v>
          </cell>
          <cell r="L59">
            <v>1629.121588</v>
          </cell>
          <cell r="M59">
            <v>1653.399688</v>
          </cell>
          <cell r="N59">
            <v>1677.714569</v>
          </cell>
          <cell r="O59">
            <v>1701.726195</v>
          </cell>
          <cell r="P59">
            <v>1725.1932119999999</v>
          </cell>
          <cell r="Q59">
            <v>1747.9833980000001</v>
          </cell>
          <cell r="R59">
            <v>1770.0333350000001</v>
          </cell>
          <cell r="S59">
            <v>1791.3860890000001</v>
          </cell>
          <cell r="T59">
            <v>1812.186762</v>
          </cell>
          <cell r="U59">
            <v>1832.6497199999999</v>
          </cell>
          <cell r="V59">
            <v>1853.0092440000001</v>
          </cell>
          <cell r="W59">
            <v>1873.5598709999999</v>
          </cell>
          <cell r="X59">
            <v>1894.622531</v>
          </cell>
          <cell r="Y59">
            <v>1916.527411</v>
          </cell>
          <cell r="Z59">
            <v>1939.599125</v>
          </cell>
          <cell r="AA59">
            <v>1964.0774530000001</v>
          </cell>
          <cell r="AB59">
            <v>1990.2441719999999</v>
          </cell>
          <cell r="AC59">
            <v>2018.389911</v>
          </cell>
          <cell r="AD59">
            <v>2048.7931859999999</v>
          </cell>
          <cell r="AE59">
            <v>2081.6828879999998</v>
          </cell>
          <cell r="AF59">
            <v>2117.2124910000002</v>
          </cell>
          <cell r="AG59">
            <v>2155.457269</v>
          </cell>
          <cell r="AH59">
            <v>2196.4230590000002</v>
          </cell>
          <cell r="AI59">
            <v>2240.0546119999999</v>
          </cell>
          <cell r="AJ59">
            <v>2286.2418320000002</v>
          </cell>
          <cell r="AK59">
            <v>2334.8246589999999</v>
          </cell>
        </row>
        <row r="60">
          <cell r="B60">
            <v>518.30310889999998</v>
          </cell>
          <cell r="C60">
            <v>524.48815530000002</v>
          </cell>
          <cell r="D60">
            <v>530.91804400000001</v>
          </cell>
          <cell r="E60">
            <v>537.64096199999994</v>
          </cell>
          <cell r="F60">
            <v>544.62242419999995</v>
          </cell>
          <cell r="G60">
            <v>551.84979569999996</v>
          </cell>
          <cell r="H60">
            <v>559.3394065</v>
          </cell>
          <cell r="I60">
            <v>591.76710560000004</v>
          </cell>
          <cell r="J60">
            <v>661.78443909999999</v>
          </cell>
          <cell r="K60">
            <v>779.11045039999999</v>
          </cell>
          <cell r="L60">
            <v>952.32530940000004</v>
          </cell>
          <cell r="M60">
            <v>1188.5836019999999</v>
          </cell>
          <cell r="N60">
            <v>1494.250935</v>
          </cell>
          <cell r="O60">
            <v>1875.3473879999999</v>
          </cell>
          <cell r="P60">
            <v>2337.919731</v>
          </cell>
          <cell r="Q60">
            <v>2888.2461589999998</v>
          </cell>
          <cell r="R60">
            <v>3533.056145</v>
          </cell>
          <cell r="S60">
            <v>4279.9300219999996</v>
          </cell>
          <cell r="T60">
            <v>5137.3654189999997</v>
          </cell>
          <cell r="U60">
            <v>6115.0051249999997</v>
          </cell>
          <cell r="V60">
            <v>7223.7651560000004</v>
          </cell>
          <cell r="W60">
            <v>8476.7439200000008</v>
          </cell>
          <cell r="X60">
            <v>9889.6348199999993</v>
          </cell>
          <cell r="Y60">
            <v>11481.144270000001</v>
          </cell>
          <cell r="Z60">
            <v>13273.44032</v>
          </cell>
          <cell r="AA60">
            <v>15291.62017</v>
          </cell>
          <cell r="AB60">
            <v>17567.004639999999</v>
          </cell>
          <cell r="AC60">
            <v>20137.8374</v>
          </cell>
          <cell r="AD60">
            <v>23050.392980000001</v>
          </cell>
          <cell r="AE60">
            <v>26359.892039999999</v>
          </cell>
          <cell r="AF60">
            <v>30131.81179</v>
          </cell>
          <cell r="AG60">
            <v>34444.41001</v>
          </cell>
          <cell r="AH60">
            <v>39392.56091</v>
          </cell>
          <cell r="AI60">
            <v>45092.580840000002</v>
          </cell>
          <cell r="AJ60">
            <v>51688.853929999997</v>
          </cell>
          <cell r="AK60">
            <v>59363.321649999998</v>
          </cell>
        </row>
        <row r="61">
          <cell r="B61">
            <v>518.30310889999998</v>
          </cell>
          <cell r="C61">
            <v>524.48815530000002</v>
          </cell>
          <cell r="D61">
            <v>530.91804400000001</v>
          </cell>
          <cell r="E61">
            <v>537.64096199999994</v>
          </cell>
          <cell r="F61">
            <v>544.62242419999995</v>
          </cell>
          <cell r="G61">
            <v>551.84979569999996</v>
          </cell>
          <cell r="H61">
            <v>559.3394065</v>
          </cell>
          <cell r="I61">
            <v>567.11680739999997</v>
          </cell>
          <cell r="J61">
            <v>575.19609849999995</v>
          </cell>
          <cell r="K61">
            <v>583.57952350000005</v>
          </cell>
          <cell r="L61">
            <v>592.2485782</v>
          </cell>
          <cell r="M61">
            <v>601.07465449999995</v>
          </cell>
          <cell r="N61">
            <v>609.91410020000001</v>
          </cell>
          <cell r="O61">
            <v>618.6432982</v>
          </cell>
          <cell r="P61">
            <v>627.17450699999995</v>
          </cell>
          <cell r="Q61">
            <v>635.45965939999996</v>
          </cell>
          <cell r="R61">
            <v>643.47569999999996</v>
          </cell>
          <cell r="S61">
            <v>651.23828500000002</v>
          </cell>
          <cell r="T61">
            <v>658.80016499999999</v>
          </cell>
          <cell r="U61">
            <v>666.23927019999996</v>
          </cell>
          <cell r="V61">
            <v>673.64077080000004</v>
          </cell>
          <cell r="W61">
            <v>681.11174259999996</v>
          </cell>
          <cell r="X61">
            <v>688.76885649999997</v>
          </cell>
          <cell r="Y61">
            <v>696.73214810000002</v>
          </cell>
          <cell r="Z61">
            <v>705.11962730000005</v>
          </cell>
          <cell r="AA61">
            <v>714.01846399999999</v>
          </cell>
          <cell r="AB61">
            <v>723.53109440000003</v>
          </cell>
          <cell r="AC61">
            <v>733.76317359999996</v>
          </cell>
          <cell r="AD61">
            <v>744.81595349999998</v>
          </cell>
          <cell r="AE61">
            <v>756.7726447</v>
          </cell>
          <cell r="AF61">
            <v>769.68904120000002</v>
          </cell>
          <cell r="AG61">
            <v>783.59250759999998</v>
          </cell>
          <cell r="AH61">
            <v>798.48516659999996</v>
          </cell>
          <cell r="AI61">
            <v>814.34693230000005</v>
          </cell>
          <cell r="AJ61">
            <v>831.13778119999995</v>
          </cell>
          <cell r="AK61">
            <v>848.79952500000002</v>
          </cell>
        </row>
        <row r="62">
          <cell r="B62">
            <v>3989.9757450000002</v>
          </cell>
          <cell r="C62">
            <v>4037.589168</v>
          </cell>
          <cell r="D62">
            <v>4087.0874239999998</v>
          </cell>
          <cell r="E62">
            <v>4138.8414640000001</v>
          </cell>
          <cell r="F62">
            <v>4192.5858159999998</v>
          </cell>
          <cell r="G62">
            <v>4248.223215</v>
          </cell>
          <cell r="H62">
            <v>4305.8793720000003</v>
          </cell>
          <cell r="I62">
            <v>4373.4867780000004</v>
          </cell>
          <cell r="J62">
            <v>4454.8078210000003</v>
          </cell>
          <cell r="K62">
            <v>4552.452268</v>
          </cell>
          <cell r="L62">
            <v>4667.4705670000003</v>
          </cell>
          <cell r="M62">
            <v>4798.4261770000003</v>
          </cell>
          <cell r="N62">
            <v>4943.6084010000004</v>
          </cell>
          <cell r="O62">
            <v>5101.7952349999996</v>
          </cell>
          <cell r="P62">
            <v>5272.4779669999998</v>
          </cell>
          <cell r="Q62">
            <v>5455.7652390000003</v>
          </cell>
          <cell r="R62">
            <v>5652.3073130000002</v>
          </cell>
          <cell r="S62">
            <v>5863.3454499999998</v>
          </cell>
          <cell r="T62">
            <v>6090.5253300000004</v>
          </cell>
          <cell r="U62">
            <v>6335.8714929999996</v>
          </cell>
          <cell r="V62">
            <v>6601.7228400000004</v>
          </cell>
          <cell r="W62">
            <v>6891.043772</v>
          </cell>
          <cell r="X62">
            <v>7207.4230360000001</v>
          </cell>
          <cell r="Y62">
            <v>7555.0823099999998</v>
          </cell>
          <cell r="Z62">
            <v>7938.9021499999999</v>
          </cell>
          <cell r="AA62">
            <v>8364.1123950000001</v>
          </cell>
          <cell r="AB62">
            <v>8837.3215359999995</v>
          </cell>
          <cell r="AC62">
            <v>9366.4979550000007</v>
          </cell>
          <cell r="AD62">
            <v>9961.0936160000001</v>
          </cell>
          <cell r="AE62">
            <v>10632.1029</v>
          </cell>
          <cell r="AF62">
            <v>11392.23366</v>
          </cell>
          <cell r="AG62">
            <v>12256.38149</v>
          </cell>
          <cell r="AH62">
            <v>13242.37211</v>
          </cell>
          <cell r="AI62">
            <v>14371.846579999999</v>
          </cell>
          <cell r="AJ62">
            <v>15671.46666</v>
          </cell>
          <cell r="AK62">
            <v>17174.643980000001</v>
          </cell>
        </row>
        <row r="63">
          <cell r="B63">
            <v>3989.9757450000002</v>
          </cell>
          <cell r="C63">
            <v>4037.589168</v>
          </cell>
          <cell r="D63">
            <v>4087.0874239999998</v>
          </cell>
          <cell r="E63">
            <v>4138.8414629999997</v>
          </cell>
          <cell r="F63">
            <v>4192.5858159999998</v>
          </cell>
          <cell r="G63">
            <v>4248.223215</v>
          </cell>
          <cell r="H63">
            <v>4305.8793720000003</v>
          </cell>
          <cell r="I63">
            <v>4365.7509810000001</v>
          </cell>
          <cell r="J63">
            <v>4427.946586</v>
          </cell>
          <cell r="K63">
            <v>4492.4834600000004</v>
          </cell>
          <cell r="L63">
            <v>4559.2191540000003</v>
          </cell>
          <cell r="M63">
            <v>4627.1636250000001</v>
          </cell>
          <cell r="N63">
            <v>4695.2110149999999</v>
          </cell>
          <cell r="O63">
            <v>4762.4097019999999</v>
          </cell>
          <cell r="P63">
            <v>4828.0842389999998</v>
          </cell>
          <cell r="Q63">
            <v>4891.864595</v>
          </cell>
          <cell r="R63">
            <v>4953.5732879999996</v>
          </cell>
          <cell r="S63">
            <v>5013.3308420000003</v>
          </cell>
          <cell r="T63">
            <v>5071.5433389999998</v>
          </cell>
          <cell r="U63">
            <v>5128.8106950000001</v>
          </cell>
          <cell r="V63">
            <v>5185.7885669999996</v>
          </cell>
          <cell r="W63">
            <v>5243.301238</v>
          </cell>
          <cell r="X63">
            <v>5302.2468589999999</v>
          </cell>
          <cell r="Y63">
            <v>5363.5494829999998</v>
          </cell>
          <cell r="Z63">
            <v>5428.1175670000002</v>
          </cell>
          <cell r="AA63">
            <v>5496.6221580000001</v>
          </cell>
          <cell r="AB63">
            <v>5569.8518260000001</v>
          </cell>
          <cell r="AC63">
            <v>5648.6199200000001</v>
          </cell>
          <cell r="AD63">
            <v>5733.7058909999996</v>
          </cell>
          <cell r="AE63">
            <v>5825.750309</v>
          </cell>
          <cell r="AF63">
            <v>5925.182683</v>
          </cell>
          <cell r="AG63">
            <v>6032.2136710000004</v>
          </cell>
          <cell r="AH63">
            <v>6146.8596129999996</v>
          </cell>
          <cell r="AI63">
            <v>6268.9658849999996</v>
          </cell>
          <cell r="AJ63">
            <v>6398.2243799999997</v>
          </cell>
          <cell r="AK63">
            <v>6534.187156</v>
          </cell>
        </row>
        <row r="64">
          <cell r="B64">
            <v>4700.0919050000002</v>
          </cell>
          <cell r="C64">
            <v>4754.7970949999999</v>
          </cell>
          <cell r="D64">
            <v>4810.5221190000002</v>
          </cell>
          <cell r="E64">
            <v>4867.3868789999997</v>
          </cell>
          <cell r="F64">
            <v>4925.1741160000001</v>
          </cell>
          <cell r="G64">
            <v>4984.0192690000003</v>
          </cell>
          <cell r="H64">
            <v>5043.8777790000004</v>
          </cell>
          <cell r="I64">
            <v>5109.292856</v>
          </cell>
          <cell r="J64">
            <v>5181.4511780000003</v>
          </cell>
          <cell r="K64">
            <v>5261.2963040000004</v>
          </cell>
          <cell r="L64">
            <v>5349.4727599999997</v>
          </cell>
          <cell r="M64">
            <v>5445.0906590000004</v>
          </cell>
          <cell r="N64">
            <v>5547.4415429999999</v>
          </cell>
          <cell r="O64">
            <v>5656.2371750000002</v>
          </cell>
          <cell r="P64">
            <v>5771.5810700000002</v>
          </cell>
          <cell r="Q64">
            <v>5893.852535</v>
          </cell>
          <cell r="R64">
            <v>6023.8258660000001</v>
          </cell>
          <cell r="S64">
            <v>6162.4913560000005</v>
          </cell>
          <cell r="T64">
            <v>6310.9858240000003</v>
          </cell>
          <cell r="U64">
            <v>6470.6364270000004</v>
          </cell>
          <cell r="V64">
            <v>6642.8051599999999</v>
          </cell>
          <cell r="W64">
            <v>6829.4351539999998</v>
          </cell>
          <cell r="X64">
            <v>7032.8691449999997</v>
          </cell>
          <cell r="Y64">
            <v>7255.8185510000003</v>
          </cell>
          <cell r="Z64">
            <v>7501.3787419999999</v>
          </cell>
          <cell r="AA64">
            <v>7772.4235619999999</v>
          </cell>
          <cell r="AB64">
            <v>8072.9991719999998</v>
          </cell>
          <cell r="AC64">
            <v>8408.0631219999996</v>
          </cell>
          <cell r="AD64">
            <v>8783.476686</v>
          </cell>
          <cell r="AE64">
            <v>9206.0162199999995</v>
          </cell>
          <cell r="AF64">
            <v>9683.4730440000003</v>
          </cell>
          <cell r="AG64">
            <v>10224.938959999999</v>
          </cell>
          <cell r="AH64">
            <v>10841.239380000001</v>
          </cell>
          <cell r="AI64">
            <v>11545.47539</v>
          </cell>
          <cell r="AJ64">
            <v>12353.76002</v>
          </cell>
          <cell r="AK64">
            <v>13286.26813</v>
          </cell>
        </row>
        <row r="65">
          <cell r="B65">
            <v>4700.0919050000002</v>
          </cell>
          <cell r="C65">
            <v>4754.7970949999999</v>
          </cell>
          <cell r="D65">
            <v>4810.5221190000002</v>
          </cell>
          <cell r="E65">
            <v>4867.38688</v>
          </cell>
          <cell r="F65">
            <v>4925.1741179999999</v>
          </cell>
          <cell r="G65">
            <v>4984.0192719999995</v>
          </cell>
          <cell r="H65">
            <v>5043.8777829999999</v>
          </cell>
          <cell r="I65">
            <v>5104.680695</v>
          </cell>
          <cell r="J65">
            <v>5166.3313010000002</v>
          </cell>
          <cell r="K65">
            <v>5228.7433010000004</v>
          </cell>
          <cell r="L65">
            <v>5292.0049429999999</v>
          </cell>
          <cell r="M65">
            <v>5355.3587340000004</v>
          </cell>
          <cell r="N65">
            <v>5417.9698630000003</v>
          </cell>
          <cell r="O65">
            <v>5479.1516110000002</v>
          </cell>
          <cell r="P65">
            <v>5538.4386320000003</v>
          </cell>
          <cell r="Q65">
            <v>5595.5935090000003</v>
          </cell>
          <cell r="R65">
            <v>5650.7487799999999</v>
          </cell>
          <cell r="S65">
            <v>5704.301974</v>
          </cell>
          <cell r="T65">
            <v>5756.7829229999998</v>
          </cell>
          <cell r="U65">
            <v>5808.7595680000004</v>
          </cell>
          <cell r="V65">
            <v>5860.6296739999998</v>
          </cell>
          <cell r="W65">
            <v>5913.0582759999998</v>
          </cell>
          <cell r="X65">
            <v>5966.7540230000004</v>
          </cell>
          <cell r="Y65">
            <v>6022.4142009999996</v>
          </cell>
          <cell r="Z65">
            <v>6080.7040569999999</v>
          </cell>
          <cell r="AA65">
            <v>6141.7282080000004</v>
          </cell>
          <cell r="AB65">
            <v>6205.9982540000001</v>
          </cell>
          <cell r="AC65">
            <v>6274.1261690000001</v>
          </cell>
          <cell r="AD65">
            <v>6346.7154540000001</v>
          </cell>
          <cell r="AE65">
            <v>6424.272293</v>
          </cell>
          <cell r="AF65">
            <v>6507.1514109999998</v>
          </cell>
          <cell r="AG65">
            <v>6595.5486680000004</v>
          </cell>
          <cell r="AH65">
            <v>6689.5165580000003</v>
          </cell>
          <cell r="AI65">
            <v>6788.9793159999999</v>
          </cell>
          <cell r="AJ65">
            <v>6893.7443270000003</v>
          </cell>
          <cell r="AK65">
            <v>7003.5111930000003</v>
          </cell>
        </row>
        <row r="66">
          <cell r="B66">
            <v>65.176447120000006</v>
          </cell>
          <cell r="C66">
            <v>65.954214690000001</v>
          </cell>
          <cell r="D66">
            <v>66.762771099999995</v>
          </cell>
          <cell r="E66">
            <v>67.608175849999995</v>
          </cell>
          <cell r="F66">
            <v>68.486092450000001</v>
          </cell>
          <cell r="G66">
            <v>69.394932060000002</v>
          </cell>
          <cell r="H66">
            <v>70.336748180000001</v>
          </cell>
          <cell r="I66">
            <v>71.335926360000002</v>
          </cell>
          <cell r="J66">
            <v>72.412026040000001</v>
          </cell>
          <cell r="K66">
            <v>73.585127569999997</v>
          </cell>
          <cell r="L66">
            <v>74.855298950000005</v>
          </cell>
          <cell r="M66">
            <v>76.186798879999998</v>
          </cell>
          <cell r="N66">
            <v>77.54213987</v>
          </cell>
          <cell r="O66">
            <v>78.892732249999995</v>
          </cell>
          <cell r="P66">
            <v>80.220999090000007</v>
          </cell>
          <cell r="Q66">
            <v>81.517917249999996</v>
          </cell>
          <cell r="R66">
            <v>82.780991119999996</v>
          </cell>
          <cell r="S66">
            <v>84.013852869999994</v>
          </cell>
          <cell r="T66">
            <v>85.223045189999993</v>
          </cell>
          <cell r="U66">
            <v>86.416985420000003</v>
          </cell>
          <cell r="V66">
            <v>87.604584329999994</v>
          </cell>
          <cell r="W66">
            <v>88.797789899999998</v>
          </cell>
          <cell r="X66">
            <v>90.010446590000001</v>
          </cell>
          <cell r="Y66">
            <v>91.257263910000006</v>
          </cell>
          <cell r="Z66">
            <v>92.552939460000005</v>
          </cell>
          <cell r="AA66">
            <v>93.908478439999996</v>
          </cell>
          <cell r="AB66">
            <v>95.338699899999995</v>
          </cell>
          <cell r="AC66">
            <v>96.859782359999997</v>
          </cell>
          <cell r="AD66">
            <v>98.487893619999994</v>
          </cell>
          <cell r="AE66">
            <v>100.2371868</v>
          </cell>
          <cell r="AF66">
            <v>102.1184219</v>
          </cell>
          <cell r="AG66">
            <v>104.1390356</v>
          </cell>
          <cell r="AH66">
            <v>106.3037467</v>
          </cell>
          <cell r="AI66">
            <v>108.6144662</v>
          </cell>
          <cell r="AJ66">
            <v>111.070031</v>
          </cell>
          <cell r="AK66">
            <v>113.6659301</v>
          </cell>
        </row>
        <row r="67">
          <cell r="B67">
            <v>65.176447120000006</v>
          </cell>
          <cell r="C67">
            <v>65.954214680000007</v>
          </cell>
          <cell r="D67">
            <v>66.762771099999995</v>
          </cell>
          <cell r="E67">
            <v>67.608175840000001</v>
          </cell>
          <cell r="F67">
            <v>68.486092439999993</v>
          </cell>
          <cell r="G67">
            <v>69.394932049999994</v>
          </cell>
          <cell r="H67">
            <v>70.336748170000007</v>
          </cell>
          <cell r="I67">
            <v>71.314753800000005</v>
          </cell>
          <cell r="J67">
            <v>72.330722030000004</v>
          </cell>
          <cell r="K67">
            <v>73.384934990000005</v>
          </cell>
          <cell r="L67">
            <v>74.475065790000002</v>
          </cell>
          <cell r="M67">
            <v>75.584942010000006</v>
          </cell>
          <cell r="N67">
            <v>76.696499430000003</v>
          </cell>
          <cell r="O67">
            <v>77.794193230000005</v>
          </cell>
          <cell r="P67">
            <v>78.866989970000006</v>
          </cell>
          <cell r="Q67">
            <v>79.90884518</v>
          </cell>
          <cell r="R67">
            <v>80.916859680000002</v>
          </cell>
          <cell r="S67">
            <v>81.893002210000006</v>
          </cell>
          <cell r="T67">
            <v>82.843906160000003</v>
          </cell>
          <cell r="U67">
            <v>83.779371209999994</v>
          </cell>
          <cell r="V67">
            <v>84.710107500000007</v>
          </cell>
          <cell r="W67">
            <v>85.649579779999996</v>
          </cell>
          <cell r="X67">
            <v>86.612459349999995</v>
          </cell>
          <cell r="Y67">
            <v>87.613840679999996</v>
          </cell>
          <cell r="Z67">
            <v>88.668563460000001</v>
          </cell>
          <cell r="AA67">
            <v>89.787589269999998</v>
          </cell>
          <cell r="AB67">
            <v>90.983799439999999</v>
          </cell>
          <cell r="AC67">
            <v>92.270480079999999</v>
          </cell>
          <cell r="AD67">
            <v>93.660363540000006</v>
          </cell>
          <cell r="AE67">
            <v>95.163913570000005</v>
          </cell>
          <cell r="AF67">
            <v>96.788146220000002</v>
          </cell>
          <cell r="AG67">
            <v>98.536502589999998</v>
          </cell>
          <cell r="AH67">
            <v>100.4092496</v>
          </cell>
          <cell r="AI67">
            <v>102.4038615</v>
          </cell>
          <cell r="AJ67">
            <v>104.51530529999999</v>
          </cell>
          <cell r="AK67">
            <v>106.7362638</v>
          </cell>
        </row>
      </sheetData>
      <sheetData sheetId="6">
        <row r="3">
          <cell r="F3">
            <v>32317.940999999999</v>
          </cell>
          <cell r="G3">
            <v>31921.419839999999</v>
          </cell>
          <cell r="H3">
            <v>31768.992969999999</v>
          </cell>
          <cell r="I3">
            <v>31782.617679999999</v>
          </cell>
          <cell r="J3">
            <v>31936.073619999999</v>
          </cell>
          <cell r="K3">
            <v>32190.709719999999</v>
          </cell>
          <cell r="L3">
            <v>32500.024669999999</v>
          </cell>
          <cell r="M3">
            <v>32741.72004</v>
          </cell>
          <cell r="N3">
            <v>32980.807979999998</v>
          </cell>
          <cell r="O3">
            <v>33250.028919999997</v>
          </cell>
          <cell r="P3">
            <v>33561.155859999999</v>
          </cell>
          <cell r="Q3">
            <v>33932.661950000002</v>
          </cell>
          <cell r="R3">
            <v>34341.515330000002</v>
          </cell>
          <cell r="S3">
            <v>34763.296829999999</v>
          </cell>
          <cell r="T3">
            <v>35181.124819999997</v>
          </cell>
          <cell r="U3">
            <v>35585.203650000003</v>
          </cell>
          <cell r="V3">
            <v>35962.901019999998</v>
          </cell>
          <cell r="W3">
            <v>36321.962390000001</v>
          </cell>
          <cell r="X3">
            <v>36668.757510000003</v>
          </cell>
          <cell r="Y3">
            <v>37007.82647</v>
          </cell>
          <cell r="Z3">
            <v>37339.127500000002</v>
          </cell>
          <cell r="AA3">
            <v>37671.700779999999</v>
          </cell>
          <cell r="AB3">
            <v>38010.074719999997</v>
          </cell>
          <cell r="AC3">
            <v>38359.605490000002</v>
          </cell>
          <cell r="AD3">
            <v>38725.137840000003</v>
          </cell>
          <cell r="AE3">
            <v>39099.919450000001</v>
          </cell>
          <cell r="AF3">
            <v>39495.658130000003</v>
          </cell>
          <cell r="AG3">
            <v>39916.594120000002</v>
          </cell>
          <cell r="AH3">
            <v>40368.6728</v>
          </cell>
          <cell r="AI3">
            <v>40857.802790000002</v>
          </cell>
          <cell r="AJ3">
            <v>41387.927009999999</v>
          </cell>
          <cell r="AK3">
            <v>41960.529210000001</v>
          </cell>
          <cell r="AL3">
            <v>42575.43331</v>
          </cell>
          <cell r="AM3">
            <v>43232.028230000004</v>
          </cell>
          <cell r="AN3">
            <v>43929.262909999998</v>
          </cell>
          <cell r="AO3">
            <v>44665.444560000004</v>
          </cell>
        </row>
        <row r="4">
          <cell r="F4">
            <v>32271.24</v>
          </cell>
          <cell r="G4">
            <v>31856.513869999999</v>
          </cell>
          <cell r="H4">
            <v>31683.95378</v>
          </cell>
          <cell r="I4">
            <v>31675.776519999999</v>
          </cell>
          <cell r="J4">
            <v>31805.6397</v>
          </cell>
          <cell r="K4">
            <v>32035.25808</v>
          </cell>
          <cell r="L4">
            <v>32318.527699999999</v>
          </cell>
          <cell r="M4">
            <v>32533.17758</v>
          </cell>
          <cell r="N4">
            <v>32738.881659999999</v>
          </cell>
          <cell r="O4">
            <v>32963.088510000001</v>
          </cell>
          <cell r="P4">
            <v>33211.344550000002</v>
          </cell>
          <cell r="Q4">
            <v>33497.155579999999</v>
          </cell>
          <cell r="R4">
            <v>33797.588380000001</v>
          </cell>
          <cell r="S4">
            <v>34088.966869999997</v>
          </cell>
          <cell r="T4">
            <v>34355.270420000001</v>
          </cell>
          <cell r="U4">
            <v>34587.474779999997</v>
          </cell>
          <cell r="V4">
            <v>34773.642549999997</v>
          </cell>
          <cell r="W4">
            <v>34920.423970000003</v>
          </cell>
          <cell r="X4">
            <v>35033.475570000002</v>
          </cell>
          <cell r="Y4">
            <v>35116.864679999999</v>
          </cell>
          <cell r="Z4">
            <v>35170.556759999999</v>
          </cell>
          <cell r="AA4">
            <v>35202.530590000002</v>
          </cell>
          <cell r="AB4">
            <v>35216.540849999998</v>
          </cell>
          <cell r="AC4">
            <v>35216.87068</v>
          </cell>
          <cell r="AD4">
            <v>35207.138140000003</v>
          </cell>
          <cell r="AE4">
            <v>35181.05629</v>
          </cell>
          <cell r="AF4">
            <v>35147.717559999997</v>
          </cell>
          <cell r="AG4">
            <v>35109.600810000004</v>
          </cell>
          <cell r="AH4">
            <v>35070.276270000002</v>
          </cell>
          <cell r="AI4">
            <v>35032.94657</v>
          </cell>
          <cell r="AJ4">
            <v>34998.9473</v>
          </cell>
          <cell r="AK4">
            <v>34967.472750000001</v>
          </cell>
          <cell r="AL4">
            <v>34936.314579999998</v>
          </cell>
          <cell r="AM4">
            <v>34902.872779999998</v>
          </cell>
          <cell r="AN4">
            <v>34864.201370000002</v>
          </cell>
          <cell r="AO4">
            <v>34816.919390000003</v>
          </cell>
        </row>
        <row r="12">
          <cell r="F12">
            <v>44.765000000000001</v>
          </cell>
          <cell r="G12">
            <v>62.914827690000003</v>
          </cell>
          <cell r="H12">
            <v>82.978712590000001</v>
          </cell>
          <cell r="I12">
            <v>104.7030018</v>
          </cell>
          <cell r="J12">
            <v>128.21140159999999</v>
          </cell>
          <cell r="K12">
            <v>153.14079100000001</v>
          </cell>
          <cell r="L12">
            <v>179.09732740000001</v>
          </cell>
          <cell r="M12">
            <v>206.06346389999999</v>
          </cell>
          <cell r="N12">
            <v>239.3722894</v>
          </cell>
          <cell r="O12">
            <v>284.31310860000002</v>
          </cell>
          <cell r="P12">
            <v>347.11184939999998</v>
          </cell>
          <cell r="Q12">
            <v>432.73447529999999</v>
          </cell>
          <cell r="R12">
            <v>541.08405889999995</v>
          </cell>
          <cell r="S12">
            <v>671.41931199999999</v>
          </cell>
          <cell r="T12">
            <v>822.88042310000003</v>
          </cell>
          <cell r="U12">
            <v>994.69664880000005</v>
          </cell>
          <cell r="V12">
            <v>1186.1739950000001</v>
          </cell>
          <cell r="W12">
            <v>1398.407044</v>
          </cell>
          <cell r="X12">
            <v>1632.1084699999999</v>
          </cell>
          <cell r="Y12">
            <v>1887.750616</v>
          </cell>
          <cell r="Z12">
            <v>2165.3261649999999</v>
          </cell>
          <cell r="AA12">
            <v>2465.8957639999999</v>
          </cell>
          <cell r="AB12">
            <v>2790.232771</v>
          </cell>
          <cell r="AC12">
            <v>3139.4097609999999</v>
          </cell>
          <cell r="AD12">
            <v>3514.6530419999999</v>
          </cell>
          <cell r="AE12">
            <v>3915.4976769999998</v>
          </cell>
          <cell r="AF12">
            <v>4344.5582249999998</v>
          </cell>
          <cell r="AG12">
            <v>4803.5957589999998</v>
          </cell>
          <cell r="AH12">
            <v>5294.9850930000002</v>
          </cell>
          <cell r="AI12">
            <v>5821.4318389999999</v>
          </cell>
          <cell r="AJ12">
            <v>6385.543173</v>
          </cell>
          <cell r="AK12">
            <v>6989.6085329999996</v>
          </cell>
          <cell r="AL12">
            <v>7635.6603059999998</v>
          </cell>
          <cell r="AM12">
            <v>8325.6875770000006</v>
          </cell>
          <cell r="AN12">
            <v>9061.5854710000003</v>
          </cell>
          <cell r="AO12">
            <v>9845.0423879999998</v>
          </cell>
        </row>
        <row r="20">
          <cell r="F20">
            <v>1.9359999999999999</v>
          </cell>
          <cell r="G20">
            <v>1.991142024</v>
          </cell>
          <cell r="H20">
            <v>2.0604708770000002</v>
          </cell>
          <cell r="I20">
            <v>2.1381484749999999</v>
          </cell>
          <cell r="J20">
            <v>2.2225146750000002</v>
          </cell>
          <cell r="K20">
            <v>2.310837545</v>
          </cell>
          <cell r="L20">
            <v>2.3996487320000002</v>
          </cell>
          <cell r="M20">
            <v>2.4789963739999998</v>
          </cell>
          <cell r="N20">
            <v>2.554036585</v>
          </cell>
          <cell r="O20">
            <v>2.6272860759999999</v>
          </cell>
          <cell r="P20">
            <v>2.6994436940000002</v>
          </cell>
          <cell r="Q20">
            <v>2.771869546</v>
          </cell>
          <cell r="R20">
            <v>2.8428657529999999</v>
          </cell>
          <cell r="S20">
            <v>2.9106282110000001</v>
          </cell>
          <cell r="T20">
            <v>2.9739539260000001</v>
          </cell>
          <cell r="U20">
            <v>3.032198121</v>
          </cell>
          <cell r="V20">
            <v>3.0844525850000002</v>
          </cell>
          <cell r="W20">
            <v>3.13134939</v>
          </cell>
          <cell r="X20">
            <v>3.1734410990000002</v>
          </cell>
          <cell r="Y20">
            <v>3.211149212</v>
          </cell>
          <cell r="Z20">
            <v>3.2445508740000002</v>
          </cell>
          <cell r="AA20">
            <v>3.2743913899999999</v>
          </cell>
          <cell r="AB20">
            <v>3.3010667749999998</v>
          </cell>
          <cell r="AC20">
            <v>3.3250172390000001</v>
          </cell>
          <cell r="AD20">
            <v>3.3466276050000001</v>
          </cell>
          <cell r="AE20">
            <v>3.3654501720000001</v>
          </cell>
          <cell r="AF20">
            <v>3.3823161530000001</v>
          </cell>
          <cell r="AG20">
            <v>3.3975086409999999</v>
          </cell>
          <cell r="AH20">
            <v>3.411400929</v>
          </cell>
          <cell r="AI20">
            <v>3.4243354429999999</v>
          </cell>
          <cell r="AJ20">
            <v>3.4364972859999998</v>
          </cell>
          <cell r="AK20">
            <v>3.4478888379999999</v>
          </cell>
          <cell r="AL20">
            <v>3.458389221</v>
          </cell>
          <cell r="AM20">
            <v>3.467837775</v>
          </cell>
          <cell r="AN20">
            <v>3.4760378119999999</v>
          </cell>
          <cell r="AO20">
            <v>3.482749139</v>
          </cell>
        </row>
        <row r="28">
          <cell r="F28">
            <v>32317.940999999999</v>
          </cell>
          <cell r="G28">
            <v>31921.419839999999</v>
          </cell>
          <cell r="H28">
            <v>31768.99296</v>
          </cell>
          <cell r="I28">
            <v>31782.617679999999</v>
          </cell>
          <cell r="J28">
            <v>31936.073609999999</v>
          </cell>
          <cell r="K28">
            <v>32190.709709999999</v>
          </cell>
          <cell r="L28">
            <v>32500.024669999999</v>
          </cell>
          <cell r="M28">
            <v>32841.095459999997</v>
          </cell>
          <cell r="N28">
            <v>33205.422839999999</v>
          </cell>
          <cell r="O28">
            <v>33589.121350000001</v>
          </cell>
          <cell r="P28">
            <v>33992.859880000004</v>
          </cell>
          <cell r="Q28">
            <v>34399.432330000003</v>
          </cell>
          <cell r="R28">
            <v>34798.891439999999</v>
          </cell>
          <cell r="S28">
            <v>35182.698929999999</v>
          </cell>
          <cell r="T28">
            <v>35544.444080000001</v>
          </cell>
          <cell r="U28">
            <v>35880.532180000002</v>
          </cell>
          <cell r="V28">
            <v>36206.867890000001</v>
          </cell>
          <cell r="W28">
            <v>36528.513200000001</v>
          </cell>
          <cell r="X28">
            <v>36845.176299999999</v>
          </cell>
          <cell r="Y28">
            <v>37155.961810000001</v>
          </cell>
          <cell r="Z28">
            <v>37457.313750000001</v>
          </cell>
          <cell r="AA28">
            <v>37756.048719999999</v>
          </cell>
          <cell r="AB28">
            <v>38055.579510000003</v>
          </cell>
          <cell r="AC28">
            <v>38360.208599999998</v>
          </cell>
          <cell r="AD28">
            <v>38673.905709999999</v>
          </cell>
          <cell r="AE28">
            <v>38989.769970000001</v>
          </cell>
          <cell r="AF28">
            <v>39319.614390000002</v>
          </cell>
          <cell r="AG28">
            <v>39668.229959999997</v>
          </cell>
          <cell r="AH28">
            <v>40040.566229999997</v>
          </cell>
          <cell r="AI28">
            <v>40441.00619</v>
          </cell>
          <cell r="AJ28">
            <v>40871.981299999999</v>
          </cell>
          <cell r="AK28">
            <v>41333.747340000002</v>
          </cell>
          <cell r="AL28">
            <v>41824.736409999998</v>
          </cell>
          <cell r="AM28">
            <v>42341.940779999997</v>
          </cell>
          <cell r="AN28">
            <v>42881.26872</v>
          </cell>
          <cell r="AO28">
            <v>43437.821259999997</v>
          </cell>
        </row>
        <row r="29">
          <cell r="F29">
            <v>32271.24</v>
          </cell>
          <cell r="G29">
            <v>31856.513869999999</v>
          </cell>
          <cell r="H29">
            <v>31683.95378</v>
          </cell>
          <cell r="I29">
            <v>31675.776519999999</v>
          </cell>
          <cell r="J29">
            <v>31805.63969</v>
          </cell>
          <cell r="K29">
            <v>32035.25808</v>
          </cell>
          <cell r="L29">
            <v>32318.527689999999</v>
          </cell>
          <cell r="M29">
            <v>32632.500260000001</v>
          </cell>
          <cell r="N29">
            <v>32968.369570000003</v>
          </cell>
          <cell r="O29">
            <v>33321.829830000002</v>
          </cell>
          <cell r="P29">
            <v>33693.028729999998</v>
          </cell>
          <cell r="Q29">
            <v>34064.487639999999</v>
          </cell>
          <cell r="R29">
            <v>34425.927830000001</v>
          </cell>
          <cell r="S29">
            <v>34768.503850000001</v>
          </cell>
          <cell r="T29">
            <v>35085.504970000002</v>
          </cell>
          <cell r="U29">
            <v>35373.013599999998</v>
          </cell>
          <cell r="V29">
            <v>35646.326739999997</v>
          </cell>
          <cell r="W29">
            <v>35910.336580000003</v>
          </cell>
          <cell r="X29">
            <v>36164.767079999998</v>
          </cell>
          <cell r="Y29">
            <v>36408.731879999999</v>
          </cell>
          <cell r="Z29">
            <v>36638.71168</v>
          </cell>
          <cell r="AA29">
            <v>36861.161820000001</v>
          </cell>
          <cell r="AB29">
            <v>37079.134859999998</v>
          </cell>
          <cell r="AC29">
            <v>37296.443950000001</v>
          </cell>
          <cell r="AD29">
            <v>37516.479950000001</v>
          </cell>
          <cell r="AE29">
            <v>37732.145689999998</v>
          </cell>
          <cell r="AF29">
            <v>37954.178110000001</v>
          </cell>
          <cell r="AG29">
            <v>38186.457999999999</v>
          </cell>
          <cell r="AH29">
            <v>38432.892090000001</v>
          </cell>
          <cell r="AI29">
            <v>38696.721819999999</v>
          </cell>
          <cell r="AJ29">
            <v>38979.226150000002</v>
          </cell>
          <cell r="AK29">
            <v>39279.539360000002</v>
          </cell>
          <cell r="AL29">
            <v>39595.014589999999</v>
          </cell>
          <cell r="AM29">
            <v>39921.614379999999</v>
          </cell>
          <cell r="AN29">
            <v>40254.27162</v>
          </cell>
          <cell r="AO29">
            <v>40587.17411</v>
          </cell>
        </row>
        <row r="37">
          <cell r="F37">
            <v>44.765000000000001</v>
          </cell>
          <cell r="G37">
            <v>62.914827699999996</v>
          </cell>
          <cell r="H37">
            <v>82.978712590000001</v>
          </cell>
          <cell r="I37">
            <v>104.7030018</v>
          </cell>
          <cell r="J37">
            <v>128.21140170000001</v>
          </cell>
          <cell r="K37">
            <v>153.1407911</v>
          </cell>
          <cell r="L37">
            <v>179.0973276</v>
          </cell>
          <cell r="M37">
            <v>206.10785229999999</v>
          </cell>
          <cell r="N37">
            <v>234.479826</v>
          </cell>
          <cell r="O37">
            <v>264.6336834</v>
          </cell>
          <cell r="P37">
            <v>297.09038870000001</v>
          </cell>
          <cell r="Q37">
            <v>332.12374110000002</v>
          </cell>
          <cell r="R37">
            <v>370.0659053</v>
          </cell>
          <cell r="S37">
            <v>411.22462739999997</v>
          </cell>
          <cell r="T37">
            <v>455.90036809999998</v>
          </cell>
          <cell r="U37">
            <v>504.41621750000002</v>
          </cell>
          <cell r="V37">
            <v>557.37845730000004</v>
          </cell>
          <cell r="W37">
            <v>614.95637120000004</v>
          </cell>
          <cell r="X37">
            <v>677.13408349999997</v>
          </cell>
          <cell r="Y37">
            <v>743.9025603</v>
          </cell>
          <cell r="Z37">
            <v>815.22530059999997</v>
          </cell>
          <cell r="AA37">
            <v>891.46296229999996</v>
          </cell>
          <cell r="AB37">
            <v>972.97540049999998</v>
          </cell>
          <cell r="AC37">
            <v>1060.2515599999999</v>
          </cell>
          <cell r="AD37">
            <v>1153.8699200000001</v>
          </cell>
          <cell r="AE37">
            <v>1254.0272769999999</v>
          </cell>
          <cell r="AF37">
            <v>1361.798753</v>
          </cell>
          <cell r="AG37">
            <v>1478.09413</v>
          </cell>
          <cell r="AH37">
            <v>1603.955821</v>
          </cell>
          <cell r="AI37">
            <v>1740.5250120000001</v>
          </cell>
          <cell r="AJ37">
            <v>1888.954031</v>
          </cell>
          <cell r="AK37">
            <v>2050.3643699999998</v>
          </cell>
          <cell r="AL37">
            <v>2225.8351360000001</v>
          </cell>
          <cell r="AM37">
            <v>2416.3963370000001</v>
          </cell>
          <cell r="AN37">
            <v>2623.0237259999999</v>
          </cell>
          <cell r="AO37">
            <v>2846.630979</v>
          </cell>
        </row>
        <row r="45">
          <cell r="F45">
            <v>1.9359999999999999</v>
          </cell>
          <cell r="G45">
            <v>1.991142024</v>
          </cell>
          <cell r="H45">
            <v>2.0604708760000001</v>
          </cell>
          <cell r="I45">
            <v>2.1381484739999999</v>
          </cell>
          <cell r="J45">
            <v>2.2225146750000002</v>
          </cell>
          <cell r="K45">
            <v>2.310837544</v>
          </cell>
          <cell r="L45">
            <v>2.3996487310000001</v>
          </cell>
          <cell r="M45">
            <v>2.4873405719999999</v>
          </cell>
          <cell r="N45">
            <v>2.5734439349999998</v>
          </cell>
          <cell r="O45">
            <v>2.6578395239999999</v>
          </cell>
          <cell r="P45">
            <v>2.7407614900000001</v>
          </cell>
          <cell r="Q45">
            <v>2.820949508</v>
          </cell>
          <cell r="R45">
            <v>2.897712625</v>
          </cell>
          <cell r="S45">
            <v>2.970456279</v>
          </cell>
          <cell r="T45">
            <v>3.0387445830000002</v>
          </cell>
          <cell r="U45">
            <v>3.102359672</v>
          </cell>
          <cell r="V45">
            <v>3.1626859199999999</v>
          </cell>
          <cell r="W45">
            <v>3.2202470700000001</v>
          </cell>
          <cell r="X45">
            <v>3.275131928</v>
          </cell>
          <cell r="Y45">
            <v>3.327370669</v>
          </cell>
          <cell r="Z45">
            <v>3.3767645929999999</v>
          </cell>
          <cell r="AA45">
            <v>3.423942389</v>
          </cell>
          <cell r="AB45">
            <v>3.4692497859999998</v>
          </cell>
          <cell r="AC45">
            <v>3.5130947610000001</v>
          </cell>
          <cell r="AD45">
            <v>3.5558492429999999</v>
          </cell>
          <cell r="AE45">
            <v>3.5970029760000002</v>
          </cell>
          <cell r="AF45">
            <v>3.6375294560000002</v>
          </cell>
          <cell r="AG45">
            <v>3.6778355390000002</v>
          </cell>
          <cell r="AH45">
            <v>3.7183302039999999</v>
          </cell>
          <cell r="AI45">
            <v>3.7593665199999999</v>
          </cell>
          <cell r="AJ45">
            <v>3.8011318090000001</v>
          </cell>
          <cell r="AK45">
            <v>3.8436298720000002</v>
          </cell>
          <cell r="AL45">
            <v>3.886708976</v>
          </cell>
          <cell r="AM45">
            <v>3.9300927419999998</v>
          </cell>
          <cell r="AN45">
            <v>3.9734091660000002</v>
          </cell>
          <cell r="AO45">
            <v>4.0162137710000003</v>
          </cell>
        </row>
        <row r="104">
          <cell r="F104">
            <v>3.476542051</v>
          </cell>
          <cell r="G104">
            <v>5.0830412550000004</v>
          </cell>
          <cell r="H104">
            <v>6.6173490450000001</v>
          </cell>
          <cell r="I104">
            <v>8.203355191</v>
          </cell>
          <cell r="J104">
            <v>9.8742092289999999</v>
          </cell>
          <cell r="K104">
            <v>11.52069296</v>
          </cell>
          <cell r="L104">
            <v>13.07314225</v>
          </cell>
          <cell r="M104">
            <v>14.7946525</v>
          </cell>
          <cell r="N104">
            <v>17.175082669999998</v>
          </cell>
          <cell r="O104">
            <v>19.993083930000001</v>
          </cell>
          <cell r="P104">
            <v>23.129417409999999</v>
          </cell>
          <cell r="Q104">
            <v>26.39470133</v>
          </cell>
          <cell r="R104">
            <v>29.74529235</v>
          </cell>
          <cell r="S104">
            <v>33.132531350000001</v>
          </cell>
          <cell r="T104">
            <v>36.528701599999998</v>
          </cell>
          <cell r="U104">
            <v>39.918573510000002</v>
          </cell>
          <cell r="V104">
            <v>43.296030960000003</v>
          </cell>
          <cell r="W104">
            <v>46.663940279999998</v>
          </cell>
          <cell r="X104">
            <v>50.023820260000001</v>
          </cell>
          <cell r="Y104">
            <v>53.375685079999997</v>
          </cell>
          <cell r="Z104">
            <v>56.692024619999998</v>
          </cell>
          <cell r="AA104">
            <v>60.023882200000003</v>
          </cell>
          <cell r="AB104">
            <v>63.342906259999999</v>
          </cell>
          <cell r="AC104">
            <v>66.647025819999996</v>
          </cell>
          <cell r="AD104">
            <v>69.934249899999998</v>
          </cell>
          <cell r="AE104">
            <v>73.130508919999997</v>
          </cell>
          <cell r="AF104">
            <v>76.344049319999996</v>
          </cell>
          <cell r="AG104">
            <v>79.534706900000003</v>
          </cell>
          <cell r="AH104">
            <v>82.700720259999997</v>
          </cell>
          <cell r="AI104">
            <v>85.840887159999994</v>
          </cell>
          <cell r="AJ104">
            <v>88.954537729999998</v>
          </cell>
          <cell r="AK104">
            <v>92.041281699999999</v>
          </cell>
          <cell r="AL104">
            <v>95.10066028</v>
          </cell>
          <cell r="AM104">
            <v>98.132030940000007</v>
          </cell>
          <cell r="AN104">
            <v>101.1347162</v>
          </cell>
          <cell r="AO104">
            <v>104.10781660000001</v>
          </cell>
        </row>
        <row r="105">
          <cell r="F105">
            <v>68.80476281</v>
          </cell>
          <cell r="G105">
            <v>75.719616799999997</v>
          </cell>
          <cell r="H105">
            <v>82.421636289999995</v>
          </cell>
          <cell r="I105">
            <v>88.672308369999996</v>
          </cell>
          <cell r="J105">
            <v>94.684739320000006</v>
          </cell>
          <cell r="K105">
            <v>100.6018138</v>
          </cell>
          <cell r="L105">
            <v>105.8675643</v>
          </cell>
          <cell r="M105">
            <v>111.0492558</v>
          </cell>
          <cell r="N105">
            <v>115.8595856</v>
          </cell>
          <cell r="O105">
            <v>120.4493677</v>
          </cell>
          <cell r="P105">
            <v>125.9469125</v>
          </cell>
          <cell r="Q105">
            <v>130.33339219999999</v>
          </cell>
          <cell r="R105">
            <v>134.6781202</v>
          </cell>
          <cell r="S105">
            <v>138.99653499999999</v>
          </cell>
          <cell r="T105">
            <v>143.2960918</v>
          </cell>
          <cell r="U105">
            <v>147.58116849999999</v>
          </cell>
          <cell r="V105">
            <v>151.85202480000001</v>
          </cell>
          <cell r="W105">
            <v>156.1021638</v>
          </cell>
          <cell r="X105">
            <v>160.332471</v>
          </cell>
          <cell r="Y105">
            <v>164.54611070000001</v>
          </cell>
          <cell r="Z105">
            <v>168.0595395</v>
          </cell>
          <cell r="AA105">
            <v>172.24802550000001</v>
          </cell>
          <cell r="AB105">
            <v>176.42939749999999</v>
          </cell>
          <cell r="AC105">
            <v>180.6059425</v>
          </cell>
          <cell r="AD105">
            <v>184.77958330000001</v>
          </cell>
          <cell r="AE105">
            <v>187.0764508</v>
          </cell>
          <cell r="AF105">
            <v>190.36248280000001</v>
          </cell>
          <cell r="AG105">
            <v>193.64559819999999</v>
          </cell>
          <cell r="AH105">
            <v>196.92709579999999</v>
          </cell>
          <cell r="AI105">
            <v>200.2080267</v>
          </cell>
          <cell r="AJ105">
            <v>203.4892236</v>
          </cell>
          <cell r="AK105">
            <v>206.77142860000001</v>
          </cell>
          <cell r="AL105">
            <v>210.05543040000001</v>
          </cell>
          <cell r="AM105">
            <v>213.342105</v>
          </cell>
          <cell r="AN105">
            <v>216.63245929999999</v>
          </cell>
          <cell r="AO105">
            <v>219.92778659999999</v>
          </cell>
        </row>
        <row r="106">
          <cell r="F106">
            <v>408.28039699999999</v>
          </cell>
          <cell r="G106">
            <v>422.72007989999997</v>
          </cell>
          <cell r="H106">
            <v>437.28317700000002</v>
          </cell>
          <cell r="I106">
            <v>450.88712600000002</v>
          </cell>
          <cell r="J106">
            <v>463.94107480000002</v>
          </cell>
          <cell r="K106">
            <v>476.8246623</v>
          </cell>
          <cell r="L106">
            <v>487.96694819999999</v>
          </cell>
          <cell r="M106">
            <v>498.8597034</v>
          </cell>
          <cell r="N106">
            <v>508.76720410000001</v>
          </cell>
          <cell r="O106">
            <v>518.08405029999994</v>
          </cell>
          <cell r="P106">
            <v>529.96744420000005</v>
          </cell>
          <cell r="Q106">
            <v>538.74877479999998</v>
          </cell>
          <cell r="R106">
            <v>547.43750150000005</v>
          </cell>
          <cell r="S106">
            <v>556.08743849999996</v>
          </cell>
          <cell r="T106">
            <v>564.72518600000001</v>
          </cell>
          <cell r="U106">
            <v>573.36341059999995</v>
          </cell>
          <cell r="V106">
            <v>582.00290589999997</v>
          </cell>
          <cell r="W106">
            <v>590.62996250000003</v>
          </cell>
          <cell r="X106">
            <v>599.24285529999997</v>
          </cell>
          <cell r="Y106">
            <v>607.84405860000004</v>
          </cell>
          <cell r="Z106">
            <v>614.50799540000003</v>
          </cell>
          <cell r="AA106">
            <v>623.09001390000003</v>
          </cell>
          <cell r="AB106">
            <v>631.67010000000005</v>
          </cell>
          <cell r="AC106">
            <v>640.25042080000003</v>
          </cell>
          <cell r="AD106">
            <v>648.83266260000005</v>
          </cell>
          <cell r="AE106">
            <v>652.15221399999996</v>
          </cell>
          <cell r="AF106">
            <v>658.25188360000004</v>
          </cell>
          <cell r="AG106">
            <v>664.34348250000005</v>
          </cell>
          <cell r="AH106">
            <v>670.42769490000001</v>
          </cell>
          <cell r="AI106">
            <v>676.50489900000002</v>
          </cell>
          <cell r="AJ106">
            <v>682.57519409999998</v>
          </cell>
          <cell r="AK106">
            <v>688.63851150000005</v>
          </cell>
          <cell r="AL106">
            <v>694.69478360000005</v>
          </cell>
          <cell r="AM106">
            <v>700.74402669999995</v>
          </cell>
          <cell r="AN106">
            <v>706.78621190000001</v>
          </cell>
          <cell r="AO106">
            <v>712.8212992</v>
          </cell>
        </row>
        <row r="107">
          <cell r="F107">
            <v>954.38155940000001</v>
          </cell>
          <cell r="G107">
            <v>949.10933209999996</v>
          </cell>
          <cell r="H107">
            <v>944.72765849999996</v>
          </cell>
          <cell r="I107">
            <v>940.84601810000004</v>
          </cell>
          <cell r="J107">
            <v>937.24828330000003</v>
          </cell>
          <cell r="K107">
            <v>933.73657890000004</v>
          </cell>
          <cell r="L107">
            <v>930.21311960000003</v>
          </cell>
          <cell r="M107">
            <v>926.79546359999995</v>
          </cell>
          <cell r="N107">
            <v>924.05741190000003</v>
          </cell>
          <cell r="O107">
            <v>921.69229350000001</v>
          </cell>
          <cell r="P107">
            <v>919.53603299999997</v>
          </cell>
          <cell r="Q107">
            <v>917.49546350000003</v>
          </cell>
          <cell r="R107">
            <v>915.50163859999998</v>
          </cell>
          <cell r="S107">
            <v>913.53023789999997</v>
          </cell>
          <cell r="T107">
            <v>911.57431039999994</v>
          </cell>
          <cell r="U107">
            <v>909.63228730000003</v>
          </cell>
          <cell r="V107">
            <v>907.71132980000004</v>
          </cell>
          <cell r="W107">
            <v>905.8351083</v>
          </cell>
          <cell r="X107">
            <v>904.00504660000001</v>
          </cell>
          <cell r="Y107">
            <v>902.21548099999995</v>
          </cell>
          <cell r="Z107">
            <v>900.45941519999997</v>
          </cell>
          <cell r="AA107">
            <v>898.73024729999997</v>
          </cell>
          <cell r="AB107">
            <v>897.02318449999996</v>
          </cell>
          <cell r="AC107">
            <v>895.3345425</v>
          </cell>
          <cell r="AD107">
            <v>893.6616047</v>
          </cell>
          <cell r="AE107">
            <v>892.00238690000003</v>
          </cell>
          <cell r="AF107">
            <v>890.35479239999995</v>
          </cell>
          <cell r="AG107">
            <v>888.71834709999996</v>
          </cell>
          <cell r="AH107">
            <v>887.09264010000004</v>
          </cell>
          <cell r="AI107">
            <v>885.47762060000002</v>
          </cell>
          <cell r="AJ107">
            <v>883.8734839</v>
          </cell>
          <cell r="AK107">
            <v>882.28055840000002</v>
          </cell>
          <cell r="AL107">
            <v>880.69925330000001</v>
          </cell>
          <cell r="AM107">
            <v>879.13003849999996</v>
          </cell>
          <cell r="AN107">
            <v>877.57337189999998</v>
          </cell>
          <cell r="AO107">
            <v>876.02964459999998</v>
          </cell>
        </row>
        <row r="108">
          <cell r="F108">
            <v>878.79999729999997</v>
          </cell>
          <cell r="G108">
            <v>870.88907449999999</v>
          </cell>
          <cell r="H108">
            <v>864.49852009999995</v>
          </cell>
          <cell r="I108">
            <v>858.8741374</v>
          </cell>
          <cell r="J108">
            <v>853.6436582</v>
          </cell>
          <cell r="K108">
            <v>848.62588519999997</v>
          </cell>
          <cell r="L108">
            <v>843.72982809999996</v>
          </cell>
          <cell r="M108">
            <v>838.90555900000004</v>
          </cell>
          <cell r="N108">
            <v>834.11207360000003</v>
          </cell>
          <cell r="O108">
            <v>829.33713639999996</v>
          </cell>
          <cell r="P108">
            <v>824.57457350000004</v>
          </cell>
          <cell r="Q108">
            <v>819.82660559999999</v>
          </cell>
          <cell r="R108">
            <v>815.1091093</v>
          </cell>
          <cell r="S108">
            <v>810.42646409999998</v>
          </cell>
          <cell r="T108">
            <v>805.7787237</v>
          </cell>
          <cell r="U108">
            <v>801.16470279999999</v>
          </cell>
          <cell r="V108">
            <v>796.58137399999998</v>
          </cell>
          <cell r="W108">
            <v>792.02163470000005</v>
          </cell>
          <cell r="X108">
            <v>787.48303339999995</v>
          </cell>
          <cell r="Y108">
            <v>782.96535419999998</v>
          </cell>
          <cell r="Z108">
            <v>778.46937330000003</v>
          </cell>
          <cell r="AA108">
            <v>773.99597549999999</v>
          </cell>
          <cell r="AB108">
            <v>769.54663100000005</v>
          </cell>
          <cell r="AC108">
            <v>765.12247890000003</v>
          </cell>
          <cell r="AD108">
            <v>760.72455809999997</v>
          </cell>
          <cell r="AE108">
            <v>756.35376889999998</v>
          </cell>
          <cell r="AF108">
            <v>752.01012519999995</v>
          </cell>
          <cell r="AG108">
            <v>747.69455149999999</v>
          </cell>
          <cell r="AH108">
            <v>743.40737149999995</v>
          </cell>
          <cell r="AI108">
            <v>739.14868079999997</v>
          </cell>
          <cell r="AJ108">
            <v>734.91840779999995</v>
          </cell>
          <cell r="AK108">
            <v>730.71638059999998</v>
          </cell>
          <cell r="AL108">
            <v>726.54236960000003</v>
          </cell>
          <cell r="AM108">
            <v>722.39609340000004</v>
          </cell>
          <cell r="AN108">
            <v>718.27724160000002</v>
          </cell>
          <cell r="AO108">
            <v>714.185519</v>
          </cell>
        </row>
        <row r="109">
          <cell r="F109">
            <v>139.85209269999999</v>
          </cell>
          <cell r="G109">
            <v>138.42437770000001</v>
          </cell>
          <cell r="H109">
            <v>137.24268620000001</v>
          </cell>
          <cell r="I109">
            <v>136.186046</v>
          </cell>
          <cell r="J109">
            <v>135.19492940000001</v>
          </cell>
          <cell r="K109">
            <v>134.2389981</v>
          </cell>
          <cell r="L109">
            <v>133.3037582</v>
          </cell>
          <cell r="M109">
            <v>132.38339189999999</v>
          </cell>
          <cell r="N109">
            <v>131.47823389999999</v>
          </cell>
          <cell r="O109">
            <v>130.58401910000001</v>
          </cell>
          <cell r="P109">
            <v>129.69758959999999</v>
          </cell>
          <cell r="Q109">
            <v>128.81634890000001</v>
          </cell>
          <cell r="R109">
            <v>127.9373792</v>
          </cell>
          <cell r="S109">
            <v>127.0600764</v>
          </cell>
          <cell r="T109">
            <v>126.18489099999999</v>
          </cell>
          <cell r="U109">
            <v>125.3126366</v>
          </cell>
          <cell r="V109">
            <v>124.4441253</v>
          </cell>
          <cell r="W109">
            <v>123.5799979</v>
          </cell>
          <cell r="X109">
            <v>122.72059160000001</v>
          </cell>
          <cell r="Y109">
            <v>121.86617870000001</v>
          </cell>
          <cell r="Z109">
            <v>121.0170626</v>
          </cell>
          <cell r="AA109">
            <v>120.1735769</v>
          </cell>
          <cell r="AB109">
            <v>119.33604219999999</v>
          </cell>
          <cell r="AC109">
            <v>118.5047101</v>
          </cell>
          <cell r="AD109">
            <v>117.6797416</v>
          </cell>
          <cell r="AE109">
            <v>116.8612248</v>
          </cell>
          <cell r="AF109">
            <v>116.04919</v>
          </cell>
          <cell r="AG109">
            <v>115.2436246</v>
          </cell>
          <cell r="AH109">
            <v>114.4444421</v>
          </cell>
          <cell r="AI109">
            <v>113.6514368</v>
          </cell>
          <cell r="AJ109">
            <v>112.8643038</v>
          </cell>
          <cell r="AK109">
            <v>112.08269060000001</v>
          </cell>
          <cell r="AL109">
            <v>111.30624090000001</v>
          </cell>
          <cell r="AM109">
            <v>110.5346</v>
          </cell>
          <cell r="AN109">
            <v>109.76740359999999</v>
          </cell>
          <cell r="AO109">
            <v>109.00428429999999</v>
          </cell>
        </row>
        <row r="110">
          <cell r="F110">
            <v>3.874567114</v>
          </cell>
          <cell r="G110">
            <v>3.7808512300000001</v>
          </cell>
          <cell r="H110">
            <v>3.7170796880000001</v>
          </cell>
          <cell r="I110">
            <v>3.667993675</v>
          </cell>
          <cell r="J110">
            <v>3.6263193149999999</v>
          </cell>
          <cell r="K110">
            <v>3.5883687260000001</v>
          </cell>
          <cell r="L110">
            <v>3.5524289659999999</v>
          </cell>
          <cell r="M110">
            <v>3.5178225780000001</v>
          </cell>
          <cell r="N110">
            <v>3.4846858109999999</v>
          </cell>
          <cell r="O110">
            <v>3.452224916</v>
          </cell>
          <cell r="P110">
            <v>3.4199114310000001</v>
          </cell>
          <cell r="Q110">
            <v>3.387371023</v>
          </cell>
          <cell r="R110">
            <v>3.3542110260000002</v>
          </cell>
          <cell r="S110">
            <v>3.3204853550000002</v>
          </cell>
          <cell r="T110">
            <v>3.2864037490000002</v>
          </cell>
          <cell r="U110">
            <v>3.2521945859999999</v>
          </cell>
          <cell r="V110">
            <v>3.21807752</v>
          </cell>
          <cell r="W110">
            <v>3.1842874060000002</v>
          </cell>
          <cell r="X110">
            <v>3.1509390160000001</v>
          </cell>
          <cell r="Y110">
            <v>3.1180907420000001</v>
          </cell>
          <cell r="Z110">
            <v>3.0857803029999999</v>
          </cell>
          <cell r="AA110">
            <v>3.0540383360000001</v>
          </cell>
          <cell r="AB110">
            <v>3.0228898480000002</v>
          </cell>
          <cell r="AC110">
            <v>2.9923503440000001</v>
          </cell>
          <cell r="AD110">
            <v>2.9624241850000002</v>
          </cell>
          <cell r="AE110">
            <v>2.9331081229999998</v>
          </cell>
          <cell r="AF110">
            <v>2.9043938009999999</v>
          </cell>
          <cell r="AG110">
            <v>2.8762695410000001</v>
          </cell>
          <cell r="AH110">
            <v>2.8487141330000001</v>
          </cell>
          <cell r="AI110">
            <v>2.8216882210000001</v>
          </cell>
          <cell r="AJ110">
            <v>2.7951376290000001</v>
          </cell>
          <cell r="AK110">
            <v>2.76900214</v>
          </cell>
          <cell r="AL110">
            <v>2.7432230139999998</v>
          </cell>
          <cell r="AM110">
            <v>2.7177436959999999</v>
          </cell>
          <cell r="AN110">
            <v>2.6925076610000001</v>
          </cell>
          <cell r="AO110">
            <v>2.6674594329999999</v>
          </cell>
        </row>
        <row r="112">
          <cell r="F112">
            <v>3.476542051</v>
          </cell>
          <cell r="G112">
            <v>5.0830412550000004</v>
          </cell>
          <cell r="H112">
            <v>6.6173490480000003</v>
          </cell>
          <cell r="I112">
            <v>8.2033552000000007</v>
          </cell>
          <cell r="J112">
            <v>9.8742092459999995</v>
          </cell>
          <cell r="K112">
            <v>11.52069298</v>
          </cell>
          <cell r="L112">
            <v>13.07314227</v>
          </cell>
          <cell r="M112">
            <v>14.572848479999999</v>
          </cell>
          <cell r="N112">
            <v>16.053553220000001</v>
          </cell>
          <cell r="O112">
            <v>17.538336839999999</v>
          </cell>
          <cell r="P112">
            <v>19.081991259999999</v>
          </cell>
          <cell r="Q112">
            <v>20.61390467</v>
          </cell>
          <cell r="R112">
            <v>22.18027944</v>
          </cell>
          <cell r="S112">
            <v>23.761329480000001</v>
          </cell>
          <cell r="T112">
            <v>25.35568031</v>
          </cell>
          <cell r="U112">
            <v>26.96332584</v>
          </cell>
          <cell r="V112">
            <v>28.5847002</v>
          </cell>
          <cell r="W112">
            <v>30.215379080000002</v>
          </cell>
          <cell r="X112">
            <v>31.65668771</v>
          </cell>
          <cell r="Y112">
            <v>32.977572889999998</v>
          </cell>
          <cell r="Z112">
            <v>34.18431322</v>
          </cell>
          <cell r="AA112">
            <v>35.34480396</v>
          </cell>
          <cell r="AB112">
            <v>36.44004838</v>
          </cell>
          <cell r="AC112">
            <v>37.474217549999999</v>
          </cell>
          <cell r="AD112">
            <v>38.454949929999998</v>
          </cell>
          <cell r="AE112">
            <v>39.296082290000001</v>
          </cell>
          <cell r="AF112">
            <v>40.111539559999997</v>
          </cell>
          <cell r="AG112">
            <v>40.866504640000002</v>
          </cell>
          <cell r="AH112">
            <v>41.565244239999998</v>
          </cell>
          <cell r="AI112">
            <v>42.21359734</v>
          </cell>
          <cell r="AJ112">
            <v>42.819613429999997</v>
          </cell>
          <cell r="AK112">
            <v>43.39336617</v>
          </cell>
          <cell r="AL112">
            <v>43.946334669999999</v>
          </cell>
          <cell r="AM112">
            <v>44.490336499999998</v>
          </cell>
          <cell r="AN112">
            <v>45.03694419</v>
          </cell>
          <cell r="AO112">
            <v>45.597017000000001</v>
          </cell>
        </row>
        <row r="113">
          <cell r="F113">
            <v>68.80476281</v>
          </cell>
          <cell r="G113">
            <v>75.719616799999997</v>
          </cell>
          <cell r="H113">
            <v>82.421636280000001</v>
          </cell>
          <cell r="I113">
            <v>88.672308340000001</v>
          </cell>
          <cell r="J113">
            <v>94.684739269999994</v>
          </cell>
          <cell r="K113">
            <v>100.60181369999999</v>
          </cell>
          <cell r="L113">
            <v>105.8675642</v>
          </cell>
          <cell r="M113">
            <v>111.14060689999999</v>
          </cell>
          <cell r="N113">
            <v>116.4359453</v>
          </cell>
          <cell r="O113">
            <v>121.7596259</v>
          </cell>
          <cell r="P113">
            <v>128.1497569</v>
          </cell>
          <cell r="Q113">
            <v>133.5301288</v>
          </cell>
          <cell r="R113">
            <v>138.9294817</v>
          </cell>
          <cell r="S113">
            <v>144.2783862</v>
          </cell>
          <cell r="T113">
            <v>149.56954619999999</v>
          </cell>
          <cell r="U113">
            <v>154.81020190000001</v>
          </cell>
          <cell r="V113">
            <v>160.032297</v>
          </cell>
          <cell r="W113">
            <v>165.29628360000001</v>
          </cell>
          <cell r="X113">
            <v>170.1451295</v>
          </cell>
          <cell r="Y113">
            <v>174.7909885</v>
          </cell>
          <cell r="Z113">
            <v>178.6568915</v>
          </cell>
          <cell r="AA113">
            <v>183.1717151</v>
          </cell>
          <cell r="AB113">
            <v>187.68067379999999</v>
          </cell>
          <cell r="AC113">
            <v>192.2024505</v>
          </cell>
          <cell r="AD113">
            <v>196.77117620000001</v>
          </cell>
          <cell r="AE113">
            <v>199.45758000000001</v>
          </cell>
          <cell r="AF113">
            <v>203.14104140000001</v>
          </cell>
          <cell r="AG113">
            <v>206.83510039999999</v>
          </cell>
          <cell r="AH113">
            <v>210.54231290000001</v>
          </cell>
          <cell r="AI113">
            <v>214.26252360000001</v>
          </cell>
          <cell r="AJ113">
            <v>217.99368329999999</v>
          </cell>
          <cell r="AK113">
            <v>221.73247040000001</v>
          </cell>
          <cell r="AL113">
            <v>225.47481389999999</v>
          </cell>
          <cell r="AM113">
            <v>229.21643220000001</v>
          </cell>
          <cell r="AN113">
            <v>232.95314010000001</v>
          </cell>
          <cell r="AO113">
            <v>236.6810758</v>
          </cell>
        </row>
        <row r="114">
          <cell r="F114">
            <v>408.28039699999999</v>
          </cell>
          <cell r="G114">
            <v>422.72007989999997</v>
          </cell>
          <cell r="H114">
            <v>437.28317700000002</v>
          </cell>
          <cell r="I114">
            <v>450.88712600000002</v>
          </cell>
          <cell r="J114">
            <v>463.94107480000002</v>
          </cell>
          <cell r="K114">
            <v>476.8246623</v>
          </cell>
          <cell r="L114">
            <v>487.96694819999999</v>
          </cell>
          <cell r="M114">
            <v>499.1844112</v>
          </cell>
          <cell r="N114">
            <v>510.48393320000002</v>
          </cell>
          <cell r="O114">
            <v>521.86063630000001</v>
          </cell>
          <cell r="P114">
            <v>536.21817039999996</v>
          </cell>
          <cell r="Q114">
            <v>547.72382330000005</v>
          </cell>
          <cell r="R114">
            <v>559.26586569999995</v>
          </cell>
          <cell r="S114">
            <v>570.65371059999995</v>
          </cell>
          <cell r="T114">
            <v>581.87114680000002</v>
          </cell>
          <cell r="U114">
            <v>592.94136579999997</v>
          </cell>
          <cell r="V114">
            <v>603.95982360000005</v>
          </cell>
          <cell r="W114">
            <v>615.11895830000003</v>
          </cell>
          <cell r="X114">
            <v>625.1656759</v>
          </cell>
          <cell r="Y114">
            <v>634.6740092</v>
          </cell>
          <cell r="Z114">
            <v>642.01114319999999</v>
          </cell>
          <cell r="AA114">
            <v>651.17999139999995</v>
          </cell>
          <cell r="AB114">
            <v>660.33613620000006</v>
          </cell>
          <cell r="AC114">
            <v>669.52802269999995</v>
          </cell>
          <cell r="AD114">
            <v>678.85494029999995</v>
          </cell>
          <cell r="AE114">
            <v>682.88287439999999</v>
          </cell>
          <cell r="AF114">
            <v>689.69689670000002</v>
          </cell>
          <cell r="AG114">
            <v>696.52903130000004</v>
          </cell>
          <cell r="AH114">
            <v>703.38833980000004</v>
          </cell>
          <cell r="AI114">
            <v>710.27715509999996</v>
          </cell>
          <cell r="AJ114">
            <v>717.19356000000005</v>
          </cell>
          <cell r="AK114">
            <v>724.1329088</v>
          </cell>
          <cell r="AL114">
            <v>731.08889790000001</v>
          </cell>
          <cell r="AM114">
            <v>738.05457779999995</v>
          </cell>
          <cell r="AN114">
            <v>745.02287899999999</v>
          </cell>
          <cell r="AO114">
            <v>751.98698400000001</v>
          </cell>
        </row>
        <row r="115">
          <cell r="F115">
            <v>954.38155940000001</v>
          </cell>
          <cell r="G115">
            <v>949.10933209999996</v>
          </cell>
          <cell r="H115">
            <v>944.72765849999996</v>
          </cell>
          <cell r="I115">
            <v>940.8460182</v>
          </cell>
          <cell r="J115">
            <v>937.24828330000003</v>
          </cell>
          <cell r="K115">
            <v>933.73657900000001</v>
          </cell>
          <cell r="L115">
            <v>930.21311969999999</v>
          </cell>
          <cell r="M115">
            <v>926.59838620000005</v>
          </cell>
          <cell r="N115">
            <v>922.86397309999995</v>
          </cell>
          <cell r="O115">
            <v>918.99960639999995</v>
          </cell>
          <cell r="P115">
            <v>915.00831200000005</v>
          </cell>
          <cell r="Q115">
            <v>910.90237890000003</v>
          </cell>
          <cell r="R115">
            <v>906.6999548</v>
          </cell>
          <cell r="S115">
            <v>902.68214769999997</v>
          </cell>
          <cell r="T115">
            <v>898.87463720000005</v>
          </cell>
          <cell r="U115">
            <v>895.24747560000003</v>
          </cell>
          <cell r="V115">
            <v>891.67322590000003</v>
          </cell>
          <cell r="W115">
            <v>887.90394749999996</v>
          </cell>
          <cell r="X115">
            <v>885.84802049999996</v>
          </cell>
          <cell r="Y115">
            <v>884.65035069999999</v>
          </cell>
          <cell r="Z115">
            <v>883.8719175</v>
          </cell>
          <cell r="AA115">
            <v>883.28961760000004</v>
          </cell>
          <cell r="AB115">
            <v>882.78794040000002</v>
          </cell>
          <cell r="AC115">
            <v>882.29582149999999</v>
          </cell>
          <cell r="AD115">
            <v>881.67248830000005</v>
          </cell>
          <cell r="AE115">
            <v>881.15405109999995</v>
          </cell>
          <cell r="AF115">
            <v>880.6780546</v>
          </cell>
          <cell r="AG115">
            <v>880.21368629999995</v>
          </cell>
          <cell r="AH115">
            <v>879.74546450000003</v>
          </cell>
          <cell r="AI115">
            <v>879.26581510000005</v>
          </cell>
          <cell r="AJ115">
            <v>878.77113499999996</v>
          </cell>
          <cell r="AK115">
            <v>878.25981200000001</v>
          </cell>
          <cell r="AL115">
            <v>877.73123069999997</v>
          </cell>
          <cell r="AM115">
            <v>877.18527189999998</v>
          </cell>
          <cell r="AN115">
            <v>876.62205200000005</v>
          </cell>
          <cell r="AO115">
            <v>876.04178609999997</v>
          </cell>
        </row>
        <row r="116">
          <cell r="F116">
            <v>878.79999729999997</v>
          </cell>
          <cell r="G116">
            <v>870.88907449999999</v>
          </cell>
          <cell r="H116">
            <v>864.49852009999995</v>
          </cell>
          <cell r="I116">
            <v>858.8741374</v>
          </cell>
          <cell r="J116">
            <v>853.6436582</v>
          </cell>
          <cell r="K116">
            <v>848.62588519999997</v>
          </cell>
          <cell r="L116">
            <v>843.72982809999996</v>
          </cell>
          <cell r="M116">
            <v>838.90927969999996</v>
          </cell>
          <cell r="N116">
            <v>834.14098639999997</v>
          </cell>
          <cell r="O116">
            <v>829.41331460000004</v>
          </cell>
          <cell r="P116">
            <v>824.72037560000001</v>
          </cell>
          <cell r="Q116">
            <v>820.05952979999995</v>
          </cell>
          <cell r="R116">
            <v>815.42874329999995</v>
          </cell>
          <cell r="S116">
            <v>810.82716760000005</v>
          </cell>
          <cell r="T116">
            <v>806.25425140000004</v>
          </cell>
          <cell r="U116">
            <v>801.70957350000003</v>
          </cell>
          <cell r="V116">
            <v>797.19278780000002</v>
          </cell>
          <cell r="W116">
            <v>792.70361349999996</v>
          </cell>
          <cell r="X116">
            <v>788.2423344</v>
          </cell>
          <cell r="Y116">
            <v>783.80861470000002</v>
          </cell>
          <cell r="Z116">
            <v>779.40207810000004</v>
          </cell>
          <cell r="AA116">
            <v>775.02215969999997</v>
          </cell>
          <cell r="AB116">
            <v>770.66889920000006</v>
          </cell>
          <cell r="AC116">
            <v>766.34212739999998</v>
          </cell>
          <cell r="AD116">
            <v>762.04170190000002</v>
          </cell>
          <cell r="AE116">
            <v>757.76750939999999</v>
          </cell>
          <cell r="AF116">
            <v>753.51872079999998</v>
          </cell>
          <cell r="AG116">
            <v>749.29561709999996</v>
          </cell>
          <cell r="AH116">
            <v>745.09809670000004</v>
          </cell>
          <cell r="AI116">
            <v>740.92605570000001</v>
          </cell>
          <cell r="AJ116">
            <v>736.77938619999998</v>
          </cell>
          <cell r="AK116">
            <v>732.65797229999998</v>
          </cell>
          <cell r="AL116">
            <v>728.56168890000004</v>
          </cell>
          <cell r="AM116">
            <v>724.49040560000003</v>
          </cell>
          <cell r="AN116">
            <v>720.44398550000005</v>
          </cell>
          <cell r="AO116">
            <v>716.42228420000004</v>
          </cell>
        </row>
        <row r="117">
          <cell r="F117">
            <v>139.85209269999999</v>
          </cell>
          <cell r="G117">
            <v>138.42437770000001</v>
          </cell>
          <cell r="H117">
            <v>137.24268620000001</v>
          </cell>
          <cell r="I117">
            <v>136.186046</v>
          </cell>
          <cell r="J117">
            <v>135.19492940000001</v>
          </cell>
          <cell r="K117">
            <v>134.2389981</v>
          </cell>
          <cell r="L117">
            <v>133.3037582</v>
          </cell>
          <cell r="M117">
            <v>132.38263230000001</v>
          </cell>
          <cell r="N117">
            <v>131.4722026</v>
          </cell>
          <cell r="O117">
            <v>130.57049939999999</v>
          </cell>
          <cell r="P117">
            <v>129.6763315</v>
          </cell>
          <cell r="Q117">
            <v>128.7889361</v>
          </cell>
          <cell r="R117">
            <v>127.90778899999999</v>
          </cell>
          <cell r="S117">
            <v>127.03255729999999</v>
          </cell>
          <cell r="T117">
            <v>126.16308979999999</v>
          </cell>
          <cell r="U117">
            <v>125.29939899999999</v>
          </cell>
          <cell r="V117">
            <v>124.4414852</v>
          </cell>
          <cell r="W117">
            <v>123.5891323</v>
          </cell>
          <cell r="X117">
            <v>122.7424785</v>
          </cell>
          <cell r="Y117">
            <v>121.90183</v>
          </cell>
          <cell r="Z117">
            <v>121.0675136</v>
          </cell>
          <cell r="AA117">
            <v>120.2397855</v>
          </cell>
          <cell r="AB117">
            <v>119.4187956</v>
          </cell>
          <cell r="AC117">
            <v>118.6045956</v>
          </cell>
          <cell r="AD117">
            <v>117.7971691</v>
          </cell>
          <cell r="AE117">
            <v>116.9964464</v>
          </cell>
          <cell r="AF117">
            <v>116.20230170000001</v>
          </cell>
          <cell r="AG117">
            <v>115.4145532</v>
          </cell>
          <cell r="AH117">
            <v>114.63297439999999</v>
          </cell>
          <cell r="AI117">
            <v>113.8573052</v>
          </cell>
          <cell r="AJ117">
            <v>113.0872562</v>
          </cell>
          <cell r="AK117">
            <v>112.3225315</v>
          </cell>
          <cell r="AL117">
            <v>111.56284599999999</v>
          </cell>
          <cell r="AM117">
            <v>110.80793660000001</v>
          </cell>
          <cell r="AN117">
            <v>110.05757269999999</v>
          </cell>
          <cell r="AO117">
            <v>109.3115622</v>
          </cell>
        </row>
        <row r="118">
          <cell r="F118">
            <v>3.874567114</v>
          </cell>
          <cell r="G118">
            <v>3.7808512300000001</v>
          </cell>
          <cell r="H118">
            <v>3.7170796880000001</v>
          </cell>
          <cell r="I118">
            <v>3.667993675</v>
          </cell>
          <cell r="J118">
            <v>3.6263193149999999</v>
          </cell>
          <cell r="K118">
            <v>3.5883687260000001</v>
          </cell>
          <cell r="L118">
            <v>3.5524289659999999</v>
          </cell>
          <cell r="M118">
            <v>3.5176840650000001</v>
          </cell>
          <cell r="N118">
            <v>3.4836836290000002</v>
          </cell>
          <cell r="O118">
            <v>3.450156448</v>
          </cell>
          <cell r="P118">
            <v>3.4169440560000002</v>
          </cell>
          <cell r="Q118">
            <v>3.3839556979999998</v>
          </cell>
          <cell r="R118">
            <v>3.351138229</v>
          </cell>
          <cell r="S118">
            <v>3.318469318</v>
          </cell>
          <cell r="T118">
            <v>3.2859561519999998</v>
          </cell>
          <cell r="U118">
            <v>3.2536316369999998</v>
          </cell>
          <cell r="V118">
            <v>3.2215481690000001</v>
          </cell>
          <cell r="W118">
            <v>3.1897800040000002</v>
          </cell>
          <cell r="X118">
            <v>3.158430385</v>
          </cell>
          <cell r="Y118">
            <v>3.1275928159999999</v>
          </cell>
          <cell r="Z118">
            <v>3.097333329</v>
          </cell>
          <cell r="AA118">
            <v>3.0676860330000002</v>
          </cell>
          <cell r="AB118">
            <v>3.038657352</v>
          </cell>
          <cell r="AC118">
            <v>3.0102353019999999</v>
          </cell>
          <cell r="AD118">
            <v>2.9823981910000001</v>
          </cell>
          <cell r="AE118">
            <v>2.9551183980000002</v>
          </cell>
          <cell r="AF118">
            <v>2.9283618740000001</v>
          </cell>
          <cell r="AG118">
            <v>2.9020869020000002</v>
          </cell>
          <cell r="AH118">
            <v>2.876245865</v>
          </cell>
          <cell r="AI118">
            <v>2.8507867839999999</v>
          </cell>
          <cell r="AJ118">
            <v>2.825653972</v>
          </cell>
          <cell r="AK118">
            <v>2.8007919499999998</v>
          </cell>
          <cell r="AL118">
            <v>2.7761486</v>
          </cell>
          <cell r="AM118">
            <v>2.7516772220000001</v>
          </cell>
          <cell r="AN118">
            <v>2.7273381909999999</v>
          </cell>
          <cell r="AO118">
            <v>2.703099951</v>
          </cell>
        </row>
        <row r="205">
          <cell r="E205" t="str">
            <v>YG_toe_2</v>
          </cell>
          <cell r="F205">
            <v>148.5608263</v>
          </cell>
          <cell r="G205">
            <v>150.23110610000001</v>
          </cell>
          <cell r="H205">
            <v>151.9580167</v>
          </cell>
          <cell r="I205">
            <v>153.83581849999999</v>
          </cell>
          <cell r="J205">
            <v>155.93581879999999</v>
          </cell>
          <cell r="K205">
            <v>158.27513730000001</v>
          </cell>
          <cell r="L205">
            <v>160.76631520000001</v>
          </cell>
          <cell r="M205">
            <v>164.1630327</v>
          </cell>
          <cell r="N205">
            <v>167.8630747</v>
          </cell>
          <cell r="O205">
            <v>172.4066057</v>
          </cell>
          <cell r="P205">
            <v>177.11953370000001</v>
          </cell>
          <cell r="Q205">
            <v>181.37210289999999</v>
          </cell>
          <cell r="R205">
            <v>185.27544900000001</v>
          </cell>
          <cell r="S205">
            <v>188.9927252</v>
          </cell>
          <cell r="T205">
            <v>192.71258990000001</v>
          </cell>
          <cell r="U205">
            <v>196.55463270000001</v>
          </cell>
          <cell r="V205">
            <v>200.41546890000001</v>
          </cell>
          <cell r="W205">
            <v>204.5841743</v>
          </cell>
          <cell r="X205">
            <v>209.1468711</v>
          </cell>
          <cell r="Y205">
            <v>214.1780388</v>
          </cell>
          <cell r="Z205">
            <v>219.71852290000001</v>
          </cell>
          <cell r="AA205">
            <v>225.91281499999999</v>
          </cell>
          <cell r="AB205">
            <v>232.8570048</v>
          </cell>
          <cell r="AC205">
            <v>240.6392965</v>
          </cell>
          <cell r="AD205">
            <v>249.3423377</v>
          </cell>
          <cell r="AE205">
            <v>258.94347529999999</v>
          </cell>
          <cell r="AF205">
            <v>269.79083009999999</v>
          </cell>
          <cell r="AG205">
            <v>282.01856670000001</v>
          </cell>
          <cell r="AH205">
            <v>295.8092029</v>
          </cell>
          <cell r="AI205">
            <v>311.31555730000002</v>
          </cell>
          <cell r="AJ205">
            <v>328.70201320000001</v>
          </cell>
          <cell r="AK205">
            <v>348.2106483</v>
          </cell>
          <cell r="AL205">
            <v>370.18340369999999</v>
          </cell>
          <cell r="AM205">
            <v>395.05187740000002</v>
          </cell>
          <cell r="AN205">
            <v>423.38094230000002</v>
          </cell>
          <cell r="AO205">
            <v>455.93164489999998</v>
          </cell>
        </row>
        <row r="206">
          <cell r="E206" t="str">
            <v>YG_toe_ccoa_2</v>
          </cell>
          <cell r="F206">
            <v>2.3689359419999998</v>
          </cell>
          <cell r="G206">
            <v>2.3855640629999999</v>
          </cell>
          <cell r="H206">
            <v>2.4037502399999999</v>
          </cell>
          <cell r="I206">
            <v>2.4165889589999998</v>
          </cell>
          <cell r="J206">
            <v>2.4446119020000001</v>
          </cell>
          <cell r="K206">
            <v>2.484923422</v>
          </cell>
          <cell r="L206">
            <v>2.529940769</v>
          </cell>
          <cell r="M206">
            <v>2.4748079239999998</v>
          </cell>
          <cell r="N206">
            <v>2.4047080420000002</v>
          </cell>
          <cell r="O206">
            <v>2.347587329</v>
          </cell>
          <cell r="P206">
            <v>2.2930269509999999</v>
          </cell>
          <cell r="Q206">
            <v>2.2443445789999998</v>
          </cell>
          <cell r="R206">
            <v>2.1985683210000002</v>
          </cell>
          <cell r="S206">
            <v>2.155427934</v>
          </cell>
          <cell r="T206">
            <v>2.11601558</v>
          </cell>
          <cell r="U206">
            <v>2.080642375</v>
          </cell>
          <cell r="V206">
            <v>2.0435526789999998</v>
          </cell>
          <cell r="W206">
            <v>2.007936258</v>
          </cell>
          <cell r="X206">
            <v>1.975395781</v>
          </cell>
          <cell r="Y206">
            <v>1.9465251770000001</v>
          </cell>
          <cell r="Z206">
            <v>1.921517645</v>
          </cell>
          <cell r="AA206">
            <v>1.900549262</v>
          </cell>
          <cell r="AB206">
            <v>1.883857482</v>
          </cell>
          <cell r="AC206">
            <v>1.8714283270000001</v>
          </cell>
          <cell r="AD206">
            <v>1.863015549</v>
          </cell>
          <cell r="AE206">
            <v>1.858282668</v>
          </cell>
          <cell r="AF206">
            <v>1.8577813219999999</v>
          </cell>
          <cell r="AG206">
            <v>1.8617251859999999</v>
          </cell>
          <cell r="AH206">
            <v>1.8701937280000001</v>
          </cell>
          <cell r="AI206">
            <v>1.882733634</v>
          </cell>
          <cell r="AJ206">
            <v>1.8988022229999999</v>
          </cell>
          <cell r="AK206">
            <v>1.9182906019999999</v>
          </cell>
          <cell r="AL206">
            <v>1.9415660340000001</v>
          </cell>
          <cell r="AM206">
            <v>1.9692733549999999</v>
          </cell>
          <cell r="AN206">
            <v>2.0024513759999998</v>
          </cell>
          <cell r="AO206">
            <v>2.0428739990000002</v>
          </cell>
        </row>
        <row r="209">
          <cell r="E209" t="str">
            <v>YG_toe_ccoi_2</v>
          </cell>
          <cell r="F209">
            <v>1.0946754059999999</v>
          </cell>
          <cell r="G209">
            <v>1.1050674069999999</v>
          </cell>
          <cell r="H209">
            <v>1.115693635</v>
          </cell>
          <cell r="I209">
            <v>1.127378923</v>
          </cell>
          <cell r="J209">
            <v>1.1418979680000001</v>
          </cell>
          <cell r="K209">
            <v>1.159242806</v>
          </cell>
          <cell r="L209">
            <v>1.178159183</v>
          </cell>
          <cell r="M209">
            <v>1.1724732760000001</v>
          </cell>
          <cell r="N209">
            <v>1.163809163</v>
          </cell>
          <cell r="O209">
            <v>1.1588943039999999</v>
          </cell>
          <cell r="P209">
            <v>1.1540212679999999</v>
          </cell>
          <cell r="Q209">
            <v>1.146412934</v>
          </cell>
          <cell r="R209">
            <v>1.1361086840000001</v>
          </cell>
          <cell r="S209">
            <v>1.123758153</v>
          </cell>
          <cell r="T209">
            <v>1.1102410149999999</v>
          </cell>
          <cell r="U209">
            <v>1.0960526390000001</v>
          </cell>
          <cell r="V209">
            <v>1.080261167</v>
          </cell>
          <cell r="W209">
            <v>1.064132453</v>
          </cell>
          <cell r="X209">
            <v>1.048070485</v>
          </cell>
          <cell r="Y209">
            <v>1.032206146</v>
          </cell>
          <cell r="Z209">
            <v>1.0165042369999999</v>
          </cell>
          <cell r="AA209">
            <v>1.001113487</v>
          </cell>
          <cell r="AB209">
            <v>0.98609455950000002</v>
          </cell>
          <cell r="AC209">
            <v>0.97140231320000003</v>
          </cell>
          <cell r="AD209">
            <v>0.95688909489999996</v>
          </cell>
          <cell r="AE209">
            <v>0.94217371650000004</v>
          </cell>
          <cell r="AF209">
            <v>0.92779346009999997</v>
          </cell>
          <cell r="AG209">
            <v>0.91346761089999995</v>
          </cell>
          <cell r="AH209">
            <v>0.89904002900000002</v>
          </cell>
          <cell r="AI209">
            <v>0.88413008689999995</v>
          </cell>
          <cell r="AJ209">
            <v>0.86824731320000004</v>
          </cell>
          <cell r="AK209">
            <v>0.85096310180000001</v>
          </cell>
          <cell r="AL209">
            <v>0.83192416499999999</v>
          </cell>
          <cell r="AM209">
            <v>0.81077170200000004</v>
          </cell>
          <cell r="AN209">
            <v>0.78711699619999997</v>
          </cell>
          <cell r="AO209">
            <v>0.7605219137</v>
          </cell>
        </row>
        <row r="212">
          <cell r="E212" t="str">
            <v>YG_toe_cfut_2</v>
          </cell>
          <cell r="F212">
            <v>42.288296580000001</v>
          </cell>
          <cell r="G212">
            <v>42.54865933</v>
          </cell>
          <cell r="H212">
            <v>42.810732649999999</v>
          </cell>
          <cell r="I212">
            <v>43.126445740000001</v>
          </cell>
          <cell r="J212">
            <v>43.566980770000001</v>
          </cell>
          <cell r="K212">
            <v>44.120174730000002</v>
          </cell>
          <cell r="L212">
            <v>44.745495519999999</v>
          </cell>
          <cell r="M212">
            <v>45.653468930000003</v>
          </cell>
          <cell r="N212">
            <v>46.595935310000002</v>
          </cell>
          <cell r="O212">
            <v>47.646002320000001</v>
          </cell>
          <cell r="P212">
            <v>48.738561679999997</v>
          </cell>
          <cell r="Q212">
            <v>49.83823108</v>
          </cell>
          <cell r="R212">
            <v>50.936084389999998</v>
          </cell>
          <cell r="S212">
            <v>52.034513330000003</v>
          </cell>
          <cell r="T212">
            <v>53.14451287</v>
          </cell>
          <cell r="U212">
            <v>54.273820260000001</v>
          </cell>
          <cell r="V212">
            <v>55.408992189999999</v>
          </cell>
          <cell r="W212">
            <v>56.571383240000003</v>
          </cell>
          <cell r="X212">
            <v>57.780071139999997</v>
          </cell>
          <cell r="Y212">
            <v>59.049331680000002</v>
          </cell>
          <cell r="Z212">
            <v>60.385466209999997</v>
          </cell>
          <cell r="AA212">
            <v>61.808267549999997</v>
          </cell>
          <cell r="AB212">
            <v>63.331085190000003</v>
          </cell>
          <cell r="AC212">
            <v>64.965548130000002</v>
          </cell>
          <cell r="AD212">
            <v>66.720959339999993</v>
          </cell>
          <cell r="AE212">
            <v>68.588491959999999</v>
          </cell>
          <cell r="AF212">
            <v>70.596914060000003</v>
          </cell>
          <cell r="AG212">
            <v>72.766762400000005</v>
          </cell>
          <cell r="AH212">
            <v>75.115225870000003</v>
          </cell>
          <cell r="AI212">
            <v>77.652695640000005</v>
          </cell>
          <cell r="AJ212">
            <v>80.38664867</v>
          </cell>
          <cell r="AK212">
            <v>83.329091320000003</v>
          </cell>
          <cell r="AL212">
            <v>86.499375029999996</v>
          </cell>
          <cell r="AM212">
            <v>89.923408600000002</v>
          </cell>
          <cell r="AN212">
            <v>93.638483030000003</v>
          </cell>
          <cell r="AO212">
            <v>97.701892279999996</v>
          </cell>
        </row>
        <row r="215">
          <cell r="E215" t="str">
            <v>YG_toe_cfuh_2</v>
          </cell>
          <cell r="F215">
            <v>7.921345187</v>
          </cell>
          <cell r="G215">
            <v>7.9811514880000001</v>
          </cell>
          <cell r="H215">
            <v>8.0433884219999996</v>
          </cell>
          <cell r="I215">
            <v>8.1057569570000005</v>
          </cell>
          <cell r="J215">
            <v>8.1890344010000007</v>
          </cell>
          <cell r="K215">
            <v>8.2891395879999994</v>
          </cell>
          <cell r="L215">
            <v>8.3917934459999994</v>
          </cell>
          <cell r="M215">
            <v>8.1269641200000002</v>
          </cell>
          <cell r="N215">
            <v>7.8488495919999997</v>
          </cell>
          <cell r="O215">
            <v>7.590039923</v>
          </cell>
          <cell r="P215">
            <v>7.3386408960000002</v>
          </cell>
          <cell r="Q215">
            <v>7.0891583679999997</v>
          </cell>
          <cell r="R215">
            <v>6.8374012449999997</v>
          </cell>
          <cell r="S215">
            <v>6.5829156290000004</v>
          </cell>
          <cell r="T215">
            <v>6.3273097040000001</v>
          </cell>
          <cell r="U215">
            <v>6.0715580190000003</v>
          </cell>
          <cell r="V215">
            <v>5.8156691150000004</v>
          </cell>
          <cell r="W215">
            <v>5.5620562800000002</v>
          </cell>
          <cell r="X215">
            <v>5.3114895449999997</v>
          </cell>
          <cell r="Y215">
            <v>5.0636996200000004</v>
          </cell>
          <cell r="Z215">
            <v>4.8169699350000004</v>
          </cell>
          <cell r="AA215">
            <v>4.5724850239999997</v>
          </cell>
          <cell r="AB215">
            <v>4.329253907</v>
          </cell>
          <cell r="AC215">
            <v>4.085989241</v>
          </cell>
          <cell r="AD215">
            <v>3.8412690180000002</v>
          </cell>
          <cell r="AE215">
            <v>3.5913706529999998</v>
          </cell>
          <cell r="AF215">
            <v>3.33776267</v>
          </cell>
          <cell r="AG215">
            <v>3.079219508</v>
          </cell>
          <cell r="AH215">
            <v>2.814231194</v>
          </cell>
          <cell r="AI215">
            <v>2.5407943300000002</v>
          </cell>
          <cell r="AJ215">
            <v>2.2567518600000001</v>
          </cell>
          <cell r="AK215">
            <v>1.9600779699999999</v>
          </cell>
          <cell r="AL215">
            <v>1.64886735</v>
          </cell>
          <cell r="AM215">
            <v>1.321191005</v>
          </cell>
          <cell r="AN215">
            <v>0.97497088799999998</v>
          </cell>
          <cell r="AO215">
            <v>0.60782078630000003</v>
          </cell>
        </row>
        <row r="217">
          <cell r="E217" t="str">
            <v>YG_toe_cgas_2</v>
          </cell>
          <cell r="F217">
            <v>6.6386592799999997</v>
          </cell>
          <cell r="G217">
            <v>6.5227854140000003</v>
          </cell>
          <cell r="H217">
            <v>6.4213881370000001</v>
          </cell>
          <cell r="I217">
            <v>6.3202532060000003</v>
          </cell>
          <cell r="J217">
            <v>6.2588779150000002</v>
          </cell>
          <cell r="K217">
            <v>6.2034837109999996</v>
          </cell>
          <cell r="L217">
            <v>6.1262466409999998</v>
          </cell>
          <cell r="M217">
            <v>5.9181607300000003</v>
          </cell>
          <cell r="N217">
            <v>5.7892196719999998</v>
          </cell>
          <cell r="O217">
            <v>5.6783459660000002</v>
          </cell>
          <cell r="P217">
            <v>5.6045656490000004</v>
          </cell>
          <cell r="Q217">
            <v>5.5897221000000004</v>
          </cell>
          <cell r="R217">
            <v>5.6029806520000003</v>
          </cell>
          <cell r="S217">
            <v>5.6263334570000003</v>
          </cell>
          <cell r="T217">
            <v>5.647900098</v>
          </cell>
          <cell r="U217">
            <v>5.6622355640000004</v>
          </cell>
          <cell r="V217">
            <v>5.6662953890000001</v>
          </cell>
          <cell r="W217">
            <v>5.6572467309999999</v>
          </cell>
          <cell r="X217">
            <v>5.6333783200000003</v>
          </cell>
          <cell r="Y217">
            <v>5.5942658600000001</v>
          </cell>
          <cell r="Z217">
            <v>5.5389083230000002</v>
          </cell>
          <cell r="AA217">
            <v>5.4680122679999998</v>
          </cell>
          <cell r="AB217">
            <v>5.3783878019999998</v>
          </cell>
          <cell r="AC217">
            <v>5.2687018319999996</v>
          </cell>
          <cell r="AD217">
            <v>5.138773756</v>
          </cell>
          <cell r="AE217">
            <v>4.9866223950000004</v>
          </cell>
          <cell r="AF217">
            <v>4.8135849019999997</v>
          </cell>
          <cell r="AG217">
            <v>4.6167034769999997</v>
          </cell>
          <cell r="AH217">
            <v>4.3945717589999997</v>
          </cell>
          <cell r="AI217">
            <v>4.1476517550000001</v>
          </cell>
          <cell r="AJ217">
            <v>3.8768283229999998</v>
          </cell>
          <cell r="AK217">
            <v>3.581673908</v>
          </cell>
          <cell r="AL217">
            <v>3.260307649</v>
          </cell>
          <cell r="AM217">
            <v>2.9101540199999998</v>
          </cell>
          <cell r="AN217">
            <v>2.5275852300000001</v>
          </cell>
          <cell r="AO217">
            <v>2.1073037000000001</v>
          </cell>
        </row>
        <row r="223">
          <cell r="E223" t="str">
            <v>YG_toe_cele_2</v>
          </cell>
          <cell r="F223">
            <v>57.5470325</v>
          </cell>
          <cell r="G223">
            <v>58.579871850000004</v>
          </cell>
          <cell r="H223">
            <v>59.61858118</v>
          </cell>
          <cell r="I223">
            <v>60.747890910000002</v>
          </cell>
          <cell r="J223">
            <v>61.825270539999998</v>
          </cell>
          <cell r="K223">
            <v>62.928380220000001</v>
          </cell>
          <cell r="L223">
            <v>64.089645149999996</v>
          </cell>
          <cell r="M223">
            <v>66.750840629999999</v>
          </cell>
          <cell r="N223">
            <v>69.662521470000002</v>
          </cell>
          <cell r="O223">
            <v>73.047892480000002</v>
          </cell>
          <cell r="P223">
            <v>76.514796579999995</v>
          </cell>
          <cell r="Q223">
            <v>79.575011790000005</v>
          </cell>
          <cell r="R223">
            <v>82.353640859999999</v>
          </cell>
          <cell r="S223">
            <v>84.987430540000005</v>
          </cell>
          <cell r="T223">
            <v>87.615516850000006</v>
          </cell>
          <cell r="U223">
            <v>90.329806180000006</v>
          </cell>
          <cell r="V223">
            <v>93.136396590000004</v>
          </cell>
          <cell r="W223">
            <v>96.200484750000001</v>
          </cell>
          <cell r="X223">
            <v>99.571243199999998</v>
          </cell>
          <cell r="Y223">
            <v>103.29974489999999</v>
          </cell>
          <cell r="Z223">
            <v>107.4252717</v>
          </cell>
          <cell r="AA223">
            <v>112.0477824</v>
          </cell>
          <cell r="AB223">
            <v>117.2469354</v>
          </cell>
          <cell r="AC223">
            <v>123.09775209999999</v>
          </cell>
          <cell r="AD223">
            <v>129.6748747</v>
          </cell>
          <cell r="AE223">
            <v>136.99677740000001</v>
          </cell>
          <cell r="AF223">
            <v>145.31100839999999</v>
          </cell>
          <cell r="AG223">
            <v>154.75002599999999</v>
          </cell>
          <cell r="AH223">
            <v>165.47620839999999</v>
          </cell>
          <cell r="AI223">
            <v>177.64035659999999</v>
          </cell>
          <cell r="AJ223">
            <v>191.41090249999999</v>
          </cell>
          <cell r="AK223">
            <v>207.02367240000001</v>
          </cell>
          <cell r="AL223">
            <v>224.8011486</v>
          </cell>
          <cell r="AM223">
            <v>245.1458562</v>
          </cell>
          <cell r="AN223">
            <v>268.57890620000001</v>
          </cell>
          <cell r="AO223">
            <v>295.79340860000002</v>
          </cell>
        </row>
        <row r="233">
          <cell r="E233" t="str">
            <v>YG_toe_chea_2</v>
          </cell>
          <cell r="F233">
            <v>5.7001631780000004</v>
          </cell>
          <cell r="G233">
            <v>5.7648837410000002</v>
          </cell>
          <cell r="H233">
            <v>5.8307450080000001</v>
          </cell>
          <cell r="I233">
            <v>5.8943501969999996</v>
          </cell>
          <cell r="J233">
            <v>5.9615710670000004</v>
          </cell>
          <cell r="K233">
            <v>6.0396302559999997</v>
          </cell>
          <cell r="L233">
            <v>6.1147977439999996</v>
          </cell>
          <cell r="M233">
            <v>6.1522181920000003</v>
          </cell>
          <cell r="N233">
            <v>6.151481779</v>
          </cell>
          <cell r="O233">
            <v>6.1479906250000003</v>
          </cell>
          <cell r="P233">
            <v>6.1470882480000002</v>
          </cell>
          <cell r="Q233">
            <v>6.1381217000000001</v>
          </cell>
          <cell r="R233">
            <v>6.1326687099999999</v>
          </cell>
          <cell r="S233">
            <v>6.1334877670000001</v>
          </cell>
          <cell r="T233">
            <v>6.1412118830000004</v>
          </cell>
          <cell r="U233">
            <v>6.1552046169999999</v>
          </cell>
          <cell r="V233">
            <v>6.1778336429999996</v>
          </cell>
          <cell r="W233">
            <v>6.2063148989999997</v>
          </cell>
          <cell r="X233">
            <v>6.2405416679999997</v>
          </cell>
          <cell r="Y233">
            <v>6.2812701049999999</v>
          </cell>
          <cell r="Z233">
            <v>6.3251370749999998</v>
          </cell>
          <cell r="AA233">
            <v>6.380404178</v>
          </cell>
          <cell r="AB233">
            <v>6.4468226959999999</v>
          </cell>
          <cell r="AC233">
            <v>6.5246330700000001</v>
          </cell>
          <cell r="AD233">
            <v>6.6141288520000003</v>
          </cell>
          <cell r="AE233">
            <v>6.7033517549999999</v>
          </cell>
          <cell r="AF233">
            <v>6.8071912770000003</v>
          </cell>
          <cell r="AG233">
            <v>6.9262463519999997</v>
          </cell>
          <cell r="AH233">
            <v>7.0608562109999999</v>
          </cell>
          <cell r="AI233">
            <v>7.2105776549999998</v>
          </cell>
          <cell r="AJ233">
            <v>7.3747403790000003</v>
          </cell>
          <cell r="AK233">
            <v>7.5530321799999998</v>
          </cell>
          <cell r="AL233">
            <v>7.7452374019999999</v>
          </cell>
          <cell r="AM233">
            <v>7.951645504</v>
          </cell>
          <cell r="AN233">
            <v>8.1730073959999991</v>
          </cell>
          <cell r="AO233">
            <v>8.4106647999999993</v>
          </cell>
        </row>
        <row r="235">
          <cell r="E235" t="str">
            <v>YG_toe_cbio_2</v>
          </cell>
          <cell r="F235">
            <v>11.16413483</v>
          </cell>
          <cell r="G235">
            <v>11.17232259</v>
          </cell>
          <cell r="H235">
            <v>11.187110179999999</v>
          </cell>
          <cell r="I235">
            <v>11.20148272</v>
          </cell>
          <cell r="J235">
            <v>11.25614294</v>
          </cell>
          <cell r="K235">
            <v>11.33480389</v>
          </cell>
          <cell r="L235">
            <v>11.427494190000001</v>
          </cell>
          <cell r="M235">
            <v>11.41159779</v>
          </cell>
          <cell r="N235">
            <v>11.41629798</v>
          </cell>
          <cell r="O235">
            <v>11.4666871</v>
          </cell>
          <cell r="P235">
            <v>11.540218940000001</v>
          </cell>
          <cell r="Q235">
            <v>11.627434360000001</v>
          </cell>
          <cell r="R235">
            <v>11.712511940000001</v>
          </cell>
          <cell r="S235">
            <v>11.793644970000001</v>
          </cell>
          <cell r="T235">
            <v>11.874929359999999</v>
          </cell>
          <cell r="U235">
            <v>11.95996487</v>
          </cell>
          <cell r="V235">
            <v>12.03062225</v>
          </cell>
          <cell r="W235">
            <v>12.106796409999999</v>
          </cell>
          <cell r="X235">
            <v>12.195803590000001</v>
          </cell>
          <cell r="Y235">
            <v>12.301983359999999</v>
          </cell>
          <cell r="Z235">
            <v>12.42467987</v>
          </cell>
          <cell r="AA235">
            <v>12.572955869999999</v>
          </cell>
          <cell r="AB235">
            <v>12.74922675</v>
          </cell>
          <cell r="AC235">
            <v>12.95564212</v>
          </cell>
          <cell r="AD235">
            <v>13.19421305</v>
          </cell>
          <cell r="AE235">
            <v>13.45608769</v>
          </cell>
          <cell r="AF235">
            <v>13.75976535</v>
          </cell>
          <cell r="AG235">
            <v>14.108276549999999</v>
          </cell>
          <cell r="AH235">
            <v>14.505945499999999</v>
          </cell>
          <cell r="AI235">
            <v>14.955727850000001</v>
          </cell>
          <cell r="AJ235">
            <v>15.4605289</v>
          </cell>
          <cell r="AK235">
            <v>16.025194679999998</v>
          </cell>
          <cell r="AL235">
            <v>16.657061250000002</v>
          </cell>
          <cell r="AM235">
            <v>17.365741329999999</v>
          </cell>
          <cell r="AN235">
            <v>18.16397138</v>
          </cell>
          <cell r="AO235">
            <v>19.06860146</v>
          </cell>
        </row>
        <row r="238">
          <cell r="E238" t="str">
            <v>YG_toe_cote_2</v>
          </cell>
          <cell r="F238">
            <v>13.83758336</v>
          </cell>
          <cell r="G238">
            <v>14.17080024</v>
          </cell>
          <cell r="H238">
            <v>14.526627250000001</v>
          </cell>
          <cell r="I238">
            <v>14.89567085</v>
          </cell>
          <cell r="J238">
            <v>15.29143129</v>
          </cell>
          <cell r="K238">
            <v>15.71535871</v>
          </cell>
          <cell r="L238">
            <v>16.162742550000001</v>
          </cell>
          <cell r="M238">
            <v>16.50250114</v>
          </cell>
          <cell r="N238">
            <v>16.83025164</v>
          </cell>
          <cell r="O238">
            <v>17.32316565</v>
          </cell>
          <cell r="P238">
            <v>17.788613519999998</v>
          </cell>
          <cell r="Q238">
            <v>18.123665979999998</v>
          </cell>
          <cell r="R238">
            <v>18.365484160000001</v>
          </cell>
          <cell r="S238">
            <v>18.555213439999999</v>
          </cell>
          <cell r="T238">
            <v>18.734952570000001</v>
          </cell>
          <cell r="U238">
            <v>18.925348169999999</v>
          </cell>
          <cell r="V238">
            <v>19.055845850000001</v>
          </cell>
          <cell r="W238">
            <v>19.207823340000001</v>
          </cell>
          <cell r="X238">
            <v>19.390877369999998</v>
          </cell>
          <cell r="Y238">
            <v>19.609011930000001</v>
          </cell>
          <cell r="Z238">
            <v>19.864067970000001</v>
          </cell>
          <cell r="AA238">
            <v>20.161244929999999</v>
          </cell>
          <cell r="AB238">
            <v>20.505341009999999</v>
          </cell>
          <cell r="AC238">
            <v>20.898199309999999</v>
          </cell>
          <cell r="AD238">
            <v>21.338214369999999</v>
          </cell>
          <cell r="AE238">
            <v>21.820316999999999</v>
          </cell>
          <cell r="AF238">
            <v>22.379028730000002</v>
          </cell>
          <cell r="AG238">
            <v>22.99613965</v>
          </cell>
          <cell r="AH238">
            <v>23.672930220000001</v>
          </cell>
          <cell r="AI238">
            <v>24.4008897</v>
          </cell>
          <cell r="AJ238">
            <v>25.168562980000001</v>
          </cell>
          <cell r="AK238">
            <v>25.968652209999998</v>
          </cell>
          <cell r="AL238">
            <v>26.797916130000001</v>
          </cell>
          <cell r="AM238">
            <v>27.653835740000002</v>
          </cell>
          <cell r="AN238">
            <v>28.534449800000001</v>
          </cell>
          <cell r="AO238">
            <v>29.438557370000002</v>
          </cell>
        </row>
        <row r="241">
          <cell r="E241" t="str">
            <v>YG_toe_0</v>
          </cell>
          <cell r="F241">
            <v>148.56082459999999</v>
          </cell>
          <cell r="G241">
            <v>150.23110449999999</v>
          </cell>
          <cell r="H241">
            <v>151.95801510000001</v>
          </cell>
          <cell r="I241">
            <v>153.8358169</v>
          </cell>
          <cell r="J241">
            <v>155.9358172</v>
          </cell>
          <cell r="K241">
            <v>158.27513579999999</v>
          </cell>
          <cell r="L241">
            <v>160.76631370000001</v>
          </cell>
          <cell r="M241">
            <v>163.3566146</v>
          </cell>
          <cell r="N241">
            <v>166.0078475</v>
          </cell>
          <cell r="O241">
            <v>168.70072500000001</v>
          </cell>
          <cell r="P241">
            <v>171.36709740000001</v>
          </cell>
          <cell r="Q241">
            <v>173.59150030000001</v>
          </cell>
          <cell r="R241">
            <v>175.46617040000001</v>
          </cell>
          <cell r="S241">
            <v>177.07619829999999</v>
          </cell>
          <cell r="T241">
            <v>178.519182</v>
          </cell>
          <cell r="U241">
            <v>179.88549850000001</v>
          </cell>
          <cell r="V241">
            <v>181.27750030000001</v>
          </cell>
          <cell r="W241">
            <v>182.7952244</v>
          </cell>
          <cell r="X241">
            <v>184.51010410000001</v>
          </cell>
          <cell r="Y241">
            <v>186.45643250000001</v>
          </cell>
          <cell r="Z241">
            <v>188.6244471</v>
          </cell>
          <cell r="AA241">
            <v>191.08369519999999</v>
          </cell>
          <cell r="AB241">
            <v>193.85173649999999</v>
          </cell>
          <cell r="AC241">
            <v>196.93976019999999</v>
          </cell>
          <cell r="AD241">
            <v>200.34539459999999</v>
          </cell>
          <cell r="AE241">
            <v>203.9694901</v>
          </cell>
          <cell r="AF241">
            <v>207.9128149</v>
          </cell>
          <cell r="AG241">
            <v>212.18854339999999</v>
          </cell>
          <cell r="AH241">
            <v>216.79317560000001</v>
          </cell>
          <cell r="AI241">
            <v>221.6777889</v>
          </cell>
          <cell r="AJ241">
            <v>226.77293660000001</v>
          </cell>
          <cell r="AK241">
            <v>232.01644630000001</v>
          </cell>
          <cell r="AL241">
            <v>237.35715440000001</v>
          </cell>
          <cell r="AM241">
            <v>242.7490301</v>
          </cell>
          <cell r="AN241">
            <v>248.1483351</v>
          </cell>
          <cell r="AO241">
            <v>253.51238839999999</v>
          </cell>
        </row>
        <row r="242">
          <cell r="E242" t="str">
            <v>YG_toe_ccoa_0</v>
          </cell>
          <cell r="F242">
            <v>2.3689359379999999</v>
          </cell>
          <cell r="G242">
            <v>2.385564059</v>
          </cell>
          <cell r="H242">
            <v>2.403750236</v>
          </cell>
          <cell r="I242">
            <v>2.416588956</v>
          </cell>
          <cell r="J242">
            <v>2.4446118989999999</v>
          </cell>
          <cell r="K242">
            <v>2.4849234189999998</v>
          </cell>
          <cell r="L242">
            <v>2.5299407660000002</v>
          </cell>
          <cell r="M242">
            <v>2.5751061649999998</v>
          </cell>
          <cell r="N242">
            <v>2.6198690390000001</v>
          </cell>
          <cell r="O242">
            <v>2.664388507</v>
          </cell>
          <cell r="P242">
            <v>2.7064529429999999</v>
          </cell>
          <cell r="Q242">
            <v>2.73770844</v>
          </cell>
          <cell r="R242">
            <v>2.760917418</v>
          </cell>
          <cell r="S242">
            <v>2.7790304950000002</v>
          </cell>
          <cell r="T242">
            <v>2.794785005</v>
          </cell>
          <cell r="U242">
            <v>2.810296873</v>
          </cell>
          <cell r="V242">
            <v>2.8312591189999998</v>
          </cell>
          <cell r="W242">
            <v>2.859631518</v>
          </cell>
          <cell r="X242">
            <v>2.8959052669999998</v>
          </cell>
          <cell r="Y242">
            <v>2.9397291499999998</v>
          </cell>
          <cell r="Z242">
            <v>2.9905278530000001</v>
          </cell>
          <cell r="AA242">
            <v>3.0480493320000002</v>
          </cell>
          <cell r="AB242">
            <v>3.112332334</v>
          </cell>
          <cell r="AC242">
            <v>3.1833156859999998</v>
          </cell>
          <cell r="AD242">
            <v>3.260643586</v>
          </cell>
          <cell r="AE242">
            <v>3.3436328190000002</v>
          </cell>
          <cell r="AF242">
            <v>3.4324544229999998</v>
          </cell>
          <cell r="AG242">
            <v>3.5275865639999999</v>
          </cell>
          <cell r="AH242">
            <v>3.6291069199999999</v>
          </cell>
          <cell r="AI242">
            <v>3.736042994</v>
          </cell>
          <cell r="AJ242">
            <v>3.8469590409999999</v>
          </cell>
          <cell r="AK242">
            <v>3.9606748110000001</v>
          </cell>
          <cell r="AL242">
            <v>4.0763667469999998</v>
          </cell>
          <cell r="AM242">
            <v>4.1933451420000001</v>
          </cell>
          <cell r="AN242">
            <v>4.3109364189999999</v>
          </cell>
          <cell r="AO242">
            <v>4.4284291720000004</v>
          </cell>
        </row>
        <row r="245">
          <cell r="E245" t="str">
            <v>YG_toe_ccoi_0</v>
          </cell>
          <cell r="F245">
            <v>1.0946754030000001</v>
          </cell>
          <cell r="G245">
            <v>1.1050674030000001</v>
          </cell>
          <cell r="H245">
            <v>1.1156936310000001</v>
          </cell>
          <cell r="I245">
            <v>1.1273789190000001</v>
          </cell>
          <cell r="J245">
            <v>1.1418979650000001</v>
          </cell>
          <cell r="K245">
            <v>1.1592428020000001</v>
          </cell>
          <cell r="L245">
            <v>1.17815918</v>
          </cell>
          <cell r="M245">
            <v>1.197776497</v>
          </cell>
          <cell r="N245">
            <v>1.217724987</v>
          </cell>
          <cell r="O245">
            <v>1.2378948910000001</v>
          </cell>
          <cell r="P245">
            <v>1.2577078880000001</v>
          </cell>
          <cell r="Q245">
            <v>1.2745566770000001</v>
          </cell>
          <cell r="R245">
            <v>1.288830712</v>
          </cell>
          <cell r="S245">
            <v>1.301185338</v>
          </cell>
          <cell r="T245">
            <v>1.312313217</v>
          </cell>
          <cell r="U245">
            <v>1.3228188890000001</v>
          </cell>
          <cell r="V245">
            <v>1.3337756679999999</v>
          </cell>
          <cell r="W245">
            <v>1.3459513110000001</v>
          </cell>
          <cell r="X245">
            <v>1.3597405760000001</v>
          </cell>
          <cell r="Y245">
            <v>1.3752593259999999</v>
          </cell>
          <cell r="Z245">
            <v>1.3924263720000001</v>
          </cell>
          <cell r="AA245">
            <v>1.411436076</v>
          </cell>
          <cell r="AB245">
            <v>1.432409316</v>
          </cell>
          <cell r="AC245">
            <v>1.4554198270000001</v>
          </cell>
          <cell r="AD245">
            <v>1.4804462460000001</v>
          </cell>
          <cell r="AE245">
            <v>1.5071096230000001</v>
          </cell>
          <cell r="AF245">
            <v>1.5357329930000001</v>
          </cell>
          <cell r="AG245">
            <v>1.566519665</v>
          </cell>
          <cell r="AH245">
            <v>1.5995314380000001</v>
          </cell>
          <cell r="AI245">
            <v>1.6345155309999999</v>
          </cell>
          <cell r="AJ245">
            <v>1.671046019</v>
          </cell>
          <cell r="AK245">
            <v>1.708729438</v>
          </cell>
          <cell r="AL245">
            <v>1.74724722</v>
          </cell>
          <cell r="AM245">
            <v>1.786308239</v>
          </cell>
          <cell r="AN245">
            <v>1.825623057</v>
          </cell>
          <cell r="AO245">
            <v>1.8648919020000001</v>
          </cell>
        </row>
        <row r="248">
          <cell r="E248" t="str">
            <v>YG_toe_cfut_0</v>
          </cell>
          <cell r="F248">
            <v>42.28829657</v>
          </cell>
          <cell r="G248">
            <v>42.54865933</v>
          </cell>
          <cell r="H248">
            <v>42.810732639999998</v>
          </cell>
          <cell r="I248">
            <v>43.12644573</v>
          </cell>
          <cell r="J248">
            <v>43.56698076</v>
          </cell>
          <cell r="K248">
            <v>44.120174710000001</v>
          </cell>
          <cell r="L248">
            <v>44.745495499999997</v>
          </cell>
          <cell r="M248">
            <v>45.405224650000001</v>
          </cell>
          <cell r="N248">
            <v>46.081889089999997</v>
          </cell>
          <cell r="O248">
            <v>46.767753159999998</v>
          </cell>
          <cell r="P248">
            <v>47.450421990000002</v>
          </cell>
          <cell r="Q248">
            <v>48.061299230000003</v>
          </cell>
          <cell r="R248">
            <v>48.605979320000003</v>
          </cell>
          <cell r="S248">
            <v>49.094404019999999</v>
          </cell>
          <cell r="T248">
            <v>49.539836020000003</v>
          </cell>
          <cell r="U248">
            <v>49.95593135</v>
          </cell>
          <cell r="V248">
            <v>50.370538570000001</v>
          </cell>
          <cell r="W248">
            <v>50.809029559999999</v>
          </cell>
          <cell r="X248">
            <v>51.284967999999999</v>
          </cell>
          <cell r="Y248">
            <v>51.803757519999998</v>
          </cell>
          <cell r="Z248">
            <v>52.362505329999998</v>
          </cell>
          <cell r="AA248">
            <v>52.971068629999998</v>
          </cell>
          <cell r="AB248">
            <v>53.633131229999996</v>
          </cell>
          <cell r="AC248">
            <v>54.351880909999998</v>
          </cell>
          <cell r="AD248">
            <v>55.128416209999997</v>
          </cell>
          <cell r="AE248">
            <v>55.946980740000001</v>
          </cell>
          <cell r="AF248">
            <v>56.822975630000002</v>
          </cell>
          <cell r="AG248">
            <v>57.760894039999997</v>
          </cell>
          <cell r="AH248">
            <v>58.762807180000003</v>
          </cell>
          <cell r="AI248">
            <v>59.823477500000003</v>
          </cell>
          <cell r="AJ248">
            <v>60.933118360000002</v>
          </cell>
          <cell r="AK248">
            <v>62.081569459999997</v>
          </cell>
          <cell r="AL248">
            <v>63.259390420000003</v>
          </cell>
          <cell r="AM248">
            <v>64.45706414</v>
          </cell>
          <cell r="AN248">
            <v>65.664695359999996</v>
          </cell>
          <cell r="AO248">
            <v>66.871979229999994</v>
          </cell>
        </row>
        <row r="251">
          <cell r="E251" t="str">
            <v>YG_toe_cfuh_0</v>
          </cell>
          <cell r="F251">
            <v>7.9213451880000001</v>
          </cell>
          <cell r="G251">
            <v>7.9811514880000001</v>
          </cell>
          <cell r="H251">
            <v>8.0433884219999996</v>
          </cell>
          <cell r="I251">
            <v>8.1057569560000005</v>
          </cell>
          <cell r="J251">
            <v>8.1890344000000006</v>
          </cell>
          <cell r="K251">
            <v>8.2891395869999993</v>
          </cell>
          <cell r="L251">
            <v>8.3917934439999993</v>
          </cell>
          <cell r="M251">
            <v>8.4913037350000007</v>
          </cell>
          <cell r="N251">
            <v>8.5882569600000007</v>
          </cell>
          <cell r="O251">
            <v>8.6841350130000006</v>
          </cell>
          <cell r="P251">
            <v>8.7794057090000006</v>
          </cell>
          <cell r="Q251">
            <v>8.8567140260000006</v>
          </cell>
          <cell r="R251">
            <v>8.9191090929999994</v>
          </cell>
          <cell r="S251">
            <v>8.9699536020000004</v>
          </cell>
          <cell r="T251">
            <v>9.0129193720000007</v>
          </cell>
          <cell r="U251">
            <v>9.0514755319999995</v>
          </cell>
          <cell r="V251">
            <v>9.0970006479999999</v>
          </cell>
          <cell r="W251">
            <v>9.1538251469999992</v>
          </cell>
          <cell r="X251">
            <v>9.2229704829999992</v>
          </cell>
          <cell r="Y251">
            <v>9.3042695089999992</v>
          </cell>
          <cell r="Z251">
            <v>9.3953225699999994</v>
          </cell>
          <cell r="AA251">
            <v>9.4996183700000003</v>
          </cell>
          <cell r="AB251">
            <v>9.6169797290000005</v>
          </cell>
          <cell r="AC251">
            <v>9.7476726150000008</v>
          </cell>
          <cell r="AD251">
            <v>9.8916686679999994</v>
          </cell>
          <cell r="AE251">
            <v>10.042704580000001</v>
          </cell>
          <cell r="AF251">
            <v>10.20772232</v>
          </cell>
          <cell r="AG251">
            <v>10.387347650000001</v>
          </cell>
          <cell r="AH251">
            <v>10.581825609999999</v>
          </cell>
          <cell r="AI251">
            <v>10.789770430000001</v>
          </cell>
          <cell r="AJ251">
            <v>11.00877858</v>
          </cell>
          <cell r="AK251">
            <v>11.23644767</v>
          </cell>
          <cell r="AL251">
            <v>11.47050754</v>
          </cell>
          <cell r="AM251">
            <v>11.70877686</v>
          </cell>
          <cell r="AN251">
            <v>11.949168670000001</v>
          </cell>
          <cell r="AO251">
            <v>12.1896065</v>
          </cell>
        </row>
        <row r="253">
          <cell r="E253" t="str">
            <v>YG_toe_cgas_0</v>
          </cell>
          <cell r="F253">
            <v>6.6386576159999997</v>
          </cell>
          <cell r="G253">
            <v>6.5227838069999997</v>
          </cell>
          <cell r="H253">
            <v>6.421386569</v>
          </cell>
          <cell r="I253">
            <v>6.3202516710000003</v>
          </cell>
          <cell r="J253">
            <v>6.2588763900000002</v>
          </cell>
          <cell r="K253">
            <v>6.2034821899999999</v>
          </cell>
          <cell r="L253">
            <v>6.1262451269999998</v>
          </cell>
          <cell r="M253">
            <v>6.0475107670000003</v>
          </cell>
          <cell r="N253">
            <v>5.9780897059999996</v>
          </cell>
          <cell r="O253">
            <v>5.9197500129999998</v>
          </cell>
          <cell r="P253">
            <v>5.880083495</v>
          </cell>
          <cell r="Q253">
            <v>5.8770997659999997</v>
          </cell>
          <cell r="R253">
            <v>5.9025768330000004</v>
          </cell>
          <cell r="S253">
            <v>5.9488175329999997</v>
          </cell>
          <cell r="T253">
            <v>6.0078217970000001</v>
          </cell>
          <cell r="U253">
            <v>6.0726582599999999</v>
          </cell>
          <cell r="V253">
            <v>6.1439686160000004</v>
          </cell>
          <cell r="W253">
            <v>6.2037564669999998</v>
          </cell>
          <cell r="X253">
            <v>6.2470753009999997</v>
          </cell>
          <cell r="Y253">
            <v>6.2717184269999997</v>
          </cell>
          <cell r="Z253">
            <v>6.2757247649999996</v>
          </cell>
          <cell r="AA253">
            <v>6.2603778500000002</v>
          </cell>
          <cell r="AB253">
            <v>6.2249996379999999</v>
          </cell>
          <cell r="AC253">
            <v>6.1695112559999998</v>
          </cell>
          <cell r="AD253">
            <v>6.0946249010000004</v>
          </cell>
          <cell r="AE253">
            <v>5.9992632090000004</v>
          </cell>
          <cell r="AF253">
            <v>5.8864243869999999</v>
          </cell>
          <cell r="AG253">
            <v>5.7556302500000003</v>
          </cell>
          <cell r="AH253">
            <v>5.6070978130000002</v>
          </cell>
          <cell r="AI253">
            <v>5.4437993950000001</v>
          </cell>
          <cell r="AJ253">
            <v>5.2698809029999998</v>
          </cell>
          <cell r="AK253">
            <v>5.0889386620000003</v>
          </cell>
          <cell r="AL253">
            <v>4.9032760079999997</v>
          </cell>
          <cell r="AM253">
            <v>4.7151909959999996</v>
          </cell>
          <cell r="AN253">
            <v>4.5270943519999998</v>
          </cell>
          <cell r="AO253">
            <v>4.3414947650000002</v>
          </cell>
        </row>
        <row r="259">
          <cell r="E259" t="str">
            <v>YG_toe_cele_0</v>
          </cell>
          <cell r="F259">
            <v>57.547032489999999</v>
          </cell>
          <cell r="G259">
            <v>58.579871840000003</v>
          </cell>
          <cell r="H259">
            <v>59.618581159999998</v>
          </cell>
          <cell r="I259">
            <v>60.747890890000001</v>
          </cell>
          <cell r="J259">
            <v>61.825270519999997</v>
          </cell>
          <cell r="K259">
            <v>62.92838021</v>
          </cell>
          <cell r="L259">
            <v>64.089645140000002</v>
          </cell>
          <cell r="M259">
            <v>65.30424223</v>
          </cell>
          <cell r="N259">
            <v>66.547481180000005</v>
          </cell>
          <cell r="O259">
            <v>67.805765460000003</v>
          </cell>
          <cell r="P259">
            <v>69.035064790000007</v>
          </cell>
          <cell r="Q259">
            <v>70.022052590000001</v>
          </cell>
          <cell r="R259">
            <v>70.815913019999996</v>
          </cell>
          <cell r="S259">
            <v>71.46296341</v>
          </cell>
          <cell r="T259">
            <v>72.019131639999998</v>
          </cell>
          <cell r="U259">
            <v>72.537583769999998</v>
          </cell>
          <cell r="V259">
            <v>73.045948210000006</v>
          </cell>
          <cell r="W259">
            <v>73.602990259999999</v>
          </cell>
          <cell r="X259">
            <v>74.255273090000003</v>
          </cell>
          <cell r="Y259">
            <v>75.029884179999996</v>
          </cell>
          <cell r="Z259">
            <v>75.931882020000003</v>
          </cell>
          <cell r="AA259">
            <v>76.99756404</v>
          </cell>
          <cell r="AB259">
            <v>78.238592240000003</v>
          </cell>
          <cell r="AC259">
            <v>79.661652880000005</v>
          </cell>
          <cell r="AD259">
            <v>81.265827939999994</v>
          </cell>
          <cell r="AE259">
            <v>83.006750499999995</v>
          </cell>
          <cell r="AF259">
            <v>84.927465400000003</v>
          </cell>
          <cell r="AG259">
            <v>87.030995180000005</v>
          </cell>
          <cell r="AH259">
            <v>89.311771710000002</v>
          </cell>
          <cell r="AI259">
            <v>91.739338889999999</v>
          </cell>
          <cell r="AJ259">
            <v>94.272704020000006</v>
          </cell>
          <cell r="AK259">
            <v>96.875279770000006</v>
          </cell>
          <cell r="AL259">
            <v>99.517502629999996</v>
          </cell>
          <cell r="AM259">
            <v>102.1733217</v>
          </cell>
          <cell r="AN259">
            <v>104.8187581</v>
          </cell>
          <cell r="AO259">
            <v>107.4313471</v>
          </cell>
        </row>
        <row r="269">
          <cell r="E269" t="str">
            <v>YG_toe_chea_0</v>
          </cell>
          <cell r="F269">
            <v>5.7001631799999997</v>
          </cell>
          <cell r="G269">
            <v>5.764883749</v>
          </cell>
          <cell r="H269">
            <v>5.8307450220000003</v>
          </cell>
          <cell r="I269">
            <v>5.8943502179999996</v>
          </cell>
          <cell r="J269">
            <v>5.9615710929999999</v>
          </cell>
          <cell r="K269">
            <v>6.0396302850000003</v>
          </cell>
          <cell r="L269">
            <v>6.1147977750000004</v>
          </cell>
          <cell r="M269">
            <v>6.1865335090000002</v>
          </cell>
          <cell r="N269">
            <v>6.2553450010000002</v>
          </cell>
          <cell r="O269">
            <v>6.3224477319999997</v>
          </cell>
          <cell r="P269">
            <v>6.3930927869999996</v>
          </cell>
          <cell r="Q269">
            <v>6.448015957</v>
          </cell>
          <cell r="R269">
            <v>6.491500437</v>
          </cell>
          <cell r="S269">
            <v>6.5268366259999997</v>
          </cell>
          <cell r="T269">
            <v>6.5571205929999996</v>
          </cell>
          <cell r="U269">
            <v>6.5850290999999999</v>
          </cell>
          <cell r="V269">
            <v>6.6207291809999997</v>
          </cell>
          <cell r="W269">
            <v>6.6663703769999998</v>
          </cell>
          <cell r="X269">
            <v>6.7215295099999999</v>
          </cell>
          <cell r="Y269">
            <v>6.7851738429999999</v>
          </cell>
          <cell r="Z269">
            <v>6.8524653139999998</v>
          </cell>
          <cell r="AA269">
            <v>6.9307632799999999</v>
          </cell>
          <cell r="AB269">
            <v>7.0190365569999997</v>
          </cell>
          <cell r="AC269">
            <v>7.1169213090000003</v>
          </cell>
          <cell r="AD269">
            <v>7.2240962929999997</v>
          </cell>
          <cell r="AE269">
            <v>7.327828094</v>
          </cell>
          <cell r="AF269">
            <v>7.4423065199999998</v>
          </cell>
          <cell r="AG269">
            <v>7.5671092160000004</v>
          </cell>
          <cell r="AH269">
            <v>7.7018491119999997</v>
          </cell>
          <cell r="AI269">
            <v>7.8450830060000003</v>
          </cell>
          <cell r="AJ269">
            <v>7.9948233130000004</v>
          </cell>
          <cell r="AK269">
            <v>8.1492026739999996</v>
          </cell>
          <cell r="AL269">
            <v>8.3066251090000005</v>
          </cell>
          <cell r="AM269">
            <v>8.4656185389999994</v>
          </cell>
          <cell r="AN269">
            <v>8.6247674869999997</v>
          </cell>
          <cell r="AO269">
            <v>8.7826927999999995</v>
          </cell>
        </row>
        <row r="271">
          <cell r="E271" t="str">
            <v>YG_toe_cbio_0</v>
          </cell>
          <cell r="F271">
            <v>11.16413483</v>
          </cell>
          <cell r="G271">
            <v>11.17232259</v>
          </cell>
          <cell r="H271">
            <v>11.187110179999999</v>
          </cell>
          <cell r="I271">
            <v>11.20148272</v>
          </cell>
          <cell r="J271">
            <v>11.25614294</v>
          </cell>
          <cell r="K271">
            <v>11.33480389</v>
          </cell>
          <cell r="L271">
            <v>11.427494190000001</v>
          </cell>
          <cell r="M271">
            <v>11.52726816</v>
          </cell>
          <cell r="N271">
            <v>11.63159778</v>
          </cell>
          <cell r="O271">
            <v>11.73868863</v>
          </cell>
          <cell r="P271">
            <v>11.84932272</v>
          </cell>
          <cell r="Q271">
            <v>11.93955841</v>
          </cell>
          <cell r="R271">
            <v>12.01310129</v>
          </cell>
          <cell r="S271">
            <v>12.073995249999999</v>
          </cell>
          <cell r="T271">
            <v>12.12685184</v>
          </cell>
          <cell r="U271">
            <v>12.17602278</v>
          </cell>
          <cell r="V271">
            <v>12.22270681</v>
          </cell>
          <cell r="W271">
            <v>12.272600799999999</v>
          </cell>
          <cell r="X271">
            <v>12.33017263</v>
          </cell>
          <cell r="Y271">
            <v>12.397671450000001</v>
          </cell>
          <cell r="Z271">
            <v>12.47259642</v>
          </cell>
          <cell r="AA271">
            <v>12.56244107</v>
          </cell>
          <cell r="AB271">
            <v>12.66753265</v>
          </cell>
          <cell r="AC271">
            <v>12.78805017</v>
          </cell>
          <cell r="AD271">
            <v>12.923654259999999</v>
          </cell>
          <cell r="AE271">
            <v>13.062703490000001</v>
          </cell>
          <cell r="AF271">
            <v>13.21724096</v>
          </cell>
          <cell r="AG271">
            <v>13.38770375</v>
          </cell>
          <cell r="AH271">
            <v>13.57360557</v>
          </cell>
          <cell r="AI271">
            <v>13.772573639999999</v>
          </cell>
          <cell r="AJ271">
            <v>13.981340400000001</v>
          </cell>
          <cell r="AK271">
            <v>14.19691006</v>
          </cell>
          <cell r="AL271">
            <v>14.416653760000001</v>
          </cell>
          <cell r="AM271">
            <v>14.638265049999999</v>
          </cell>
          <cell r="AN271">
            <v>14.859628259999999</v>
          </cell>
          <cell r="AO271">
            <v>15.07874767</v>
          </cell>
        </row>
        <row r="274">
          <cell r="E274" t="str">
            <v>YG_toe_cote_0</v>
          </cell>
          <cell r="F274">
            <v>13.83758336</v>
          </cell>
          <cell r="G274">
            <v>14.17080024</v>
          </cell>
          <cell r="H274">
            <v>14.52662724</v>
          </cell>
          <cell r="I274">
            <v>14.895670839999999</v>
          </cell>
          <cell r="J274">
            <v>15.291431279999999</v>
          </cell>
          <cell r="K274">
            <v>15.71535871</v>
          </cell>
          <cell r="L274">
            <v>16.16274254</v>
          </cell>
          <cell r="M274">
            <v>16.621648839999999</v>
          </cell>
          <cell r="N274">
            <v>17.087593739999999</v>
          </cell>
          <cell r="O274">
            <v>17.559901579999998</v>
          </cell>
          <cell r="P274">
            <v>18.015545039999999</v>
          </cell>
          <cell r="Q274">
            <v>18.374495230000001</v>
          </cell>
          <cell r="R274">
            <v>18.66824231</v>
          </cell>
          <cell r="S274">
            <v>18.919012049999999</v>
          </cell>
          <cell r="T274">
            <v>19.14840255</v>
          </cell>
          <cell r="U274">
            <v>19.37368193</v>
          </cell>
          <cell r="V274">
            <v>19.61157343</v>
          </cell>
          <cell r="W274">
            <v>19.881068939999999</v>
          </cell>
          <cell r="X274">
            <v>20.19246927</v>
          </cell>
          <cell r="Y274">
            <v>20.548969110000002</v>
          </cell>
          <cell r="Z274">
            <v>20.950996480000001</v>
          </cell>
          <cell r="AA274">
            <v>21.402376579999999</v>
          </cell>
          <cell r="AB274">
            <v>21.906722810000002</v>
          </cell>
          <cell r="AC274">
            <v>22.465335540000002</v>
          </cell>
          <cell r="AD274">
            <v>23.076016469999999</v>
          </cell>
          <cell r="AE274">
            <v>23.732517090000002</v>
          </cell>
          <cell r="AF274">
            <v>24.440492240000001</v>
          </cell>
          <cell r="AG274">
            <v>25.204757069999999</v>
          </cell>
          <cell r="AH274">
            <v>26.02558024</v>
          </cell>
          <cell r="AI274">
            <v>26.89318754</v>
          </cell>
          <cell r="AJ274">
            <v>27.794286</v>
          </cell>
          <cell r="AK274">
            <v>28.71869379</v>
          </cell>
          <cell r="AL274">
            <v>29.659584989999999</v>
          </cell>
          <cell r="AM274">
            <v>30.61113945</v>
          </cell>
          <cell r="AN274">
            <v>31.567663329999998</v>
          </cell>
          <cell r="AO274">
            <v>32.523199329999997</v>
          </cell>
        </row>
        <row r="281">
          <cell r="F281">
            <v>161.694278</v>
          </cell>
          <cell r="G281">
            <v>162.59585809999999</v>
          </cell>
          <cell r="H281">
            <v>163.5960657</v>
          </cell>
          <cell r="I281">
            <v>164.64719690000001</v>
          </cell>
          <cell r="J281">
            <v>166.3216012</v>
          </cell>
          <cell r="K281">
            <v>168.50837100000001</v>
          </cell>
          <cell r="L281">
            <v>170.73067889999999</v>
          </cell>
          <cell r="M281">
            <v>170.8728615</v>
          </cell>
          <cell r="N281">
            <v>170.75727810000001</v>
          </cell>
          <cell r="O281">
            <v>171.22663209999999</v>
          </cell>
          <cell r="P281">
            <v>171.90336490000001</v>
          </cell>
          <cell r="Q281">
            <v>172.52514909999999</v>
          </cell>
          <cell r="R281">
            <v>173.0358033</v>
          </cell>
          <cell r="S281">
            <v>173.46416199999999</v>
          </cell>
          <cell r="T281">
            <v>173.88880929999999</v>
          </cell>
          <cell r="U281">
            <v>174.35997879999999</v>
          </cell>
          <cell r="V281">
            <v>174.9305822</v>
          </cell>
          <cell r="W281">
            <v>175.64133469999999</v>
          </cell>
          <cell r="X281">
            <v>176.5444511</v>
          </cell>
          <cell r="Y281">
            <v>177.67989510000001</v>
          </cell>
          <cell r="Z281">
            <v>179.04391509999999</v>
          </cell>
          <cell r="AA281">
            <v>180.73283649999999</v>
          </cell>
          <cell r="AB281">
            <v>182.77275320000001</v>
          </cell>
          <cell r="AC281">
            <v>185.18408360000001</v>
          </cell>
          <cell r="AD281">
            <v>187.9774668</v>
          </cell>
          <cell r="AE281">
            <v>191.048666</v>
          </cell>
          <cell r="AF281">
            <v>194.5406491</v>
          </cell>
          <cell r="AG281">
            <v>198.50709259999999</v>
          </cell>
          <cell r="AH281">
            <v>202.97489239999999</v>
          </cell>
          <cell r="AI281">
            <v>207.93452819999999</v>
          </cell>
          <cell r="AJ281">
            <v>213.36359049999999</v>
          </cell>
          <cell r="AK281">
            <v>219.2593866</v>
          </cell>
          <cell r="AL281">
            <v>225.64462829999999</v>
          </cell>
          <cell r="AM281">
            <v>232.5574001</v>
          </cell>
          <cell r="AN281">
            <v>240.06413649999999</v>
          </cell>
          <cell r="AO281">
            <v>248.28049530000001</v>
          </cell>
        </row>
        <row r="282">
          <cell r="E282" t="str">
            <v>CF_toe_ccoa_2</v>
          </cell>
          <cell r="F282">
            <v>5.4028819029999999</v>
          </cell>
          <cell r="G282">
            <v>5.441888874</v>
          </cell>
          <cell r="H282">
            <v>5.4872577160000002</v>
          </cell>
          <cell r="I282">
            <v>5.5163791089999998</v>
          </cell>
          <cell r="J282">
            <v>5.5846277689999999</v>
          </cell>
          <cell r="K282">
            <v>5.6835423580000004</v>
          </cell>
          <cell r="L282">
            <v>5.7947428419999998</v>
          </cell>
          <cell r="M282">
            <v>5.688175523</v>
          </cell>
          <cell r="N282">
            <v>5.5478587350000002</v>
          </cell>
          <cell r="O282">
            <v>5.4383654449999996</v>
          </cell>
          <cell r="P282">
            <v>5.3332217379999998</v>
          </cell>
          <cell r="Q282">
            <v>5.240915158</v>
          </cell>
          <cell r="R282">
            <v>5.1551611189999997</v>
          </cell>
          <cell r="S282">
            <v>5.0765389140000003</v>
          </cell>
          <cell r="T282">
            <v>5.0085978999999998</v>
          </cell>
          <cell r="U282">
            <v>4.9526648440000001</v>
          </cell>
          <cell r="V282">
            <v>4.8968120099999997</v>
          </cell>
          <cell r="W282">
            <v>4.8470885179999996</v>
          </cell>
          <cell r="X282">
            <v>4.8074819189999998</v>
          </cell>
          <cell r="Y282">
            <v>4.7798038920000003</v>
          </cell>
          <cell r="Z282">
            <v>4.7645682630000001</v>
          </cell>
          <cell r="AA282">
            <v>4.7630674449999999</v>
          </cell>
          <cell r="AB282">
            <v>4.7760827069999996</v>
          </cell>
          <cell r="AC282">
            <v>4.8035993460000004</v>
          </cell>
          <cell r="AD282">
            <v>4.8449212069999996</v>
          </cell>
          <cell r="AE282">
            <v>4.8980104520000003</v>
          </cell>
          <cell r="AF282">
            <v>4.9636171610000002</v>
          </cell>
          <cell r="AG282">
            <v>5.0432546550000001</v>
          </cell>
          <cell r="AH282">
            <v>5.1365250749999998</v>
          </cell>
          <cell r="AI282">
            <v>5.241239566</v>
          </cell>
          <cell r="AJ282">
            <v>5.3546817339999997</v>
          </cell>
          <cell r="AK282">
            <v>5.4749744729999996</v>
          </cell>
          <cell r="AL282">
            <v>5.6010400049999998</v>
          </cell>
          <cell r="AM282">
            <v>5.7318120859999997</v>
          </cell>
          <cell r="AN282">
            <v>5.8663529099999998</v>
          </cell>
          <cell r="AO282">
            <v>6.0039170979999996</v>
          </cell>
        </row>
        <row r="285">
          <cell r="E285" t="str">
            <v>CF_toe_ccoi_2</v>
          </cell>
          <cell r="F285">
            <v>8.3953620399999998E-2</v>
          </cell>
          <cell r="G285">
            <v>8.4487034399999994E-2</v>
          </cell>
          <cell r="H285">
            <v>8.5094873099999996E-2</v>
          </cell>
          <cell r="I285">
            <v>8.5566496399999997E-2</v>
          </cell>
          <cell r="J285">
            <v>8.6602968700000005E-2</v>
          </cell>
          <cell r="K285">
            <v>8.8112283700000002E-2</v>
          </cell>
          <cell r="L285">
            <v>8.9334317199999999E-2</v>
          </cell>
          <cell r="M285">
            <v>8.7865864299999999E-2</v>
          </cell>
          <cell r="N285">
            <v>8.5894472999999999E-2</v>
          </cell>
          <cell r="O285">
            <v>8.4318748099999993E-2</v>
          </cell>
          <cell r="P285">
            <v>8.2899056700000001E-2</v>
          </cell>
          <cell r="Q285">
            <v>8.1671506599999999E-2</v>
          </cell>
          <cell r="R285">
            <v>8.0522007600000001E-2</v>
          </cell>
          <cell r="S285">
            <v>7.9428456600000003E-2</v>
          </cell>
          <cell r="T285">
            <v>7.8422882200000002E-2</v>
          </cell>
          <cell r="U285">
            <v>7.75228055E-2</v>
          </cell>
          <cell r="V285">
            <v>7.6771529899999996E-2</v>
          </cell>
          <cell r="W285">
            <v>7.6172056200000005E-2</v>
          </cell>
          <cell r="X285">
            <v>7.5741992399999999E-2</v>
          </cell>
          <cell r="Y285">
            <v>7.5492843800000001E-2</v>
          </cell>
          <cell r="Z285">
            <v>7.5422028599999996E-2</v>
          </cell>
          <cell r="AA285">
            <v>7.5562578599999999E-2</v>
          </cell>
          <cell r="AB285">
            <v>7.5928148900000006E-2</v>
          </cell>
          <cell r="AC285">
            <v>7.6523572400000003E-2</v>
          </cell>
          <cell r="AD285">
            <v>7.734473E-2</v>
          </cell>
          <cell r="AE285">
            <v>7.8350355199999999E-2</v>
          </cell>
          <cell r="AF285">
            <v>7.9586784100000002E-2</v>
          </cell>
          <cell r="AG285">
            <v>8.1085217799999998E-2</v>
          </cell>
          <cell r="AH285">
            <v>8.28521376E-2</v>
          </cell>
          <cell r="AI285">
            <v>8.4867883899999996E-2</v>
          </cell>
          <cell r="AJ285">
            <v>8.7104170999999994E-2</v>
          </cell>
          <cell r="AK285">
            <v>8.9547242200000002E-2</v>
          </cell>
          <cell r="AL285">
            <v>9.2199893300000002E-2</v>
          </cell>
          <cell r="AM285">
            <v>9.5070786700000007E-2</v>
          </cell>
          <cell r="AN285">
            <v>9.8182878500000001E-2</v>
          </cell>
          <cell r="AO285">
            <v>0.10158560279999999</v>
          </cell>
        </row>
        <row r="288">
          <cell r="E288" t="str">
            <v>CF_toe_cfut_2</v>
          </cell>
          <cell r="F288">
            <v>47.250386450000001</v>
          </cell>
          <cell r="G288">
            <v>47.454060499999997</v>
          </cell>
          <cell r="H288">
            <v>47.664296</v>
          </cell>
          <cell r="I288">
            <v>47.948049599999997</v>
          </cell>
          <cell r="J288">
            <v>48.425846229999998</v>
          </cell>
          <cell r="K288">
            <v>49.077583910000001</v>
          </cell>
          <cell r="L288">
            <v>49.834472470000001</v>
          </cell>
          <cell r="M288">
            <v>50.175687310000001</v>
          </cell>
          <cell r="N288">
            <v>50.418726339999999</v>
          </cell>
          <cell r="O288">
            <v>50.776173839999998</v>
          </cell>
          <cell r="P288">
            <v>51.166247169999998</v>
          </cell>
          <cell r="Q288">
            <v>51.55184714</v>
          </cell>
          <cell r="R288">
            <v>51.914804840000002</v>
          </cell>
          <cell r="S288">
            <v>52.25142228</v>
          </cell>
          <cell r="T288">
            <v>52.571151860000001</v>
          </cell>
          <cell r="U288">
            <v>52.880146179999997</v>
          </cell>
          <cell r="V288">
            <v>53.158611409999999</v>
          </cell>
          <cell r="W288">
            <v>53.431662930000002</v>
          </cell>
          <cell r="X288">
            <v>53.723027070000001</v>
          </cell>
          <cell r="Y288">
            <v>54.04957684</v>
          </cell>
          <cell r="Z288">
            <v>54.41717285</v>
          </cell>
          <cell r="AA288">
            <v>54.848516699999998</v>
          </cell>
          <cell r="AB288">
            <v>55.356561159999998</v>
          </cell>
          <cell r="AC288">
            <v>55.95116384</v>
          </cell>
          <cell r="AD288">
            <v>56.638551020000001</v>
          </cell>
          <cell r="AE288">
            <v>57.402199670000002</v>
          </cell>
          <cell r="AF288">
            <v>58.271645579999998</v>
          </cell>
          <cell r="AG288">
            <v>59.265476710000002</v>
          </cell>
          <cell r="AH288">
            <v>60.396527450000001</v>
          </cell>
          <cell r="AI288">
            <v>61.669070640000001</v>
          </cell>
          <cell r="AJ288">
            <v>63.084021569999997</v>
          </cell>
          <cell r="AK288">
            <v>64.647533139999993</v>
          </cell>
          <cell r="AL288">
            <v>66.373536479999999</v>
          </cell>
          <cell r="AM288">
            <v>68.282386090000003</v>
          </cell>
          <cell r="AN288">
            <v>70.406131279999997</v>
          </cell>
          <cell r="AO288">
            <v>72.797316309999999</v>
          </cell>
        </row>
        <row r="291">
          <cell r="E291" t="str">
            <v>CF_toe_cfuh_2</v>
          </cell>
          <cell r="F291">
            <v>14.789342299999999</v>
          </cell>
          <cell r="G291">
            <v>14.873912410000001</v>
          </cell>
          <cell r="H291">
            <v>14.95895898</v>
          </cell>
          <cell r="I291">
            <v>15.040687780000001</v>
          </cell>
          <cell r="J291">
            <v>15.167692779999999</v>
          </cell>
          <cell r="K291">
            <v>15.33089058</v>
          </cell>
          <cell r="L291">
            <v>15.49962646</v>
          </cell>
          <cell r="M291">
            <v>15.46794229</v>
          </cell>
          <cell r="N291">
            <v>15.408472939999999</v>
          </cell>
          <cell r="O291">
            <v>15.38925072</v>
          </cell>
          <cell r="P291">
            <v>15.393040689999999</v>
          </cell>
          <cell r="Q291">
            <v>15.415863809999999</v>
          </cell>
          <cell r="R291">
            <v>15.446053559999999</v>
          </cell>
          <cell r="S291">
            <v>15.4798884</v>
          </cell>
          <cell r="T291">
            <v>15.51931727</v>
          </cell>
          <cell r="U291">
            <v>15.56599887</v>
          </cell>
          <cell r="V291">
            <v>15.619677579999999</v>
          </cell>
          <cell r="W291">
            <v>15.68844022</v>
          </cell>
          <cell r="X291">
            <v>15.776693809999999</v>
          </cell>
          <cell r="Y291">
            <v>15.886531789999999</v>
          </cell>
          <cell r="Z291">
            <v>16.01548974</v>
          </cell>
          <cell r="AA291">
            <v>16.171935359999999</v>
          </cell>
          <cell r="AB291">
            <v>16.357485870000001</v>
          </cell>
          <cell r="AC291">
            <v>16.572933819999999</v>
          </cell>
          <cell r="AD291">
            <v>16.818948599999999</v>
          </cell>
          <cell r="AE291">
            <v>17.08456112</v>
          </cell>
          <cell r="AF291">
            <v>17.384319550000001</v>
          </cell>
          <cell r="AG291">
            <v>17.721775130000001</v>
          </cell>
          <cell r="AH291">
            <v>18.100123960000001</v>
          </cell>
          <cell r="AI291">
            <v>18.520470769999999</v>
          </cell>
          <cell r="AJ291">
            <v>18.983057339999998</v>
          </cell>
          <cell r="AK291">
            <v>19.489228610000001</v>
          </cell>
          <cell r="AL291">
            <v>20.04234216</v>
          </cell>
          <cell r="AM291">
            <v>20.64797368</v>
          </cell>
          <cell r="AN291">
            <v>21.314780899999999</v>
          </cell>
          <cell r="AO291">
            <v>22.056477359999999</v>
          </cell>
        </row>
        <row r="293">
          <cell r="E293" t="str">
            <v>CF_toe_cgas_2</v>
          </cell>
          <cell r="F293">
            <v>34.131798230000001</v>
          </cell>
          <cell r="G293">
            <v>33.929692520000003</v>
          </cell>
          <cell r="H293">
            <v>33.776773239999997</v>
          </cell>
          <cell r="I293">
            <v>33.548397110000003</v>
          </cell>
          <cell r="J293">
            <v>33.636095480000002</v>
          </cell>
          <cell r="K293">
            <v>33.922643659999999</v>
          </cell>
          <cell r="L293">
            <v>34.060923240000001</v>
          </cell>
          <cell r="M293">
            <v>32.960789140000003</v>
          </cell>
          <cell r="N293">
            <v>31.881234509999999</v>
          </cell>
          <cell r="O293">
            <v>31.0424696</v>
          </cell>
          <cell r="P293">
            <v>30.374586969999999</v>
          </cell>
          <cell r="Q293">
            <v>29.929676109999999</v>
          </cell>
          <cell r="R293">
            <v>29.600586929999999</v>
          </cell>
          <cell r="S293">
            <v>29.342462950000002</v>
          </cell>
          <cell r="T293">
            <v>29.142555789999999</v>
          </cell>
          <cell r="U293">
            <v>28.994357650000001</v>
          </cell>
          <cell r="V293">
            <v>28.924136059999999</v>
          </cell>
          <cell r="W293">
            <v>28.92429838</v>
          </cell>
          <cell r="X293">
            <v>28.994924839999999</v>
          </cell>
          <cell r="Y293">
            <v>29.13734157</v>
          </cell>
          <cell r="Z293">
            <v>29.345882960000001</v>
          </cell>
          <cell r="AA293">
            <v>29.638276059999999</v>
          </cell>
          <cell r="AB293">
            <v>30.013162099999999</v>
          </cell>
          <cell r="AC293">
            <v>30.472288639999999</v>
          </cell>
          <cell r="AD293">
            <v>31.017805559999999</v>
          </cell>
          <cell r="AE293">
            <v>31.628588310000001</v>
          </cell>
          <cell r="AF293">
            <v>32.33874273</v>
          </cell>
          <cell r="AG293">
            <v>33.161915030000003</v>
          </cell>
          <cell r="AH293">
            <v>34.108285860000002</v>
          </cell>
          <cell r="AI293">
            <v>35.183875530000002</v>
          </cell>
          <cell r="AJ293">
            <v>36.394657780000003</v>
          </cell>
          <cell r="AK293">
            <v>37.75284679</v>
          </cell>
          <cell r="AL293">
            <v>39.27875469</v>
          </cell>
          <cell r="AM293">
            <v>41.000052119999999</v>
          </cell>
          <cell r="AN293">
            <v>42.956517419999997</v>
          </cell>
          <cell r="AO293">
            <v>45.207899390000001</v>
          </cell>
        </row>
        <row r="299">
          <cell r="E299" t="str">
            <v>CF_toe_cele_2</v>
          </cell>
          <cell r="F299">
            <v>38.0292125</v>
          </cell>
          <cell r="G299">
            <v>38.611234519999996</v>
          </cell>
          <cell r="H299">
            <v>39.20230883</v>
          </cell>
          <cell r="I299">
            <v>39.870031539999999</v>
          </cell>
          <cell r="J299">
            <v>40.497500580000001</v>
          </cell>
          <cell r="K299">
            <v>41.143904280000001</v>
          </cell>
          <cell r="L299">
            <v>41.836099500000003</v>
          </cell>
          <cell r="M299">
            <v>42.856307889999997</v>
          </cell>
          <cell r="N299">
            <v>43.817574720000003</v>
          </cell>
          <cell r="O299">
            <v>44.85915293</v>
          </cell>
          <cell r="P299">
            <v>45.871509619999998</v>
          </cell>
          <cell r="Q299">
            <v>46.603579279999998</v>
          </cell>
          <cell r="R299">
            <v>47.146104630000004</v>
          </cell>
          <cell r="S299">
            <v>47.568109819999997</v>
          </cell>
          <cell r="T299">
            <v>47.927826600000003</v>
          </cell>
          <cell r="U299">
            <v>48.262511740000001</v>
          </cell>
          <cell r="V299">
            <v>48.639949360000003</v>
          </cell>
          <cell r="W299">
            <v>49.052146</v>
          </cell>
          <cell r="X299">
            <v>49.506934610000002</v>
          </cell>
          <cell r="Y299">
            <v>50.016129470000003</v>
          </cell>
          <cell r="Z299">
            <v>50.581254020000003</v>
          </cell>
          <cell r="AA299">
            <v>51.23378778</v>
          </cell>
          <cell r="AB299">
            <v>51.984142980000001</v>
          </cell>
          <cell r="AC299">
            <v>52.839947700000003</v>
          </cell>
          <cell r="AD299">
            <v>53.8049076</v>
          </cell>
          <cell r="AE299">
            <v>54.847111150000003</v>
          </cell>
          <cell r="AF299">
            <v>56.007602900000002</v>
          </cell>
          <cell r="AG299">
            <v>57.296719279999998</v>
          </cell>
          <cell r="AH299">
            <v>58.715579400000003</v>
          </cell>
          <cell r="AI299">
            <v>60.252322210000003</v>
          </cell>
          <cell r="AJ299">
            <v>61.889264160000003</v>
          </cell>
          <cell r="AK299">
            <v>63.612105919999998</v>
          </cell>
          <cell r="AL299">
            <v>65.410680880000001</v>
          </cell>
          <cell r="AM299">
            <v>67.274033450000005</v>
          </cell>
          <cell r="AN299">
            <v>69.192112769999994</v>
          </cell>
          <cell r="AO299">
            <v>71.157647260000005</v>
          </cell>
        </row>
        <row r="309">
          <cell r="E309" t="str">
            <v>CF_toe_chea_2</v>
          </cell>
          <cell r="F309">
            <v>5.1300730300000001</v>
          </cell>
          <cell r="G309">
            <v>5.1883076209999999</v>
          </cell>
          <cell r="H309">
            <v>5.2475719500000002</v>
          </cell>
          <cell r="I309">
            <v>5.3047973979999998</v>
          </cell>
          <cell r="J309">
            <v>5.3652882430000002</v>
          </cell>
          <cell r="K309">
            <v>5.4355445409999996</v>
          </cell>
          <cell r="L309">
            <v>5.5031941360000003</v>
          </cell>
          <cell r="M309">
            <v>5.5366788549999999</v>
          </cell>
          <cell r="N309">
            <v>5.5357499209999999</v>
          </cell>
          <cell r="O309">
            <v>5.5323146330000004</v>
          </cell>
          <cell r="P309">
            <v>5.5311957280000001</v>
          </cell>
          <cell r="Q309">
            <v>5.522829464</v>
          </cell>
          <cell r="R309">
            <v>5.5176397570000004</v>
          </cell>
          <cell r="S309">
            <v>5.5181020189999996</v>
          </cell>
          <cell r="T309">
            <v>5.5247782929999998</v>
          </cell>
          <cell r="U309">
            <v>5.5370893170000004</v>
          </cell>
          <cell r="V309">
            <v>5.5571602799999997</v>
          </cell>
          <cell r="W309">
            <v>5.5824770629999998</v>
          </cell>
          <cell r="X309">
            <v>5.612940311</v>
          </cell>
          <cell r="Y309">
            <v>5.6492268689999996</v>
          </cell>
          <cell r="Z309">
            <v>5.6883040410000003</v>
          </cell>
          <cell r="AA309">
            <v>5.7376041349999998</v>
          </cell>
          <cell r="AB309">
            <v>5.7968945190000003</v>
          </cell>
          <cell r="AC309">
            <v>5.8663835840000003</v>
          </cell>
          <cell r="AD309">
            <v>5.9463269380000003</v>
          </cell>
          <cell r="AE309">
            <v>6.0259501980000003</v>
          </cell>
          <cell r="AF309">
            <v>6.1186443119999998</v>
          </cell>
          <cell r="AG309">
            <v>6.2249306630000003</v>
          </cell>
          <cell r="AH309">
            <v>6.3450960050000003</v>
          </cell>
          <cell r="AI309">
            <v>6.4787214970000004</v>
          </cell>
          <cell r="AJ309">
            <v>6.6251812780000003</v>
          </cell>
          <cell r="AK309">
            <v>6.7841659500000002</v>
          </cell>
          <cell r="AL309">
            <v>6.9554443140000002</v>
          </cell>
          <cell r="AM309">
            <v>7.1392303070000001</v>
          </cell>
          <cell r="AN309">
            <v>7.3361399809999996</v>
          </cell>
          <cell r="AO309">
            <v>7.5473023039999996</v>
          </cell>
        </row>
        <row r="311">
          <cell r="E311" t="str">
            <v>CF_toe_cbio_2</v>
          </cell>
          <cell r="F311">
            <v>8.1755841379999996</v>
          </cell>
          <cell r="G311">
            <v>8.1153657930000005</v>
          </cell>
          <cell r="H311">
            <v>8.0589231530000003</v>
          </cell>
          <cell r="I311">
            <v>7.9938662049999998</v>
          </cell>
          <cell r="J311">
            <v>7.9783202849999997</v>
          </cell>
          <cell r="K311">
            <v>7.9899755629999998</v>
          </cell>
          <cell r="L311">
            <v>8.0139564100000005</v>
          </cell>
          <cell r="M311">
            <v>7.8491520049999997</v>
          </cell>
          <cell r="N311">
            <v>7.6895268149999998</v>
          </cell>
          <cell r="O311">
            <v>7.5534582730000004</v>
          </cell>
          <cell r="P311">
            <v>7.435979154</v>
          </cell>
          <cell r="Q311">
            <v>7.3610148400000002</v>
          </cell>
          <cell r="R311">
            <v>7.3031558140000001</v>
          </cell>
          <cell r="S311">
            <v>7.2520496850000002</v>
          </cell>
          <cell r="T311">
            <v>7.2046117450000002</v>
          </cell>
          <cell r="U311">
            <v>7.1600587740000003</v>
          </cell>
          <cell r="V311">
            <v>7.098930942</v>
          </cell>
          <cell r="W311">
            <v>7.0342144959999997</v>
          </cell>
          <cell r="X311">
            <v>6.9722530669999996</v>
          </cell>
          <cell r="Y311">
            <v>6.9159570730000004</v>
          </cell>
          <cell r="Z311">
            <v>6.864571507</v>
          </cell>
          <cell r="AA311">
            <v>6.8221086069999997</v>
          </cell>
          <cell r="AB311">
            <v>6.7883423660000002</v>
          </cell>
          <cell r="AC311">
            <v>6.7630625850000001</v>
          </cell>
          <cell r="AD311">
            <v>6.7460454179999996</v>
          </cell>
          <cell r="AE311">
            <v>6.731486393</v>
          </cell>
          <cell r="AF311">
            <v>6.7257566110000004</v>
          </cell>
          <cell r="AG311">
            <v>6.728953389</v>
          </cell>
          <cell r="AH311">
            <v>6.7407560030000004</v>
          </cell>
          <cell r="AI311">
            <v>6.7603627599999996</v>
          </cell>
          <cell r="AJ311">
            <v>6.7868174259999998</v>
          </cell>
          <cell r="AK311">
            <v>6.8194285509999997</v>
          </cell>
          <cell r="AL311">
            <v>6.8577251969999997</v>
          </cell>
          <cell r="AM311">
            <v>6.9011840290000004</v>
          </cell>
          <cell r="AN311">
            <v>6.9493753820000004</v>
          </cell>
          <cell r="AO311">
            <v>7.0019950350000002</v>
          </cell>
        </row>
        <row r="314">
          <cell r="E314" t="str">
            <v>CF_toe_cote_2</v>
          </cell>
          <cell r="F314">
            <v>8.7010457809999995</v>
          </cell>
          <cell r="G314">
            <v>8.8969088379999999</v>
          </cell>
          <cell r="H314">
            <v>9.1148809689999997</v>
          </cell>
          <cell r="I314">
            <v>9.3394216910000001</v>
          </cell>
          <cell r="J314">
            <v>9.5796268369999993</v>
          </cell>
          <cell r="K314">
            <v>9.8361737900000001</v>
          </cell>
          <cell r="L314">
            <v>10.098329509999999</v>
          </cell>
          <cell r="M314">
            <v>10.25026261</v>
          </cell>
          <cell r="N314">
            <v>10.372239609999999</v>
          </cell>
          <cell r="O314">
            <v>10.551127920000001</v>
          </cell>
          <cell r="P314">
            <v>10.71468477</v>
          </cell>
          <cell r="Q314">
            <v>10.81775182</v>
          </cell>
          <cell r="R314">
            <v>10.8717746</v>
          </cell>
          <cell r="S314">
            <v>10.89615944</v>
          </cell>
          <cell r="T314">
            <v>10.91154691</v>
          </cell>
          <cell r="U314">
            <v>10.92962863</v>
          </cell>
          <cell r="V314">
            <v>10.958533060000001</v>
          </cell>
          <cell r="W314">
            <v>11.00483507</v>
          </cell>
          <cell r="X314">
            <v>11.07445343</v>
          </cell>
          <cell r="Y314">
            <v>11.16983471</v>
          </cell>
          <cell r="Z314">
            <v>11.2912497</v>
          </cell>
          <cell r="AA314">
            <v>11.441977809999999</v>
          </cell>
          <cell r="AB314">
            <v>11.624153339999999</v>
          </cell>
          <cell r="AC314">
            <v>11.838180550000001</v>
          </cell>
          <cell r="AD314">
            <v>12.082615730000001</v>
          </cell>
          <cell r="AE314">
            <v>12.352408329999999</v>
          </cell>
          <cell r="AF314">
            <v>12.650733450000001</v>
          </cell>
          <cell r="AG314">
            <v>12.9829825</v>
          </cell>
          <cell r="AH314">
            <v>13.34914646</v>
          </cell>
          <cell r="AI314">
            <v>13.74359733</v>
          </cell>
          <cell r="AJ314">
            <v>14.158805060000001</v>
          </cell>
          <cell r="AK314">
            <v>14.589555969999999</v>
          </cell>
          <cell r="AL314">
            <v>15.03290464</v>
          </cell>
          <cell r="AM314">
            <v>15.48565758</v>
          </cell>
          <cell r="AN314">
            <v>15.944542970000001</v>
          </cell>
          <cell r="AO314">
            <v>16.4063549</v>
          </cell>
        </row>
        <row r="317">
          <cell r="E317" t="str">
            <v>CF_toe_0</v>
          </cell>
          <cell r="F317">
            <v>161.694278</v>
          </cell>
          <cell r="G317">
            <v>162.5958584</v>
          </cell>
          <cell r="H317">
            <v>163.5960661</v>
          </cell>
          <cell r="I317">
            <v>164.6471975</v>
          </cell>
          <cell r="J317">
            <v>166.32160189999999</v>
          </cell>
          <cell r="K317">
            <v>168.5083717</v>
          </cell>
          <cell r="L317">
            <v>170.7306797</v>
          </cell>
          <cell r="M317">
            <v>172.9478373</v>
          </cell>
          <cell r="N317">
            <v>175.1692663</v>
          </cell>
          <cell r="O317">
            <v>177.40288910000001</v>
          </cell>
          <cell r="P317">
            <v>179.61042140000001</v>
          </cell>
          <cell r="Q317">
            <v>181.35477839999999</v>
          </cell>
          <cell r="R317">
            <v>182.7122158</v>
          </cell>
          <cell r="S317">
            <v>183.76845080000001</v>
          </cell>
          <cell r="T317">
            <v>184.62281580000001</v>
          </cell>
          <cell r="U317">
            <v>185.37041780000001</v>
          </cell>
          <cell r="V317">
            <v>186.31701870000001</v>
          </cell>
          <cell r="W317">
            <v>187.50724869999999</v>
          </cell>
          <cell r="X317">
            <v>188.97823170000001</v>
          </cell>
          <cell r="Y317">
            <v>190.74243010000001</v>
          </cell>
          <cell r="Z317">
            <v>192.76691600000001</v>
          </cell>
          <cell r="AA317">
            <v>195.1272625</v>
          </cell>
          <cell r="AB317">
            <v>197.83434550000001</v>
          </cell>
          <cell r="AC317">
            <v>200.8997372</v>
          </cell>
          <cell r="AD317">
            <v>204.32365490000001</v>
          </cell>
          <cell r="AE317">
            <v>207.98396629999999</v>
          </cell>
          <cell r="AF317">
            <v>212.0097729</v>
          </cell>
          <cell r="AG317">
            <v>216.41390530000001</v>
          </cell>
          <cell r="AH317">
            <v>221.19749239999999</v>
          </cell>
          <cell r="AI317">
            <v>226.31720379999999</v>
          </cell>
          <cell r="AJ317">
            <v>231.70505030000001</v>
          </cell>
          <cell r="AK317">
            <v>237.29515359999999</v>
          </cell>
          <cell r="AL317">
            <v>243.02860509999999</v>
          </cell>
          <cell r="AM317">
            <v>248.85008819999999</v>
          </cell>
          <cell r="AN317">
            <v>254.70543739999999</v>
          </cell>
          <cell r="AO317">
            <v>260.54055440000002</v>
          </cell>
        </row>
        <row r="318">
          <cell r="E318" t="str">
            <v>CF_toe_ccoa_0</v>
          </cell>
          <cell r="F318">
            <v>5.4028819019999998</v>
          </cell>
          <cell r="G318">
            <v>5.441888874</v>
          </cell>
          <cell r="H318">
            <v>5.4872577160000002</v>
          </cell>
          <cell r="I318">
            <v>5.5163791089999998</v>
          </cell>
          <cell r="J318">
            <v>5.5846277689999999</v>
          </cell>
          <cell r="K318">
            <v>5.6835423580000004</v>
          </cell>
          <cell r="L318">
            <v>5.7947428419999998</v>
          </cell>
          <cell r="M318">
            <v>5.9064463539999998</v>
          </cell>
          <cell r="N318">
            <v>6.0171939080000003</v>
          </cell>
          <cell r="O318">
            <v>6.1271364469999998</v>
          </cell>
          <cell r="P318">
            <v>6.2305395450000001</v>
          </cell>
          <cell r="Q318">
            <v>6.303972527</v>
          </cell>
          <cell r="R318">
            <v>6.3549191570000003</v>
          </cell>
          <cell r="S318">
            <v>6.3911825049999997</v>
          </cell>
          <cell r="T318">
            <v>6.4203418350000003</v>
          </cell>
          <cell r="U318">
            <v>6.4485381190000002</v>
          </cell>
          <cell r="V318">
            <v>6.4908780549999996</v>
          </cell>
          <cell r="W318">
            <v>6.5530212370000003</v>
          </cell>
          <cell r="X318">
            <v>6.6368532220000001</v>
          </cell>
          <cell r="Y318">
            <v>6.7420009920000004</v>
          </cell>
          <cell r="Z318">
            <v>6.8670761569999996</v>
          </cell>
          <cell r="AA318">
            <v>7.0122515930000002</v>
          </cell>
          <cell r="AB318">
            <v>7.1777297859999996</v>
          </cell>
          <cell r="AC318">
            <v>7.3633687600000002</v>
          </cell>
          <cell r="AD318">
            <v>7.5682359400000001</v>
          </cell>
          <cell r="AE318">
            <v>7.7894972899999999</v>
          </cell>
          <cell r="AF318">
            <v>8.0284889859999993</v>
          </cell>
          <cell r="AG318">
            <v>8.2862103079999994</v>
          </cell>
          <cell r="AH318">
            <v>8.5625630780000002</v>
          </cell>
          <cell r="AI318">
            <v>8.8545727220000003</v>
          </cell>
          <cell r="AJ318">
            <v>9.1580246340000002</v>
          </cell>
          <cell r="AK318">
            <v>9.4693790950000007</v>
          </cell>
          <cell r="AL318">
            <v>9.78607066</v>
          </cell>
          <cell r="AM318">
            <v>10.10593437</v>
          </cell>
          <cell r="AN318">
            <v>10.42690885</v>
          </cell>
          <cell r="AO318">
            <v>10.7469062</v>
          </cell>
        </row>
        <row r="321">
          <cell r="E321" t="str">
            <v>CF_toe_ccoi_0</v>
          </cell>
          <cell r="F321">
            <v>8.3953620399999998E-2</v>
          </cell>
          <cell r="G321">
            <v>8.4487034399999994E-2</v>
          </cell>
          <cell r="H321">
            <v>8.5094873200000004E-2</v>
          </cell>
          <cell r="I321">
            <v>8.5566496500000006E-2</v>
          </cell>
          <cell r="J321">
            <v>8.6602968799999999E-2</v>
          </cell>
          <cell r="K321">
            <v>8.8112283799999996E-2</v>
          </cell>
          <cell r="L321">
            <v>8.9334317400000002E-2</v>
          </cell>
          <cell r="M321">
            <v>9.03340267E-2</v>
          </cell>
          <cell r="N321">
            <v>9.1203127199999998E-2</v>
          </cell>
          <cell r="O321">
            <v>9.2002124000000005E-2</v>
          </cell>
          <cell r="P321">
            <v>9.2711125399999997E-2</v>
          </cell>
          <cell r="Q321">
            <v>9.3034759800000005E-2</v>
          </cell>
          <cell r="R321">
            <v>9.30484013E-2</v>
          </cell>
          <cell r="S321">
            <v>9.2828903000000004E-2</v>
          </cell>
          <cell r="T321">
            <v>9.2460847600000007E-2</v>
          </cell>
          <cell r="U321">
            <v>9.2023098100000006E-2</v>
          </cell>
          <cell r="V321">
            <v>9.1964690900000007E-2</v>
          </cell>
          <cell r="W321">
            <v>9.2235633900000003E-2</v>
          </cell>
          <cell r="X321">
            <v>9.2807406300000006E-2</v>
          </cell>
          <cell r="Y321">
            <v>9.3659054899999997E-2</v>
          </cell>
          <cell r="Z321">
            <v>9.4762463699999994E-2</v>
          </cell>
          <cell r="AA321">
            <v>9.6142060000000001E-2</v>
          </cell>
          <cell r="AB321">
            <v>9.7803032799999995E-2</v>
          </cell>
          <cell r="AC321">
            <v>9.9751510900000007E-2</v>
          </cell>
          <cell r="AD321">
            <v>0.1019860913</v>
          </cell>
          <cell r="AE321">
            <v>0.10445318050000001</v>
          </cell>
          <cell r="AF321">
            <v>0.1072093705</v>
          </cell>
          <cell r="AG321">
            <v>0.1102671174</v>
          </cell>
          <cell r="AH321">
            <v>0.11362974200000001</v>
          </cell>
          <cell r="AI321">
            <v>0.1172678712</v>
          </cell>
          <cell r="AJ321">
            <v>0.12113316089999999</v>
          </cell>
          <cell r="AK321">
            <v>0.12517796079999999</v>
          </cell>
          <cell r="AL321">
            <v>0.12935980959999999</v>
          </cell>
          <cell r="AM321">
            <v>0.1336371489</v>
          </cell>
          <cell r="AN321">
            <v>0.1379674166</v>
          </cell>
          <cell r="AO321">
            <v>0.14230635899999999</v>
          </cell>
        </row>
        <row r="324">
          <cell r="E324" t="str">
            <v>CF_toe_cfut_0</v>
          </cell>
          <cell r="F324">
            <v>47.250386450000001</v>
          </cell>
          <cell r="G324">
            <v>47.454060499999997</v>
          </cell>
          <cell r="H324">
            <v>47.664295989999999</v>
          </cell>
          <cell r="I324">
            <v>47.948049589999997</v>
          </cell>
          <cell r="J324">
            <v>48.425846210000003</v>
          </cell>
          <cell r="K324">
            <v>49.07758389</v>
          </cell>
          <cell r="L324">
            <v>49.83447245</v>
          </cell>
          <cell r="M324">
            <v>50.641320829999998</v>
          </cell>
          <cell r="N324">
            <v>51.473443109999998</v>
          </cell>
          <cell r="O324">
            <v>52.319605029999998</v>
          </cell>
          <cell r="P324">
            <v>53.160364110000003</v>
          </cell>
          <cell r="Q324">
            <v>53.891897489999998</v>
          </cell>
          <cell r="R324">
            <v>54.522624110000002</v>
          </cell>
          <cell r="S324">
            <v>55.066043520000001</v>
          </cell>
          <cell r="T324">
            <v>55.540980769999997</v>
          </cell>
          <cell r="U324">
            <v>55.967389230000002</v>
          </cell>
          <cell r="V324">
            <v>56.391210319999999</v>
          </cell>
          <cell r="W324">
            <v>56.848010520000003</v>
          </cell>
          <cell r="X324">
            <v>57.357065650000003</v>
          </cell>
          <cell r="Y324">
            <v>57.926533310000003</v>
          </cell>
          <cell r="Z324">
            <v>58.55280166</v>
          </cell>
          <cell r="AA324">
            <v>59.251237490000001</v>
          </cell>
          <cell r="AB324">
            <v>60.028312939999999</v>
          </cell>
          <cell r="AC324">
            <v>60.889576210000001</v>
          </cell>
          <cell r="AD324">
            <v>61.83726308</v>
          </cell>
          <cell r="AE324">
            <v>62.848447100000001</v>
          </cell>
          <cell r="AF324">
            <v>63.946229330000001</v>
          </cell>
          <cell r="AG324">
            <v>65.137926089999993</v>
          </cell>
          <cell r="AH324">
            <v>66.427111839999995</v>
          </cell>
          <cell r="AI324">
            <v>67.806281350000006</v>
          </cell>
          <cell r="AJ324">
            <v>69.260976790000001</v>
          </cell>
          <cell r="AK324">
            <v>70.775979430000007</v>
          </cell>
          <cell r="AL324">
            <v>72.336886879999994</v>
          </cell>
          <cell r="AM324">
            <v>73.92892114</v>
          </cell>
          <cell r="AN324">
            <v>75.536540540000004</v>
          </cell>
          <cell r="AO324">
            <v>77.143438810000006</v>
          </cell>
        </row>
        <row r="327">
          <cell r="E327" t="str">
            <v>CF_toe_cfuh_0</v>
          </cell>
          <cell r="F327">
            <v>14.789342299999999</v>
          </cell>
          <cell r="G327">
            <v>14.8739124</v>
          </cell>
          <cell r="H327">
            <v>14.95895898</v>
          </cell>
          <cell r="I327">
            <v>15.04068777</v>
          </cell>
          <cell r="J327">
            <v>15.16769277</v>
          </cell>
          <cell r="K327">
            <v>15.33089058</v>
          </cell>
          <cell r="L327">
            <v>15.499626449999999</v>
          </cell>
          <cell r="M327">
            <v>15.661530190000001</v>
          </cell>
          <cell r="N327">
            <v>15.81800499</v>
          </cell>
          <cell r="O327">
            <v>15.972204959999999</v>
          </cell>
          <cell r="P327">
            <v>16.125966030000001</v>
          </cell>
          <cell r="Q327">
            <v>16.24689193</v>
          </cell>
          <cell r="R327">
            <v>16.34042754</v>
          </cell>
          <cell r="S327">
            <v>16.412436849999999</v>
          </cell>
          <cell r="T327">
            <v>16.469381349999999</v>
          </cell>
          <cell r="U327">
            <v>16.51745189</v>
          </cell>
          <cell r="V327">
            <v>16.579918970000001</v>
          </cell>
          <cell r="W327">
            <v>16.66475011</v>
          </cell>
          <cell r="X327">
            <v>16.773228809999999</v>
          </cell>
          <cell r="Y327">
            <v>16.904561579999999</v>
          </cell>
          <cell r="Z327">
            <v>17.053696970000001</v>
          </cell>
          <cell r="AA327">
            <v>17.227450149999999</v>
          </cell>
          <cell r="AB327">
            <v>17.425206620000001</v>
          </cell>
          <cell r="AC327">
            <v>17.647444539999999</v>
          </cell>
          <cell r="AD327">
            <v>17.894248640000001</v>
          </cell>
          <cell r="AE327">
            <v>18.15345305</v>
          </cell>
          <cell r="AF327">
            <v>18.439118369999999</v>
          </cell>
          <cell r="AG327">
            <v>18.752471440000001</v>
          </cell>
          <cell r="AH327">
            <v>19.094091819999999</v>
          </cell>
          <cell r="AI327">
            <v>19.461582669999999</v>
          </cell>
          <cell r="AJ327">
            <v>19.850640819999999</v>
          </cell>
          <cell r="AK327">
            <v>20.25686924</v>
          </cell>
          <cell r="AL327">
            <v>20.675953060000001</v>
          </cell>
          <cell r="AM327">
            <v>21.103669490000001</v>
          </cell>
          <cell r="AN327">
            <v>21.535954690000001</v>
          </cell>
          <cell r="AO327">
            <v>21.968737140000002</v>
          </cell>
        </row>
        <row r="329">
          <cell r="E329" t="str">
            <v>CF_toe_cgas_0</v>
          </cell>
          <cell r="F329">
            <v>34.131798310000001</v>
          </cell>
          <cell r="G329">
            <v>33.929692789999997</v>
          </cell>
          <cell r="H329">
            <v>33.776773660000003</v>
          </cell>
          <cell r="I329">
            <v>33.548397710000003</v>
          </cell>
          <cell r="J329">
            <v>33.636096180000003</v>
          </cell>
          <cell r="K329">
            <v>33.922644429999998</v>
          </cell>
          <cell r="L329">
            <v>34.060924020000002</v>
          </cell>
          <cell r="M329">
            <v>34.108610419999998</v>
          </cell>
          <cell r="N329">
            <v>34.122116810000001</v>
          </cell>
          <cell r="O329">
            <v>34.127861600000003</v>
          </cell>
          <cell r="P329">
            <v>34.13361819</v>
          </cell>
          <cell r="Q329">
            <v>34.055143020000003</v>
          </cell>
          <cell r="R329">
            <v>33.913877239999998</v>
          </cell>
          <cell r="S329">
            <v>33.728950490000003</v>
          </cell>
          <cell r="T329">
            <v>33.519454349999997</v>
          </cell>
          <cell r="U329">
            <v>33.302300729999999</v>
          </cell>
          <cell r="V329">
            <v>33.261266820000003</v>
          </cell>
          <cell r="W329">
            <v>33.336980580000002</v>
          </cell>
          <cell r="X329">
            <v>33.504235299999998</v>
          </cell>
          <cell r="Y329">
            <v>33.746555450000002</v>
          </cell>
          <cell r="Z329">
            <v>34.044931759999997</v>
          </cell>
          <cell r="AA329">
            <v>34.41116238</v>
          </cell>
          <cell r="AB329">
            <v>34.842888209999998</v>
          </cell>
          <cell r="AC329">
            <v>35.340401079999999</v>
          </cell>
          <cell r="AD329">
            <v>35.902791749999999</v>
          </cell>
          <cell r="AE329">
            <v>36.502722480000003</v>
          </cell>
          <cell r="AF329">
            <v>37.172273060000002</v>
          </cell>
          <cell r="AG329">
            <v>37.913267740000002</v>
          </cell>
          <cell r="AH329">
            <v>38.72645911</v>
          </cell>
          <cell r="AI329">
            <v>39.605393800000002</v>
          </cell>
          <cell r="AJ329">
            <v>40.539042559999999</v>
          </cell>
          <cell r="AK329">
            <v>41.516408390000002</v>
          </cell>
          <cell r="AL329">
            <v>42.52662677</v>
          </cell>
          <cell r="AM329">
            <v>43.559629829999999</v>
          </cell>
          <cell r="AN329">
            <v>44.605528210000003</v>
          </cell>
          <cell r="AO329">
            <v>45.654267230000002</v>
          </cell>
        </row>
        <row r="335">
          <cell r="E335" t="str">
            <v>CF_toe_cele_0</v>
          </cell>
          <cell r="F335">
            <v>38.029212489999999</v>
          </cell>
          <cell r="G335">
            <v>38.611234510000003</v>
          </cell>
          <cell r="H335">
            <v>39.202308809999998</v>
          </cell>
          <cell r="I335">
            <v>39.870031519999998</v>
          </cell>
          <cell r="J335">
            <v>40.497500559999999</v>
          </cell>
          <cell r="K335">
            <v>41.143904259999999</v>
          </cell>
          <cell r="L335">
            <v>41.836099480000001</v>
          </cell>
          <cell r="M335">
            <v>42.571367889999998</v>
          </cell>
          <cell r="N335">
            <v>43.330928839999999</v>
          </cell>
          <cell r="O335">
            <v>44.10407155</v>
          </cell>
          <cell r="P335">
            <v>44.873485590000001</v>
          </cell>
          <cell r="Q335">
            <v>45.521797290000002</v>
          </cell>
          <cell r="R335">
            <v>46.060187829999997</v>
          </cell>
          <cell r="S335">
            <v>46.507932070000003</v>
          </cell>
          <cell r="T335">
            <v>46.892754320000002</v>
          </cell>
          <cell r="U335">
            <v>47.244078969999997</v>
          </cell>
          <cell r="V335">
            <v>47.570777139999997</v>
          </cell>
          <cell r="W335">
            <v>47.91076537</v>
          </cell>
          <cell r="X335">
            <v>48.295669310000001</v>
          </cell>
          <cell r="Y335">
            <v>48.745669139999997</v>
          </cell>
          <cell r="Z335">
            <v>49.26416261</v>
          </cell>
          <cell r="AA335">
            <v>49.87969691</v>
          </cell>
          <cell r="AB335">
            <v>50.599729949999997</v>
          </cell>
          <cell r="AC335">
            <v>51.430031319999998</v>
          </cell>
          <cell r="AD335">
            <v>52.372653880000001</v>
          </cell>
          <cell r="AE335">
            <v>53.395168069999997</v>
          </cell>
          <cell r="AF335">
            <v>54.532331990000003</v>
          </cell>
          <cell r="AG335">
            <v>55.784584129999999</v>
          </cell>
          <cell r="AH335">
            <v>57.149436430000002</v>
          </cell>
          <cell r="AI335">
            <v>58.611532089999997</v>
          </cell>
          <cell r="AJ335">
            <v>60.148728009999999</v>
          </cell>
          <cell r="AK335">
            <v>61.739439689999998</v>
          </cell>
          <cell r="AL335">
            <v>63.364757670000003</v>
          </cell>
          <cell r="AM335">
            <v>65.007330710000005</v>
          </cell>
          <cell r="AN335">
            <v>66.650818020000003</v>
          </cell>
          <cell r="AO335">
            <v>68.279729959999997</v>
          </cell>
        </row>
        <row r="345">
          <cell r="E345" t="str">
            <v>CF_toe_chea_0</v>
          </cell>
          <cell r="F345">
            <v>5.1300730310000002</v>
          </cell>
          <cell r="G345">
            <v>5.1883076279999996</v>
          </cell>
          <cell r="H345">
            <v>5.2475719620000003</v>
          </cell>
          <cell r="I345">
            <v>5.3047974169999996</v>
          </cell>
          <cell r="J345">
            <v>5.3652882670000004</v>
          </cell>
          <cell r="K345">
            <v>5.435544567</v>
          </cell>
          <cell r="L345">
            <v>5.5031941639999999</v>
          </cell>
          <cell r="M345">
            <v>5.5677499179999996</v>
          </cell>
          <cell r="N345">
            <v>5.629670001</v>
          </cell>
          <cell r="O345">
            <v>5.6900498620000004</v>
          </cell>
          <cell r="P345">
            <v>5.7536190410000003</v>
          </cell>
          <cell r="Q345">
            <v>5.8030338439999998</v>
          </cell>
          <cell r="R345">
            <v>5.8421537529999998</v>
          </cell>
          <cell r="S345">
            <v>5.8739409050000004</v>
          </cell>
          <cell r="T345">
            <v>5.9011817869999996</v>
          </cell>
          <cell r="U345">
            <v>5.9262851579999998</v>
          </cell>
          <cell r="V345">
            <v>5.9584090080000003</v>
          </cell>
          <cell r="W345">
            <v>5.9994862510000004</v>
          </cell>
          <cell r="X345">
            <v>6.049133222</v>
          </cell>
          <cell r="Y345">
            <v>6.1064183879999998</v>
          </cell>
          <cell r="Z345">
            <v>6.1669845539999999</v>
          </cell>
          <cell r="AA345">
            <v>6.2374580699999997</v>
          </cell>
          <cell r="AB345">
            <v>6.3169089659999997</v>
          </cell>
          <cell r="AC345">
            <v>6.4050093529999996</v>
          </cell>
          <cell r="AD345">
            <v>6.5014699040000004</v>
          </cell>
          <cell r="AE345">
            <v>6.5948254390000001</v>
          </cell>
          <cell r="AF345">
            <v>6.6978542640000001</v>
          </cell>
          <cell r="AG345">
            <v>6.8101743480000003</v>
          </cell>
          <cell r="AH345">
            <v>6.931437173</v>
          </cell>
          <cell r="AI345">
            <v>7.0603438150000004</v>
          </cell>
          <cell r="AJ345">
            <v>7.1951055410000002</v>
          </cell>
          <cell r="AK345">
            <v>7.3340419189999997</v>
          </cell>
          <cell r="AL345">
            <v>7.475716748</v>
          </cell>
          <cell r="AM345">
            <v>7.618805257</v>
          </cell>
          <cell r="AN345">
            <v>7.7620335469999997</v>
          </cell>
          <cell r="AO345">
            <v>7.9041603499999997</v>
          </cell>
        </row>
        <row r="347">
          <cell r="E347" t="str">
            <v>CF_toe_cbio_0</v>
          </cell>
          <cell r="F347">
            <v>8.1755841379999996</v>
          </cell>
          <cell r="G347">
            <v>8.1153657940000006</v>
          </cell>
          <cell r="H347">
            <v>8.0589231540000004</v>
          </cell>
          <cell r="I347">
            <v>7.9938662069999999</v>
          </cell>
          <cell r="J347">
            <v>7.9783202869999998</v>
          </cell>
          <cell r="K347">
            <v>7.989975566</v>
          </cell>
          <cell r="L347">
            <v>8.0139564130000007</v>
          </cell>
          <cell r="M347">
            <v>8.0424932039999995</v>
          </cell>
          <cell r="N347">
            <v>8.074009641</v>
          </cell>
          <cell r="O347">
            <v>8.1070676049999992</v>
          </cell>
          <cell r="P347">
            <v>8.1428524220000007</v>
          </cell>
          <cell r="Q347">
            <v>8.1688706660000001</v>
          </cell>
          <cell r="R347">
            <v>8.1868036629999992</v>
          </cell>
          <cell r="S347">
            <v>8.1985003859999992</v>
          </cell>
          <cell r="T347">
            <v>8.2060887480000009</v>
          </cell>
          <cell r="U347">
            <v>8.2116294369999991</v>
          </cell>
          <cell r="V347">
            <v>8.2174963820000002</v>
          </cell>
          <cell r="W347">
            <v>8.2258936640000009</v>
          </cell>
          <cell r="X347">
            <v>8.2390502290000001</v>
          </cell>
          <cell r="Y347">
            <v>8.2579918869999993</v>
          </cell>
          <cell r="Z347">
            <v>8.2807674290000008</v>
          </cell>
          <cell r="AA347">
            <v>8.3117082010000001</v>
          </cell>
          <cell r="AB347">
            <v>8.3504832530000002</v>
          </cell>
          <cell r="AC347">
            <v>8.3970105799999999</v>
          </cell>
          <cell r="AD347">
            <v>8.4510151649999994</v>
          </cell>
          <cell r="AE347">
            <v>8.5053136659999993</v>
          </cell>
          <cell r="AF347">
            <v>8.5674772630000007</v>
          </cell>
          <cell r="AG347">
            <v>8.6373549169999997</v>
          </cell>
          <cell r="AH347">
            <v>8.7146658299999995</v>
          </cell>
          <cell r="AI347">
            <v>8.7983649009999993</v>
          </cell>
          <cell r="AJ347">
            <v>8.8869942900000005</v>
          </cell>
          <cell r="AK347">
            <v>8.9791528679999999</v>
          </cell>
          <cell r="AL347">
            <v>9.0734672029999999</v>
          </cell>
          <cell r="AM347">
            <v>9.1687282159999999</v>
          </cell>
          <cell r="AN347">
            <v>9.2638356739999992</v>
          </cell>
          <cell r="AO347">
            <v>9.3577595309999992</v>
          </cell>
        </row>
        <row r="350">
          <cell r="E350" t="str">
            <v>CF_toe_cote_0</v>
          </cell>
          <cell r="F350">
            <v>8.7010457809999995</v>
          </cell>
          <cell r="G350">
            <v>8.8969088379999999</v>
          </cell>
          <cell r="H350">
            <v>9.1148809689999997</v>
          </cell>
          <cell r="I350">
            <v>9.3394216910000001</v>
          </cell>
          <cell r="J350">
            <v>9.5796268379999994</v>
          </cell>
          <cell r="K350">
            <v>9.8361737910000002</v>
          </cell>
          <cell r="L350">
            <v>10.098329509999999</v>
          </cell>
          <cell r="M350">
            <v>10.357984500000001</v>
          </cell>
          <cell r="N350">
            <v>10.61269585</v>
          </cell>
          <cell r="O350">
            <v>10.862889969999999</v>
          </cell>
          <cell r="P350">
            <v>11.0972654</v>
          </cell>
          <cell r="Q350">
            <v>11.27013691</v>
          </cell>
          <cell r="R350">
            <v>11.3981741</v>
          </cell>
          <cell r="S350">
            <v>11.496635149999999</v>
          </cell>
          <cell r="T350">
            <v>11.58017181</v>
          </cell>
          <cell r="U350">
            <v>11.660721179999999</v>
          </cell>
          <cell r="V350">
            <v>11.755097320000001</v>
          </cell>
          <cell r="W350">
            <v>11.87610535</v>
          </cell>
          <cell r="X350">
            <v>12.03018853</v>
          </cell>
          <cell r="Y350">
            <v>12.2190403</v>
          </cell>
          <cell r="Z350">
            <v>12.44173241</v>
          </cell>
          <cell r="AA350">
            <v>12.70015564</v>
          </cell>
          <cell r="AB350">
            <v>12.99528269</v>
          </cell>
          <cell r="AC350">
            <v>13.32714389</v>
          </cell>
          <cell r="AD350">
            <v>13.69399041</v>
          </cell>
          <cell r="AE350">
            <v>14.090086039999999</v>
          </cell>
          <cell r="AF350">
            <v>14.51879031</v>
          </cell>
          <cell r="AG350">
            <v>14.98164923</v>
          </cell>
          <cell r="AH350">
            <v>15.47809734</v>
          </cell>
          <cell r="AI350">
            <v>16.001864560000001</v>
          </cell>
          <cell r="AJ350">
            <v>16.544404499999999</v>
          </cell>
          <cell r="AK350">
            <v>17.098704990000002</v>
          </cell>
          <cell r="AL350">
            <v>17.65976629</v>
          </cell>
          <cell r="AM350">
            <v>18.223432039999999</v>
          </cell>
          <cell r="AN350">
            <v>18.785850499999999</v>
          </cell>
          <cell r="AO350">
            <v>19.343248859999999</v>
          </cell>
        </row>
        <row r="353">
          <cell r="F353">
            <v>64.301440170000006</v>
          </cell>
          <cell r="G353">
            <v>63.959274899999997</v>
          </cell>
          <cell r="H353">
            <v>63.535335439999997</v>
          </cell>
          <cell r="I353">
            <v>63.140045450000002</v>
          </cell>
          <cell r="J353">
            <v>62.990036979999999</v>
          </cell>
          <cell r="K353">
            <v>63.008604390000002</v>
          </cell>
          <cell r="L353">
            <v>62.986963529999997</v>
          </cell>
          <cell r="M353">
            <v>62.45233837</v>
          </cell>
          <cell r="N353">
            <v>61.987019949999997</v>
          </cell>
          <cell r="O353">
            <v>61.634344460000001</v>
          </cell>
          <cell r="P353">
            <v>61.425074940000002</v>
          </cell>
          <cell r="Q353">
            <v>61.385735259999997</v>
          </cell>
          <cell r="R353">
            <v>61.45951135</v>
          </cell>
          <cell r="S353">
            <v>61.599997469999998</v>
          </cell>
          <cell r="T353">
            <v>61.773071109999997</v>
          </cell>
          <cell r="U353">
            <v>61.956237260000002</v>
          </cell>
          <cell r="V353">
            <v>62.167114179999999</v>
          </cell>
          <cell r="W353">
            <v>62.387704169999999</v>
          </cell>
          <cell r="X353">
            <v>62.612347849999999</v>
          </cell>
          <cell r="Y353">
            <v>62.840838189999999</v>
          </cell>
          <cell r="Z353">
            <v>63.058136879999999</v>
          </cell>
          <cell r="AA353">
            <v>63.29366461</v>
          </cell>
          <cell r="AB353">
            <v>63.542131849999997</v>
          </cell>
          <cell r="AC353">
            <v>63.802809230000001</v>
          </cell>
          <cell r="AD353">
            <v>64.077623110000005</v>
          </cell>
          <cell r="AE353">
            <v>64.321485139999993</v>
          </cell>
          <cell r="AF353">
            <v>64.587884439999996</v>
          </cell>
          <cell r="AG353">
            <v>64.879034840000003</v>
          </cell>
          <cell r="AH353">
            <v>65.198975230000002</v>
          </cell>
          <cell r="AI353">
            <v>65.552790189999996</v>
          </cell>
          <cell r="AJ353">
            <v>65.945512359999995</v>
          </cell>
          <cell r="AK353">
            <v>66.381396460000005</v>
          </cell>
          <cell r="AL353">
            <v>66.864045989999994</v>
          </cell>
          <cell r="AM353">
            <v>67.39809984</v>
          </cell>
          <cell r="AN353">
            <v>67.989633769999998</v>
          </cell>
          <cell r="AO353">
            <v>68.6471047</v>
          </cell>
        </row>
        <row r="354">
          <cell r="F354">
            <v>42.52087745</v>
          </cell>
          <cell r="G354">
            <v>42.468610079999998</v>
          </cell>
          <cell r="H354">
            <v>42.172304869999998</v>
          </cell>
          <cell r="I354">
            <v>41.794756509999999</v>
          </cell>
          <cell r="J354">
            <v>41.570397149999998</v>
          </cell>
          <cell r="K354">
            <v>41.448223749999997</v>
          </cell>
          <cell r="L354">
            <v>41.250308220000001</v>
          </cell>
          <cell r="M354">
            <v>40.585188760000001</v>
          </cell>
          <cell r="N354">
            <v>39.993955630000002</v>
          </cell>
          <cell r="O354">
            <v>39.49964808</v>
          </cell>
          <cell r="P354">
            <v>39.126803539999997</v>
          </cell>
          <cell r="Q354">
            <v>38.89085386</v>
          </cell>
          <cell r="R354">
            <v>38.74970107</v>
          </cell>
          <cell r="S354">
            <v>38.672421290000003</v>
          </cell>
          <cell r="T354">
            <v>38.635439249999997</v>
          </cell>
          <cell r="U354">
            <v>38.622242139999997</v>
          </cell>
          <cell r="V354">
            <v>38.658378520000007</v>
          </cell>
          <cell r="W354">
            <v>38.72096681</v>
          </cell>
          <cell r="X354">
            <v>38.800278179999999</v>
          </cell>
          <cell r="Y354">
            <v>38.893203210000003</v>
          </cell>
          <cell r="Z354">
            <v>38.984709340000002</v>
          </cell>
          <cell r="AA354">
            <v>39.098596200000003</v>
          </cell>
          <cell r="AB354">
            <v>39.226857170000002</v>
          </cell>
          <cell r="AC354">
            <v>39.365603350000001</v>
          </cell>
          <cell r="AD354">
            <v>39.513994109999999</v>
          </cell>
          <cell r="AE354">
            <v>39.631323739999999</v>
          </cell>
          <cell r="AF354">
            <v>39.764222359999998</v>
          </cell>
          <cell r="AG354">
            <v>39.912714000000001</v>
          </cell>
          <cell r="AH354">
            <v>40.077693500000002</v>
          </cell>
          <cell r="AI354">
            <v>40.261194630000006</v>
          </cell>
          <cell r="AJ354">
            <v>40.466435990000001</v>
          </cell>
          <cell r="AK354">
            <v>40.697362229999996</v>
          </cell>
          <cell r="AL354">
            <v>40.958267849999999</v>
          </cell>
          <cell r="AM354">
            <v>41.254739189999995</v>
          </cell>
          <cell r="AN354">
            <v>41.594044650000001</v>
          </cell>
          <cell r="AO354">
            <v>41.98618252</v>
          </cell>
        </row>
        <row r="362">
          <cell r="F362">
            <v>21.78056273</v>
          </cell>
          <cell r="G362">
            <v>21.490664819999999</v>
          </cell>
          <cell r="H362">
            <v>21.363030569999999</v>
          </cell>
          <cell r="I362">
            <v>21.34528894</v>
          </cell>
          <cell r="J362">
            <v>21.419639829999998</v>
          </cell>
          <cell r="K362">
            <v>21.560380640000002</v>
          </cell>
          <cell r="L362">
            <v>21.73665531</v>
          </cell>
          <cell r="M362">
            <v>21.867149619999999</v>
          </cell>
          <cell r="N362">
            <v>21.993064320000002</v>
          </cell>
          <cell r="O362">
            <v>22.134696379999998</v>
          </cell>
          <cell r="P362">
            <v>22.298271399999997</v>
          </cell>
          <cell r="Q362">
            <v>22.494881410000001</v>
          </cell>
          <cell r="R362">
            <v>22.709810280000003</v>
          </cell>
          <cell r="S362">
            <v>22.927576179999999</v>
          </cell>
          <cell r="T362">
            <v>23.137631859999999</v>
          </cell>
          <cell r="U362">
            <v>23.333995120000001</v>
          </cell>
          <cell r="V362">
            <v>23.508735649999998</v>
          </cell>
          <cell r="W362">
            <v>23.666737359999999</v>
          </cell>
          <cell r="X362">
            <v>23.812069670000003</v>
          </cell>
          <cell r="Y362">
            <v>23.947634989999997</v>
          </cell>
          <cell r="Z362">
            <v>24.073427540000001</v>
          </cell>
          <cell r="AA362">
            <v>24.195068410000001</v>
          </cell>
          <cell r="AB362">
            <v>24.315274679999998</v>
          </cell>
          <cell r="AC362">
            <v>24.43720588</v>
          </cell>
          <cell r="AD362">
            <v>24.563628989999998</v>
          </cell>
          <cell r="AE362">
            <v>24.690161399999997</v>
          </cell>
          <cell r="AF362">
            <v>24.823662089999999</v>
          </cell>
          <cell r="AG362">
            <v>24.966320850000002</v>
          </cell>
          <cell r="AH362">
            <v>25.12128173</v>
          </cell>
          <cell r="AI362">
            <v>25.291595559999998</v>
          </cell>
          <cell r="AJ362">
            <v>25.479076370000001</v>
          </cell>
          <cell r="AK362">
            <v>25.684034230000002</v>
          </cell>
          <cell r="AL362">
            <v>25.905778139999999</v>
          </cell>
          <cell r="AM362">
            <v>26.143360649999998</v>
          </cell>
          <cell r="AN362">
            <v>26.39558912</v>
          </cell>
          <cell r="AO362">
            <v>26.66092218</v>
          </cell>
        </row>
        <row r="366">
          <cell r="F366">
            <v>26.32744194</v>
          </cell>
          <cell r="G366">
            <v>26.790589700000002</v>
          </cell>
          <cell r="H366">
            <v>27.31078303</v>
          </cell>
          <cell r="I366">
            <v>27.862159850000001</v>
          </cell>
          <cell r="J366">
            <v>28.457450470000001</v>
          </cell>
          <cell r="K366">
            <v>29.09552072</v>
          </cell>
          <cell r="L366">
            <v>29.75043677</v>
          </cell>
          <cell r="M366">
            <v>30.243140660000002</v>
          </cell>
          <cell r="N366">
            <v>30.697307930000001</v>
          </cell>
          <cell r="O366">
            <v>31.279350640000001</v>
          </cell>
          <cell r="P366">
            <v>31.873439439999999</v>
          </cell>
          <cell r="Q366">
            <v>32.370334100000001</v>
          </cell>
          <cell r="R366">
            <v>32.774222369999997</v>
          </cell>
          <cell r="S366">
            <v>33.1094832</v>
          </cell>
          <cell r="T366">
            <v>33.409714039999997</v>
          </cell>
          <cell r="U366">
            <v>33.697768979999999</v>
          </cell>
          <cell r="V366">
            <v>33.986771740000002</v>
          </cell>
          <cell r="W366">
            <v>34.297686880000001</v>
          </cell>
          <cell r="X366">
            <v>34.648549469999999</v>
          </cell>
          <cell r="Y366">
            <v>35.050996019999999</v>
          </cell>
          <cell r="Z366">
            <v>35.506883340000002</v>
          </cell>
          <cell r="AA366">
            <v>36.035605169999997</v>
          </cell>
          <cell r="AB366">
            <v>36.645484000000003</v>
          </cell>
          <cell r="AC366">
            <v>37.341746710000002</v>
          </cell>
          <cell r="AD366">
            <v>38.125562039999998</v>
          </cell>
          <cell r="AE366">
            <v>38.975766790000002</v>
          </cell>
          <cell r="AF366">
            <v>39.920252959999999</v>
          </cell>
          <cell r="AG366">
            <v>40.970390309999999</v>
          </cell>
          <cell r="AH366">
            <v>42.131106549999998</v>
          </cell>
          <cell r="AI366">
            <v>43.396721280000001</v>
          </cell>
          <cell r="AJ366">
            <v>44.756683170000002</v>
          </cell>
          <cell r="AK366">
            <v>46.204487520000001</v>
          </cell>
          <cell r="AL366">
            <v>47.738884290000001</v>
          </cell>
          <cell r="AM366">
            <v>49.359618810000001</v>
          </cell>
          <cell r="AN366">
            <v>51.068545</v>
          </cell>
          <cell r="AO366">
            <v>52.871183639999998</v>
          </cell>
        </row>
        <row r="378">
          <cell r="F378">
            <v>4.8754571579999997</v>
          </cell>
          <cell r="G378">
            <v>4.9299592990000001</v>
          </cell>
          <cell r="H378">
            <v>4.9964905259999997</v>
          </cell>
          <cell r="I378">
            <v>5.0712299310000004</v>
          </cell>
          <cell r="J378">
            <v>5.1668337910000002</v>
          </cell>
          <cell r="K378">
            <v>5.2814852129999998</v>
          </cell>
          <cell r="L378">
            <v>5.4055295440000002</v>
          </cell>
          <cell r="M378">
            <v>5.4613801210000004</v>
          </cell>
          <cell r="N378">
            <v>5.497085706</v>
          </cell>
          <cell r="O378">
            <v>5.5482511250000002</v>
          </cell>
          <cell r="P378">
            <v>5.6007241810000004</v>
          </cell>
          <cell r="Q378">
            <v>5.6457259009999996</v>
          </cell>
          <cell r="R378">
            <v>5.6825931829999998</v>
          </cell>
          <cell r="S378">
            <v>5.7131780839999999</v>
          </cell>
          <cell r="T378">
            <v>5.7411016110000004</v>
          </cell>
          <cell r="U378">
            <v>5.7689748180000002</v>
          </cell>
          <cell r="V378">
            <v>5.7966862289999996</v>
          </cell>
          <cell r="W378">
            <v>5.8274734129999999</v>
          </cell>
          <cell r="X378">
            <v>5.8648802360000003</v>
          </cell>
          <cell r="Y378">
            <v>5.9117264110000001</v>
          </cell>
          <cell r="Z378">
            <v>5.9693362519999997</v>
          </cell>
          <cell r="AA378">
            <v>6.0413180730000002</v>
          </cell>
          <cell r="AB378">
            <v>6.1301507820000003</v>
          </cell>
          <cell r="AC378">
            <v>6.2376829689999997</v>
          </cell>
          <cell r="AD378">
            <v>6.3651690470000002</v>
          </cell>
          <cell r="AE378">
            <v>6.5104775290000001</v>
          </cell>
          <cell r="AF378">
            <v>6.6767343979999998</v>
          </cell>
          <cell r="AG378">
            <v>6.8678417869999997</v>
          </cell>
          <cell r="AH378">
            <v>7.0860682700000002</v>
          </cell>
          <cell r="AI378">
            <v>7.3320161810000002</v>
          </cell>
          <cell r="AJ378">
            <v>7.6055195710000003</v>
          </cell>
          <cell r="AK378">
            <v>7.9069039449999998</v>
          </cell>
          <cell r="AL378">
            <v>8.2373977210000007</v>
          </cell>
          <cell r="AM378">
            <v>8.5990030740000005</v>
          </cell>
          <cell r="AN378">
            <v>8.9949539190000003</v>
          </cell>
          <cell r="AO378">
            <v>9.4303782409999997</v>
          </cell>
        </row>
        <row r="390">
          <cell r="F390">
            <v>43.906102930000003</v>
          </cell>
          <cell r="G390">
            <v>44.5224324</v>
          </cell>
          <cell r="H390">
            <v>45.219160350000003</v>
          </cell>
          <cell r="I390">
            <v>45.903144439999998</v>
          </cell>
          <cell r="J390">
            <v>46.772914159999999</v>
          </cell>
          <cell r="K390">
            <v>47.814313300000002</v>
          </cell>
          <cell r="L390">
            <v>48.881727750000003</v>
          </cell>
          <cell r="M390">
            <v>49.026960330000001</v>
          </cell>
          <cell r="N390">
            <v>48.969130730000003</v>
          </cell>
          <cell r="O390">
            <v>49.170729250000001</v>
          </cell>
          <cell r="P390">
            <v>49.374773619999999</v>
          </cell>
          <cell r="Q390">
            <v>49.449361619999998</v>
          </cell>
          <cell r="R390">
            <v>49.407019380000001</v>
          </cell>
          <cell r="S390">
            <v>49.301143019999998</v>
          </cell>
          <cell r="T390">
            <v>49.200502550000003</v>
          </cell>
          <cell r="U390">
            <v>49.144937290000001</v>
          </cell>
          <cell r="V390">
            <v>49.154559419999998</v>
          </cell>
          <cell r="W390">
            <v>49.254134129999997</v>
          </cell>
          <cell r="X390">
            <v>49.46882325</v>
          </cell>
          <cell r="Y390">
            <v>49.8135428</v>
          </cell>
          <cell r="Z390">
            <v>50.294602980000001</v>
          </cell>
          <cell r="AA390">
            <v>50.9321184</v>
          </cell>
          <cell r="AB390">
            <v>51.740524030000003</v>
          </cell>
          <cell r="AC390">
            <v>52.726989490000001</v>
          </cell>
          <cell r="AD390">
            <v>53.891992799999997</v>
          </cell>
          <cell r="AE390">
            <v>55.21886336</v>
          </cell>
          <cell r="AF390">
            <v>56.729254990000001</v>
          </cell>
          <cell r="AG390">
            <v>58.452654420000002</v>
          </cell>
          <cell r="AH390">
            <v>60.398176280000001</v>
          </cell>
          <cell r="AI390">
            <v>62.554229249999999</v>
          </cell>
          <cell r="AJ390">
            <v>64.903660389999999</v>
          </cell>
          <cell r="AK390">
            <v>67.442008639999997</v>
          </cell>
          <cell r="AL390">
            <v>70.179793689999997</v>
          </cell>
          <cell r="AM390">
            <v>73.135716160000001</v>
          </cell>
          <cell r="AN390">
            <v>76.343573489999997</v>
          </cell>
          <cell r="AO390">
            <v>79.86385593</v>
          </cell>
        </row>
        <row r="402">
          <cell r="F402">
            <v>22.283835759999999</v>
          </cell>
          <cell r="G402">
            <v>22.39360181</v>
          </cell>
          <cell r="H402">
            <v>22.534296350000002</v>
          </cell>
          <cell r="I402">
            <v>22.67061726</v>
          </cell>
          <cell r="J402">
            <v>22.934365759999999</v>
          </cell>
          <cell r="K402">
            <v>23.308447350000002</v>
          </cell>
          <cell r="L402">
            <v>23.706021289999999</v>
          </cell>
          <cell r="M402">
            <v>23.689042000000001</v>
          </cell>
          <cell r="N402">
            <v>23.606733739999999</v>
          </cell>
          <cell r="O402">
            <v>23.593956630000001</v>
          </cell>
          <cell r="P402">
            <v>23.629352730000001</v>
          </cell>
          <cell r="Q402">
            <v>23.673992250000001</v>
          </cell>
          <cell r="R402">
            <v>23.712456970000002</v>
          </cell>
          <cell r="S402">
            <v>23.740360190000001</v>
          </cell>
          <cell r="T402">
            <v>23.76441994</v>
          </cell>
          <cell r="U402">
            <v>23.792060459999998</v>
          </cell>
          <cell r="V402">
            <v>23.825450650000001</v>
          </cell>
          <cell r="W402">
            <v>23.874336150000001</v>
          </cell>
          <cell r="X402">
            <v>23.949850250000001</v>
          </cell>
          <cell r="Y402">
            <v>24.06279164</v>
          </cell>
          <cell r="Z402">
            <v>24.214955660000001</v>
          </cell>
          <cell r="AA402">
            <v>24.43013023</v>
          </cell>
          <cell r="AB402">
            <v>24.714462520000001</v>
          </cell>
          <cell r="AC402">
            <v>25.074855230000001</v>
          </cell>
          <cell r="AD402">
            <v>25.517119820000001</v>
          </cell>
          <cell r="AE402">
            <v>26.022073160000001</v>
          </cell>
          <cell r="AF402">
            <v>26.626522300000001</v>
          </cell>
          <cell r="AG402">
            <v>27.337171210000001</v>
          </cell>
          <cell r="AH402">
            <v>28.160566029999998</v>
          </cell>
          <cell r="AI402">
            <v>29.098771280000001</v>
          </cell>
          <cell r="AJ402">
            <v>30.152215030000001</v>
          </cell>
          <cell r="AK402">
            <v>31.324590069999999</v>
          </cell>
          <cell r="AL402">
            <v>32.624506570000001</v>
          </cell>
          <cell r="AM402">
            <v>34.06496224</v>
          </cell>
          <cell r="AN402">
            <v>35.667430320000001</v>
          </cell>
          <cell r="AO402">
            <v>37.46797274</v>
          </cell>
        </row>
        <row r="414">
          <cell r="F414">
            <v>64.301440170000006</v>
          </cell>
          <cell r="G414">
            <v>63.959274999999998</v>
          </cell>
          <cell r="H414">
            <v>63.535335609999997</v>
          </cell>
          <cell r="I414">
            <v>63.14004568</v>
          </cell>
          <cell r="J414">
            <v>62.990037229999999</v>
          </cell>
          <cell r="K414">
            <v>63.008604640000001</v>
          </cell>
          <cell r="L414">
            <v>62.986963770000003</v>
          </cell>
          <cell r="M414">
            <v>62.951802499999999</v>
          </cell>
          <cell r="N414">
            <v>62.926951080000002</v>
          </cell>
          <cell r="O414">
            <v>62.921980329999997</v>
          </cell>
          <cell r="P414">
            <v>62.966428620000002</v>
          </cell>
          <cell r="Q414">
            <v>63.014464709999999</v>
          </cell>
          <cell r="R414">
            <v>63.066609339999999</v>
          </cell>
          <cell r="S414">
            <v>63.119659470000002</v>
          </cell>
          <cell r="T414">
            <v>63.168063009999997</v>
          </cell>
          <cell r="U414">
            <v>63.206469179999999</v>
          </cell>
          <cell r="V414">
            <v>63.321667339999998</v>
          </cell>
          <cell r="W414">
            <v>63.474355060000001</v>
          </cell>
          <cell r="X414">
            <v>63.648251520000002</v>
          </cell>
          <cell r="Y414">
            <v>63.828812759999998</v>
          </cell>
          <cell r="Z414">
            <v>63.989376550000003</v>
          </cell>
          <cell r="AA414">
            <v>64.153487580000004</v>
          </cell>
          <cell r="AB414">
            <v>64.316103389999995</v>
          </cell>
          <cell r="AC414">
            <v>64.47681944</v>
          </cell>
          <cell r="AD414">
            <v>64.636800050000005</v>
          </cell>
          <cell r="AE414">
            <v>64.751569779999997</v>
          </cell>
          <cell r="AF414">
            <v>64.875775070000003</v>
          </cell>
          <cell r="AG414">
            <v>65.011964969999994</v>
          </cell>
          <cell r="AH414">
            <v>65.163461380000001</v>
          </cell>
          <cell r="AI414">
            <v>65.333973040000004</v>
          </cell>
          <cell r="AJ414">
            <v>65.526093270000004</v>
          </cell>
          <cell r="AK414">
            <v>65.740739399999995</v>
          </cell>
          <cell r="AL414">
            <v>65.975677450000006</v>
          </cell>
          <cell r="AM414">
            <v>66.227973849999998</v>
          </cell>
          <cell r="AN414">
            <v>66.494305879999999</v>
          </cell>
          <cell r="AO414">
            <v>66.77089325</v>
          </cell>
        </row>
        <row r="415">
          <cell r="F415">
            <v>42.52087745</v>
          </cell>
          <cell r="G415">
            <v>42.468610179999999</v>
          </cell>
          <cell r="H415">
            <v>42.172305030000004</v>
          </cell>
          <cell r="I415">
            <v>41.794756740000004</v>
          </cell>
          <cell r="J415">
            <v>41.570397399999997</v>
          </cell>
          <cell r="K415">
            <v>41.448224009999997</v>
          </cell>
          <cell r="L415">
            <v>41.250308459999999</v>
          </cell>
          <cell r="M415">
            <v>41.018645509999999</v>
          </cell>
          <cell r="N415">
            <v>40.782834940000001</v>
          </cell>
          <cell r="O415">
            <v>40.555135039999996</v>
          </cell>
          <cell r="P415">
            <v>40.364747890000004</v>
          </cell>
          <cell r="Q415">
            <v>40.177150240000003</v>
          </cell>
          <cell r="R415">
            <v>39.999316239999999</v>
          </cell>
          <cell r="S415">
            <v>39.833517790000002</v>
          </cell>
          <cell r="T415">
            <v>39.67827733</v>
          </cell>
          <cell r="U415">
            <v>39.530504829999998</v>
          </cell>
          <cell r="V415">
            <v>39.466544450000001</v>
          </cell>
          <cell r="W415">
            <v>39.443664439999999</v>
          </cell>
          <cell r="X415">
            <v>39.445675119999997</v>
          </cell>
          <cell r="Y415">
            <v>39.45858398</v>
          </cell>
          <cell r="Z415">
            <v>39.458069500000001</v>
          </cell>
          <cell r="AA415">
            <v>39.463365920000001</v>
          </cell>
          <cell r="AB415">
            <v>39.467378289999999</v>
          </cell>
          <cell r="AC415">
            <v>39.467122270000004</v>
          </cell>
          <cell r="AD415">
            <v>39.461443889999998</v>
          </cell>
          <cell r="AE415">
            <v>39.410571659999995</v>
          </cell>
          <cell r="AF415">
            <v>39.361853609999997</v>
          </cell>
          <cell r="AG415">
            <v>39.315087979999994</v>
          </cell>
          <cell r="AH415">
            <v>39.270769479999998</v>
          </cell>
          <cell r="AI415">
            <v>39.230156630000003</v>
          </cell>
          <cell r="AJ415">
            <v>39.194645770000001</v>
          </cell>
          <cell r="AK415">
            <v>39.165343310000004</v>
          </cell>
          <cell r="AL415">
            <v>39.14135684</v>
          </cell>
          <cell r="AM415">
            <v>39.121995320000003</v>
          </cell>
          <cell r="AN415">
            <v>39.106847359999996</v>
          </cell>
          <cell r="AO415">
            <v>39.095531960000002</v>
          </cell>
        </row>
        <row r="423">
          <cell r="F423">
            <v>21.78056273</v>
          </cell>
          <cell r="G423">
            <v>21.490664819999999</v>
          </cell>
          <cell r="H423">
            <v>21.363030569999999</v>
          </cell>
          <cell r="I423">
            <v>21.34528894</v>
          </cell>
          <cell r="J423">
            <v>21.419639829999998</v>
          </cell>
          <cell r="K423">
            <v>21.560380640000002</v>
          </cell>
          <cell r="L423">
            <v>21.73665531</v>
          </cell>
          <cell r="M423">
            <v>21.933156989999997</v>
          </cell>
          <cell r="N423">
            <v>22.144116140000001</v>
          </cell>
          <cell r="O423">
            <v>22.366845290000001</v>
          </cell>
          <cell r="P423">
            <v>22.601680719999997</v>
          </cell>
          <cell r="Q423">
            <v>22.837314460000002</v>
          </cell>
          <cell r="R423">
            <v>23.067293100000001</v>
          </cell>
          <cell r="S423">
            <v>23.28614168</v>
          </cell>
          <cell r="T423">
            <v>23.489785670000003</v>
          </cell>
          <cell r="U423">
            <v>23.675964350000001</v>
          </cell>
          <cell r="V423">
            <v>23.855122899999998</v>
          </cell>
          <cell r="W423">
            <v>24.030690620000001</v>
          </cell>
          <cell r="X423">
            <v>24.202576399999998</v>
          </cell>
          <cell r="Y423">
            <v>24.370228780000001</v>
          </cell>
          <cell r="Z423">
            <v>24.53130706</v>
          </cell>
          <cell r="AA423">
            <v>24.690121659999999</v>
          </cell>
          <cell r="AB423">
            <v>24.848725100000003</v>
          </cell>
          <cell r="AC423">
            <v>25.009697160000002</v>
          </cell>
          <cell r="AD423">
            <v>25.17535616</v>
          </cell>
          <cell r="AE423">
            <v>25.340998120000002</v>
          </cell>
          <cell r="AF423">
            <v>25.513921449999998</v>
          </cell>
          <cell r="AG423">
            <v>25.696876979999999</v>
          </cell>
          <cell r="AH423">
            <v>25.892691899999999</v>
          </cell>
          <cell r="AI423">
            <v>26.10381641</v>
          </cell>
          <cell r="AJ423">
            <v>26.331447499999999</v>
          </cell>
          <cell r="AK423">
            <v>26.575396089999998</v>
          </cell>
          <cell r="AL423">
            <v>26.834320609999999</v>
          </cell>
          <cell r="AM423">
            <v>27.105978530000002</v>
          </cell>
          <cell r="AN423">
            <v>27.387458519999999</v>
          </cell>
          <cell r="AO423">
            <v>27.675361289999998</v>
          </cell>
        </row>
        <row r="427">
          <cell r="F427">
            <v>26.32744194</v>
          </cell>
          <cell r="G427">
            <v>26.790589700000002</v>
          </cell>
          <cell r="H427">
            <v>27.31078303</v>
          </cell>
          <cell r="I427">
            <v>27.862159850000001</v>
          </cell>
          <cell r="J427">
            <v>28.457450470000001</v>
          </cell>
          <cell r="K427">
            <v>29.09552072</v>
          </cell>
          <cell r="L427">
            <v>29.750436780000001</v>
          </cell>
          <cell r="M427">
            <v>30.411312179999999</v>
          </cell>
          <cell r="N427">
            <v>31.07411346</v>
          </cell>
          <cell r="O427">
            <v>31.738609650000001</v>
          </cell>
          <cell r="P427">
            <v>32.389591150000001</v>
          </cell>
          <cell r="Q427">
            <v>32.929769669999999</v>
          </cell>
          <cell r="R427">
            <v>33.379389279999998</v>
          </cell>
          <cell r="S427">
            <v>33.761156630000002</v>
          </cell>
          <cell r="T427">
            <v>34.100042569999999</v>
          </cell>
          <cell r="U427">
            <v>34.419082979999999</v>
          </cell>
          <cell r="V427">
            <v>34.751636840000003</v>
          </cell>
          <cell r="W427">
            <v>35.121709379999999</v>
          </cell>
          <cell r="X427">
            <v>35.544461220000002</v>
          </cell>
          <cell r="Y427">
            <v>36.02737106</v>
          </cell>
          <cell r="Z427">
            <v>36.56799659</v>
          </cell>
          <cell r="AA427">
            <v>37.181465009999997</v>
          </cell>
          <cell r="AB427">
            <v>37.872089090000003</v>
          </cell>
          <cell r="AC427">
            <v>38.642661169999997</v>
          </cell>
          <cell r="AD427">
            <v>39.492142880000003</v>
          </cell>
          <cell r="AE427">
            <v>40.396494480000001</v>
          </cell>
          <cell r="AF427">
            <v>41.376978000000001</v>
          </cell>
          <cell r="AG427">
            <v>42.436673200000001</v>
          </cell>
          <cell r="AH427">
            <v>43.575388179999997</v>
          </cell>
          <cell r="AI427">
            <v>44.782351069999997</v>
          </cell>
          <cell r="AJ427">
            <v>46.041195109999997</v>
          </cell>
          <cell r="AK427">
            <v>47.336889470000003</v>
          </cell>
          <cell r="AL427">
            <v>48.657268209999998</v>
          </cell>
          <cell r="AM427">
            <v>49.991442280000001</v>
          </cell>
          <cell r="AN427">
            <v>51.329051479999997</v>
          </cell>
          <cell r="AO427">
            <v>52.659957120000001</v>
          </cell>
        </row>
        <row r="439">
          <cell r="F439">
            <v>4.8754571579999997</v>
          </cell>
          <cell r="G439">
            <v>4.9299593000000002</v>
          </cell>
          <cell r="H439">
            <v>4.9964905269999997</v>
          </cell>
          <cell r="I439">
            <v>5.0712299329999997</v>
          </cell>
          <cell r="J439">
            <v>5.1668337930000003</v>
          </cell>
          <cell r="K439">
            <v>5.281485215</v>
          </cell>
          <cell r="L439">
            <v>5.4055295470000004</v>
          </cell>
          <cell r="M439">
            <v>5.5333331799999996</v>
          </cell>
          <cell r="N439">
            <v>5.662699667</v>
          </cell>
          <cell r="O439">
            <v>5.7927463179999998</v>
          </cell>
          <cell r="P439">
            <v>5.9201463209999998</v>
          </cell>
          <cell r="Q439">
            <v>6.0271029540000001</v>
          </cell>
          <cell r="R439">
            <v>6.1146784649999999</v>
          </cell>
          <cell r="S439">
            <v>6.185561023</v>
          </cell>
          <cell r="T439">
            <v>6.2437314989999999</v>
          </cell>
          <cell r="U439">
            <v>6.2935435379999998</v>
          </cell>
          <cell r="V439">
            <v>6.3436249739999999</v>
          </cell>
          <cell r="W439">
            <v>6.3998760770000001</v>
          </cell>
          <cell r="X439">
            <v>6.4660822680000001</v>
          </cell>
          <cell r="Y439">
            <v>6.5443416870000002</v>
          </cell>
          <cell r="Z439">
            <v>6.6348661829999998</v>
          </cell>
          <cell r="AA439">
            <v>6.7403248790000001</v>
          </cell>
          <cell r="AB439">
            <v>6.8622473749999999</v>
          </cell>
          <cell r="AC439">
            <v>7.0016431150000003</v>
          </cell>
          <cell r="AD439">
            <v>7.1588298019999996</v>
          </cell>
          <cell r="AE439">
            <v>7.3303283590000001</v>
          </cell>
          <cell r="AF439">
            <v>7.519100978</v>
          </cell>
          <cell r="AG439">
            <v>7.726555845</v>
          </cell>
          <cell r="AH439">
            <v>7.9531156980000004</v>
          </cell>
          <cell r="AI439">
            <v>8.1971185930000008</v>
          </cell>
          <cell r="AJ439">
            <v>8.4556006719999992</v>
          </cell>
          <cell r="AK439">
            <v>8.7254633570000006</v>
          </cell>
          <cell r="AL439">
            <v>9.0038258039999999</v>
          </cell>
          <cell r="AM439">
            <v>9.2878508919999998</v>
          </cell>
          <cell r="AN439">
            <v>9.5746775540000009</v>
          </cell>
          <cell r="AO439">
            <v>9.8614085199999995</v>
          </cell>
        </row>
        <row r="451">
          <cell r="F451">
            <v>43.906102959999998</v>
          </cell>
          <cell r="G451">
            <v>44.522432469999998</v>
          </cell>
          <cell r="H451">
            <v>45.219160469999998</v>
          </cell>
          <cell r="I451">
            <v>45.903144609999998</v>
          </cell>
          <cell r="J451">
            <v>46.772914370000002</v>
          </cell>
          <cell r="K451">
            <v>47.814313550000001</v>
          </cell>
          <cell r="L451">
            <v>48.881728010000003</v>
          </cell>
          <cell r="M451">
            <v>49.938004319999997</v>
          </cell>
          <cell r="N451">
            <v>50.978221670000003</v>
          </cell>
          <cell r="O451">
            <v>52.004582970000001</v>
          </cell>
          <cell r="P451">
            <v>52.969282509999999</v>
          </cell>
          <cell r="Q451">
            <v>53.668895050000003</v>
          </cell>
          <cell r="R451">
            <v>54.157355639999999</v>
          </cell>
          <cell r="S451">
            <v>54.492956229999997</v>
          </cell>
          <cell r="T451">
            <v>54.738887609999999</v>
          </cell>
          <cell r="U451">
            <v>54.95164218</v>
          </cell>
          <cell r="V451">
            <v>55.254106800000002</v>
          </cell>
          <cell r="W451">
            <v>55.68816219</v>
          </cell>
          <cell r="X451">
            <v>56.277661289999998</v>
          </cell>
          <cell r="Y451">
            <v>57.031614810000001</v>
          </cell>
          <cell r="Z451">
            <v>57.948571270000002</v>
          </cell>
          <cell r="AA451">
            <v>59.041087619999999</v>
          </cell>
          <cell r="AB451">
            <v>60.317030350000003</v>
          </cell>
          <cell r="AC451">
            <v>61.780161</v>
          </cell>
          <cell r="AD451">
            <v>63.427158040000002</v>
          </cell>
          <cell r="AE451">
            <v>65.234237829999998</v>
          </cell>
          <cell r="AF451">
            <v>67.218620439999995</v>
          </cell>
          <cell r="AG451">
            <v>69.388499409999994</v>
          </cell>
          <cell r="AH451">
            <v>71.742256319999996</v>
          </cell>
          <cell r="AI451">
            <v>74.252748569999994</v>
          </cell>
          <cell r="AJ451">
            <v>76.880994169999994</v>
          </cell>
          <cell r="AK451">
            <v>79.591942009999997</v>
          </cell>
          <cell r="AL451">
            <v>82.357328089999996</v>
          </cell>
          <cell r="AM451">
            <v>85.151603829999999</v>
          </cell>
          <cell r="AN451">
            <v>87.950013970000001</v>
          </cell>
          <cell r="AO451">
            <v>90.727871329999999</v>
          </cell>
        </row>
        <row r="463">
          <cell r="F463">
            <v>22.283835799999999</v>
          </cell>
          <cell r="G463">
            <v>22.3936019</v>
          </cell>
          <cell r="H463">
            <v>22.534296479999998</v>
          </cell>
          <cell r="I463">
            <v>22.670617450000002</v>
          </cell>
          <cell r="J463">
            <v>22.93436599</v>
          </cell>
          <cell r="K463">
            <v>23.308447610000002</v>
          </cell>
          <cell r="L463">
            <v>23.70602156</v>
          </cell>
          <cell r="M463">
            <v>24.11338516</v>
          </cell>
          <cell r="N463">
            <v>24.527280390000001</v>
          </cell>
          <cell r="O463">
            <v>24.944969889999999</v>
          </cell>
          <cell r="P463">
            <v>25.364972850000001</v>
          </cell>
          <cell r="Q463">
            <v>25.714546070000001</v>
          </cell>
          <cell r="R463">
            <v>25.994183069999998</v>
          </cell>
          <cell r="S463">
            <v>26.209117429999999</v>
          </cell>
          <cell r="T463">
            <v>26.372091130000001</v>
          </cell>
          <cell r="U463">
            <v>26.49967994</v>
          </cell>
          <cell r="V463">
            <v>26.645982740000001</v>
          </cell>
          <cell r="W463">
            <v>26.823146009999999</v>
          </cell>
          <cell r="X463">
            <v>27.041775380000001</v>
          </cell>
          <cell r="Y463">
            <v>27.310289789999999</v>
          </cell>
          <cell r="Z463">
            <v>27.626105419999998</v>
          </cell>
          <cell r="AA463">
            <v>28.010897419999999</v>
          </cell>
          <cell r="AB463">
            <v>28.466875250000001</v>
          </cell>
          <cell r="AC463">
            <v>28.998452520000001</v>
          </cell>
          <cell r="AD463">
            <v>29.608724110000001</v>
          </cell>
          <cell r="AE463">
            <v>30.271335870000001</v>
          </cell>
          <cell r="AF463">
            <v>31.019298460000002</v>
          </cell>
          <cell r="AG463">
            <v>31.850211900000001</v>
          </cell>
          <cell r="AH463">
            <v>32.76327079</v>
          </cell>
          <cell r="AI463">
            <v>33.751012510000002</v>
          </cell>
          <cell r="AJ463">
            <v>34.80116709</v>
          </cell>
          <cell r="AK463">
            <v>35.900119340000003</v>
          </cell>
          <cell r="AL463">
            <v>37.034505529999997</v>
          </cell>
          <cell r="AM463">
            <v>38.191217350000002</v>
          </cell>
          <cell r="AN463">
            <v>39.357388569999998</v>
          </cell>
          <cell r="AO463">
            <v>40.520424220000002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-0.22577943122299438</v>
          </cell>
          <cell r="N1365">
            <v>-0.45270811614862572</v>
          </cell>
          <cell r="O1365">
            <v>-0.31562530067381633</v>
          </cell>
          <cell r="P1365">
            <v>-0.15880178837761605</v>
          </cell>
          <cell r="Q1365">
            <v>-2.713829011178337E-2</v>
          </cell>
          <cell r="R1365">
            <v>7.1304220350509873E-2</v>
          </cell>
          <cell r="S1365">
            <v>0.15057840533787559</v>
          </cell>
          <cell r="T1365">
            <v>0.23176076362543263</v>
          </cell>
          <cell r="U1365">
            <v>0.31393342991943296</v>
          </cell>
          <cell r="V1365">
            <v>0.36353884817050819</v>
          </cell>
          <cell r="W1365">
            <v>0.38703312576622295</v>
          </cell>
          <cell r="X1365">
            <v>0.38913253400862935</v>
          </cell>
          <cell r="Y1365">
            <v>0.3765304787602064</v>
          </cell>
          <cell r="Z1365">
            <v>0.35467533714732546</v>
          </cell>
          <cell r="AA1365">
            <v>0.3275040502408455</v>
          </cell>
          <cell r="AB1365">
            <v>0.29862664822659646</v>
          </cell>
          <cell r="AC1365">
            <v>0.27176539068221039</v>
          </cell>
          <cell r="AD1365">
            <v>0.25067804926701687</v>
          </cell>
          <cell r="AE1365">
            <v>0.23750664301731561</v>
          </cell>
          <cell r="AF1365">
            <v>0.23696049807262476</v>
          </cell>
          <cell r="AG1365">
            <v>0.24863178883176573</v>
          </cell>
          <cell r="AH1365">
            <v>0.27588212830473857</v>
          </cell>
          <cell r="AI1365">
            <v>0.32265390283416906</v>
          </cell>
          <cell r="AJ1365">
            <v>0.39184496891615517</v>
          </cell>
          <cell r="AK1365">
            <v>0.48492290860118192</v>
          </cell>
          <cell r="AL1365">
            <v>0.6029349177662402</v>
          </cell>
          <cell r="AM1365">
            <v>0.74735691260459092</v>
          </cell>
          <cell r="AN1365">
            <v>0.91990850997438756</v>
          </cell>
          <cell r="AO1365">
            <v>1.1220513769173657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-6.0997540352047963E-9</v>
          </cell>
          <cell r="I1366">
            <v>0</v>
          </cell>
          <cell r="J1366">
            <v>0</v>
          </cell>
          <cell r="K1366">
            <v>0</v>
          </cell>
          <cell r="L1366">
            <v>-5.5311533131430224E-9</v>
          </cell>
          <cell r="M1366">
            <v>-0.2889886400339492</v>
          </cell>
          <cell r="N1366">
            <v>-0.57286449044265941</v>
          </cell>
          <cell r="O1366">
            <v>-0.40550972274832064</v>
          </cell>
          <cell r="P1366">
            <v>-0.23522963091492377</v>
          </cell>
          <cell r="Q1366">
            <v>-0.11274081555182613</v>
          </cell>
          <cell r="R1366">
            <v>-4.3353800857814928E-2</v>
          </cell>
          <cell r="S1366">
            <v>-2.3325062113221939E-3</v>
          </cell>
          <cell r="T1366">
            <v>4.0929542877954361E-2</v>
          </cell>
          <cell r="U1366">
            <v>8.6764915505210816E-2</v>
          </cell>
          <cell r="V1366">
            <v>9.6407876183302044E-2</v>
          </cell>
          <cell r="W1366">
            <v>7.9113475393999266E-2</v>
          </cell>
          <cell r="X1366">
            <v>3.9524167284854528E-2</v>
          </cell>
          <cell r="Y1366">
            <v>-1.5138233982803229E-2</v>
          </cell>
          <cell r="Z1366">
            <v>-7.8806973963452265E-2</v>
          </cell>
          <cell r="AA1366">
            <v>-0.14642439822895037</v>
          </cell>
          <cell r="AB1366">
            <v>-0.21374613632170192</v>
          </cell>
          <cell r="AC1366">
            <v>-0.27671294056963447</v>
          </cell>
          <cell r="AD1366">
            <v>-0.33125759563867874</v>
          </cell>
          <cell r="AE1366">
            <v>-0.37544884400689815</v>
          </cell>
          <cell r="AF1366">
            <v>-0.40298513717805795</v>
          </cell>
          <cell r="AG1366">
            <v>-0.41454634884752206</v>
          </cell>
          <cell r="AH1366">
            <v>-0.40754556828895838</v>
          </cell>
          <cell r="AI1366">
            <v>-0.37880967344352534</v>
          </cell>
          <cell r="AJ1366">
            <v>-0.32629828779133785</v>
          </cell>
          <cell r="AK1366">
            <v>-0.24935401811549962</v>
          </cell>
          <cell r="AL1366">
            <v>-0.14802847968116151</v>
          </cell>
          <cell r="AM1366">
            <v>-2.2716392461630264E-2</v>
          </cell>
          <cell r="AN1366">
            <v>0.12601044196489664</v>
          </cell>
          <cell r="AO1366">
            <v>0.29675423262001122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4.2803519879134152E-8</v>
          </cell>
          <cell r="J1367">
            <v>4.1833054927938562E-8</v>
          </cell>
          <cell r="K1367">
            <v>0</v>
          </cell>
          <cell r="L1367">
            <v>0</v>
          </cell>
          <cell r="M1367">
            <v>-2.3664758259374537E-2</v>
          </cell>
          <cell r="N1367">
            <v>-6.8973270409666498E-2</v>
          </cell>
          <cell r="O1367">
            <v>-3.7144975389814261E-2</v>
          </cell>
          <cell r="P1367">
            <v>8.1494186509300501E-2</v>
          </cell>
          <cell r="Q1367">
            <v>0.25961046494576867</v>
          </cell>
          <cell r="R1367">
            <v>0.48153482882236887</v>
          </cell>
          <cell r="S1367">
            <v>0.71620900354104844</v>
          </cell>
          <cell r="T1367">
            <v>0.94454082381165605</v>
          </cell>
          <cell r="U1367">
            <v>1.1575623670650288</v>
          </cell>
          <cell r="V1367">
            <v>1.3442802106439864</v>
          </cell>
          <cell r="W1367">
            <v>1.49570902862425</v>
          </cell>
          <cell r="X1367">
            <v>1.6182666139054458</v>
          </cell>
          <cell r="Y1367">
            <v>1.7181322540376378</v>
          </cell>
          <cell r="Z1367">
            <v>1.7988959505915365</v>
          </cell>
          <cell r="AA1367">
            <v>1.8596879394547499</v>
          </cell>
          <cell r="AB1367">
            <v>1.9011915864138287</v>
          </cell>
          <cell r="AC1367">
            <v>1.9261204184358547</v>
          </cell>
          <cell r="AD1367">
            <v>1.9371026134371825</v>
          </cell>
          <cell r="AE1367">
            <v>1.9363251915155164</v>
          </cell>
          <cell r="AF1367">
            <v>1.9191195873716285</v>
          </cell>
          <cell r="AG1367">
            <v>1.8841909404034394</v>
          </cell>
          <cell r="AH1367">
            <v>1.8374887605234356</v>
          </cell>
          <cell r="AI1367">
            <v>1.7849741832289281</v>
          </cell>
          <cell r="AJ1367">
            <v>1.7307198091147347</v>
          </cell>
          <cell r="AK1367">
            <v>1.6754718373752462</v>
          </cell>
          <cell r="AL1367">
            <v>1.6196066202716277</v>
          </cell>
          <cell r="AM1367">
            <v>1.5667947829466764</v>
          </cell>
          <cell r="AN1367">
            <v>1.5210501018690885</v>
          </cell>
          <cell r="AO1367">
            <v>1.485450429493492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8.7507325288071776E-10</v>
          </cell>
          <cell r="I1368">
            <v>1.7121408699101543E-9</v>
          </cell>
          <cell r="J1368">
            <v>1.6733222701676759E-9</v>
          </cell>
          <cell r="K1368">
            <v>2.4512277799110475E-9</v>
          </cell>
          <cell r="L1368">
            <v>2.7931964588170368E-9</v>
          </cell>
          <cell r="M1368">
            <v>-6.6069111714303214E-2</v>
          </cell>
          <cell r="N1368">
            <v>-0.1135947924710438</v>
          </cell>
          <cell r="O1368">
            <v>-0.12963825269144846</v>
          </cell>
          <cell r="P1368">
            <v>-0.12536006928213811</v>
          </cell>
          <cell r="Q1368">
            <v>-9.1575692559000527E-2</v>
          </cell>
          <cell r="R1368">
            <v>-5.248473448677056E-2</v>
          </cell>
          <cell r="S1368">
            <v>-2.0329467098867949E-2</v>
          </cell>
          <cell r="T1368">
            <v>2.7307103185468633E-3</v>
          </cell>
          <cell r="U1368">
            <v>1.8355156524851035E-2</v>
          </cell>
          <cell r="V1368">
            <v>1.502082784494542E-2</v>
          </cell>
          <cell r="W1368">
            <v>4.678174271217128E-3</v>
          </cell>
          <cell r="X1368">
            <v>-5.2376877688108895E-3</v>
          </cell>
          <cell r="Y1368">
            <v>-1.2171646799436241E-2</v>
          </cell>
          <cell r="Z1368">
            <v>-1.6094321923672245E-2</v>
          </cell>
          <cell r="AA1368">
            <v>-1.7698225303447487E-2</v>
          </cell>
          <cell r="AB1368">
            <v>-1.7896084775068526E-2</v>
          </cell>
          <cell r="AC1368">
            <v>-1.7129510093004278E-2</v>
          </cell>
          <cell r="AD1368">
            <v>-1.5680592111611012E-2</v>
          </cell>
          <cell r="AE1368">
            <v>-1.4024835275533004E-2</v>
          </cell>
          <cell r="AF1368">
            <v>-1.2435103954170992E-2</v>
          </cell>
          <cell r="AG1368">
            <v>-1.1245282749121573E-2</v>
          </cell>
          <cell r="AH1368">
            <v>-9.9158833767976941E-3</v>
          </cell>
          <cell r="AI1368">
            <v>-7.9989945440405025E-3</v>
          </cell>
          <cell r="AJ1368">
            <v>-5.3303128758024065E-3</v>
          </cell>
          <cell r="AK1368">
            <v>-1.9766547778498835E-3</v>
          </cell>
          <cell r="AL1368">
            <v>2.0814181504444779E-3</v>
          </cell>
          <cell r="AM1368">
            <v>7.2259431651990492E-3</v>
          </cell>
          <cell r="AN1368">
            <v>1.3848664506456096E-2</v>
          </cell>
          <cell r="AO1368">
            <v>2.2164056603902953E-2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4.3753649910048393E-9</v>
          </cell>
          <cell r="I1370">
            <v>0</v>
          </cell>
          <cell r="J1370">
            <v>4.1833059797947446E-9</v>
          </cell>
          <cell r="K1370">
            <v>4.085377057014409E-9</v>
          </cell>
          <cell r="L1370">
            <v>3.990278830514242E-9</v>
          </cell>
          <cell r="M1370">
            <v>-5.3788899284015659E-2</v>
          </cell>
          <cell r="N1370">
            <v>-0.12292959918342489</v>
          </cell>
          <cell r="O1370">
            <v>-0.13771426343198634</v>
          </cell>
          <cell r="P1370">
            <v>-0.12304714107170145</v>
          </cell>
          <cell r="Q1370">
            <v>-9.2692643109603692E-2</v>
          </cell>
          <cell r="R1370">
            <v>-5.6482292824561846E-2</v>
          </cell>
          <cell r="S1370">
            <v>-1.6434665202201368E-2</v>
          </cell>
          <cell r="T1370">
            <v>3.0545574329491499E-2</v>
          </cell>
          <cell r="U1370">
            <v>8.6055899335027636E-2</v>
          </cell>
          <cell r="V1370">
            <v>0.14092688391864983</v>
          </cell>
          <cell r="W1370">
            <v>0.19475067248758618</v>
          </cell>
          <cell r="X1370">
            <v>0.24924498464032291</v>
          </cell>
          <cell r="Y1370">
            <v>0.3068151055743662</v>
          </cell>
          <cell r="Z1370">
            <v>0.3698471109088356</v>
          </cell>
          <cell r="AA1370">
            <v>0.43986763843560034</v>
          </cell>
          <cell r="AB1370">
            <v>0.51831567252759014</v>
          </cell>
          <cell r="AC1370">
            <v>0.60668883761880277</v>
          </cell>
          <cell r="AD1370">
            <v>0.70646975199130524</v>
          </cell>
          <cell r="AE1370">
            <v>0.8192711662833172</v>
          </cell>
          <cell r="AF1370">
            <v>0.94539636237681235</v>
          </cell>
          <cell r="AG1370">
            <v>1.0840439267827882</v>
          </cell>
          <cell r="AH1370">
            <v>1.2356734886518457</v>
          </cell>
          <cell r="AI1370">
            <v>1.4015782897960285</v>
          </cell>
          <cell r="AJ1370">
            <v>1.5834133403431709</v>
          </cell>
          <cell r="AK1370">
            <v>1.7826461571932017</v>
          </cell>
          <cell r="AL1370">
            <v>2.0009428579976483</v>
          </cell>
          <cell r="AM1370">
            <v>2.2410490282066946</v>
          </cell>
          <cell r="AN1370">
            <v>2.506800428285521</v>
          </cell>
          <cell r="AO1370">
            <v>2.8032346790875668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0</v>
          </cell>
          <cell r="H1372">
            <v>-4.3753675378023368E-9</v>
          </cell>
          <cell r="I1372">
            <v>-8.5607099554098926E-9</v>
          </cell>
          <cell r="J1372">
            <v>-1.2549920374388678E-8</v>
          </cell>
          <cell r="K1372">
            <v>-1.6341517740072419E-8</v>
          </cell>
          <cell r="L1372">
            <v>-1.5961124612653822E-8</v>
          </cell>
          <cell r="M1372">
            <v>-0.14832577757720947</v>
          </cell>
          <cell r="N1372">
            <v>-0.26080525417029254</v>
          </cell>
          <cell r="O1372">
            <v>-0.14076605069365555</v>
          </cell>
          <cell r="P1372">
            <v>-0.11724880837744622</v>
          </cell>
          <cell r="Q1372">
            <v>-0.19405612263151342</v>
          </cell>
          <cell r="R1372">
            <v>-0.35374830865390794</v>
          </cell>
          <cell r="S1372">
            <v>-0.54919595707221858</v>
          </cell>
          <cell r="T1372">
            <v>-0.74332565482868418</v>
          </cell>
          <cell r="U1372">
            <v>-0.92968484982172306</v>
          </cell>
          <cell r="V1372">
            <v>-1.1216682201060604</v>
          </cell>
          <cell r="W1372">
            <v>-1.3034265753456213</v>
          </cell>
          <cell r="X1372">
            <v>-1.4783790740887892</v>
          </cell>
          <cell r="Y1372">
            <v>-1.6484168683301383</v>
          </cell>
          <cell r="Z1372">
            <v>-1.8140677458859038</v>
          </cell>
          <cell r="AA1372">
            <v>-1.9720515427440337</v>
          </cell>
          <cell r="AB1372">
            <v>-2.1208805959183263</v>
          </cell>
          <cell r="AC1372">
            <v>-2.2610438682698715</v>
          </cell>
          <cell r="AD1372">
            <v>-2.392894318995137</v>
          </cell>
          <cell r="AE1372">
            <v>-2.5180897120103132</v>
          </cell>
          <cell r="AF1372">
            <v>-2.6275554489689803</v>
          </cell>
          <cell r="AG1372">
            <v>-2.7196031100518154</v>
          </cell>
          <cell r="AH1372">
            <v>-2.7972801131448044</v>
          </cell>
          <cell r="AI1372">
            <v>-2.8638986203690555</v>
          </cell>
          <cell r="AJ1372">
            <v>-2.9222882049735879</v>
          </cell>
          <cell r="AK1372">
            <v>-2.9731950859672631</v>
          </cell>
          <cell r="AL1372">
            <v>-3.0176145605030413</v>
          </cell>
          <cell r="AM1372">
            <v>-3.0604869210975947</v>
          </cell>
          <cell r="AN1372">
            <v>-3.1079420201802135</v>
          </cell>
          <cell r="AO1372">
            <v>-3.1666337102624604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4.2803519879134152E-8</v>
          </cell>
          <cell r="J1373">
            <v>4.1833054927938562E-8</v>
          </cell>
          <cell r="K1373">
            <v>-4.0854103490661475E-10</v>
          </cell>
          <cell r="L1373">
            <v>0</v>
          </cell>
          <cell r="M1373">
            <v>-2.2364543956121908E-2</v>
          </cell>
          <cell r="N1373">
            <v>-6.5058928698839322E-2</v>
          </cell>
          <cell r="O1373">
            <v>-3.1439178414697219E-2</v>
          </cell>
          <cell r="P1373">
            <v>8.7658194061861039E-2</v>
          </cell>
          <cell r="Q1373">
            <v>0.26496402993799656</v>
          </cell>
          <cell r="R1373">
            <v>0.48477337248591146</v>
          </cell>
          <cell r="S1373">
            <v>0.71655409191994268</v>
          </cell>
          <cell r="T1373">
            <v>0.94168423227003961</v>
          </cell>
          <cell r="U1373">
            <v>1.1514954540781586</v>
          </cell>
          <cell r="V1373">
            <v>1.3353795461827018</v>
          </cell>
          <cell r="W1373">
            <v>1.4846812832537737</v>
          </cell>
          <cell r="X1373">
            <v>1.6056874048530172</v>
          </cell>
          <cell r="Y1373">
            <v>1.7043618480397265</v>
          </cell>
          <cell r="Z1373">
            <v>1.7841334336823085</v>
          </cell>
          <cell r="AA1373">
            <v>1.8440988169675476</v>
          </cell>
          <cell r="AB1373">
            <v>1.8849342669666831</v>
          </cell>
          <cell r="AC1373">
            <v>1.9093331248642122</v>
          </cell>
          <cell r="AD1373">
            <v>1.9199098640407042</v>
          </cell>
          <cell r="AE1373">
            <v>1.9188486992761131</v>
          </cell>
          <cell r="AF1373">
            <v>1.9016194572645104</v>
          </cell>
          <cell r="AG1373">
            <v>1.8670415392381039</v>
          </cell>
          <cell r="AH1373">
            <v>1.8210310082573959</v>
          </cell>
          <cell r="AI1373">
            <v>1.7694731714409728</v>
          </cell>
          <cell r="AJ1373">
            <v>1.7163775047808589</v>
          </cell>
          <cell r="AK1373">
            <v>1.6624873585387341</v>
          </cell>
          <cell r="AL1373">
            <v>1.608195090840012</v>
          </cell>
          <cell r="AM1373">
            <v>1.5571280783301973</v>
          </cell>
          <cell r="AN1373">
            <v>1.5132359297806071</v>
          </cell>
          <cell r="AO1373">
            <v>1.4795415383810817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4.3753649910048393E-9</v>
          </cell>
          <cell r="I1374">
            <v>0</v>
          </cell>
          <cell r="J1374">
            <v>4.1833035447903008E-9</v>
          </cell>
          <cell r="K1374">
            <v>4.4939133359136329E-9</v>
          </cell>
          <cell r="L1374">
            <v>3.990278830514242E-9</v>
          </cell>
          <cell r="M1374">
            <v>-5.508911358727283E-2</v>
          </cell>
          <cell r="N1374">
            <v>-0.12684394089425649</v>
          </cell>
          <cell r="O1374">
            <v>-0.14342006040709904</v>
          </cell>
          <cell r="P1374">
            <v>-0.12921114862426622</v>
          </cell>
          <cell r="Q1374">
            <v>-9.8046208101835702E-2</v>
          </cell>
          <cell r="R1374">
            <v>-5.9720836488104445E-2</v>
          </cell>
          <cell r="S1374">
            <v>-1.677975358109967E-2</v>
          </cell>
          <cell r="T1374">
            <v>3.3402165871107989E-2</v>
          </cell>
          <cell r="U1374">
            <v>9.2122812321893982E-2</v>
          </cell>
          <cell r="V1374">
            <v>0.1498275483799382</v>
          </cell>
          <cell r="W1374">
            <v>0.20577841785806625</v>
          </cell>
          <cell r="X1374">
            <v>0.26182419369275522</v>
          </cell>
          <cell r="Y1374">
            <v>0.32058551157227422</v>
          </cell>
          <cell r="Z1374">
            <v>0.38460962781806018</v>
          </cell>
          <cell r="AA1374">
            <v>0.45545676092280291</v>
          </cell>
          <cell r="AB1374">
            <v>0.53457299197473218</v>
          </cell>
          <cell r="AC1374">
            <v>0.62347613119044187</v>
          </cell>
          <cell r="AD1374">
            <v>0.72366250138778065</v>
          </cell>
          <cell r="AE1374">
            <v>0.8367476585227176</v>
          </cell>
          <cell r="AF1374">
            <v>0.96289649248392384</v>
          </cell>
          <cell r="AG1374">
            <v>1.1011933279481265</v>
          </cell>
          <cell r="AH1374">
            <v>1.2521312409178853</v>
          </cell>
          <cell r="AI1374">
            <v>1.417079301583984</v>
          </cell>
          <cell r="AJ1374">
            <v>1.5977556446770407</v>
          </cell>
          <cell r="AK1374">
            <v>1.7956306360297194</v>
          </cell>
          <cell r="AL1374">
            <v>2.0123543874292693</v>
          </cell>
          <cell r="AM1374">
            <v>2.250715732823179</v>
          </cell>
          <cell r="AN1374">
            <v>2.5146146003739975</v>
          </cell>
          <cell r="AO1374">
            <v>2.8091435701999772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3.9378302746626033E-9</v>
          </cell>
          <cell r="I1375">
            <v>0</v>
          </cell>
          <cell r="J1375">
            <v>4.1833035447903008E-9</v>
          </cell>
          <cell r="K1375">
            <v>3.6768384001114901E-9</v>
          </cell>
          <cell r="L1375">
            <v>3.5912523410523463E-9</v>
          </cell>
          <cell r="M1375">
            <v>-5.0574112721191687E-2</v>
          </cell>
          <cell r="N1375">
            <v>-0.11627225978713741</v>
          </cell>
          <cell r="O1375">
            <v>-0.12860260822552302</v>
          </cell>
          <cell r="P1375">
            <v>-0.1122085583164267</v>
          </cell>
          <cell r="Q1375">
            <v>-8.1309577016098242E-2</v>
          </cell>
          <cell r="R1375">
            <v>-4.5430683455583862E-2</v>
          </cell>
          <cell r="S1375">
            <v>-6.3548258396158731E-3</v>
          </cell>
          <cell r="T1375">
            <v>3.9127195145088715E-2</v>
          </cell>
          <cell r="U1375">
            <v>9.2682741296866725E-2</v>
          </cell>
          <cell r="V1375">
            <v>0.1457208427735569</v>
          </cell>
          <cell r="W1375">
            <v>0.1978095000218556</v>
          </cell>
          <cell r="X1375">
            <v>0.25052046085324098</v>
          </cell>
          <cell r="Y1375">
            <v>0.30611759168835423</v>
          </cell>
          <cell r="Z1375">
            <v>0.3668898840796132</v>
          </cell>
          <cell r="AA1375">
            <v>0.43434965769436507</v>
          </cell>
          <cell r="AB1375">
            <v>0.50994808194569552</v>
          </cell>
          <cell r="AC1375">
            <v>0.59518000079888966</v>
          </cell>
          <cell r="AD1375">
            <v>0.69154042567836005</v>
          </cell>
          <cell r="AE1375">
            <v>0.80069443571303445</v>
          </cell>
          <cell r="AF1375">
            <v>0.92312203636289969</v>
          </cell>
          <cell r="AG1375">
            <v>1.0582298255336737</v>
          </cell>
          <cell r="AH1375">
            <v>1.206547569778579</v>
          </cell>
          <cell r="AI1375">
            <v>1.3693982186152922</v>
          </cell>
          <cell r="AJ1375">
            <v>1.5484592673887103</v>
          </cell>
          <cell r="AK1375">
            <v>1.745260428816767</v>
          </cell>
          <cell r="AL1375">
            <v>1.9615328109977748</v>
          </cell>
          <cell r="AM1375">
            <v>2.200017857222738</v>
          </cell>
          <cell r="AN1375">
            <v>2.4645184195896248</v>
          </cell>
          <cell r="AO1375">
            <v>2.7600324525506492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4.0853791377676431E-10</v>
          </cell>
          <cell r="L1376">
            <v>0</v>
          </cell>
          <cell r="M1376">
            <v>-1.3002143032539036E-3</v>
          </cell>
          <cell r="N1376">
            <v>-3.9143417108299357E-3</v>
          </cell>
          <cell r="O1376">
            <v>-5.7057969751139236E-3</v>
          </cell>
          <cell r="P1376">
            <v>-6.1640075525642296E-3</v>
          </cell>
          <cell r="Q1376">
            <v>-5.3535649922322745E-3</v>
          </cell>
          <cell r="R1376">
            <v>-3.2385436635434814E-3</v>
          </cell>
          <cell r="S1376">
            <v>-3.4508837889592241E-4</v>
          </cell>
          <cell r="T1376">
            <v>2.8565915416148904E-3</v>
          </cell>
          <cell r="U1376">
            <v>6.0669129868673264E-3</v>
          </cell>
          <cell r="V1376">
            <v>8.9006644612870355E-3</v>
          </cell>
          <cell r="W1376">
            <v>1.1027745370478039E-2</v>
          </cell>
          <cell r="X1376">
            <v>1.2579209052431178E-2</v>
          </cell>
          <cell r="Y1376">
            <v>1.3770405997906672E-2</v>
          </cell>
          <cell r="Z1376">
            <v>1.476251690922533E-2</v>
          </cell>
          <cell r="AA1376">
            <v>1.5589122487201856E-2</v>
          </cell>
          <cell r="AB1376">
            <v>1.6257319447141504E-2</v>
          </cell>
          <cell r="AC1376">
            <v>1.6787293571638422E-2</v>
          </cell>
          <cell r="AD1376">
            <v>1.7192749396475301E-2</v>
          </cell>
          <cell r="AE1376">
            <v>1.7476492239400756E-2</v>
          </cell>
          <cell r="AF1376">
            <v>1.7500130107114029E-2</v>
          </cell>
          <cell r="AG1376">
            <v>1.7149401165337957E-2</v>
          </cell>
          <cell r="AH1376">
            <v>1.6457752266041972E-2</v>
          </cell>
          <cell r="AI1376">
            <v>1.5501011787954599E-2</v>
          </cell>
          <cell r="AJ1376">
            <v>1.4342304333873863E-2</v>
          </cell>
          <cell r="AK1376">
            <v>1.29844788365183E-2</v>
          </cell>
          <cell r="AL1376">
            <v>1.1411529431618878E-2</v>
          </cell>
          <cell r="AM1376">
            <v>9.6667046164818984E-3</v>
          </cell>
          <cell r="AN1376">
            <v>7.8141720884751121E-3</v>
          </cell>
          <cell r="AO1376">
            <v>5.90889111241155E-3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4.3753630809067175E-10</v>
          </cell>
          <cell r="I1377">
            <v>0</v>
          </cell>
          <cell r="J1377">
            <v>0</v>
          </cell>
          <cell r="K1377">
            <v>4.085380624019952E-10</v>
          </cell>
          <cell r="L1377">
            <v>3.9902823144880616E-10</v>
          </cell>
          <cell r="M1377">
            <v>-3.2147865628242584E-3</v>
          </cell>
          <cell r="N1377">
            <v>-6.6573393962858184E-3</v>
          </cell>
          <cell r="O1377">
            <v>-9.1116552064625066E-3</v>
          </cell>
          <cell r="P1377">
            <v>-1.0838582755275536E-2</v>
          </cell>
          <cell r="Q1377">
            <v>-1.1383066093501822E-2</v>
          </cell>
          <cell r="R1377">
            <v>-1.1051609368976718E-2</v>
          </cell>
          <cell r="S1377">
            <v>-1.0079839362585247E-2</v>
          </cell>
          <cell r="T1377">
            <v>-8.581620815596722E-3</v>
          </cell>
          <cell r="U1377">
            <v>-6.6268419618386041E-3</v>
          </cell>
          <cell r="V1377">
            <v>-4.7939588549089727E-3</v>
          </cell>
          <cell r="W1377">
            <v>-3.0588275342708438E-3</v>
          </cell>
          <cell r="X1377">
            <v>-1.2754762129171195E-3</v>
          </cell>
          <cell r="Y1377">
            <v>6.9751388601332193E-4</v>
          </cell>
          <cell r="Z1377">
            <v>2.9572268292228543E-3</v>
          </cell>
          <cell r="AA1377">
            <v>5.5179807412370982E-3</v>
          </cell>
          <cell r="AB1377">
            <v>8.3675905818948303E-3</v>
          </cell>
          <cell r="AC1377">
            <v>1.1508836819914678E-2</v>
          </cell>
          <cell r="AD1377">
            <v>1.4929326312944049E-2</v>
          </cell>
          <cell r="AE1377">
            <v>1.8576730570283116E-2</v>
          </cell>
          <cell r="AF1377">
            <v>2.227432601391224E-2</v>
          </cell>
          <cell r="AG1377">
            <v>2.5814101249114211E-2</v>
          </cell>
          <cell r="AH1377">
            <v>2.9125918873265176E-2</v>
          </cell>
          <cell r="AI1377">
            <v>3.2180071180735181E-2</v>
          </cell>
          <cell r="AJ1377">
            <v>3.4954072954460305E-2</v>
          </cell>
          <cell r="AK1377">
            <v>3.7385728376435431E-2</v>
          </cell>
          <cell r="AL1377">
            <v>3.9410046999870559E-2</v>
          </cell>
          <cell r="AM1377">
            <v>4.1031170983958011E-2</v>
          </cell>
          <cell r="AN1377">
            <v>4.228200869589667E-2</v>
          </cell>
          <cell r="AO1377">
            <v>4.3202226536919498E-2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7.8511130929825867E-8</v>
          </cell>
          <cell r="J1378">
            <v>7.6664341541743397E-8</v>
          </cell>
          <cell r="K1378">
            <v>0</v>
          </cell>
          <cell r="L1378">
            <v>0</v>
          </cell>
          <cell r="M1378">
            <v>-4.3223877463294258E-2</v>
          </cell>
          <cell r="N1378">
            <v>-0.12587604463116797</v>
          </cell>
          <cell r="O1378">
            <v>-6.7733782941548082E-2</v>
          </cell>
          <cell r="P1378">
            <v>0.14841582676041742</v>
          </cell>
          <cell r="Q1378">
            <v>0.47136776175047412</v>
          </cell>
          <cell r="R1378">
            <v>0.87148308927311735</v>
          </cell>
          <cell r="S1378">
            <v>1.2925659021584712</v>
          </cell>
          <cell r="T1378">
            <v>1.7014149441034743</v>
          </cell>
          <cell r="U1378">
            <v>2.0835702352254737</v>
          </cell>
          <cell r="V1378">
            <v>2.4200897885167771</v>
          </cell>
          <cell r="W1378">
            <v>2.6957705901825113</v>
          </cell>
          <cell r="X1378">
            <v>2.9228082736020733</v>
          </cell>
          <cell r="Y1378">
            <v>3.1124510853284271</v>
          </cell>
          <cell r="Z1378">
            <v>3.2709583203652137</v>
          </cell>
          <cell r="AA1378">
            <v>3.3966355890360678</v>
          </cell>
          <cell r="AB1378">
            <v>3.4894921082832431</v>
          </cell>
          <cell r="AC1378">
            <v>3.5535848113213531</v>
          </cell>
          <cell r="AD1378">
            <v>3.5927378378341146</v>
          </cell>
          <cell r="AE1378">
            <v>3.61007219606444</v>
          </cell>
          <cell r="AF1378">
            <v>3.5973162172094897</v>
          </cell>
          <cell r="AG1378">
            <v>3.5502551659134074</v>
          </cell>
          <cell r="AH1378">
            <v>3.4791179474871647</v>
          </cell>
          <cell r="AI1378">
            <v>3.3940777484272822</v>
          </cell>
          <cell r="AJ1378">
            <v>3.3022715612635478</v>
          </cell>
          <cell r="AK1378">
            <v>3.2051639872743953</v>
          </cell>
          <cell r="AL1378">
            <v>3.1039000053298293</v>
          </cell>
          <cell r="AM1378">
            <v>3.0060809740190653</v>
          </cell>
          <cell r="AN1378">
            <v>2.9200055677185643</v>
          </cell>
          <cell r="AO1378">
            <v>2.8521296181172051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2.815641053643958E-8</v>
          </cell>
          <cell r="I1379">
            <v>5.2941206973855515E-8</v>
          </cell>
          <cell r="J1379">
            <v>5.0245585470065635E-8</v>
          </cell>
          <cell r="K1379">
            <v>7.2307582144048865E-8</v>
          </cell>
          <cell r="L1379">
            <v>8.1963635878423702E-8</v>
          </cell>
          <cell r="M1379">
            <v>-1.9455675944431428</v>
          </cell>
          <cell r="N1379">
            <v>-3.3716323275033933</v>
          </cell>
          <cell r="O1379">
            <v>-3.8852596202478717</v>
          </cell>
          <cell r="P1379">
            <v>-3.7931205754577091</v>
          </cell>
          <cell r="Q1379">
            <v>-2.7963832346012962</v>
          </cell>
          <cell r="R1379">
            <v>-1.6185996910003331</v>
          </cell>
          <cell r="S1379">
            <v>-0.63381316445982883</v>
          </cell>
          <cell r="T1379">
            <v>8.6169206736230741E-2</v>
          </cell>
          <cell r="U1379">
            <v>0.58688346225945764</v>
          </cell>
          <cell r="V1379">
            <v>0.48572166638247705</v>
          </cell>
          <cell r="W1379">
            <v>0.1528069677595667</v>
          </cell>
          <cell r="X1379">
            <v>-0.17283540621025884</v>
          </cell>
          <cell r="Y1379">
            <v>-0.40610735436165113</v>
          </cell>
          <cell r="Z1379">
            <v>-0.54367597706735937</v>
          </cell>
          <cell r="AA1379">
            <v>-0.60565831047691976</v>
          </cell>
          <cell r="AB1379">
            <v>-0.62064571041621219</v>
          </cell>
          <cell r="AC1379">
            <v>-0.60213118345703309</v>
          </cell>
          <cell r="AD1379">
            <v>-0.5587040127982501</v>
          </cell>
          <cell r="AE1379">
            <v>-0.50689060596916802</v>
          </cell>
          <cell r="AF1379">
            <v>-0.45570842160347347</v>
          </cell>
          <cell r="AG1379">
            <v>-0.41761372956768961</v>
          </cell>
          <cell r="AH1379">
            <v>-0.37293265998605829</v>
          </cell>
          <cell r="AI1379">
            <v>-0.30443983046749556</v>
          </cell>
          <cell r="AJ1379">
            <v>-0.2051571619638648</v>
          </cell>
          <cell r="AK1379">
            <v>-7.6903003075434739E-2</v>
          </cell>
          <cell r="AL1379">
            <v>8.1845326859153467E-2</v>
          </cell>
          <cell r="AM1379">
            <v>0.28721742355386493</v>
          </cell>
          <cell r="AN1379">
            <v>0.5566125682102907</v>
          </cell>
          <cell r="AO1379">
            <v>0.90121990697527021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2.0359447461260061E-8</v>
          </cell>
          <cell r="I1381">
            <v>0</v>
          </cell>
          <cell r="J1381">
            <v>1.9386559024781036E-8</v>
          </cell>
          <cell r="K1381">
            <v>1.8872303719774663E-8</v>
          </cell>
          <cell r="L1381">
            <v>1.8359536113621289E-8</v>
          </cell>
          <cell r="M1381">
            <v>-0.24639261326813156</v>
          </cell>
          <cell r="N1381">
            <v>-0.56039235069299531</v>
          </cell>
          <cell r="O1381">
            <v>-0.62450491734400426</v>
          </cell>
          <cell r="P1381">
            <v>-0.55487822657860342</v>
          </cell>
          <cell r="Q1381">
            <v>-0.41506051238668906</v>
          </cell>
          <cell r="R1381">
            <v>-0.25106858702049761</v>
          </cell>
          <cell r="S1381">
            <v>-7.2505532164079955E-2</v>
          </cell>
          <cell r="T1381">
            <v>0.13372920631680163</v>
          </cell>
          <cell r="U1381">
            <v>0.37383321552391102</v>
          </cell>
          <cell r="V1381">
            <v>0.60742294394748875</v>
          </cell>
          <cell r="W1381">
            <v>0.83280594028463106</v>
          </cell>
          <cell r="X1381">
            <v>1.0573680425674858</v>
          </cell>
          <cell r="Y1381">
            <v>1.2911986336348935</v>
          </cell>
          <cell r="Z1381">
            <v>1.543795141960902</v>
          </cell>
          <cell r="AA1381">
            <v>1.8217861650045686</v>
          </cell>
          <cell r="AB1381">
            <v>2.1304579647748678</v>
          </cell>
          <cell r="AC1381">
            <v>2.4754885011046168</v>
          </cell>
          <cell r="AD1381">
            <v>2.8623726340438527</v>
          </cell>
          <cell r="AE1381">
            <v>3.2954473901510628</v>
          </cell>
          <cell r="AF1381">
            <v>3.7781108619682424</v>
          </cell>
          <cell r="AG1381">
            <v>4.3059914049258019</v>
          </cell>
          <cell r="AH1381">
            <v>4.8805192133639652</v>
          </cell>
          <cell r="AI1381">
            <v>5.5059792974982091</v>
          </cell>
          <cell r="AJ1381">
            <v>6.1878493138212143</v>
          </cell>
          <cell r="AK1381">
            <v>6.9308078589207289</v>
          </cell>
          <cell r="AL1381">
            <v>7.7401623641370376</v>
          </cell>
          <cell r="AM1381">
            <v>8.625113385495542</v>
          </cell>
          <cell r="AN1381">
            <v>9.5987157859937167</v>
          </cell>
          <cell r="AO1381">
            <v>10.678234469208592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1.9980972432165345E-8</v>
          </cell>
          <cell r="I1382">
            <v>0</v>
          </cell>
          <cell r="J1382">
            <v>2.1113466530664482E-8</v>
          </cell>
          <cell r="K1382">
            <v>1.8484191954826201E-8</v>
          </cell>
          <cell r="L1382">
            <v>1.7967005661034818E-8</v>
          </cell>
          <cell r="M1382">
            <v>-0.2516847522370802</v>
          </cell>
          <cell r="N1382">
            <v>-0.57533594543396349</v>
          </cell>
          <cell r="O1382">
            <v>-0.63245495193502421</v>
          </cell>
          <cell r="P1382">
            <v>-0.54830606977742669</v>
          </cell>
          <cell r="Q1382">
            <v>-0.39424757325530191</v>
          </cell>
          <cell r="R1382">
            <v>-0.2185445257202101</v>
          </cell>
          <cell r="S1382">
            <v>-3.0327016857889522E-2</v>
          </cell>
          <cell r="T1382">
            <v>0.18523438324291597</v>
          </cell>
          <cell r="U1382">
            <v>0.4352520868343035</v>
          </cell>
          <cell r="V1382">
            <v>0.67882882112177967</v>
          </cell>
          <cell r="W1382">
            <v>0.91401199175560333</v>
          </cell>
          <cell r="X1382">
            <v>1.1480792694539055</v>
          </cell>
          <cell r="Y1382">
            <v>1.3912498414238694</v>
          </cell>
          <cell r="Z1382">
            <v>1.6532517238399214</v>
          </cell>
          <cell r="AA1382">
            <v>1.9412008797442315</v>
          </cell>
          <cell r="AB1382">
            <v>2.2607549799627202</v>
          </cell>
          <cell r="AC1382">
            <v>2.617909634330462</v>
          </cell>
          <cell r="AD1382">
            <v>3.018515712532599</v>
          </cell>
          <cell r="AE1382">
            <v>3.4670875034731763</v>
          </cell>
          <cell r="AF1382">
            <v>3.9681238378713957</v>
          </cell>
          <cell r="AG1382">
            <v>4.5175895281598377</v>
          </cell>
          <cell r="AH1382">
            <v>5.1170969112236175</v>
          </cell>
          <cell r="AI1382">
            <v>5.7712110655105064</v>
          </cell>
          <cell r="AJ1382">
            <v>6.4857914817820772</v>
          </cell>
          <cell r="AK1382">
            <v>7.2660251601842196</v>
          </cell>
          <cell r="AL1382">
            <v>8.1177894705041442</v>
          </cell>
          <cell r="AM1382">
            <v>9.0508466063328861</v>
          </cell>
          <cell r="AN1382">
            <v>10.078963039413269</v>
          </cell>
          <cell r="AO1382">
            <v>11.220372684251467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0</v>
          </cell>
          <cell r="I1383">
            <v>-1.4246626101055426E-8</v>
          </cell>
          <cell r="J1383">
            <v>-2.7557067738825936E-8</v>
          </cell>
          <cell r="K1383">
            <v>-4.0001391088395621E-8</v>
          </cell>
          <cell r="L1383">
            <v>-3.8735814555934667E-8</v>
          </cell>
          <cell r="M1383">
            <v>-0.98418253390650801</v>
          </cell>
          <cell r="N1383">
            <v>-1.835111025092262</v>
          </cell>
          <cell r="O1383">
            <v>-1.4496340283887355</v>
          </cell>
          <cell r="P1383">
            <v>-1.232985331392622</v>
          </cell>
          <cell r="Q1383">
            <v>-1.2573992312412186</v>
          </cell>
          <cell r="R1383">
            <v>-1.5261180277424513</v>
          </cell>
          <cell r="S1383">
            <v>-1.9052132388367005</v>
          </cell>
          <cell r="T1383">
            <v>-2.2607274122804943</v>
          </cell>
          <cell r="U1383">
            <v>-2.5731454281153088</v>
          </cell>
          <cell r="V1383">
            <v>-2.9570479243253955</v>
          </cell>
          <cell r="W1383">
            <v>-3.346463018738155</v>
          </cell>
          <cell r="X1383">
            <v>-3.7340263078369573</v>
          </cell>
          <cell r="Y1383">
            <v>-4.1144465552469427</v>
          </cell>
          <cell r="Z1383">
            <v>-4.4822231579369038</v>
          </cell>
          <cell r="AA1383">
            <v>-4.8286433407448204</v>
          </cell>
          <cell r="AB1383">
            <v>-5.1471700425634648</v>
          </cell>
          <cell r="AC1383">
            <v>-5.4370828727639324</v>
          </cell>
          <cell r="AD1383">
            <v>-5.6981350730363705</v>
          </cell>
          <cell r="AE1383">
            <v>-5.9298506770167014</v>
          </cell>
          <cell r="AF1383">
            <v>-6.1098229864365301</v>
          </cell>
          <cell r="AG1383">
            <v>-6.2366136929149052</v>
          </cell>
          <cell r="AH1383">
            <v>-6.3152400799293629</v>
          </cell>
          <cell r="AI1383">
            <v>-6.3522028301386317</v>
          </cell>
          <cell r="AJ1383">
            <v>-6.3532831230664444</v>
          </cell>
          <cell r="AK1383">
            <v>-6.3189062380420431</v>
          </cell>
          <cell r="AL1383">
            <v>-6.2483475762650009</v>
          </cell>
          <cell r="AM1383">
            <v>-6.1475957596187509</v>
          </cell>
          <cell r="AN1383">
            <v>-6.0238828777119284</v>
          </cell>
          <cell r="AO1383">
            <v>-5.8842749065420747</v>
          </cell>
        </row>
        <row r="1384">
          <cell r="E1384" t="str">
            <v>100*(M_2/M_0-1)</v>
          </cell>
          <cell r="F1384">
            <v>0</v>
          </cell>
          <cell r="G1384">
            <v>0</v>
          </cell>
          <cell r="H1384">
            <v>1.4631362788009028E-8</v>
          </cell>
          <cell r="I1384">
            <v>1.4261836156492791E-8</v>
          </cell>
          <cell r="J1384">
            <v>1.3879364324509424E-8</v>
          </cell>
          <cell r="K1384">
            <v>1.3493695050215138E-8</v>
          </cell>
          <cell r="L1384">
            <v>1.311981634444237E-8</v>
          </cell>
          <cell r="M1384">
            <v>-0.51796868810111141</v>
          </cell>
          <cell r="N1384">
            <v>-1.0263875926948107</v>
          </cell>
          <cell r="O1384">
            <v>-1.028406882027888</v>
          </cell>
          <cell r="P1384">
            <v>-0.88371504328941253</v>
          </cell>
          <cell r="Q1384">
            <v>-0.65612236417363912</v>
          </cell>
          <cell r="R1384">
            <v>-0.40880789072523793</v>
          </cell>
          <cell r="S1384">
            <v>-0.15586891792717106</v>
          </cell>
          <cell r="T1384">
            <v>0.11801684390169154</v>
          </cell>
          <cell r="U1384">
            <v>0.40910219609264775</v>
          </cell>
          <cell r="V1384">
            <v>0.64517827636250136</v>
          </cell>
          <cell r="W1384">
            <v>0.83936043448400444</v>
          </cell>
          <cell r="X1384">
            <v>1.0077171550557651</v>
          </cell>
          <cell r="Y1384">
            <v>1.160104550513763</v>
          </cell>
          <cell r="Z1384">
            <v>1.3004941501583378</v>
          </cell>
          <cell r="AA1384">
            <v>1.4294118930433308</v>
          </cell>
          <cell r="AB1384">
            <v>1.5467106991613466</v>
          </cell>
          <cell r="AC1384">
            <v>1.6548350906873566</v>
          </cell>
          <cell r="AD1384">
            <v>1.7565290652103549</v>
          </cell>
          <cell r="AE1384">
            <v>1.8520203293463045</v>
          </cell>
          <cell r="AF1384">
            <v>1.944680754031225</v>
          </cell>
          <cell r="AG1384">
            <v>2.0298751341112142</v>
          </cell>
          <cell r="AH1384">
            <v>2.1147120843078682</v>
          </cell>
          <cell r="AI1384">
            <v>2.2078419225526336</v>
          </cell>
          <cell r="AJ1384">
            <v>2.3167679954001263</v>
          </cell>
          <cell r="AK1384">
            <v>2.4460674039080921</v>
          </cell>
          <cell r="AL1384">
            <v>2.6006068964911977</v>
          </cell>
          <cell r="AM1384">
            <v>2.7893085819744368</v>
          </cell>
          <cell r="AN1384">
            <v>3.0226845837031613</v>
          </cell>
          <cell r="AO1384">
            <v>3.3125042707910612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7.9689410625860546E-8</v>
          </cell>
          <cell r="J1385">
            <v>7.7812778442876152E-8</v>
          </cell>
          <cell r="K1385">
            <v>-7.5893735740351076E-10</v>
          </cell>
          <cell r="L1385">
            <v>0</v>
          </cell>
          <cell r="M1385">
            <v>-4.1458515374281912E-2</v>
          </cell>
          <cell r="N1385">
            <v>-0.1205013149699119</v>
          </cell>
          <cell r="O1385">
            <v>-5.8182123888494974E-2</v>
          </cell>
          <cell r="P1385">
            <v>0.16201330556742111</v>
          </cell>
          <cell r="Q1385">
            <v>0.48822883184505006</v>
          </cell>
          <cell r="R1385">
            <v>0.89036333955008207</v>
          </cell>
          <cell r="S1385">
            <v>1.3123893633486317</v>
          </cell>
          <cell r="T1385">
            <v>1.7214893497077943</v>
          </cell>
          <cell r="U1385">
            <v>2.1035297616609938</v>
          </cell>
          <cell r="V1385">
            <v>2.4399774540636354</v>
          </cell>
          <cell r="W1385">
            <v>2.7159894931633843</v>
          </cell>
          <cell r="X1385">
            <v>2.9436854815827918</v>
          </cell>
          <cell r="Y1385">
            <v>3.134070433748759</v>
          </cell>
          <cell r="Z1385">
            <v>3.2931864377833575</v>
          </cell>
          <cell r="AA1385">
            <v>3.4192346310464528</v>
          </cell>
          <cell r="AB1385">
            <v>3.5122095033199185</v>
          </cell>
          <cell r="AC1385">
            <v>3.576191885490787</v>
          </cell>
          <cell r="AD1385">
            <v>3.6150432255095843</v>
          </cell>
          <cell r="AE1385">
            <v>3.6319359664425122</v>
          </cell>
          <cell r="AF1385">
            <v>3.61873138227784</v>
          </cell>
          <cell r="AG1385">
            <v>3.5713960887247875</v>
          </cell>
          <cell r="AH1385">
            <v>3.5002746339818369</v>
          </cell>
          <cell r="AI1385">
            <v>3.4155740057970396</v>
          </cell>
          <cell r="AJ1385">
            <v>3.3244350417942492</v>
          </cell>
          <cell r="AK1385">
            <v>3.2283467592985504</v>
          </cell>
          <cell r="AL1385">
            <v>3.1285034697531522</v>
          </cell>
          <cell r="AM1385">
            <v>3.0325335502947803</v>
          </cell>
          <cell r="AN1385">
            <v>2.9487293461674335</v>
          </cell>
          <cell r="AO1385">
            <v>2.8835297301763818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1.9621904101541077E-8</v>
          </cell>
          <cell r="I1386">
            <v>0</v>
          </cell>
          <cell r="J1386">
            <v>1.8689028102869543E-8</v>
          </cell>
          <cell r="K1386">
            <v>2.001498966563986E-8</v>
          </cell>
          <cell r="L1386">
            <v>1.7703638555133239E-8</v>
          </cell>
          <cell r="M1386">
            <v>-0.24337543722351418</v>
          </cell>
          <cell r="N1386">
            <v>-0.55778335558562819</v>
          </cell>
          <cell r="O1386">
            <v>-0.62750498982003799</v>
          </cell>
          <cell r="P1386">
            <v>-0.56229285678147667</v>
          </cell>
          <cell r="Q1386">
            <v>-0.4237481052197789</v>
          </cell>
          <cell r="R1386">
            <v>-0.25626084619493339</v>
          </cell>
          <cell r="S1386">
            <v>-7.1471826242663905E-2</v>
          </cell>
          <cell r="T1386">
            <v>0.14120751833139877</v>
          </cell>
          <cell r="U1386">
            <v>0.38649520650628766</v>
          </cell>
          <cell r="V1386">
            <v>0.62380537729769259</v>
          </cell>
          <cell r="W1386">
            <v>0.85018518963064782</v>
          </cell>
          <cell r="X1386">
            <v>1.0733927384247499</v>
          </cell>
          <cell r="Y1386">
            <v>1.3041363866419076</v>
          </cell>
          <cell r="Z1386">
            <v>1.5523168659955289</v>
          </cell>
          <cell r="AA1386">
            <v>1.8245529533082117</v>
          </cell>
          <cell r="AB1386">
            <v>2.1260355302554323</v>
          </cell>
          <cell r="AC1386">
            <v>2.4623954175922558</v>
          </cell>
          <cell r="AD1386">
            <v>2.8390577685179608</v>
          </cell>
          <cell r="AE1386">
            <v>3.2602965127979111</v>
          </cell>
          <cell r="AF1386">
            <v>3.7289338523044391</v>
          </cell>
          <cell r="AG1386">
            <v>4.2403178712086431</v>
          </cell>
          <cell r="AH1386">
            <v>4.7959866112825322</v>
          </cell>
          <cell r="AI1386">
            <v>5.4003750525689398</v>
          </cell>
          <cell r="AJ1386">
            <v>6.0590120314606422</v>
          </cell>
          <cell r="AK1386">
            <v>6.7764263987608597</v>
          </cell>
          <cell r="AL1386">
            <v>7.5576987803291917</v>
          </cell>
          <cell r="AM1386">
            <v>8.411925617543293</v>
          </cell>
          <cell r="AN1386">
            <v>9.3520362140279811</v>
          </cell>
          <cell r="AO1386">
            <v>10.395025765509146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5.0733572898309376E-8</v>
          </cell>
          <cell r="L1387">
            <v>0</v>
          </cell>
          <cell r="M1387">
            <v>-0.16154133119997693</v>
          </cell>
          <cell r="N1387">
            <v>-0.48663253153560238</v>
          </cell>
          <cell r="O1387">
            <v>-0.70980449813762281</v>
          </cell>
          <cell r="P1387">
            <v>-0.76684739843424499</v>
          </cell>
          <cell r="Q1387">
            <v>-0.66460043225093912</v>
          </cell>
          <cell r="R1387">
            <v>-0.4008357926381878</v>
          </cell>
          <cell r="S1387">
            <v>-4.2568622535332779E-2</v>
          </cell>
          <cell r="T1387">
            <v>0.35123394691953802</v>
          </cell>
          <cell r="U1387">
            <v>0.74388603088517691</v>
          </cell>
          <cell r="V1387">
            <v>1.0887230499782685</v>
          </cell>
          <cell r="W1387">
            <v>1.3463707185472629</v>
          </cell>
          <cell r="X1387">
            <v>1.5340474260826298</v>
          </cell>
          <cell r="Y1387">
            <v>1.6789702193830136</v>
          </cell>
          <cell r="Z1387">
            <v>1.8014435691389163</v>
          </cell>
          <cell r="AA1387">
            <v>1.9062406400755183</v>
          </cell>
          <cell r="AB1387">
            <v>1.9940660852707293</v>
          </cell>
          <cell r="AC1387">
            <v>2.0672481709398172</v>
          </cell>
          <cell r="AD1387">
            <v>2.1271139315607757</v>
          </cell>
          <cell r="AE1387">
            <v>2.1734889947294889</v>
          </cell>
          <cell r="AF1387">
            <v>2.1894084509578526</v>
          </cell>
          <cell r="AG1387">
            <v>2.1589283179556329</v>
          </cell>
          <cell r="AH1387">
            <v>2.0848097522126574</v>
          </cell>
          <cell r="AI1387">
            <v>1.9751064777120186</v>
          </cell>
          <cell r="AJ1387">
            <v>1.8368028770590961</v>
          </cell>
          <cell r="AK1387">
            <v>1.6698513423928363</v>
          </cell>
          <cell r="AL1387">
            <v>1.4722338596580009</v>
          </cell>
          <cell r="AM1387">
            <v>1.2498760422565258</v>
          </cell>
          <cell r="AN1387">
            <v>1.0116479918977905</v>
          </cell>
          <cell r="AO1387">
            <v>0.76533524908273254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2.4543589383085873E-8</v>
          </cell>
          <cell r="I1388">
            <v>0</v>
          </cell>
          <cell r="J1388">
            <v>0</v>
          </cell>
          <cell r="K1388">
            <v>2.3269519644486536E-8</v>
          </cell>
          <cell r="L1388">
            <v>2.2853186010252102E-8</v>
          </cell>
          <cell r="M1388">
            <v>-0.185147831434751</v>
          </cell>
          <cell r="N1388">
            <v>-0.38551037296248314</v>
          </cell>
          <cell r="O1388">
            <v>-0.53040310675692703</v>
          </cell>
          <cell r="P1388">
            <v>-0.63348804040647133</v>
          </cell>
          <cell r="Q1388">
            <v>-0.66632669559163471</v>
          </cell>
          <cell r="R1388">
            <v>-0.64670158815088863</v>
          </cell>
          <cell r="S1388">
            <v>-0.58862596595258276</v>
          </cell>
          <cell r="T1388">
            <v>-0.49942795702724307</v>
          </cell>
          <cell r="U1388">
            <v>-0.38398061709863374</v>
          </cell>
          <cell r="V1388">
            <v>-0.27642424064463489</v>
          </cell>
          <cell r="W1388">
            <v>-0.17549341968713383</v>
          </cell>
          <cell r="X1388">
            <v>-7.2827174515455173E-2</v>
          </cell>
          <cell r="Y1388">
            <v>3.9654593171123409E-2</v>
          </cell>
          <cell r="Z1388">
            <v>0.16754909523506445</v>
          </cell>
          <cell r="AA1388">
            <v>0.31182986648403688</v>
          </cell>
          <cell r="AB1388">
            <v>0.47213195990134516</v>
          </cell>
          <cell r="AC1388">
            <v>0.64914948193595112</v>
          </cell>
          <cell r="AD1388">
            <v>0.84283873745130133</v>
          </cell>
          <cell r="AE1388">
            <v>1.051585525288945</v>
          </cell>
          <cell r="AF1388">
            <v>1.2659079467947976</v>
          </cell>
          <cell r="AG1388">
            <v>1.4745947485594213</v>
          </cell>
          <cell r="AH1388">
            <v>1.6741606105182161</v>
          </cell>
          <cell r="AI1388">
            <v>1.8628368255438232</v>
          </cell>
          <cell r="AJ1388">
            <v>2.0388093895116643</v>
          </cell>
          <cell r="AK1388">
            <v>2.1976795060949073</v>
          </cell>
          <cell r="AL1388">
            <v>2.334654060932051</v>
          </cell>
          <cell r="AM1388">
            <v>2.4488620880568801</v>
          </cell>
          <cell r="AN1388">
            <v>2.541146296634289</v>
          </cell>
          <cell r="AO1388">
            <v>2.6128490839436802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0</v>
          </cell>
          <cell r="I1389">
            <v>1.3032166457094263E-7</v>
          </cell>
          <cell r="J1389">
            <v>6.2364602371189903E-8</v>
          </cell>
          <cell r="K1389">
            <v>1.1920417986033272E-7</v>
          </cell>
          <cell r="L1389">
            <v>1.1385556941689856E-7</v>
          </cell>
          <cell r="M1389">
            <v>0.83072291190611214</v>
          </cell>
          <cell r="N1389">
            <v>1.5116070395428949</v>
          </cell>
          <cell r="O1389">
            <v>2.5527117283479006</v>
          </cell>
          <cell r="P1389">
            <v>3.8888473556547343</v>
          </cell>
          <cell r="Q1389">
            <v>5.1493495059680594</v>
          </cell>
          <cell r="R1389">
            <v>6.4376033902841856</v>
          </cell>
          <cell r="S1389">
            <v>7.6865894431998649</v>
          </cell>
          <cell r="T1389">
            <v>8.8710629798367524</v>
          </cell>
          <cell r="U1389">
            <v>9.9751930843954728</v>
          </cell>
          <cell r="V1389">
            <v>11.115496277417215</v>
          </cell>
          <cell r="W1389">
            <v>12.189727364254965</v>
          </cell>
          <cell r="X1389">
            <v>13.191841548548823</v>
          </cell>
          <cell r="Y1389">
            <v>14.107984371429483</v>
          </cell>
          <cell r="Z1389">
            <v>14.923941024270926</v>
          </cell>
          <cell r="AA1389">
            <v>15.625108240043883</v>
          </cell>
          <cell r="AB1389">
            <v>16.205150271591727</v>
          </cell>
          <cell r="AC1389">
            <v>16.657501839266196</v>
          </cell>
          <cell r="AD1389">
            <v>16.976756465801369</v>
          </cell>
          <cell r="AE1389">
            <v>17.161575356641535</v>
          </cell>
          <cell r="AF1389">
            <v>17.216634410107211</v>
          </cell>
          <cell r="AG1389">
            <v>17.161465987724323</v>
          </cell>
          <cell r="AH1389">
            <v>17.012809039592725</v>
          </cell>
          <cell r="AI1389">
            <v>16.78528773457888</v>
          </cell>
          <cell r="AJ1389">
            <v>16.492727822761388</v>
          </cell>
          <cell r="AK1389">
            <v>16.152268027587713</v>
          </cell>
          <cell r="AL1389">
            <v>15.785107724647274</v>
          </cell>
          <cell r="AM1389">
            <v>15.411619606282944</v>
          </cell>
          <cell r="AN1389">
            <v>15.04944804022208</v>
          </cell>
          <cell r="AO1389">
            <v>14.713437954388308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-9.7895647144241593E-8</v>
          </cell>
          <cell r="H1390">
            <v>0</v>
          </cell>
          <cell r="I1390">
            <v>3.6357405974740686E-8</v>
          </cell>
          <cell r="J1390">
            <v>-2.9717273086760088E-8</v>
          </cell>
          <cell r="K1390">
            <v>2.900968354424549E-8</v>
          </cell>
          <cell r="L1390">
            <v>2.5634361300319597E-8</v>
          </cell>
          <cell r="M1390">
            <v>-6.48384818304093E-2</v>
          </cell>
          <cell r="N1390">
            <v>-0.16417144233222825</v>
          </cell>
          <cell r="O1390">
            <v>-3.1160888964576472E-2</v>
          </cell>
          <cell r="P1390">
            <v>0.25752332766302288</v>
          </cell>
          <cell r="Q1390">
            <v>0.62315052685433248</v>
          </cell>
          <cell r="R1390">
            <v>1.0553355480054538</v>
          </cell>
          <cell r="S1390">
            <v>1.4870971571731895</v>
          </cell>
          <cell r="T1390">
            <v>1.9007950068417934</v>
          </cell>
          <cell r="U1390">
            <v>2.2915671661110304</v>
          </cell>
          <cell r="V1390">
            <v>2.6389619745394128</v>
          </cell>
          <cell r="W1390">
            <v>2.9247896235062409</v>
          </cell>
          <cell r="X1390">
            <v>3.1746459707342698</v>
          </cell>
          <cell r="Y1390">
            <v>3.3954809241036212</v>
          </cell>
          <cell r="Z1390">
            <v>3.5877124446880515</v>
          </cell>
          <cell r="AA1390">
            <v>3.7425687682309139</v>
          </cell>
          <cell r="AB1390">
            <v>3.8599334046624616</v>
          </cell>
          <cell r="AC1390">
            <v>3.9451030888896881</v>
          </cell>
          <cell r="AD1390">
            <v>4.0008678279127583</v>
          </cell>
          <cell r="AE1390">
            <v>4.0296440382726626</v>
          </cell>
          <cell r="AF1390">
            <v>4.0160167411656058</v>
          </cell>
          <cell r="AG1390">
            <v>3.959467094710245</v>
          </cell>
          <cell r="AH1390">
            <v>3.8794201840957498</v>
          </cell>
          <cell r="AI1390">
            <v>3.7861242341819423</v>
          </cell>
          <cell r="AJ1390">
            <v>3.6854401812504314</v>
          </cell>
          <cell r="AK1390">
            <v>3.5763853561886716</v>
          </cell>
          <cell r="AL1390">
            <v>3.4611795140428114</v>
          </cell>
          <cell r="AM1390">
            <v>3.3522743864125886</v>
          </cell>
          <cell r="AN1390">
            <v>3.2588884213793126</v>
          </cell>
          <cell r="AO1390">
            <v>3.1868644887308886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-3.6044101037191467E-8</v>
          </cell>
          <cell r="I1391">
            <v>9.464939942915862E-8</v>
          </cell>
          <cell r="J1391">
            <v>6.2364602371189903E-8</v>
          </cell>
          <cell r="K1391">
            <v>1.1920417986033272E-7</v>
          </cell>
          <cell r="L1391">
            <v>7.9513173822931549E-8</v>
          </cell>
          <cell r="M1391">
            <v>0.90527539784126532</v>
          </cell>
          <cell r="N1391">
            <v>1.7095039038884319</v>
          </cell>
          <cell r="O1391">
            <v>2.7052427246681443</v>
          </cell>
          <cell r="P1391">
            <v>3.8819726453926284</v>
          </cell>
          <cell r="Q1391">
            <v>4.957386345824677</v>
          </cell>
          <cell r="R1391">
            <v>6.0868389505477349</v>
          </cell>
          <cell r="S1391">
            <v>7.2174128296443429</v>
          </cell>
          <cell r="T1391">
            <v>8.3128056562799646</v>
          </cell>
          <cell r="U1391">
            <v>9.3461883869745179</v>
          </cell>
          <cell r="V1391">
            <v>10.435111861908066</v>
          </cell>
          <cell r="W1391">
            <v>11.478385948834813</v>
          </cell>
          <cell r="X1391">
            <v>12.469883936583948</v>
          </cell>
          <cell r="Y1391">
            <v>13.393147427489982</v>
          </cell>
          <cell r="Z1391">
            <v>14.229758462325904</v>
          </cell>
          <cell r="AA1391">
            <v>14.960207203414665</v>
          </cell>
          <cell r="AB1391">
            <v>15.572865594677342</v>
          </cell>
          <cell r="AC1391">
            <v>16.056053578879823</v>
          </cell>
          <cell r="AD1391">
            <v>16.399329955361374</v>
          </cell>
          <cell r="AE1391">
            <v>16.596868697049327</v>
          </cell>
          <cell r="AF1391">
            <v>16.647384408112796</v>
          </cell>
          <cell r="AG1391">
            <v>16.564748082996552</v>
          </cell>
          <cell r="AH1391">
            <v>16.360456966562609</v>
          </cell>
          <cell r="AI1391">
            <v>16.043864112511553</v>
          </cell>
          <cell r="AJ1391">
            <v>15.623791173996571</v>
          </cell>
          <cell r="AK1391">
            <v>15.112595053055312</v>
          </cell>
          <cell r="AL1391">
            <v>14.526678656851356</v>
          </cell>
          <cell r="AM1391">
            <v>13.881673811915695</v>
          </cell>
          <cell r="AN1391">
            <v>13.190029422176419</v>
          </cell>
          <cell r="AO1391">
            <v>12.460390496702422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-9.7895647144241593E-8</v>
          </cell>
          <cell r="H1392">
            <v>-3.6044101037191467E-8</v>
          </cell>
          <cell r="I1392">
            <v>6.851408329566766E-10</v>
          </cell>
          <cell r="J1392">
            <v>-2.9717273086760088E-8</v>
          </cell>
          <cell r="K1392">
            <v>2.900968354424549E-8</v>
          </cell>
          <cell r="L1392">
            <v>-8.7080342936474153E-9</v>
          </cell>
          <cell r="M1392">
            <v>9.7140041047438785E-3</v>
          </cell>
          <cell r="N1392">
            <v>3.3725422013308748E-2</v>
          </cell>
          <cell r="O1392">
            <v>0.12137010735566722</v>
          </cell>
          <cell r="P1392">
            <v>0.25064861740091704</v>
          </cell>
          <cell r="Q1392">
            <v>0.43118736671095004</v>
          </cell>
          <cell r="R1392">
            <v>0.70457110826900315</v>
          </cell>
          <cell r="S1392">
            <v>1.0179205436176675</v>
          </cell>
          <cell r="T1392">
            <v>1.3425376832850056</v>
          </cell>
          <cell r="U1392">
            <v>1.6625624686900755</v>
          </cell>
          <cell r="V1392">
            <v>1.9585775590302639</v>
          </cell>
          <cell r="W1392">
            <v>2.2134482080860884</v>
          </cell>
          <cell r="X1392">
            <v>2.4526883587693948</v>
          </cell>
          <cell r="Y1392">
            <v>2.6806439801641204</v>
          </cell>
          <cell r="Z1392">
            <v>2.8935298827430298</v>
          </cell>
          <cell r="AA1392">
            <v>3.0776677316016965</v>
          </cell>
          <cell r="AB1392">
            <v>3.2276487277480772</v>
          </cell>
          <cell r="AC1392">
            <v>3.3436548285033147</v>
          </cell>
          <cell r="AD1392">
            <v>3.4234413174727631</v>
          </cell>
          <cell r="AE1392">
            <v>3.4649373786804549</v>
          </cell>
          <cell r="AF1392">
            <v>3.4467667391711903</v>
          </cell>
          <cell r="AG1392">
            <v>3.3627491899824733</v>
          </cell>
          <cell r="AH1392">
            <v>3.2270681110656341</v>
          </cell>
          <cell r="AI1392">
            <v>3.0447006121146156</v>
          </cell>
          <cell r="AJ1392">
            <v>2.8165035324856138</v>
          </cell>
          <cell r="AK1392">
            <v>2.5367123816562707</v>
          </cell>
          <cell r="AL1392">
            <v>2.2027504462468936</v>
          </cell>
          <cell r="AM1392">
            <v>1.8223285920453396</v>
          </cell>
          <cell r="AN1392">
            <v>1.3994698033336519</v>
          </cell>
          <cell r="AO1392">
            <v>0.93381703104500247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-9.7895647144241593E-8</v>
          </cell>
          <cell r="H1394">
            <v>0</v>
          </cell>
          <cell r="I1394">
            <v>3.6357405974740686E-8</v>
          </cell>
          <cell r="J1394">
            <v>-2.9717273086760088E-8</v>
          </cell>
          <cell r="K1394">
            <v>2.900968354424549E-8</v>
          </cell>
          <cell r="L1394">
            <v>2.5634361300319597E-8</v>
          </cell>
          <cell r="M1394">
            <v>-6.48384818304093E-2</v>
          </cell>
          <cell r="N1394">
            <v>-0.16417144233222825</v>
          </cell>
          <cell r="O1394">
            <v>-3.1160888964576472E-2</v>
          </cell>
          <cell r="P1394">
            <v>0.25752332766302288</v>
          </cell>
          <cell r="Q1394">
            <v>0.62315052685433248</v>
          </cell>
          <cell r="R1394">
            <v>1.0553355480054538</v>
          </cell>
          <cell r="S1394">
            <v>1.4870971571731895</v>
          </cell>
          <cell r="T1394">
            <v>1.9007950068417934</v>
          </cell>
          <cell r="U1394">
            <v>2.2915671661110304</v>
          </cell>
          <cell r="V1394">
            <v>2.6389619745394128</v>
          </cell>
          <cell r="W1394">
            <v>2.9247896235062409</v>
          </cell>
          <cell r="X1394">
            <v>3.1746459707342698</v>
          </cell>
          <cell r="Y1394">
            <v>3.3954809241036212</v>
          </cell>
          <cell r="Z1394">
            <v>3.5877124446880515</v>
          </cell>
          <cell r="AA1394">
            <v>3.7425687682309139</v>
          </cell>
          <cell r="AB1394">
            <v>3.8599334046624616</v>
          </cell>
          <cell r="AC1394">
            <v>3.9451030888896881</v>
          </cell>
          <cell r="AD1394">
            <v>4.0008678279127583</v>
          </cell>
          <cell r="AE1394">
            <v>4.0296440382726626</v>
          </cell>
          <cell r="AF1394">
            <v>4.0160167411656058</v>
          </cell>
          <cell r="AG1394">
            <v>3.959467094710245</v>
          </cell>
          <cell r="AH1394">
            <v>3.8794201840957498</v>
          </cell>
          <cell r="AI1394">
            <v>3.7861242341819423</v>
          </cell>
          <cell r="AJ1394">
            <v>3.6854401812504314</v>
          </cell>
          <cell r="AK1394">
            <v>3.5763853561886716</v>
          </cell>
          <cell r="AL1394">
            <v>3.4611795140428114</v>
          </cell>
          <cell r="AM1394">
            <v>3.3522743864125886</v>
          </cell>
          <cell r="AN1394">
            <v>3.2588884213793126</v>
          </cell>
          <cell r="AO1394">
            <v>3.1868644887308886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9.9932395691837428E-8</v>
          </cell>
          <cell r="G1395">
            <v>0</v>
          </cell>
          <cell r="H1395">
            <v>9.5977226166610308E-8</v>
          </cell>
          <cell r="I1395">
            <v>9.3908725240510194E-8</v>
          </cell>
          <cell r="J1395">
            <v>0</v>
          </cell>
          <cell r="K1395">
            <v>0</v>
          </cell>
          <cell r="L1395">
            <v>8.7671603310468527E-8</v>
          </cell>
          <cell r="M1395">
            <v>0.47076731663984184</v>
          </cell>
          <cell r="N1395">
            <v>1.0665887011236164</v>
          </cell>
          <cell r="O1395">
            <v>1.8365998540600614</v>
          </cell>
          <cell r="P1395">
            <v>2.7909162974595336</v>
          </cell>
          <cell r="Q1395">
            <v>3.7562095807747387</v>
          </cell>
          <cell r="R1395">
            <v>4.7066117838039823</v>
          </cell>
          <cell r="S1395">
            <v>5.6274976937038756</v>
          </cell>
          <cell r="T1395">
            <v>6.5079454522096958</v>
          </cell>
          <cell r="U1395">
            <v>7.3359784312570397</v>
          </cell>
          <cell r="V1395">
            <v>8.1862479698671322</v>
          </cell>
          <cell r="W1395">
            <v>9.0384903278221138</v>
          </cell>
          <cell r="X1395">
            <v>9.8654177458102907</v>
          </cell>
          <cell r="Y1395">
            <v>10.644363393939592</v>
          </cell>
          <cell r="Z1395">
            <v>11.358321414719107</v>
          </cell>
          <cell r="AA1395">
            <v>11.997889091803348</v>
          </cell>
          <cell r="AB1395">
            <v>12.556492595294767</v>
          </cell>
          <cell r="AC1395">
            <v>13.024466827007132</v>
          </cell>
          <cell r="AD1395">
            <v>13.393553052018902</v>
          </cell>
          <cell r="AE1395">
            <v>13.659123392646077</v>
          </cell>
          <cell r="AF1395">
            <v>13.834044861398631</v>
          </cell>
          <cell r="AG1395">
            <v>13.938097625851009</v>
          </cell>
          <cell r="AH1395">
            <v>13.977006225040389</v>
          </cell>
          <cell r="AI1395">
            <v>13.956619525169312</v>
          </cell>
          <cell r="AJ1395">
            <v>13.885078043332499</v>
          </cell>
          <cell r="AK1395">
            <v>13.778104122648305</v>
          </cell>
          <cell r="AL1395">
            <v>13.654413429200506</v>
          </cell>
          <cell r="AM1395">
            <v>13.525972875548597</v>
          </cell>
          <cell r="AN1395">
            <v>13.402996923296296</v>
          </cell>
          <cell r="AO1395">
            <v>13.295996329626924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9.6026142593075292E-8</v>
          </cell>
          <cell r="I1396">
            <v>9.4013308249429883E-8</v>
          </cell>
          <cell r="J1396">
            <v>0</v>
          </cell>
          <cell r="K1396">
            <v>0</v>
          </cell>
          <cell r="L1396">
            <v>8.8102503070786042E-8</v>
          </cell>
          <cell r="M1396">
            <v>0.61089838153443043</v>
          </cell>
          <cell r="N1396">
            <v>1.3525607998042144</v>
          </cell>
          <cell r="O1396">
            <v>2.2764681319071389</v>
          </cell>
          <cell r="P1396">
            <v>3.3742756999002754</v>
          </cell>
          <cell r="Q1396">
            <v>4.4084058831706407</v>
          </cell>
          <cell r="R1396">
            <v>5.3462021867975107</v>
          </cell>
          <cell r="S1396">
            <v>6.1953559084611864</v>
          </cell>
          <cell r="T1396">
            <v>6.9638666327745069</v>
          </cell>
          <cell r="U1396">
            <v>7.6545747875648162</v>
          </cell>
          <cell r="V1396">
            <v>8.379618473915972</v>
          </cell>
          <cell r="W1396">
            <v>9.1254378663438995</v>
          </cell>
          <cell r="X1396">
            <v>9.8563460706604822</v>
          </cell>
          <cell r="Y1396">
            <v>10.545473363713187</v>
          </cell>
          <cell r="Z1396">
            <v>11.173426579993029</v>
          </cell>
          <cell r="AA1396">
            <v>11.732751404209774</v>
          </cell>
          <cell r="AB1396">
            <v>12.217036900917755</v>
          </cell>
          <cell r="AC1396">
            <v>12.613302868381338</v>
          </cell>
          <cell r="AD1396">
            <v>12.911598278834635</v>
          </cell>
          <cell r="AE1396">
            <v>13.106317804899415</v>
          </cell>
          <cell r="AF1396">
            <v>13.22049997753596</v>
          </cell>
          <cell r="AG1396">
            <v>13.279827401219912</v>
          </cell>
          <cell r="AH1396">
            <v>13.282065794127362</v>
          </cell>
          <cell r="AI1396">
            <v>13.228622511392496</v>
          </cell>
          <cell r="AJ1396">
            <v>13.124218286769395</v>
          </cell>
          <cell r="AK1396">
            <v>12.985500225812551</v>
          </cell>
          <cell r="AL1396">
            <v>12.831457333009123</v>
          </cell>
          <cell r="AM1396">
            <v>12.668568389510583</v>
          </cell>
          <cell r="AN1396">
            <v>12.502397793965159</v>
          </cell>
          <cell r="AO1396">
            <v>12.338949179801162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0.58289208955235594</v>
          </cell>
          <cell r="N1397">
            <v>1.1515058908091458</v>
          </cell>
          <cell r="O1397">
            <v>1.7824486394387495</v>
          </cell>
          <cell r="P1397">
            <v>2.4660106074775312</v>
          </cell>
          <cell r="Q1397">
            <v>2.9946090492825927</v>
          </cell>
          <cell r="R1397">
            <v>3.2842467678833254</v>
          </cell>
          <cell r="S1397">
            <v>3.4354687081195268</v>
          </cell>
          <cell r="T1397">
            <v>3.4907700642626383</v>
          </cell>
          <cell r="U1397">
            <v>3.4707023145346794</v>
          </cell>
          <cell r="V1397">
            <v>3.5171604427378433</v>
          </cell>
          <cell r="W1397">
            <v>3.6237500921996402</v>
          </cell>
          <cell r="X1397">
            <v>3.7322955088718635</v>
          </cell>
          <cell r="Y1397">
            <v>3.8264884797775567</v>
          </cell>
          <cell r="Z1397">
            <v>3.900940676404252</v>
          </cell>
          <cell r="AA1397">
            <v>3.9716282848016649</v>
          </cell>
          <cell r="AB1397">
            <v>4.0381822782077359</v>
          </cell>
          <cell r="AC1397">
            <v>4.0746579300797725</v>
          </cell>
          <cell r="AD1397">
            <v>4.0715194858254256</v>
          </cell>
          <cell r="AE1397">
            <v>4.0263812819106626</v>
          </cell>
          <cell r="AF1397">
            <v>4.0097679306430489</v>
          </cell>
          <cell r="AG1397">
            <v>4.0551129612979242</v>
          </cell>
          <cell r="AH1397">
            <v>4.1045349568992862</v>
          </cell>
          <cell r="AI1397">
            <v>4.1440073665569566</v>
          </cell>
          <cell r="AJ1397">
            <v>4.1710309243725652</v>
          </cell>
          <cell r="AK1397">
            <v>4.2150228294132175</v>
          </cell>
          <cell r="AL1397">
            <v>4.2966985571003979</v>
          </cell>
          <cell r="AM1397">
            <v>4.3942363918901606</v>
          </cell>
          <cell r="AN1397">
            <v>4.5000542531680177</v>
          </cell>
          <cell r="AO1397">
            <v>4.6118344688178547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2.280455824177352E-8</v>
          </cell>
          <cell r="I1398">
            <v>2.2081092510006783E-8</v>
          </cell>
          <cell r="J1398">
            <v>4.2712544612300007E-8</v>
          </cell>
          <cell r="K1398">
            <v>6.1919380733854723E-8</v>
          </cell>
          <cell r="L1398">
            <v>7.9724871149267074E-8</v>
          </cell>
          <cell r="M1398">
            <v>-1.1643816551576425E-2</v>
          </cell>
          <cell r="N1398">
            <v>0.21325190189689369</v>
          </cell>
          <cell r="O1398">
            <v>0.67939703122987805</v>
          </cell>
          <cell r="P1398">
            <v>1.371686130936145</v>
          </cell>
          <cell r="Q1398">
            <v>2.2674555795796358</v>
          </cell>
          <cell r="R1398">
            <v>3.2623195549885242</v>
          </cell>
          <cell r="S1398">
            <v>4.2911837182069146</v>
          </cell>
          <cell r="T1398">
            <v>5.3155259115006182</v>
          </cell>
          <cell r="U1398">
            <v>6.3103820058231008</v>
          </cell>
          <cell r="V1398">
            <v>7.2544878482006858</v>
          </cell>
          <cell r="W1398">
            <v>8.1724600622585584</v>
          </cell>
          <cell r="X1398">
            <v>9.0699789445839016</v>
          </cell>
          <cell r="Y1398">
            <v>9.9394790289354162</v>
          </cell>
          <cell r="Z1398">
            <v>10.767555506060077</v>
          </cell>
          <cell r="AA1398">
            <v>11.539354436980087</v>
          </cell>
          <cell r="AB1398">
            <v>12.24278509056429</v>
          </cell>
          <cell r="AC1398">
            <v>12.868316321576835</v>
          </cell>
          <cell r="AD1398">
            <v>13.406921691767536</v>
          </cell>
          <cell r="AE1398">
            <v>13.850812988071093</v>
          </cell>
          <cell r="AF1398">
            <v>14.194915553475074</v>
          </cell>
          <cell r="AG1398">
            <v>14.442828365008609</v>
          </cell>
          <cell r="AH1398">
            <v>14.606017544369765</v>
          </cell>
          <cell r="AI1398">
            <v>14.695430974007362</v>
          </cell>
          <cell r="AJ1398">
            <v>14.721780121321348</v>
          </cell>
          <cell r="AK1398">
            <v>14.696741917281319</v>
          </cell>
          <cell r="AL1398">
            <v>14.635866128061048</v>
          </cell>
          <cell r="AM1398">
            <v>14.558331865135621</v>
          </cell>
          <cell r="AN1398">
            <v>14.483079689520139</v>
          </cell>
          <cell r="AO1398">
            <v>14.428515321056224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-9.7895669348702086E-8</v>
          </cell>
          <cell r="H1399">
            <v>2.280455824177352E-8</v>
          </cell>
          <cell r="I1399">
            <v>-7.188316608619516E-8</v>
          </cell>
          <cell r="J1399">
            <v>-4.9369319743419737E-8</v>
          </cell>
          <cell r="K1399">
            <v>-2.8275126684462748E-8</v>
          </cell>
          <cell r="L1399">
            <v>-8.4963369673118905E-9</v>
          </cell>
          <cell r="M1399">
            <v>-0.89915274542929913</v>
          </cell>
          <cell r="N1399">
            <v>-1.4384218166954343</v>
          </cell>
          <cell r="O1399">
            <v>-1.8565058400429213</v>
          </cell>
          <cell r="P1399">
            <v>-2.1804583877025663</v>
          </cell>
          <cell r="Q1399">
            <v>-2.1609351737600591</v>
          </cell>
          <cell r="R1399">
            <v>-2.0116745736228014</v>
          </cell>
          <cell r="S1399">
            <v>-1.7969093135399516</v>
          </cell>
          <cell r="T1399">
            <v>-1.5469177490628483</v>
          </cell>
          <cell r="U1399">
            <v>-1.2752578683628557</v>
          </cell>
          <cell r="V1399">
            <v>-1.1265537404292592</v>
          </cell>
          <cell r="W1399">
            <v>-0.99984286000535105</v>
          </cell>
          <cell r="X1399">
            <v>-0.86097144019700034</v>
          </cell>
          <cell r="Y1399">
            <v>-0.69822684368999743</v>
          </cell>
          <cell r="Z1399">
            <v>-0.51077091507218952</v>
          </cell>
          <cell r="AA1399">
            <v>-0.3067369014441601</v>
          </cell>
          <cell r="AB1399">
            <v>-9.1175912265406556E-2</v>
          </cell>
          <cell r="AC1399">
            <v>0.1383322269146614</v>
          </cell>
          <cell r="AD1399">
            <v>0.38152658861616562</v>
          </cell>
          <cell r="AE1399">
            <v>0.63543657508964291</v>
          </cell>
          <cell r="AF1399">
            <v>0.87835022900786264</v>
          </cell>
          <cell r="AG1399">
            <v>1.0961197541814016</v>
          </cell>
          <cell r="AH1399">
            <v>1.3016746901781007</v>
          </cell>
          <cell r="AI1399">
            <v>1.5011327704248734</v>
          </cell>
          <cell r="AJ1399">
            <v>1.6971354598068533</v>
          </cell>
          <cell r="AK1399">
            <v>1.8839374789295871</v>
          </cell>
          <cell r="AL1399">
            <v>2.0582773005603627</v>
          </cell>
          <cell r="AM1399">
            <v>2.2300564405066226</v>
          </cell>
          <cell r="AN1399">
            <v>2.40853975492894</v>
          </cell>
          <cell r="AO1399">
            <v>2.6020183039985545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1.7905876781298957E-8</v>
          </cell>
          <cell r="I1400">
            <v>1.733782006851925E-8</v>
          </cell>
          <cell r="J1400">
            <v>3.3537372878811311E-8</v>
          </cell>
          <cell r="K1400">
            <v>4.8618353787333035E-8</v>
          </cell>
          <cell r="L1400">
            <v>7.8248785229106943E-8</v>
          </cell>
          <cell r="M1400">
            <v>-1.1643817193340844E-2</v>
          </cell>
          <cell r="N1400">
            <v>0.21325191574654845</v>
          </cell>
          <cell r="O1400">
            <v>0.67939703552932773</v>
          </cell>
          <cell r="P1400">
            <v>1.3716861470151276</v>
          </cell>
          <cell r="Q1400">
            <v>2.2674555857093548</v>
          </cell>
          <cell r="R1400">
            <v>3.2623195614931655</v>
          </cell>
          <cell r="S1400">
            <v>4.2911837053662305</v>
          </cell>
          <cell r="T1400">
            <v>5.3155259132651178</v>
          </cell>
          <cell r="U1400">
            <v>6.3103820078051154</v>
          </cell>
          <cell r="V1400">
            <v>7.2544878500747645</v>
          </cell>
          <cell r="W1400">
            <v>8.1724601124810938</v>
          </cell>
          <cell r="X1400">
            <v>9.0699788923928502</v>
          </cell>
          <cell r="Y1400">
            <v>9.9394790149011314</v>
          </cell>
          <cell r="Z1400">
            <v>10.767555437497901</v>
          </cell>
          <cell r="AA1400">
            <v>11.539354500390097</v>
          </cell>
          <cell r="AB1400">
            <v>12.242785136327171</v>
          </cell>
          <cell r="AC1400">
            <v>12.868316310162564</v>
          </cell>
          <cell r="AD1400">
            <v>13.406921631829928</v>
          </cell>
          <cell r="AE1400">
            <v>13.85081298878459</v>
          </cell>
          <cell r="AF1400">
            <v>14.194915446892264</v>
          </cell>
          <cell r="AG1400">
            <v>14.442828351421323</v>
          </cell>
          <cell r="AH1400">
            <v>14.606017510243685</v>
          </cell>
          <cell r="AI1400">
            <v>14.695430978893963</v>
          </cell>
          <cell r="AJ1400">
            <v>14.72178015297918</v>
          </cell>
          <cell r="AK1400">
            <v>14.696741947889702</v>
          </cell>
          <cell r="AL1400">
            <v>14.635866060041035</v>
          </cell>
          <cell r="AM1400">
            <v>14.558331859764561</v>
          </cell>
          <cell r="AN1400">
            <v>14.483079615352068</v>
          </cell>
          <cell r="AO1400">
            <v>14.428515331080384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1.7905876781298957E-8</v>
          </cell>
          <cell r="I1401">
            <v>1.7337797864058757E-8</v>
          </cell>
          <cell r="J1401">
            <v>-5.8169458139190056E-8</v>
          </cell>
          <cell r="K1401">
            <v>-4.0865644201915075E-8</v>
          </cell>
          <cell r="L1401">
            <v>7.8248785229106943E-8</v>
          </cell>
          <cell r="M1401">
            <v>8.1943785789606594E-2</v>
          </cell>
          <cell r="N1401">
            <v>5.3296514579415089E-4</v>
          </cell>
          <cell r="O1401">
            <v>-5.9361886013908904E-2</v>
          </cell>
          <cell r="P1401">
            <v>-0.12061747646128218</v>
          </cell>
          <cell r="Q1401">
            <v>-0.20263548076407956</v>
          </cell>
          <cell r="R1401">
            <v>-0.21456640963463114</v>
          </cell>
          <cell r="S1401">
            <v>-0.18647753858836991</v>
          </cell>
          <cell r="T1401">
            <v>-0.13761913373194767</v>
          </cell>
          <cell r="U1401">
            <v>-7.6205264222450886E-2</v>
          </cell>
          <cell r="V1401">
            <v>9.9814990295987727E-3</v>
          </cell>
          <cell r="W1401">
            <v>7.094011015169599E-2</v>
          </cell>
          <cell r="X1401">
            <v>0.13120390590215525</v>
          </cell>
          <cell r="Y1401">
            <v>0.20472333148600086</v>
          </cell>
          <cell r="Z1401">
            <v>0.29581423356916936</v>
          </cell>
          <cell r="AA1401">
            <v>0.40223055121488827</v>
          </cell>
          <cell r="AB1401">
            <v>0.51957325474254468</v>
          </cell>
          <cell r="AC1401">
            <v>0.64541704946889933</v>
          </cell>
          <cell r="AD1401">
            <v>0.778333233116979</v>
          </cell>
          <cell r="AE1401">
            <v>0.91588706657130814</v>
          </cell>
          <cell r="AF1401">
            <v>1.0488574498014547</v>
          </cell>
          <cell r="AG1401">
            <v>1.1645376840587973</v>
          </cell>
          <cell r="AH1401">
            <v>1.2587852826819734</v>
          </cell>
          <cell r="AI1401">
            <v>1.3326220384238141</v>
          </cell>
          <cell r="AJ1401">
            <v>1.3853806824725368</v>
          </cell>
          <cell r="AK1401">
            <v>1.4133957839417732</v>
          </cell>
          <cell r="AL1401">
            <v>1.4117966187408237</v>
          </cell>
          <cell r="AM1401">
            <v>1.3796869756534047</v>
          </cell>
          <cell r="AN1401">
            <v>1.3191199977690138</v>
          </cell>
          <cell r="AO1401">
            <v>1.2311395997733454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3.6044101037191467E-8</v>
          </cell>
          <cell r="I1402">
            <v>3.567226514178401E-8</v>
          </cell>
          <cell r="J1402">
            <v>0</v>
          </cell>
          <cell r="K1402">
            <v>0</v>
          </cell>
          <cell r="L1402">
            <v>3.4342395593967012E-8</v>
          </cell>
          <cell r="M1402">
            <v>-7.4552485935153179E-2</v>
          </cell>
          <cell r="N1402">
            <v>-0.19789686434553699</v>
          </cell>
          <cell r="O1402">
            <v>-0.15253099632024369</v>
          </cell>
          <cell r="P1402">
            <v>6.8747102621058431E-3</v>
          </cell>
          <cell r="Q1402">
            <v>0.19196316014338244</v>
          </cell>
          <cell r="R1402">
            <v>0.35076443973645066</v>
          </cell>
          <cell r="S1402">
            <v>0.46917661355552198</v>
          </cell>
          <cell r="T1402">
            <v>0.55825732355678781</v>
          </cell>
          <cell r="U1402">
            <v>0.629004697420954</v>
          </cell>
          <cell r="V1402">
            <v>0.68038441550914985</v>
          </cell>
          <cell r="W1402">
            <v>0.7113414154201525</v>
          </cell>
          <cell r="X1402">
            <v>0.72195761196487407</v>
          </cell>
          <cell r="Y1402">
            <v>0.71483694393950081</v>
          </cell>
          <cell r="Z1402">
            <v>0.69418256194502259</v>
          </cell>
          <cell r="AA1402">
            <v>0.6649010366292174</v>
          </cell>
          <cell r="AB1402">
            <v>0.63228467691438528</v>
          </cell>
          <cell r="AC1402">
            <v>0.60144826038637245</v>
          </cell>
          <cell r="AD1402">
            <v>0.57742651043999338</v>
          </cell>
          <cell r="AE1402">
            <v>0.56470665959220678</v>
          </cell>
          <cell r="AF1402">
            <v>0.56925000199441467</v>
          </cell>
          <cell r="AG1402">
            <v>0.59671790472777264</v>
          </cell>
          <cell r="AH1402">
            <v>0.65235207303011578</v>
          </cell>
          <cell r="AI1402">
            <v>0.74142362206732759</v>
          </cell>
          <cell r="AJ1402">
            <v>0.86893664876481758</v>
          </cell>
          <cell r="AK1402">
            <v>1.0396729745324018</v>
          </cell>
          <cell r="AL1402">
            <v>1.2584290677959187</v>
          </cell>
          <cell r="AM1402">
            <v>1.529945794367249</v>
          </cell>
          <cell r="AN1402">
            <v>1.8594186180456607</v>
          </cell>
          <cell r="AO1402">
            <v>2.2530474576858861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9.9999997473787516E-6</v>
          </cell>
          <cell r="I1403">
            <v>9.9999997473787516E-6</v>
          </cell>
          <cell r="J1403">
            <v>0</v>
          </cell>
          <cell r="K1403">
            <v>0</v>
          </cell>
          <cell r="L1403">
            <v>9.9999997473787516E-6</v>
          </cell>
          <cell r="M1403">
            <v>-21.9952200000007</v>
          </cell>
          <cell r="N1403">
            <v>-59.141459999998915</v>
          </cell>
          <cell r="O1403">
            <v>-46.158879999999044</v>
          </cell>
          <cell r="P1403">
            <v>2.1059499999973923</v>
          </cell>
          <cell r="Q1403">
            <v>59.40538000000015</v>
          </cell>
          <cell r="R1403">
            <v>109.39463999999862</v>
          </cell>
          <cell r="S1403">
            <v>147.12855000000127</v>
          </cell>
          <cell r="T1403">
            <v>175.69436999999743</v>
          </cell>
          <cell r="U1403">
            <v>198.40473000000202</v>
          </cell>
          <cell r="V1403">
            <v>214.9400999999998</v>
          </cell>
          <cell r="W1403">
            <v>225.04067000000214</v>
          </cell>
          <cell r="X1403">
            <v>228.8145399999994</v>
          </cell>
          <cell r="Y1403">
            <v>227.13525999999911</v>
          </cell>
          <cell r="Z1403">
            <v>221.2941299999984</v>
          </cell>
          <cell r="AA1403">
            <v>212.89530999999988</v>
          </cell>
          <cell r="AB1403">
            <v>203.60143000000244</v>
          </cell>
          <cell r="AC1403">
            <v>195.02637999999934</v>
          </cell>
          <cell r="AD1403">
            <v>188.78631999999925</v>
          </cell>
          <cell r="AE1403">
            <v>186.26120999999694</v>
          </cell>
          <cell r="AF1403">
            <v>189.59387000000424</v>
          </cell>
          <cell r="AG1403">
            <v>200.86906999999337</v>
          </cell>
          <cell r="AH1403">
            <v>222.14403999999922</v>
          </cell>
          <cell r="AI1403">
            <v>255.59074999999575</v>
          </cell>
          <cell r="AJ1403">
            <v>303.38616999999795</v>
          </cell>
          <cell r="AK1403">
            <v>367.71214999999938</v>
          </cell>
          <cell r="AL1403">
            <v>450.81558000000223</v>
          </cell>
          <cell r="AM1403">
            <v>554.95203999999649</v>
          </cell>
          <cell r="AN1403">
            <v>682.53494999999384</v>
          </cell>
          <cell r="AO1403">
            <v>836.30943000000116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-1.000000082740371E-8</v>
          </cell>
          <cell r="M1404">
            <v>5.6247819999999393E-2</v>
          </cell>
          <cell r="N1404">
            <v>0.1459891599999999</v>
          </cell>
          <cell r="O1404">
            <v>0.1032026200000008</v>
          </cell>
          <cell r="P1404">
            <v>-1.98775499999998E-2</v>
          </cell>
          <cell r="Q1404">
            <v>-0.15369853999999961</v>
          </cell>
          <cell r="R1404">
            <v>-0.26196100999999888</v>
          </cell>
          <cell r="S1404">
            <v>-0.33800657000000039</v>
          </cell>
          <cell r="T1404">
            <v>-0.39302600000000049</v>
          </cell>
          <cell r="U1404">
            <v>-0.43609638000000062</v>
          </cell>
          <cell r="V1404">
            <v>-0.4661729200000006</v>
          </cell>
          <cell r="W1404">
            <v>-0.48256002999999964</v>
          </cell>
          <cell r="X1404">
            <v>-0.48554612999999885</v>
          </cell>
          <cell r="Y1404">
            <v>-0.47726515000000025</v>
          </cell>
          <cell r="Z1404">
            <v>-0.4611114999999999</v>
          </cell>
          <cell r="AA1404">
            <v>-0.43987937000000005</v>
          </cell>
          <cell r="AB1404">
            <v>-0.41760745000000016</v>
          </cell>
          <cell r="AC1404">
            <v>-0.39767269000000049</v>
          </cell>
          <cell r="AD1404">
            <v>-0.38340263999999957</v>
          </cell>
          <cell r="AE1404">
            <v>-0.37835907000000057</v>
          </cell>
          <cell r="AF1404">
            <v>-0.38565340999999892</v>
          </cell>
          <cell r="AG1404">
            <v>-0.40990119000000047</v>
          </cell>
          <cell r="AH1404">
            <v>-0.45495601000000024</v>
          </cell>
          <cell r="AI1404">
            <v>-0.52481149999999976</v>
          </cell>
          <cell r="AJ1404">
            <v>-0.62332810000000005</v>
          </cell>
          <cell r="AK1404">
            <v>-0.75425235999999996</v>
          </cell>
          <cell r="AL1404">
            <v>-0.92137334000000004</v>
          </cell>
          <cell r="AM1404">
            <v>-1.12840444</v>
          </cell>
          <cell r="AN1404">
            <v>-1.3793484978999999</v>
          </cell>
          <cell r="AO1404">
            <v>-1.6788733180000002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-9.0850677675335945E-10</v>
          </cell>
          <cell r="G1405">
            <v>1.5277789016526766E-9</v>
          </cell>
          <cell r="H1405">
            <v>3.5842477857234156E-9</v>
          </cell>
          <cell r="I1405">
            <v>5.7020258306672567E-9</v>
          </cell>
          <cell r="J1405">
            <v>6.176295239135321E-9</v>
          </cell>
          <cell r="K1405">
            <v>5.877652531349753E-9</v>
          </cell>
          <cell r="L1405">
            <v>5.289800888985674E-9</v>
          </cell>
          <cell r="M1405">
            <v>-0.14391501655413863</v>
          </cell>
          <cell r="N1405">
            <v>-0.21136812638074232</v>
          </cell>
          <cell r="O1405">
            <v>-1.8856605045505098E-2</v>
          </cell>
          <cell r="P1405">
            <v>0.10936890428188892</v>
          </cell>
          <cell r="Q1405">
            <v>0.16298517078520078</v>
          </cell>
          <cell r="R1405">
            <v>0.16929055991484268</v>
          </cell>
          <cell r="S1405">
            <v>0.15090106433003417</v>
          </cell>
          <cell r="T1405">
            <v>0.1364951080683241</v>
          </cell>
          <cell r="U1405">
            <v>0.12908359023816179</v>
          </cell>
          <cell r="V1405">
            <v>0.10348705619514509</v>
          </cell>
          <cell r="W1405">
            <v>7.7586195956552695E-2</v>
          </cell>
          <cell r="X1405">
            <v>5.3998600429038673E-2</v>
          </cell>
          <cell r="Y1405">
            <v>2.8817097491200261E-2</v>
          </cell>
          <cell r="Z1405">
            <v>-1.5435796037577276E-3</v>
          </cell>
          <cell r="AA1405">
            <v>-3.9514890413025472E-2</v>
          </cell>
          <cell r="AB1405">
            <v>-8.4906949029991269E-2</v>
          </cell>
          <cell r="AC1405">
            <v>-0.13502612603663935</v>
          </cell>
          <cell r="AD1405">
            <v>-0.18990798383621277</v>
          </cell>
          <cell r="AE1405">
            <v>-0.25190659192082104</v>
          </cell>
          <cell r="AF1405">
            <v>-0.3241115801358857</v>
          </cell>
          <cell r="AG1405">
            <v>-0.40703685124764133</v>
          </cell>
          <cell r="AH1405">
            <v>-0.49082084489057293</v>
          </cell>
          <cell r="AI1405">
            <v>-0.57484958677191944</v>
          </cell>
          <cell r="AJ1405">
            <v>-0.6596447495032951</v>
          </cell>
          <cell r="AK1405">
            <v>-0.7485362597004358</v>
          </cell>
          <cell r="AL1405">
            <v>-0.84259895556701092</v>
          </cell>
          <cell r="AM1405">
            <v>-0.93953198197095977</v>
          </cell>
          <cell r="AN1405">
            <v>-1.0414010282446171</v>
          </cell>
          <cell r="AO1405">
            <v>-1.151665943467143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1.8170137269790665E-9</v>
          </cell>
          <cell r="G1406">
            <v>0</v>
          </cell>
          <cell r="H1406">
            <v>-2.854326670853613E-9</v>
          </cell>
          <cell r="I1406">
            <v>-4.7139493697390122E-9</v>
          </cell>
          <cell r="J1406">
            <v>-5.6434490761092526E-9</v>
          </cell>
          <cell r="K1406">
            <v>-6.4756781534280883E-9</v>
          </cell>
          <cell r="L1406">
            <v>-6.939596466914999E-9</v>
          </cell>
          <cell r="M1406">
            <v>-5.4317614237770449E-2</v>
          </cell>
          <cell r="N1406">
            <v>-0.1186418555617236</v>
          </cell>
          <cell r="O1406">
            <v>-0.19157151684904059</v>
          </cell>
          <cell r="P1406">
            <v>-0.26358639222518832</v>
          </cell>
          <cell r="Q1406">
            <v>-0.32448136806528338</v>
          </cell>
          <cell r="R1406">
            <v>-0.37881753150797709</v>
          </cell>
          <cell r="S1406">
            <v>-0.42833803476565352</v>
          </cell>
          <cell r="T1406">
            <v>-0.47491949659047833</v>
          </cell>
          <cell r="U1406">
            <v>-0.51961629074186633</v>
          </cell>
          <cell r="V1406">
            <v>-0.5486110466769063</v>
          </cell>
          <cell r="W1406">
            <v>-0.58001797448105497</v>
          </cell>
          <cell r="X1406">
            <v>-0.61267287763519396</v>
          </cell>
          <cell r="Y1406">
            <v>-0.64544024999521887</v>
          </cell>
          <cell r="Z1406">
            <v>-0.67759843210554982</v>
          </cell>
          <cell r="AA1406">
            <v>-0.70810583468449839</v>
          </cell>
          <cell r="AB1406">
            <v>-0.73670525653987784</v>
          </cell>
          <cell r="AC1406">
            <v>-0.76326491503445826</v>
          </cell>
          <cell r="AD1406">
            <v>-0.78762609390886917</v>
          </cell>
          <cell r="AE1406">
            <v>-0.80999686567869889</v>
          </cell>
          <cell r="AF1406">
            <v>-0.83039501710813179</v>
          </cell>
          <cell r="AG1406">
            <v>-0.84734378128597176</v>
          </cell>
          <cell r="AH1406">
            <v>-0.86109953287564789</v>
          </cell>
          <cell r="AI1406">
            <v>-0.87135236513215863</v>
          </cell>
          <cell r="AJ1406">
            <v>-0.87787929700802247</v>
          </cell>
          <cell r="AK1406">
            <v>-0.88031910864172835</v>
          </cell>
          <cell r="AL1406">
            <v>-0.87841160423447606</v>
          </cell>
          <cell r="AM1406">
            <v>-0.87211946481663871</v>
          </cell>
          <cell r="AN1406">
            <v>-0.86112081358685333</v>
          </cell>
          <cell r="AO1406">
            <v>-0.84482621109414535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1.362760251866213E-9</v>
          </cell>
          <cell r="G1407">
            <v>8.7301650283921894E-10</v>
          </cell>
          <cell r="H1407">
            <v>-1.2457958276090864E-9</v>
          </cell>
          <cell r="I1407">
            <v>-2.7890273640931995E-9</v>
          </cell>
          <cell r="J1407">
            <v>-5.952371408268764E-9</v>
          </cell>
          <cell r="K1407">
            <v>-9.1261742954373837E-9</v>
          </cell>
          <cell r="L1407">
            <v>-1.1568659225025257E-8</v>
          </cell>
          <cell r="M1407">
            <v>0.15184485437355275</v>
          </cell>
          <cell r="N1407">
            <v>0.2420499675014478</v>
          </cell>
          <cell r="O1407">
            <v>0.19312962170958611</v>
          </cell>
          <cell r="P1407">
            <v>6.4109268602257491E-2</v>
          </cell>
          <cell r="Q1407">
            <v>-0.12280825535721587</v>
          </cell>
          <cell r="R1407">
            <v>-0.30141781423950742</v>
          </cell>
          <cell r="S1407">
            <v>-0.45537930570620777</v>
          </cell>
          <cell r="T1407">
            <v>-0.58733677548668961</v>
          </cell>
          <cell r="U1407">
            <v>-0.70184115596636021</v>
          </cell>
          <cell r="V1407">
            <v>-0.78114118993686321</v>
          </cell>
          <cell r="W1407">
            <v>-0.84375729567196101</v>
          </cell>
          <cell r="X1407">
            <v>-0.89340991968131289</v>
          </cell>
          <cell r="Y1407">
            <v>-0.93074524862502139</v>
          </cell>
          <cell r="Z1407">
            <v>-0.95488547702321935</v>
          </cell>
          <cell r="AA1407">
            <v>-0.96682410003330466</v>
          </cell>
          <cell r="AB1407">
            <v>-0.96662354482554902</v>
          </cell>
          <cell r="AC1407">
            <v>-0.95678912137709127</v>
          </cell>
          <cell r="AD1407">
            <v>-0.9397428722625043</v>
          </cell>
          <cell r="AE1407">
            <v>-0.9153532745600379</v>
          </cell>
          <cell r="AF1407">
            <v>-0.88802087387707607</v>
          </cell>
          <cell r="AG1407">
            <v>-0.85820510299056685</v>
          </cell>
          <cell r="AH1407">
            <v>-0.83110117535920702</v>
          </cell>
          <cell r="AI1407">
            <v>-0.81070923718001153</v>
          </cell>
          <cell r="AJ1407">
            <v>-0.79982915723373904</v>
          </cell>
          <cell r="AK1407">
            <v>-0.8000584775283357</v>
          </cell>
          <cell r="AL1407">
            <v>-0.81350305274240231</v>
          </cell>
          <cell r="AM1407">
            <v>-0.84384839002373391</v>
          </cell>
          <cell r="AN1407">
            <v>-0.89474892493788127</v>
          </cell>
          <cell r="AO1407">
            <v>-0.96975268737973797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1.8170135535067189E-9</v>
          </cell>
          <cell r="G1408">
            <v>7.8571489592338395E-9</v>
          </cell>
          <cell r="H1408">
            <v>6.0479121710699246E-9</v>
          </cell>
          <cell r="I1408">
            <v>6.2016742435888617E-9</v>
          </cell>
          <cell r="J1408">
            <v>6.3846330999872691E-9</v>
          </cell>
          <cell r="K1408">
            <v>1.2077383364228478E-9</v>
          </cell>
          <cell r="L1408">
            <v>-3.3505127166634507E-9</v>
          </cell>
          <cell r="M1408">
            <v>0.14326978082340119</v>
          </cell>
          <cell r="N1408">
            <v>0.55755131694328486</v>
          </cell>
          <cell r="O1408">
            <v>0.59321981735679741</v>
          </cell>
          <cell r="P1408">
            <v>0.51442164905744281</v>
          </cell>
          <cell r="Q1408">
            <v>0.35873316367467656</v>
          </cell>
          <cell r="R1408">
            <v>0.11758563366223301</v>
          </cell>
          <cell r="S1408">
            <v>-0.10991647820131831</v>
          </cell>
          <cell r="T1408">
            <v>-0.31828427217142696</v>
          </cell>
          <cell r="U1408">
            <v>-0.50839693241096073</v>
          </cell>
          <cell r="V1408">
            <v>-0.66055716929251518</v>
          </cell>
          <cell r="W1408">
            <v>-0.77476479682048183</v>
          </cell>
          <cell r="X1408">
            <v>-0.87502796922215165</v>
          </cell>
          <cell r="Y1408">
            <v>-0.96163040755017426</v>
          </cell>
          <cell r="Z1408">
            <v>-1.0312341133261855</v>
          </cell>
          <cell r="AA1408">
            <v>-1.0829564232976583</v>
          </cell>
          <cell r="AB1408">
            <v>-1.11535240019408</v>
          </cell>
          <cell r="AC1408">
            <v>-1.1307500732561384</v>
          </cell>
          <cell r="AD1408">
            <v>-1.1312223730807451</v>
          </cell>
          <cell r="AE1408">
            <v>-1.116769883788902</v>
          </cell>
          <cell r="AF1408">
            <v>-1.0921467248591541</v>
          </cell>
          <cell r="AG1408">
            <v>-1.0609109034754163</v>
          </cell>
          <cell r="AH1408">
            <v>-1.0315030931167493</v>
          </cell>
          <cell r="AI1408">
            <v>-1.0058625153221354</v>
          </cell>
          <cell r="AJ1408">
            <v>-0.98594729076641596</v>
          </cell>
          <cell r="AK1408">
            <v>-0.97352151839668055</v>
          </cell>
          <cell r="AL1408">
            <v>-0.97387165327121605</v>
          </cell>
          <cell r="AM1408">
            <v>-0.99387960463110936</v>
          </cell>
          <cell r="AN1408">
            <v>-1.0362893864515124</v>
          </cell>
          <cell r="AO1408">
            <v>-1.1049059237231165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-8.9175866690993644E-8</v>
          </cell>
          <cell r="I1409">
            <v>-8.5006579553237316E-8</v>
          </cell>
          <cell r="J1409">
            <v>-4.2375669639937996E-8</v>
          </cell>
          <cell r="K1409">
            <v>-3.9198944090657051E-8</v>
          </cell>
          <cell r="L1409">
            <v>-3.5563851863429363E-8</v>
          </cell>
          <cell r="M1409">
            <v>-0.22443453657122747</v>
          </cell>
          <cell r="N1409">
            <v>-1.0823214105371015E-2</v>
          </cell>
          <cell r="O1409">
            <v>-0.10214348037067555</v>
          </cell>
          <cell r="P1409">
            <v>-0.33234998787194936</v>
          </cell>
          <cell r="Q1409">
            <v>-0.5922389842818454</v>
          </cell>
          <cell r="R1409">
            <v>-1.0004499565018921</v>
          </cell>
          <cell r="S1409">
            <v>-1.5350301150760914</v>
          </cell>
          <cell r="T1409">
            <v>-2.1809292062187513</v>
          </cell>
          <cell r="U1409">
            <v>-2.9183979660375838</v>
          </cell>
          <cell r="V1409">
            <v>-3.7287417070281244</v>
          </cell>
          <cell r="W1409">
            <v>-4.5679602833507662</v>
          </cell>
          <cell r="X1409">
            <v>-5.4253801826285004</v>
          </cell>
          <cell r="Y1409">
            <v>-6.2930838657171098</v>
          </cell>
          <cell r="Z1409">
            <v>-7.1632332421269762</v>
          </cell>
          <cell r="AA1409">
            <v>-8.021372748019802</v>
          </cell>
          <cell r="AB1409">
            <v>-8.8561459537622795</v>
          </cell>
          <cell r="AC1409">
            <v>-9.6568385423647154</v>
          </cell>
          <cell r="AD1409">
            <v>-10.415177992177139</v>
          </cell>
          <cell r="AE1409">
            <v>-11.131701820109324</v>
          </cell>
          <cell r="AF1409">
            <v>-11.787039247357868</v>
          </cell>
          <cell r="AG1409">
            <v>-12.376026082376935</v>
          </cell>
          <cell r="AH1409">
            <v>-12.89859200580557</v>
          </cell>
          <cell r="AI1409">
            <v>-13.36002828571935</v>
          </cell>
          <cell r="AJ1409">
            <v>-13.768474584904434</v>
          </cell>
          <cell r="AK1409">
            <v>-14.131007290369757</v>
          </cell>
          <cell r="AL1409">
            <v>-14.455243489428081</v>
          </cell>
          <cell r="AM1409">
            <v>-14.754023100553093</v>
          </cell>
          <cell r="AN1409">
            <v>-15.042142476527321</v>
          </cell>
          <cell r="AO1409">
            <v>-15.33540947770452</v>
          </cell>
        </row>
        <row r="1410">
          <cell r="C1410" t="str">
            <v>PIB</v>
          </cell>
          <cell r="E1410" t="str">
            <v>GDP_2</v>
          </cell>
          <cell r="F1410">
            <v>2197953.023</v>
          </cell>
          <cell r="G1410">
            <v>2239235.8280000002</v>
          </cell>
          <cell r="H1410">
            <v>2285523.7209999999</v>
          </cell>
          <cell r="I1410">
            <v>2336256.3029999998</v>
          </cell>
          <cell r="J1410">
            <v>2390453.9909999999</v>
          </cell>
          <cell r="K1410">
            <v>2447753.173</v>
          </cell>
          <cell r="L1410">
            <v>2506089.193</v>
          </cell>
          <cell r="M1410">
            <v>2559887.35</v>
          </cell>
          <cell r="N1410">
            <v>2614586.605</v>
          </cell>
          <cell r="O1410">
            <v>2680079.7250000001</v>
          </cell>
          <cell r="P1410">
            <v>2747443.5389999999</v>
          </cell>
          <cell r="Q1410">
            <v>2807288.844</v>
          </cell>
          <cell r="R1410">
            <v>2861881.13</v>
          </cell>
          <cell r="S1410">
            <v>2912410.727</v>
          </cell>
          <cell r="T1410">
            <v>2960622.2069999999</v>
          </cell>
          <cell r="U1410">
            <v>3007666.0040000002</v>
          </cell>
          <cell r="V1410">
            <v>3054501.1269999999</v>
          </cell>
          <cell r="W1410">
            <v>3102619.2829999998</v>
          </cell>
          <cell r="X1410">
            <v>3153044.1570000001</v>
          </cell>
          <cell r="Y1410">
            <v>3206493.5720000002</v>
          </cell>
          <cell r="Z1410">
            <v>3262375.946</v>
          </cell>
          <cell r="AA1410">
            <v>3323307.625</v>
          </cell>
          <cell r="AB1410">
            <v>3389267.4470000002</v>
          </cell>
          <cell r="AC1410">
            <v>3460723.7409999999</v>
          </cell>
          <cell r="AD1410">
            <v>3537841.0860000001</v>
          </cell>
          <cell r="AE1410">
            <v>3617109.5869999998</v>
          </cell>
          <cell r="AF1410">
            <v>3703094.7760000001</v>
          </cell>
          <cell r="AG1410">
            <v>3795217.0320000001</v>
          </cell>
          <cell r="AH1410">
            <v>3893826.2549999999</v>
          </cell>
          <cell r="AI1410">
            <v>3998649.9980000001</v>
          </cell>
          <cell r="AJ1410">
            <v>4109058.8190000001</v>
          </cell>
          <cell r="AK1410">
            <v>4224433.5959999999</v>
          </cell>
          <cell r="AL1410">
            <v>4344240.8380000005</v>
          </cell>
          <cell r="AM1410">
            <v>4467965.7089999998</v>
          </cell>
          <cell r="AN1410">
            <v>4595088.9740000004</v>
          </cell>
          <cell r="AO1410">
            <v>4725056.7630000003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3.7312308798220784E-8</v>
          </cell>
          <cell r="P1411">
            <v>3.6397485025929655E-8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-3.1715385873098967E-8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-2.7004443126088518E-8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2.3671820059689708E-8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1178854.173</v>
          </cell>
          <cell r="G1412">
            <v>1219276.612</v>
          </cell>
          <cell r="H1412">
            <v>1258357.8740000001</v>
          </cell>
          <cell r="I1412">
            <v>1300097.331</v>
          </cell>
          <cell r="J1412">
            <v>1343880.602</v>
          </cell>
          <cell r="K1412">
            <v>1386767.0430000001</v>
          </cell>
          <cell r="L1412">
            <v>1430567.4809999999</v>
          </cell>
          <cell r="M1412">
            <v>1484447.6850000001</v>
          </cell>
          <cell r="N1412">
            <v>1551984.5759999999</v>
          </cell>
          <cell r="O1412">
            <v>1616622.828</v>
          </cell>
          <cell r="P1412">
            <v>1686813.0589999999</v>
          </cell>
          <cell r="Q1412">
            <v>1754302.3740000001</v>
          </cell>
          <cell r="R1412">
            <v>1818039.831</v>
          </cell>
          <cell r="S1412">
            <v>1879819.541</v>
          </cell>
          <cell r="T1412">
            <v>1939332.4569999999</v>
          </cell>
          <cell r="U1412">
            <v>1996445.328</v>
          </cell>
          <cell r="V1412">
            <v>2051665.7039999999</v>
          </cell>
          <cell r="W1412">
            <v>2104971.0580000002</v>
          </cell>
          <cell r="X1412">
            <v>2155802.5430000001</v>
          </cell>
          <cell r="Y1412">
            <v>2204354.0419999999</v>
          </cell>
          <cell r="Z1412">
            <v>2248133.4569999999</v>
          </cell>
          <cell r="AA1412">
            <v>2292916.767</v>
          </cell>
          <cell r="AB1412">
            <v>2336124.679</v>
          </cell>
          <cell r="AC1412">
            <v>2377854.1009999998</v>
          </cell>
          <cell r="AD1412">
            <v>2418320.3539999998</v>
          </cell>
          <cell r="AE1412">
            <v>2449179.8509999998</v>
          </cell>
          <cell r="AF1412">
            <v>2483926.7310000001</v>
          </cell>
          <cell r="AG1412">
            <v>2517996.9580000001</v>
          </cell>
          <cell r="AH1412">
            <v>2550947.1469999999</v>
          </cell>
          <cell r="AI1412">
            <v>2582493.2689999999</v>
          </cell>
          <cell r="AJ1412">
            <v>2612352.41</v>
          </cell>
          <cell r="AK1412">
            <v>2640221.818</v>
          </cell>
          <cell r="AL1412">
            <v>2665476.2220000001</v>
          </cell>
          <cell r="AM1412">
            <v>2687166.5070000002</v>
          </cell>
          <cell r="AN1412">
            <v>2704637.426</v>
          </cell>
          <cell r="AO1412">
            <v>2717129.9219999998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1011152.647</v>
          </cell>
          <cell r="G1413">
            <v>1048702.554</v>
          </cell>
          <cell r="H1413">
            <v>1091835.8400000001</v>
          </cell>
          <cell r="I1413">
            <v>1140624.4909999999</v>
          </cell>
          <cell r="J1413">
            <v>1194168.9450000001</v>
          </cell>
          <cell r="K1413">
            <v>1252265.6629999999</v>
          </cell>
          <cell r="L1413">
            <v>1314907.2039999999</v>
          </cell>
          <cell r="M1413">
            <v>1384976.517</v>
          </cell>
          <cell r="N1413">
            <v>1462311.544</v>
          </cell>
          <cell r="O1413">
            <v>1551646.8970000001</v>
          </cell>
          <cell r="P1413">
            <v>1652412.2009999999</v>
          </cell>
          <cell r="Q1413">
            <v>1757211.5630000001</v>
          </cell>
          <cell r="R1413">
            <v>1862430.949</v>
          </cell>
          <cell r="S1413">
            <v>1965299.047</v>
          </cell>
          <cell r="T1413">
            <v>2064432.5160000001</v>
          </cell>
          <cell r="U1413">
            <v>2159213.7990000001</v>
          </cell>
          <cell r="V1413">
            <v>2249606.699</v>
          </cell>
          <cell r="W1413">
            <v>2336438.7140000002</v>
          </cell>
          <cell r="X1413">
            <v>2420474.7930000001</v>
          </cell>
          <cell r="Y1413">
            <v>2502584.193</v>
          </cell>
          <cell r="Z1413">
            <v>2582894.253</v>
          </cell>
          <cell r="AA1413">
            <v>2663987.6170000001</v>
          </cell>
          <cell r="AB1413">
            <v>2746991.1159999999</v>
          </cell>
          <cell r="AC1413">
            <v>2833431.9369999999</v>
          </cell>
          <cell r="AD1413">
            <v>2924762.75</v>
          </cell>
          <cell r="AE1413">
            <v>3019667.827</v>
          </cell>
          <cell r="AF1413">
            <v>3122879.2820000001</v>
          </cell>
          <cell r="AG1413">
            <v>3236148.17</v>
          </cell>
          <cell r="AH1413">
            <v>3361750.9169999999</v>
          </cell>
          <cell r="AI1413">
            <v>3501350.2209999999</v>
          </cell>
          <cell r="AJ1413">
            <v>3655964.3679999998</v>
          </cell>
          <cell r="AK1413">
            <v>3826321.7</v>
          </cell>
          <cell r="AL1413">
            <v>4013052.554</v>
          </cell>
          <cell r="AM1413">
            <v>4216568.1550000003</v>
          </cell>
          <cell r="AN1413">
            <v>4437091.4879999999</v>
          </cell>
          <cell r="AO1413">
            <v>4674653.3849999998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-65724.458440000002</v>
          </cell>
          <cell r="G1414">
            <v>-65310.767570000004</v>
          </cell>
          <cell r="H1414">
            <v>-57993.205040000001</v>
          </cell>
          <cell r="I1414">
            <v>-48044.35082</v>
          </cell>
          <cell r="J1414">
            <v>-35880.949999999997</v>
          </cell>
          <cell r="K1414">
            <v>-18876.62543</v>
          </cell>
          <cell r="L1414">
            <v>908.30906619999996</v>
          </cell>
          <cell r="M1414">
            <v>17052.001960000001</v>
          </cell>
          <cell r="N1414">
            <v>25997.537199999999</v>
          </cell>
          <cell r="O1414">
            <v>49394.761599999998</v>
          </cell>
          <cell r="P1414">
            <v>77500.097320000001</v>
          </cell>
          <cell r="Q1414">
            <v>110935.1398</v>
          </cell>
          <cell r="R1414">
            <v>146870.3119</v>
          </cell>
          <cell r="S1414">
            <v>180615.18410000001</v>
          </cell>
          <cell r="T1414">
            <v>211204.97719999999</v>
          </cell>
          <cell r="U1414">
            <v>238313.14009999999</v>
          </cell>
          <cell r="V1414">
            <v>261570.0079</v>
          </cell>
          <cell r="W1414">
            <v>282018.1679</v>
          </cell>
          <cell r="X1414">
            <v>301121.8541</v>
          </cell>
          <cell r="Y1414">
            <v>319623.66210000002</v>
          </cell>
          <cell r="Z1414">
            <v>340173.12459999998</v>
          </cell>
          <cell r="AA1414">
            <v>359474.522</v>
          </cell>
          <cell r="AB1414">
            <v>381296.38179999997</v>
          </cell>
          <cell r="AC1414">
            <v>406942.9621</v>
          </cell>
          <cell r="AD1414">
            <v>437460.37439999997</v>
          </cell>
          <cell r="AE1414">
            <v>479632.93599999999</v>
          </cell>
          <cell r="AF1414">
            <v>524115.86330000003</v>
          </cell>
          <cell r="AG1414">
            <v>577108.73219999997</v>
          </cell>
          <cell r="AH1414">
            <v>640905.853</v>
          </cell>
          <cell r="AI1414">
            <v>716913.74219999998</v>
          </cell>
          <cell r="AJ1414">
            <v>805823.06090000004</v>
          </cell>
          <cell r="AK1414">
            <v>908019.83239999996</v>
          </cell>
          <cell r="AL1414">
            <v>1024095.29</v>
          </cell>
          <cell r="AM1414">
            <v>1154715.8419999999</v>
          </cell>
          <cell r="AN1414">
            <v>1300032.4650000001</v>
          </cell>
          <cell r="AO1414">
            <v>1460100.2420000001</v>
          </cell>
        </row>
        <row r="1415">
          <cell r="C1415" t="str">
            <v>Dette publique</v>
          </cell>
          <cell r="E1415" t="str">
            <v>DEBT_G_VAL_2</v>
          </cell>
          <cell r="F1415">
            <v>2105265.8119999999</v>
          </cell>
          <cell r="G1415">
            <v>2170576.5789999999</v>
          </cell>
          <cell r="H1415">
            <v>2228569.784</v>
          </cell>
          <cell r="I1415">
            <v>2276614.1349999998</v>
          </cell>
          <cell r="J1415">
            <v>2312495.085</v>
          </cell>
          <cell r="K1415">
            <v>2331371.7110000001</v>
          </cell>
          <cell r="L1415">
            <v>2330463.4019999998</v>
          </cell>
          <cell r="M1415">
            <v>2313411.4</v>
          </cell>
          <cell r="N1415">
            <v>2287413.8629999999</v>
          </cell>
          <cell r="O1415">
            <v>2238019.1009999998</v>
          </cell>
          <cell r="P1415">
            <v>2160519.0040000002</v>
          </cell>
          <cell r="Q1415">
            <v>2049583.8640000001</v>
          </cell>
          <cell r="R1415">
            <v>1902713.5519999999</v>
          </cell>
          <cell r="S1415">
            <v>1722098.368</v>
          </cell>
          <cell r="T1415">
            <v>1510893.3910000001</v>
          </cell>
          <cell r="U1415">
            <v>1272580.25</v>
          </cell>
          <cell r="V1415">
            <v>1011010.242</v>
          </cell>
          <cell r="W1415">
            <v>728992.07460000005</v>
          </cell>
          <cell r="X1415">
            <v>427870.22039999999</v>
          </cell>
          <cell r="Y1415">
            <v>108246.55839999999</v>
          </cell>
          <cell r="Z1415">
            <v>-231926.56630000001</v>
          </cell>
          <cell r="AA1415">
            <v>-591401.08829999994</v>
          </cell>
          <cell r="AB1415">
            <v>-972697.47</v>
          </cell>
          <cell r="AC1415">
            <v>-1379640.432</v>
          </cell>
          <cell r="AD1415">
            <v>-1817100.807</v>
          </cell>
          <cell r="AE1415">
            <v>-2296733.7420000001</v>
          </cell>
          <cell r="AF1415">
            <v>-2820849.6060000001</v>
          </cell>
          <cell r="AG1415">
            <v>-3397958.338</v>
          </cell>
          <cell r="AH1415">
            <v>-4038864.1910000001</v>
          </cell>
          <cell r="AI1415">
            <v>-4755777.9330000002</v>
          </cell>
          <cell r="AJ1415">
            <v>-5561600.9939999999</v>
          </cell>
          <cell r="AK1415">
            <v>-6469620.8260000004</v>
          </cell>
          <cell r="AL1415">
            <v>-7493716.1169999996</v>
          </cell>
          <cell r="AM1415">
            <v>-8648431.9590000007</v>
          </cell>
          <cell r="AN1415">
            <v>-9948464.4240000006</v>
          </cell>
          <cell r="AO1415">
            <v>-11408564.67</v>
          </cell>
        </row>
        <row r="1434">
          <cell r="F1434">
            <v>27379.147679999998</v>
          </cell>
          <cell r="G1434">
            <v>27521.173460000002</v>
          </cell>
          <cell r="H1434">
            <v>27743.783230000001</v>
          </cell>
          <cell r="I1434">
            <v>28032.989689999999</v>
          </cell>
          <cell r="J1434">
            <v>28368.520329999999</v>
          </cell>
          <cell r="K1434">
            <v>28737.206829999999</v>
          </cell>
          <cell r="L1434">
            <v>29118.52115</v>
          </cell>
          <cell r="M1434">
            <v>29481.00488</v>
          </cell>
          <cell r="N1434">
            <v>29825.849490000001</v>
          </cell>
          <cell r="O1434">
            <v>30215.808270000001</v>
          </cell>
          <cell r="P1434">
            <v>30635.396949999998</v>
          </cell>
          <cell r="Q1434">
            <v>31005.645250000001</v>
          </cell>
          <cell r="R1434">
            <v>31296.889039999998</v>
          </cell>
          <cell r="S1434">
            <v>31506.012549999999</v>
          </cell>
          <cell r="T1434">
            <v>31647.627219999998</v>
          </cell>
          <cell r="U1434">
            <v>31741.051520000001</v>
          </cell>
          <cell r="V1434">
            <v>31805.919419999998</v>
          </cell>
          <cell r="W1434">
            <v>31861.139050000002</v>
          </cell>
          <cell r="X1434">
            <v>31922.43979</v>
          </cell>
          <cell r="Y1434">
            <v>32001.550660000001</v>
          </cell>
          <cell r="Z1434">
            <v>32099.670529999999</v>
          </cell>
          <cell r="AA1434">
            <v>32231.992630000001</v>
          </cell>
          <cell r="AB1434">
            <v>32404.513050000001</v>
          </cell>
          <cell r="AC1434">
            <v>32621.153920000001</v>
          </cell>
          <cell r="AD1434">
            <v>32883.218699999998</v>
          </cell>
          <cell r="AE1434">
            <v>33169.971749999997</v>
          </cell>
          <cell r="AF1434">
            <v>33495.499770000002</v>
          </cell>
          <cell r="AG1434">
            <v>33863.185619999997</v>
          </cell>
          <cell r="AH1434">
            <v>34274.927680000001</v>
          </cell>
          <cell r="AI1434">
            <v>34728.561719999998</v>
          </cell>
          <cell r="AJ1434">
            <v>35218.033909999998</v>
          </cell>
          <cell r="AK1434">
            <v>35735.771050000003</v>
          </cell>
          <cell r="AL1434">
            <v>36274.49381</v>
          </cell>
          <cell r="AM1434">
            <v>36827.612289999997</v>
          </cell>
          <cell r="AN1434">
            <v>37389.435879999997</v>
          </cell>
          <cell r="AO1434">
            <v>37955.34246</v>
          </cell>
        </row>
        <row r="1435">
          <cell r="F1435">
            <v>760.78110530000004</v>
          </cell>
          <cell r="G1435">
            <v>763.94005430000004</v>
          </cell>
          <cell r="H1435">
            <v>769.21570110000005</v>
          </cell>
          <cell r="I1435">
            <v>776.71667930000001</v>
          </cell>
          <cell r="J1435">
            <v>786.04811859999995</v>
          </cell>
          <cell r="K1435">
            <v>796.86059139999998</v>
          </cell>
          <cell r="L1435">
            <v>808.55161710000004</v>
          </cell>
          <cell r="M1435">
            <v>819.24587810000003</v>
          </cell>
          <cell r="N1435">
            <v>829.03577689999997</v>
          </cell>
          <cell r="O1435">
            <v>840.32331309999995</v>
          </cell>
          <cell r="P1435">
            <v>852.14288439999996</v>
          </cell>
          <cell r="Q1435">
            <v>861.89511010000001</v>
          </cell>
          <cell r="R1435">
            <v>868.61426749999998</v>
          </cell>
          <cell r="S1435">
            <v>872.32439429999999</v>
          </cell>
          <cell r="T1435">
            <v>873.64603829999999</v>
          </cell>
          <cell r="U1435">
            <v>873.30504040000005</v>
          </cell>
          <cell r="V1435">
            <v>872.11582109999995</v>
          </cell>
          <cell r="W1435">
            <v>870.68632969999999</v>
          </cell>
          <cell r="X1435">
            <v>869.52041929999996</v>
          </cell>
          <cell r="Y1435">
            <v>868.99345440000002</v>
          </cell>
          <cell r="Z1435">
            <v>869.26940530000002</v>
          </cell>
          <cell r="AA1435">
            <v>870.64747790000001</v>
          </cell>
          <cell r="AB1435">
            <v>873.35598319999997</v>
          </cell>
          <cell r="AC1435">
            <v>877.53604280000002</v>
          </cell>
          <cell r="AD1435">
            <v>883.22116670000003</v>
          </cell>
          <cell r="AE1435">
            <v>890.06860140000003</v>
          </cell>
          <cell r="AF1435">
            <v>898.0615798</v>
          </cell>
          <cell r="AG1435">
            <v>907.3432914</v>
          </cell>
          <cell r="AH1435">
            <v>917.99620579999998</v>
          </cell>
          <cell r="AI1435">
            <v>929.93342070000006</v>
          </cell>
          <cell r="AJ1435">
            <v>942.91112009999995</v>
          </cell>
          <cell r="AK1435">
            <v>956.62177059999999</v>
          </cell>
          <cell r="AL1435">
            <v>970.76033370000005</v>
          </cell>
          <cell r="AM1435">
            <v>985.03566520000004</v>
          </cell>
          <cell r="AN1435">
            <v>999.17389779999996</v>
          </cell>
          <cell r="AO1435">
            <v>1012.918816</v>
          </cell>
        </row>
        <row r="1438">
          <cell r="F1438">
            <v>4368.3707029999996</v>
          </cell>
          <cell r="G1438">
            <v>4397.7869140000003</v>
          </cell>
          <cell r="H1438">
            <v>4444.1016490000002</v>
          </cell>
          <cell r="I1438">
            <v>4503.6294319999997</v>
          </cell>
          <cell r="J1438">
            <v>4572.0699619999996</v>
          </cell>
          <cell r="K1438">
            <v>4646.9548759999998</v>
          </cell>
          <cell r="L1438">
            <v>4725.6158429999996</v>
          </cell>
          <cell r="M1438">
            <v>4799.7671110000001</v>
          </cell>
          <cell r="N1438">
            <v>4871.089919</v>
          </cell>
          <cell r="O1438">
            <v>4954.5307499999999</v>
          </cell>
          <cell r="P1438">
            <v>5043.8523740000001</v>
          </cell>
          <cell r="Q1438">
            <v>5123.2235860000001</v>
          </cell>
          <cell r="R1438">
            <v>5186.2779339999997</v>
          </cell>
          <cell r="S1438">
            <v>5233.078211</v>
          </cell>
          <cell r="T1438">
            <v>5267.7191240000002</v>
          </cell>
          <cell r="U1438">
            <v>5294.9529519999996</v>
          </cell>
          <cell r="V1438">
            <v>5318.9008839999997</v>
          </cell>
          <cell r="W1438">
            <v>5343.5373870000003</v>
          </cell>
          <cell r="X1438">
            <v>5372.0481380000001</v>
          </cell>
          <cell r="Y1438">
            <v>5406.6963800000003</v>
          </cell>
          <cell r="Z1438">
            <v>5448.5165040000002</v>
          </cell>
          <cell r="AA1438">
            <v>5499.1788329999999</v>
          </cell>
          <cell r="AB1438">
            <v>5559.988147</v>
          </cell>
          <cell r="AC1438">
            <v>5631.7645670000002</v>
          </cell>
          <cell r="AD1438">
            <v>5714.7450150000004</v>
          </cell>
          <cell r="AE1438">
            <v>5807.1663280000002</v>
          </cell>
          <cell r="AF1438">
            <v>5909.493555</v>
          </cell>
          <cell r="AG1438">
            <v>6022.47577</v>
          </cell>
          <cell r="AH1438">
            <v>6146.4560629999996</v>
          </cell>
          <cell r="AI1438">
            <v>6280.8043580000003</v>
          </cell>
          <cell r="AJ1438">
            <v>6424.099314</v>
          </cell>
          <cell r="AK1438">
            <v>6574.7905840000003</v>
          </cell>
          <cell r="AL1438">
            <v>6731.5757800000001</v>
          </cell>
          <cell r="AM1438">
            <v>6893.348731</v>
          </cell>
          <cell r="AN1438">
            <v>7059.2331130000002</v>
          </cell>
          <cell r="AO1438">
            <v>7228.6371859999999</v>
          </cell>
        </row>
        <row r="1450">
          <cell r="F1450">
            <v>868.27520900000002</v>
          </cell>
          <cell r="G1450">
            <v>872.68307030000005</v>
          </cell>
          <cell r="H1450">
            <v>879.34946490000004</v>
          </cell>
          <cell r="I1450">
            <v>887.61792170000001</v>
          </cell>
          <cell r="J1450">
            <v>897.06214120000004</v>
          </cell>
          <cell r="K1450">
            <v>907.42037730000004</v>
          </cell>
          <cell r="L1450">
            <v>918.11462640000002</v>
          </cell>
          <cell r="M1450">
            <v>926.46265419999997</v>
          </cell>
          <cell r="N1450">
            <v>932.98385729999995</v>
          </cell>
          <cell r="O1450">
            <v>940.74939629999994</v>
          </cell>
          <cell r="P1450">
            <v>948.8912153</v>
          </cell>
          <cell r="Q1450">
            <v>954.97433130000002</v>
          </cell>
          <cell r="R1450">
            <v>958.17558389999999</v>
          </cell>
          <cell r="S1450">
            <v>958.62739039999997</v>
          </cell>
          <cell r="T1450">
            <v>957.05249140000001</v>
          </cell>
          <cell r="U1450">
            <v>954.23176890000002</v>
          </cell>
          <cell r="V1450">
            <v>950.8035433</v>
          </cell>
          <cell r="W1450">
            <v>947.39083070000004</v>
          </cell>
          <cell r="X1450">
            <v>944.53591789999996</v>
          </cell>
          <cell r="Y1450">
            <v>942.62867879999999</v>
          </cell>
          <cell r="Z1450">
            <v>941.80449369999997</v>
          </cell>
          <cell r="AA1450">
            <v>942.40240889999995</v>
          </cell>
          <cell r="AB1450">
            <v>944.61682929999995</v>
          </cell>
          <cell r="AC1450">
            <v>948.5475093</v>
          </cell>
          <cell r="AD1450">
            <v>954.18634940000004</v>
          </cell>
          <cell r="AE1450">
            <v>961.0953068</v>
          </cell>
          <cell r="AF1450">
            <v>969.47115929999995</v>
          </cell>
          <cell r="AG1450">
            <v>979.43670420000001</v>
          </cell>
          <cell r="AH1450">
            <v>991.03376319999995</v>
          </cell>
          <cell r="AI1450">
            <v>1004.119678</v>
          </cell>
          <cell r="AJ1450">
            <v>1018.401157</v>
          </cell>
          <cell r="AK1450">
            <v>1033.560428</v>
          </cell>
          <cell r="AL1450">
            <v>1049.3271830000001</v>
          </cell>
          <cell r="AM1450">
            <v>1065.4646379999999</v>
          </cell>
          <cell r="AN1450">
            <v>1081.7659719999999</v>
          </cell>
          <cell r="AO1450">
            <v>1098.054961</v>
          </cell>
        </row>
        <row r="1455">
          <cell r="F1455">
            <v>21276.68795</v>
          </cell>
          <cell r="G1455">
            <v>21381.42657</v>
          </cell>
          <cell r="H1455">
            <v>21545.4568</v>
          </cell>
          <cell r="I1455">
            <v>21758.967720000001</v>
          </cell>
          <cell r="J1455">
            <v>22006.889459999999</v>
          </cell>
          <cell r="K1455">
            <v>22279.105869999999</v>
          </cell>
          <cell r="L1455">
            <v>22558.924139999999</v>
          </cell>
          <cell r="M1455">
            <v>22825.625619999999</v>
          </cell>
          <cell r="N1455">
            <v>23078.879270000001</v>
          </cell>
          <cell r="O1455">
            <v>23361.30357</v>
          </cell>
          <cell r="P1455">
            <v>23665.950680000002</v>
          </cell>
          <cell r="Q1455">
            <v>23935.388650000001</v>
          </cell>
          <cell r="R1455">
            <v>24148.391230000001</v>
          </cell>
          <cell r="S1455">
            <v>24301.660029999999</v>
          </cell>
          <cell r="T1455">
            <v>24404.262930000001</v>
          </cell>
          <cell r="U1455">
            <v>24469.112949999999</v>
          </cell>
          <cell r="V1455">
            <v>24510.127120000001</v>
          </cell>
          <cell r="W1455">
            <v>24540.85224</v>
          </cell>
          <cell r="X1455">
            <v>24572.666689999998</v>
          </cell>
          <cell r="Y1455">
            <v>24614.172159999998</v>
          </cell>
          <cell r="Z1455">
            <v>24665.16316</v>
          </cell>
          <cell r="AA1455">
            <v>24738.411649999998</v>
          </cell>
          <cell r="AB1455">
            <v>24838.07747</v>
          </cell>
          <cell r="AC1455">
            <v>24966.917990000002</v>
          </cell>
          <cell r="AD1455">
            <v>25125.874810000001</v>
          </cell>
          <cell r="AE1455">
            <v>25296.717280000001</v>
          </cell>
          <cell r="AF1455">
            <v>25492.703870000001</v>
          </cell>
          <cell r="AG1455">
            <v>25716.011549999999</v>
          </cell>
          <cell r="AH1455">
            <v>25967.868839999999</v>
          </cell>
          <cell r="AI1455">
            <v>26246.77361</v>
          </cell>
          <cell r="AJ1455">
            <v>26548.428459999999</v>
          </cell>
          <cell r="AK1455">
            <v>26867.190729999998</v>
          </cell>
          <cell r="AL1455">
            <v>27197.334330000002</v>
          </cell>
          <cell r="AM1455">
            <v>27533.482349999998</v>
          </cell>
          <cell r="AN1455">
            <v>27870.75115</v>
          </cell>
          <cell r="AO1455">
            <v>28204.81537</v>
          </cell>
        </row>
        <row r="1458">
          <cell r="F1458">
            <v>17.971260969999999</v>
          </cell>
          <cell r="G1458">
            <v>17.93110982</v>
          </cell>
          <cell r="H1458">
            <v>17.871248130000001</v>
          </cell>
          <cell r="I1458">
            <v>17.810598500000001</v>
          </cell>
          <cell r="J1458">
            <v>17.784752439999998</v>
          </cell>
          <cell r="K1458">
            <v>17.805341649999999</v>
          </cell>
          <cell r="L1458">
            <v>17.85749203</v>
          </cell>
          <cell r="M1458">
            <v>18.59056313</v>
          </cell>
          <cell r="N1458">
            <v>19.69911346</v>
          </cell>
          <cell r="O1458">
            <v>21.072880789999999</v>
          </cell>
          <cell r="P1458">
            <v>22.598440750000002</v>
          </cell>
          <cell r="Q1458">
            <v>24.182625730000002</v>
          </cell>
          <cell r="R1458">
            <v>25.765908589999999</v>
          </cell>
          <cell r="S1458">
            <v>27.319446360000001</v>
          </cell>
          <cell r="T1458">
            <v>28.83807487</v>
          </cell>
          <cell r="U1458">
            <v>30.327963749999999</v>
          </cell>
          <cell r="V1458">
            <v>31.790040810000001</v>
          </cell>
          <cell r="W1458">
            <v>33.239958979999997</v>
          </cell>
          <cell r="X1458">
            <v>34.695417339999999</v>
          </cell>
          <cell r="Y1458">
            <v>36.172621149999998</v>
          </cell>
          <cell r="Z1458">
            <v>37.68361024</v>
          </cell>
          <cell r="AA1458">
            <v>39.24254818</v>
          </cell>
          <cell r="AB1458">
            <v>40.862458230000001</v>
          </cell>
          <cell r="AC1458">
            <v>42.554577899999998</v>
          </cell>
          <cell r="AD1458">
            <v>44.328000539999998</v>
          </cell>
          <cell r="AE1458">
            <v>46.184217429999997</v>
          </cell>
          <cell r="AF1458">
            <v>48.136710880000003</v>
          </cell>
          <cell r="AG1458">
            <v>50.200680890000001</v>
          </cell>
          <cell r="AH1458">
            <v>52.391398449999997</v>
          </cell>
          <cell r="AI1458">
            <v>54.720648349999998</v>
          </cell>
          <cell r="AJ1458">
            <v>57.197131489999997</v>
          </cell>
          <cell r="AK1458">
            <v>59.830703970000002</v>
          </cell>
          <cell r="AL1458">
            <v>62.635953569999998</v>
          </cell>
          <cell r="AM1458">
            <v>65.633260469999996</v>
          </cell>
          <cell r="AN1458">
            <v>68.851935220000001</v>
          </cell>
          <cell r="AO1458">
            <v>72.336576030000003</v>
          </cell>
        </row>
        <row r="1460">
          <cell r="F1460">
            <v>6.6796781279999999</v>
          </cell>
          <cell r="G1460">
            <v>6.654779284</v>
          </cell>
          <cell r="H1460">
            <v>6.6152225619999996</v>
          </cell>
          <cell r="I1460">
            <v>6.5740049459999996</v>
          </cell>
          <cell r="J1460">
            <v>6.5454981659999998</v>
          </cell>
          <cell r="K1460">
            <v>6.5349980729999997</v>
          </cell>
          <cell r="L1460">
            <v>6.5400944670000003</v>
          </cell>
          <cell r="M1460">
            <v>7.3445425420000001</v>
          </cell>
          <cell r="N1460">
            <v>8.5874715639999994</v>
          </cell>
          <cell r="O1460">
            <v>10.0957369</v>
          </cell>
          <cell r="P1460">
            <v>11.7513094</v>
          </cell>
          <cell r="Q1460">
            <v>13.472577859999999</v>
          </cell>
          <cell r="R1460">
            <v>15.20696974</v>
          </cell>
          <cell r="S1460">
            <v>16.926168140000001</v>
          </cell>
          <cell r="T1460">
            <v>18.62046136</v>
          </cell>
          <cell r="U1460">
            <v>20.291130150000001</v>
          </cell>
          <cell r="V1460">
            <v>21.93990354</v>
          </cell>
          <cell r="W1460">
            <v>23.576088519999999</v>
          </cell>
          <cell r="X1460">
            <v>25.212627650000002</v>
          </cell>
          <cell r="Y1460">
            <v>26.862854219999999</v>
          </cell>
          <cell r="Z1460">
            <v>28.537880269999999</v>
          </cell>
          <cell r="AA1460">
            <v>30.250199290000001</v>
          </cell>
          <cell r="AB1460">
            <v>32.011840829999997</v>
          </cell>
          <cell r="AC1460">
            <v>33.83383706</v>
          </cell>
          <cell r="AD1460">
            <v>35.725904909999997</v>
          </cell>
          <cell r="AE1460">
            <v>37.692286690000003</v>
          </cell>
          <cell r="AF1460">
            <v>39.744425999999997</v>
          </cell>
          <cell r="AG1460">
            <v>41.897158840000003</v>
          </cell>
          <cell r="AH1460">
            <v>44.1658598</v>
          </cell>
          <cell r="AI1460">
            <v>46.563943299999998</v>
          </cell>
          <cell r="AJ1460">
            <v>49.102859510000002</v>
          </cell>
          <cell r="AK1460">
            <v>51.795102589999999</v>
          </cell>
          <cell r="AL1460">
            <v>54.65715436</v>
          </cell>
          <cell r="AM1460">
            <v>57.710737549999997</v>
          </cell>
          <cell r="AN1460">
            <v>60.98600081</v>
          </cell>
          <cell r="AO1460">
            <v>64.527840010000006</v>
          </cell>
        </row>
        <row r="1462">
          <cell r="F1462">
            <v>0.71851927429999995</v>
          </cell>
          <cell r="G1462">
            <v>0.71636212539999999</v>
          </cell>
          <cell r="H1462">
            <v>0.71390379289999994</v>
          </cell>
          <cell r="I1462">
            <v>0.71111592209999996</v>
          </cell>
          <cell r="J1462">
            <v>0.71005401909999999</v>
          </cell>
          <cell r="K1462">
            <v>0.71113624149999999</v>
          </cell>
          <cell r="L1462">
            <v>0.71212045840000004</v>
          </cell>
          <cell r="M1462">
            <v>0.76789826819999996</v>
          </cell>
          <cell r="N1462">
            <v>0.84904921609999995</v>
          </cell>
          <cell r="O1462">
            <v>0.94324356669999998</v>
          </cell>
          <cell r="P1462">
            <v>1.0419849000000001</v>
          </cell>
          <cell r="Q1462">
            <v>1.139448628</v>
          </cell>
          <cell r="R1462">
            <v>1.231899394</v>
          </cell>
          <cell r="S1462">
            <v>1.3177370509999999</v>
          </cell>
          <cell r="T1462">
            <v>1.3970644050000001</v>
          </cell>
          <cell r="U1462">
            <v>1.4707922870000001</v>
          </cell>
          <cell r="V1462">
            <v>1.5410275229999999</v>
          </cell>
          <cell r="W1462">
            <v>1.6093750280000001</v>
          </cell>
          <cell r="X1462">
            <v>1.6771031270000001</v>
          </cell>
          <cell r="Y1462">
            <v>1.7452017989999999</v>
          </cell>
          <cell r="Z1462">
            <v>1.814279448</v>
          </cell>
          <cell r="AA1462">
            <v>1.8852957749999999</v>
          </cell>
          <cell r="AB1462">
            <v>1.95902154</v>
          </cell>
          <cell r="AC1462">
            <v>2.036074749</v>
          </cell>
          <cell r="AD1462">
            <v>2.116909642</v>
          </cell>
          <cell r="AE1462">
            <v>2.201205641</v>
          </cell>
          <cell r="AF1462">
            <v>2.2898201199999999</v>
          </cell>
          <cell r="AG1462">
            <v>2.3837890289999999</v>
          </cell>
          <cell r="AH1462">
            <v>2.4839619659999999</v>
          </cell>
          <cell r="AI1462">
            <v>2.5907340470000002</v>
          </cell>
          <cell r="AJ1462">
            <v>2.704118909</v>
          </cell>
          <cell r="AK1462">
            <v>2.8241145369999998</v>
          </cell>
          <cell r="AL1462">
            <v>2.9509572510000002</v>
          </cell>
          <cell r="AM1462">
            <v>3.0851223569999999</v>
          </cell>
          <cell r="AN1462">
            <v>3.227405074</v>
          </cell>
          <cell r="AO1462">
            <v>3.3790507029999999</v>
          </cell>
        </row>
        <row r="1463">
          <cell r="F1463">
            <v>87.061451820000002</v>
          </cell>
          <cell r="G1463">
            <v>87.405744499999997</v>
          </cell>
          <cell r="H1463">
            <v>87.788361140000006</v>
          </cell>
          <cell r="I1463">
            <v>88.247333299999994</v>
          </cell>
          <cell r="J1463">
            <v>88.665896129999993</v>
          </cell>
          <cell r="K1463">
            <v>89.059776060000004</v>
          </cell>
          <cell r="L1463">
            <v>89.457426949999999</v>
          </cell>
          <cell r="M1463">
            <v>91.313053319999995</v>
          </cell>
          <cell r="N1463">
            <v>94.161549160000007</v>
          </cell>
          <cell r="O1463">
            <v>97.828359090000006</v>
          </cell>
          <cell r="P1463">
            <v>101.9613641</v>
          </cell>
          <cell r="Q1463">
            <v>105.9809454</v>
          </cell>
          <cell r="R1463">
            <v>109.66412</v>
          </cell>
          <cell r="S1463">
            <v>113.0030807</v>
          </cell>
          <cell r="T1463">
            <v>116.1085583</v>
          </cell>
          <cell r="U1463">
            <v>119.1208524</v>
          </cell>
          <cell r="V1463">
            <v>122.1820127</v>
          </cell>
          <cell r="W1463">
            <v>125.4322976</v>
          </cell>
          <cell r="X1463">
            <v>128.9732047</v>
          </cell>
          <cell r="Y1463">
            <v>132.88736499999999</v>
          </cell>
          <cell r="Z1463">
            <v>137.23335399999999</v>
          </cell>
          <cell r="AA1463">
            <v>142.10971050000001</v>
          </cell>
          <cell r="AB1463">
            <v>147.6121575</v>
          </cell>
          <cell r="AC1463">
            <v>153.83323250000001</v>
          </cell>
          <cell r="AD1463">
            <v>160.86335779999999</v>
          </cell>
          <cell r="AE1463">
            <v>168.74001060000001</v>
          </cell>
          <cell r="AF1463">
            <v>177.6329011</v>
          </cell>
          <cell r="AG1463">
            <v>187.71761620000001</v>
          </cell>
          <cell r="AH1463">
            <v>199.18140679999999</v>
          </cell>
          <cell r="AI1463">
            <v>212.21000409999999</v>
          </cell>
          <cell r="AJ1463">
            <v>226.99672000000001</v>
          </cell>
          <cell r="AK1463">
            <v>243.7768414</v>
          </cell>
          <cell r="AL1463">
            <v>262.86023169999999</v>
          </cell>
          <cell r="AM1463">
            <v>284.6476442</v>
          </cell>
          <cell r="AN1463">
            <v>309.65981210000001</v>
          </cell>
          <cell r="AO1463">
            <v>338.57955529999998</v>
          </cell>
        </row>
        <row r="1473">
          <cell r="F1473">
            <v>27379.147679999998</v>
          </cell>
          <cell r="G1473">
            <v>27521.173460000002</v>
          </cell>
          <cell r="H1473">
            <v>27743.783220000001</v>
          </cell>
          <cell r="I1473">
            <v>28032.989679999999</v>
          </cell>
          <cell r="J1473">
            <v>28368.520329999999</v>
          </cell>
          <cell r="K1473">
            <v>28737.206829999999</v>
          </cell>
          <cell r="L1473">
            <v>29118.521140000001</v>
          </cell>
          <cell r="M1473">
            <v>29503.000100000001</v>
          </cell>
          <cell r="N1473">
            <v>29884.990949999999</v>
          </cell>
          <cell r="O1473">
            <v>30261.96715</v>
          </cell>
          <cell r="P1473">
            <v>30633.291000000001</v>
          </cell>
          <cell r="Q1473">
            <v>30946.239870000001</v>
          </cell>
          <cell r="R1473">
            <v>31187.4944</v>
          </cell>
          <cell r="S1473">
            <v>31358.883999999998</v>
          </cell>
          <cell r="T1473">
            <v>31471.932850000001</v>
          </cell>
          <cell r="U1473">
            <v>31542.646789999999</v>
          </cell>
          <cell r="V1473">
            <v>31590.979319999999</v>
          </cell>
          <cell r="W1473">
            <v>31636.098379999999</v>
          </cell>
          <cell r="X1473">
            <v>31693.625250000001</v>
          </cell>
          <cell r="Y1473">
            <v>31774.415400000002</v>
          </cell>
          <cell r="Z1473">
            <v>31878.376400000001</v>
          </cell>
          <cell r="AA1473">
            <v>32019.097320000001</v>
          </cell>
          <cell r="AB1473">
            <v>32200.911619999999</v>
          </cell>
          <cell r="AC1473">
            <v>32426.127540000001</v>
          </cell>
          <cell r="AD1473">
            <v>32694.432379999998</v>
          </cell>
          <cell r="AE1473">
            <v>32983.71054</v>
          </cell>
          <cell r="AF1473">
            <v>33305.905899999998</v>
          </cell>
          <cell r="AG1473">
            <v>33662.316550000003</v>
          </cell>
          <cell r="AH1473">
            <v>34052.783640000001</v>
          </cell>
          <cell r="AI1473">
            <v>34472.970970000002</v>
          </cell>
          <cell r="AJ1473">
            <v>34914.64774</v>
          </cell>
          <cell r="AK1473">
            <v>35368.058900000004</v>
          </cell>
          <cell r="AL1473">
            <v>35823.678229999998</v>
          </cell>
          <cell r="AM1473">
            <v>36272.660250000001</v>
          </cell>
          <cell r="AN1473">
            <v>36706.900930000003</v>
          </cell>
          <cell r="AO1473">
            <v>37119.033029999999</v>
          </cell>
        </row>
        <row r="1474">
          <cell r="F1474">
            <v>760.78110530000004</v>
          </cell>
          <cell r="G1474">
            <v>763.94005430000004</v>
          </cell>
          <cell r="H1474">
            <v>769.21570110000005</v>
          </cell>
          <cell r="I1474">
            <v>776.71667920000004</v>
          </cell>
          <cell r="J1474">
            <v>786.04811849999999</v>
          </cell>
          <cell r="K1474">
            <v>796.86059130000001</v>
          </cell>
          <cell r="L1474">
            <v>808.55161710000004</v>
          </cell>
          <cell r="M1474">
            <v>820.64299029999995</v>
          </cell>
          <cell r="N1474">
            <v>832.79099310000004</v>
          </cell>
          <cell r="O1474">
            <v>844.78930409999998</v>
          </cell>
          <cell r="P1474">
            <v>856.25530649999996</v>
          </cell>
          <cell r="Q1474">
            <v>865.4291637</v>
          </cell>
          <cell r="R1474">
            <v>871.80023040000003</v>
          </cell>
          <cell r="S1474">
            <v>875.46125059999997</v>
          </cell>
          <cell r="T1474">
            <v>876.87789550000002</v>
          </cell>
          <cell r="U1474">
            <v>876.67982310000002</v>
          </cell>
          <cell r="V1474">
            <v>875.63487810000004</v>
          </cell>
          <cell r="W1474">
            <v>874.484736</v>
          </cell>
          <cell r="X1474">
            <v>873.83204839999996</v>
          </cell>
          <cell r="Y1474">
            <v>874.08604730000002</v>
          </cell>
          <cell r="Z1474">
            <v>875.39931309999997</v>
          </cell>
          <cell r="AA1474">
            <v>878.03274309999995</v>
          </cell>
          <cell r="AB1474">
            <v>882.16480300000001</v>
          </cell>
          <cell r="AC1474">
            <v>887.88500829999998</v>
          </cell>
          <cell r="AD1474">
            <v>895.17493230000002</v>
          </cell>
          <cell r="AE1474">
            <v>903.64793520000001</v>
          </cell>
          <cell r="AF1474">
            <v>913.32407679999994</v>
          </cell>
          <cell r="AG1474">
            <v>924.25063590000002</v>
          </cell>
          <cell r="AH1474">
            <v>936.4258423</v>
          </cell>
          <cell r="AI1474">
            <v>949.68503559999999</v>
          </cell>
          <cell r="AJ1474">
            <v>963.71571889999996</v>
          </cell>
          <cell r="AK1474">
            <v>978.1527486</v>
          </cell>
          <cell r="AL1474">
            <v>992.64342929999998</v>
          </cell>
          <cell r="AM1474">
            <v>1006.861531</v>
          </cell>
          <cell r="AN1474">
            <v>1020.508636</v>
          </cell>
          <cell r="AO1474">
            <v>1033.3141330000001</v>
          </cell>
        </row>
        <row r="1477">
          <cell r="F1477">
            <v>4368.3707029999996</v>
          </cell>
          <cell r="G1477">
            <v>4397.7869140000003</v>
          </cell>
          <cell r="H1477">
            <v>4444.1016490000002</v>
          </cell>
          <cell r="I1477">
            <v>4503.6294319999997</v>
          </cell>
          <cell r="J1477">
            <v>4572.0699619999996</v>
          </cell>
          <cell r="K1477">
            <v>4646.9548759999998</v>
          </cell>
          <cell r="L1477">
            <v>4725.6158420000002</v>
          </cell>
          <cell r="M1477">
            <v>4806.2273050000003</v>
          </cell>
          <cell r="N1477">
            <v>4887.6463329999997</v>
          </cell>
          <cell r="O1477">
            <v>4969.3429679999999</v>
          </cell>
          <cell r="P1477">
            <v>5049.4183069999999</v>
          </cell>
          <cell r="Q1477">
            <v>5118.0016640000003</v>
          </cell>
          <cell r="R1477">
            <v>5172.4962329999998</v>
          </cell>
          <cell r="S1477">
            <v>5213.721963</v>
          </cell>
          <cell r="T1477">
            <v>5244.5509629999997</v>
          </cell>
          <cell r="U1477">
            <v>5268.6111350000001</v>
          </cell>
          <cell r="V1477">
            <v>5289.8469080000004</v>
          </cell>
          <cell r="W1477">
            <v>5312.1018990000002</v>
          </cell>
          <cell r="X1477">
            <v>5338.5493500000002</v>
          </cell>
          <cell r="Y1477">
            <v>5371.354499</v>
          </cell>
          <cell r="Z1477">
            <v>5411.3351039999998</v>
          </cell>
          <cell r="AA1477">
            <v>5459.7928979999997</v>
          </cell>
          <cell r="AB1477">
            <v>5517.6035099999999</v>
          </cell>
          <cell r="AC1477">
            <v>5585.1833930000003</v>
          </cell>
          <cell r="AD1477">
            <v>5662.3572770000001</v>
          </cell>
          <cell r="AE1477">
            <v>5746.9721330000002</v>
          </cell>
          <cell r="AF1477">
            <v>5838.89905</v>
          </cell>
          <cell r="AG1477">
            <v>5938.1377560000001</v>
          </cell>
          <cell r="AH1477">
            <v>6044.4480830000002</v>
          </cell>
          <cell r="AI1477">
            <v>6156.6522080000004</v>
          </cell>
          <cell r="AJ1477">
            <v>6272.7643939999998</v>
          </cell>
          <cell r="AK1477">
            <v>6390.5809479999998</v>
          </cell>
          <cell r="AL1477">
            <v>6508.0685979999998</v>
          </cell>
          <cell r="AM1477">
            <v>6623.4242130000002</v>
          </cell>
          <cell r="AN1477">
            <v>6735.0460599999997</v>
          </cell>
          <cell r="AO1477">
            <v>6841.4980480000004</v>
          </cell>
        </row>
        <row r="1489">
          <cell r="F1489">
            <v>868.27520900000002</v>
          </cell>
          <cell r="G1489">
            <v>872.68307019999997</v>
          </cell>
          <cell r="H1489">
            <v>879.34946490000004</v>
          </cell>
          <cell r="I1489">
            <v>887.61792160000005</v>
          </cell>
          <cell r="J1489">
            <v>897.06214109999996</v>
          </cell>
          <cell r="K1489">
            <v>907.42037719999996</v>
          </cell>
          <cell r="L1489">
            <v>918.11462640000002</v>
          </cell>
          <cell r="M1489">
            <v>928.74381549999998</v>
          </cell>
          <cell r="N1489">
            <v>939.06976440000005</v>
          </cell>
          <cell r="O1489">
            <v>948.99230639999996</v>
          </cell>
          <cell r="P1489">
            <v>958.22831499999995</v>
          </cell>
          <cell r="Q1489">
            <v>964.91119260000005</v>
          </cell>
          <cell r="R1489">
            <v>968.68515839999998</v>
          </cell>
          <cell r="S1489">
            <v>969.82068430000004</v>
          </cell>
          <cell r="T1489">
            <v>968.93044659999998</v>
          </cell>
          <cell r="U1489">
            <v>966.73283649999996</v>
          </cell>
          <cell r="V1489">
            <v>964.0805689</v>
          </cell>
          <cell r="W1489">
            <v>961.72992020000004</v>
          </cell>
          <cell r="X1489">
            <v>960.23730539999997</v>
          </cell>
          <cell r="Y1489">
            <v>959.93389869999999</v>
          </cell>
          <cell r="Z1489">
            <v>960.86512600000003</v>
          </cell>
          <cell r="AA1489">
            <v>963.27119489999995</v>
          </cell>
          <cell r="AB1489">
            <v>967.25277310000001</v>
          </cell>
          <cell r="AC1489">
            <v>972.83716700000002</v>
          </cell>
          <cell r="AD1489">
            <v>979.95748360000005</v>
          </cell>
          <cell r="AE1489">
            <v>988.1217034</v>
          </cell>
          <cell r="AF1489">
            <v>997.43798600000002</v>
          </cell>
          <cell r="AG1489">
            <v>1007.924879</v>
          </cell>
          <cell r="AH1489">
            <v>1019.542966</v>
          </cell>
          <cell r="AI1489">
            <v>1032.080123</v>
          </cell>
          <cell r="AJ1489">
            <v>1045.1808940000001</v>
          </cell>
          <cell r="AK1489">
            <v>1058.457476</v>
          </cell>
          <cell r="AL1489">
            <v>1071.559816</v>
          </cell>
          <cell r="AM1489">
            <v>1084.185211</v>
          </cell>
          <cell r="AN1489">
            <v>1096.0731510000001</v>
          </cell>
          <cell r="AO1489">
            <v>1106.9994959999999</v>
          </cell>
        </row>
        <row r="1494">
          <cell r="F1494">
            <v>21276.68795</v>
          </cell>
          <cell r="G1494">
            <v>21381.42656</v>
          </cell>
          <cell r="H1494">
            <v>21545.4568</v>
          </cell>
          <cell r="I1494">
            <v>21758.967720000001</v>
          </cell>
          <cell r="J1494">
            <v>22006.889459999999</v>
          </cell>
          <cell r="K1494">
            <v>22279.105869999999</v>
          </cell>
          <cell r="L1494">
            <v>22558.924139999999</v>
          </cell>
          <cell r="M1494">
            <v>22839.586319999999</v>
          </cell>
          <cell r="N1494">
            <v>23117.185010000001</v>
          </cell>
          <cell r="O1494">
            <v>23390.05041</v>
          </cell>
          <cell r="P1494">
            <v>23660.141060000002</v>
          </cell>
          <cell r="Q1494">
            <v>23888.411690000001</v>
          </cell>
          <cell r="R1494">
            <v>24065.060539999999</v>
          </cell>
          <cell r="S1494">
            <v>24190.718379999998</v>
          </cell>
          <cell r="T1494">
            <v>24272.902880000001</v>
          </cell>
          <cell r="U1494">
            <v>24322.57259</v>
          </cell>
          <cell r="V1494">
            <v>24354.049279999999</v>
          </cell>
          <cell r="W1494">
            <v>24381.086039999998</v>
          </cell>
          <cell r="X1494">
            <v>24414.90799</v>
          </cell>
          <cell r="Y1494">
            <v>24463.422310000002</v>
          </cell>
          <cell r="Z1494">
            <v>24525.509300000002</v>
          </cell>
          <cell r="AA1494">
            <v>24612.92568</v>
          </cell>
          <cell r="AB1494">
            <v>24728.83668</v>
          </cell>
          <cell r="AC1494">
            <v>24875.013709999999</v>
          </cell>
          <cell r="AD1494">
            <v>25051.409940000001</v>
          </cell>
          <cell r="AE1494">
            <v>25238.98948</v>
          </cell>
          <cell r="AF1494">
            <v>25449.68518</v>
          </cell>
          <cell r="AG1494">
            <v>25684.726269999999</v>
          </cell>
          <cell r="AH1494">
            <v>25944.240679999999</v>
          </cell>
          <cell r="AI1494">
            <v>26225.470290000001</v>
          </cell>
          <cell r="AJ1494">
            <v>26522.876100000001</v>
          </cell>
          <cell r="AK1494">
            <v>26829.701639999999</v>
          </cell>
          <cell r="AL1494">
            <v>27139.195210000002</v>
          </cell>
          <cell r="AM1494">
            <v>27444.976760000001</v>
          </cell>
          <cell r="AN1494">
            <v>27741.13135</v>
          </cell>
          <cell r="AO1494">
            <v>28022.246630000001</v>
          </cell>
        </row>
        <row r="1497">
          <cell r="F1497">
            <v>17.971260999999998</v>
          </cell>
          <cell r="G1497">
            <v>17.93110987</v>
          </cell>
          <cell r="H1497">
            <v>17.871248189999999</v>
          </cell>
          <cell r="I1497">
            <v>17.81059857</v>
          </cell>
          <cell r="J1497">
            <v>17.784752510000001</v>
          </cell>
          <cell r="K1497">
            <v>17.805341729999999</v>
          </cell>
          <cell r="L1497">
            <v>17.857492109999999</v>
          </cell>
          <cell r="M1497">
            <v>17.924972360000002</v>
          </cell>
          <cell r="N1497">
            <v>17.996913419999998</v>
          </cell>
          <cell r="O1497">
            <v>18.067217660000001</v>
          </cell>
          <cell r="P1497">
            <v>18.128955690000002</v>
          </cell>
          <cell r="Q1497">
            <v>18.15781831</v>
          </cell>
          <cell r="R1497">
            <v>18.147299589999999</v>
          </cell>
          <cell r="S1497">
            <v>18.100074729999999</v>
          </cell>
          <cell r="T1497">
            <v>18.023623690000001</v>
          </cell>
          <cell r="U1497">
            <v>17.92691267</v>
          </cell>
          <cell r="V1497">
            <v>17.82599665</v>
          </cell>
          <cell r="W1497">
            <v>17.732994510000001</v>
          </cell>
          <cell r="X1497">
            <v>17.65544667</v>
          </cell>
          <cell r="Y1497">
            <v>17.596702870000001</v>
          </cell>
          <cell r="Z1497">
            <v>17.556507679999999</v>
          </cell>
          <cell r="AA1497">
            <v>17.5356828</v>
          </cell>
          <cell r="AB1497">
            <v>17.534513950000001</v>
          </cell>
          <cell r="AC1497">
            <v>17.552895060000001</v>
          </cell>
          <cell r="AD1497">
            <v>17.589992590000001</v>
          </cell>
          <cell r="AE1497">
            <v>17.641645059999998</v>
          </cell>
          <cell r="AF1497">
            <v>17.70835769</v>
          </cell>
          <cell r="AG1497">
            <v>17.790909689999999</v>
          </cell>
          <cell r="AH1497">
            <v>17.88942754</v>
          </cell>
          <cell r="AI1497">
            <v>18.001769249999999</v>
          </cell>
          <cell r="AJ1497">
            <v>18.123777629999999</v>
          </cell>
          <cell r="AK1497">
            <v>18.250652509999998</v>
          </cell>
          <cell r="AL1497">
            <v>18.377836420000001</v>
          </cell>
          <cell r="AM1497">
            <v>18.501165700000001</v>
          </cell>
          <cell r="AN1497">
            <v>18.61681505</v>
          </cell>
          <cell r="AO1497">
            <v>18.721244859999999</v>
          </cell>
        </row>
        <row r="1499">
          <cell r="F1499">
            <v>6.6796781269999999</v>
          </cell>
          <cell r="G1499">
            <v>6.6547792829999999</v>
          </cell>
          <cell r="H1499">
            <v>6.6152225600000003</v>
          </cell>
          <cell r="I1499">
            <v>6.5740049440000004</v>
          </cell>
          <cell r="J1499">
            <v>6.5454981639999996</v>
          </cell>
          <cell r="K1499">
            <v>6.5349980710000004</v>
          </cell>
          <cell r="L1499">
            <v>6.5400944650000001</v>
          </cell>
          <cell r="M1499">
            <v>6.5550874979999998</v>
          </cell>
          <cell r="N1499">
            <v>6.5750149430000002</v>
          </cell>
          <cell r="O1499">
            <v>6.5964584720000001</v>
          </cell>
          <cell r="P1499">
            <v>6.6166159950000001</v>
          </cell>
          <cell r="Q1499">
            <v>6.62909653</v>
          </cell>
          <cell r="R1499">
            <v>6.6312873730000002</v>
          </cell>
          <cell r="S1499">
            <v>6.6228986870000002</v>
          </cell>
          <cell r="T1499">
            <v>6.6050590290000004</v>
          </cell>
          <cell r="U1499">
            <v>6.5795787219999999</v>
          </cell>
          <cell r="V1499">
            <v>6.5496760209999998</v>
          </cell>
          <cell r="W1499">
            <v>6.5188903070000004</v>
          </cell>
          <cell r="X1499">
            <v>6.4898585280000001</v>
          </cell>
          <cell r="Y1499">
            <v>6.4640701260000002</v>
          </cell>
          <cell r="Z1499">
            <v>6.4418677549999996</v>
          </cell>
          <cell r="AA1499">
            <v>6.4237641769999998</v>
          </cell>
          <cell r="AB1499">
            <v>6.4100756150000002</v>
          </cell>
          <cell r="AC1499">
            <v>6.4009926320000003</v>
          </cell>
          <cell r="AD1499">
            <v>6.3965200380000002</v>
          </cell>
          <cell r="AE1499">
            <v>6.3956612939999999</v>
          </cell>
          <cell r="AF1499">
            <v>6.3986080669999996</v>
          </cell>
          <cell r="AG1499">
            <v>6.4056423029999996</v>
          </cell>
          <cell r="AH1499">
            <v>6.4169121599999999</v>
          </cell>
          <cell r="AI1499">
            <v>6.4320424879999996</v>
          </cell>
          <cell r="AJ1499">
            <v>6.4501363830000003</v>
          </cell>
          <cell r="AK1499">
            <v>6.4700420909999998</v>
          </cell>
          <cell r="AL1499">
            <v>6.4905605409999998</v>
          </cell>
          <cell r="AM1499">
            <v>6.5104991720000003</v>
          </cell>
          <cell r="AN1499">
            <v>6.5286837670000004</v>
          </cell>
          <cell r="AO1499">
            <v>6.5439759689999999</v>
          </cell>
        </row>
        <row r="1501">
          <cell r="F1501">
            <v>0.71851937040000002</v>
          </cell>
          <cell r="G1501">
            <v>0.71636227019999998</v>
          </cell>
          <cell r="H1501">
            <v>0.71390396030000003</v>
          </cell>
          <cell r="I1501">
            <v>0.71111609860000002</v>
          </cell>
          <cell r="J1501">
            <v>0.71005419800000003</v>
          </cell>
          <cell r="K1501">
            <v>0.7111364201</v>
          </cell>
          <cell r="L1501">
            <v>0.71212063520000002</v>
          </cell>
          <cell r="M1501">
            <v>0.7122212148</v>
          </cell>
          <cell r="N1501">
            <v>0.71141668920000001</v>
          </cell>
          <cell r="O1501">
            <v>0.70991992770000001</v>
          </cell>
          <cell r="P1501">
            <v>0.70780315760000001</v>
          </cell>
          <cell r="Q1501">
            <v>0.70402813710000001</v>
          </cell>
          <cell r="R1501">
            <v>0.69842355060000005</v>
          </cell>
          <cell r="S1501">
            <v>0.69125932180000005</v>
          </cell>
          <cell r="T1501">
            <v>0.68301260279999998</v>
          </cell>
          <cell r="U1501">
            <v>0.67419922359999995</v>
          </cell>
          <cell r="V1501">
            <v>0.66637320300000003</v>
          </cell>
          <cell r="W1501">
            <v>0.66003394630000001</v>
          </cell>
          <cell r="X1501">
            <v>0.65528052609999998</v>
          </cell>
          <cell r="Y1501">
            <v>0.65202895409999995</v>
          </cell>
          <cell r="Z1501">
            <v>0.65006809259999998</v>
          </cell>
          <cell r="AA1501">
            <v>0.64935817559999998</v>
          </cell>
          <cell r="AB1501">
            <v>0.64984775900000002</v>
          </cell>
          <cell r="AC1501">
            <v>0.65148362609999999</v>
          </cell>
          <cell r="AD1501">
            <v>0.65419040549999996</v>
          </cell>
          <cell r="AE1501">
            <v>0.65768353540000002</v>
          </cell>
          <cell r="AF1501">
            <v>0.66202018399999996</v>
          </cell>
          <cell r="AG1501">
            <v>0.66723370820000005</v>
          </cell>
          <cell r="AH1501">
            <v>0.67330963150000001</v>
          </cell>
          <cell r="AI1501">
            <v>0.68011626609999998</v>
          </cell>
          <cell r="AJ1501">
            <v>0.68742098330000001</v>
          </cell>
          <cell r="AK1501">
            <v>0.69496128229999998</v>
          </cell>
          <cell r="AL1501">
            <v>0.70248997339999997</v>
          </cell>
          <cell r="AM1501">
            <v>0.70978915170000001</v>
          </cell>
          <cell r="AN1501">
            <v>0.71666874790000001</v>
          </cell>
          <cell r="AO1501">
            <v>0.72296253730000004</v>
          </cell>
        </row>
        <row r="1502">
          <cell r="F1502">
            <v>87.061451820000002</v>
          </cell>
          <cell r="G1502">
            <v>87.405744499999997</v>
          </cell>
          <cell r="H1502">
            <v>87.788361129999998</v>
          </cell>
          <cell r="I1502">
            <v>88.24733329</v>
          </cell>
          <cell r="J1502">
            <v>88.665896129999993</v>
          </cell>
          <cell r="K1502">
            <v>89.059776060000004</v>
          </cell>
          <cell r="L1502">
            <v>89.457426960000006</v>
          </cell>
          <cell r="M1502">
            <v>89.874693500000006</v>
          </cell>
          <cell r="N1502">
            <v>90.301931300000007</v>
          </cell>
          <cell r="O1502">
            <v>90.724942749999997</v>
          </cell>
          <cell r="P1502">
            <v>91.119055320000001</v>
          </cell>
          <cell r="Q1502">
            <v>91.32834278</v>
          </cell>
          <cell r="R1502">
            <v>91.304939419999997</v>
          </cell>
          <cell r="S1502">
            <v>91.061654419999996</v>
          </cell>
          <cell r="T1502">
            <v>90.647039660000004</v>
          </cell>
          <cell r="U1502">
            <v>90.123492380000002</v>
          </cell>
          <cell r="V1502">
            <v>89.541681650000001</v>
          </cell>
          <cell r="W1502">
            <v>88.962786280000003</v>
          </cell>
          <cell r="X1502">
            <v>88.44310643</v>
          </cell>
          <cell r="Y1502">
            <v>88.021941769999998</v>
          </cell>
          <cell r="Z1502">
            <v>87.711056709999994</v>
          </cell>
          <cell r="AA1502">
            <v>87.539127390000004</v>
          </cell>
          <cell r="AB1502">
            <v>87.519341049999994</v>
          </cell>
          <cell r="AC1502">
            <v>87.655368839999994</v>
          </cell>
          <cell r="AD1502">
            <v>87.942756059999994</v>
          </cell>
          <cell r="AE1502">
            <v>88.337641250000004</v>
          </cell>
          <cell r="AF1502">
            <v>88.851250800000003</v>
          </cell>
          <cell r="AG1502">
            <v>89.486095710000001</v>
          </cell>
          <cell r="AH1502">
            <v>90.236642919999994</v>
          </cell>
          <cell r="AI1502">
            <v>91.081543400000001</v>
          </cell>
          <cell r="AJ1502">
            <v>91.986860949999993</v>
          </cell>
          <cell r="AK1502">
            <v>92.915436510000006</v>
          </cell>
          <cell r="AL1502">
            <v>93.833338040000001</v>
          </cell>
          <cell r="AM1502">
            <v>94.711375480000001</v>
          </cell>
          <cell r="AN1502">
            <v>95.524920339999994</v>
          </cell>
          <cell r="AO1502">
            <v>96.253477340000003</v>
          </cell>
        </row>
        <row r="1512">
          <cell r="F1512">
            <v>1966951.8470000001</v>
          </cell>
          <cell r="G1512">
            <v>2004514.4350000001</v>
          </cell>
          <cell r="H1512">
            <v>2046262.166</v>
          </cell>
          <cell r="I1512">
            <v>2091802.0889999999</v>
          </cell>
          <cell r="J1512">
            <v>2140261.7549999999</v>
          </cell>
          <cell r="K1512">
            <v>2191369.5550000002</v>
          </cell>
          <cell r="L1512">
            <v>2243375.0550000002</v>
          </cell>
          <cell r="M1512">
            <v>2291070.324</v>
          </cell>
          <cell r="N1512">
            <v>2339630.1439999999</v>
          </cell>
          <cell r="O1512">
            <v>2398172.253</v>
          </cell>
          <cell r="P1512">
            <v>2457981.2209999999</v>
          </cell>
          <cell r="Q1512">
            <v>2510310.6749999998</v>
          </cell>
          <cell r="R1512">
            <v>2557587.0669999998</v>
          </cell>
          <cell r="S1512">
            <v>2601141.6919999998</v>
          </cell>
          <cell r="T1512">
            <v>2642744.3709999998</v>
          </cell>
          <cell r="U1512">
            <v>2683511.284</v>
          </cell>
          <cell r="V1512">
            <v>2724278.5520000001</v>
          </cell>
          <cell r="W1512">
            <v>2766407.3139999998</v>
          </cell>
          <cell r="X1512">
            <v>2810802.105</v>
          </cell>
          <cell r="Y1512">
            <v>2858082.4380000001</v>
          </cell>
          <cell r="Z1512">
            <v>2907674.6269999999</v>
          </cell>
          <cell r="AA1512">
            <v>2961978.5649999999</v>
          </cell>
          <cell r="AB1512">
            <v>3020892.3689999999</v>
          </cell>
          <cell r="AC1512">
            <v>3084799.5359999998</v>
          </cell>
          <cell r="AD1512">
            <v>3153805.8250000002</v>
          </cell>
          <cell r="AE1512">
            <v>3224660.5630000001</v>
          </cell>
          <cell r="AF1512">
            <v>3301633.9789999998</v>
          </cell>
          <cell r="AG1512">
            <v>3384079.7480000001</v>
          </cell>
          <cell r="AH1512">
            <v>3472239.7220000001</v>
          </cell>
          <cell r="AI1512">
            <v>3565763.2560000001</v>
          </cell>
          <cell r="AJ1512">
            <v>3663994.6839999999</v>
          </cell>
          <cell r="AK1512">
            <v>3766326.5819999999</v>
          </cell>
          <cell r="AL1512">
            <v>3872244.7030000002</v>
          </cell>
          <cell r="AM1512">
            <v>3981235.1239999998</v>
          </cell>
          <cell r="AN1512">
            <v>4092766.4679999999</v>
          </cell>
          <cell r="AO1512">
            <v>4206255.8269999996</v>
          </cell>
        </row>
        <row r="1513">
          <cell r="F1513">
            <v>36098.159420000004</v>
          </cell>
          <cell r="G1513">
            <v>36623.371090000001</v>
          </cell>
          <cell r="H1513">
            <v>37244.642789999998</v>
          </cell>
          <cell r="I1513">
            <v>37959.58309</v>
          </cell>
          <cell r="J1513">
            <v>38764.855040000002</v>
          </cell>
          <cell r="K1513">
            <v>39643.25217</v>
          </cell>
          <cell r="L1513">
            <v>40558.29017</v>
          </cell>
          <cell r="M1513">
            <v>41296.153489999997</v>
          </cell>
          <cell r="N1513">
            <v>42058.794300000001</v>
          </cell>
          <cell r="O1513">
            <v>43043.781139999999</v>
          </cell>
          <cell r="P1513">
            <v>44017.198239999998</v>
          </cell>
          <cell r="Q1513">
            <v>44837.764589999999</v>
          </cell>
          <cell r="R1513">
            <v>45549.12427</v>
          </cell>
          <cell r="S1513">
            <v>46180.748449999999</v>
          </cell>
          <cell r="T1513">
            <v>46769.796609999998</v>
          </cell>
          <cell r="U1513">
            <v>47337.76986</v>
          </cell>
          <cell r="V1513">
            <v>47898.700879999997</v>
          </cell>
          <cell r="W1513">
            <v>48478.909650000001</v>
          </cell>
          <cell r="X1513">
            <v>49100.018750000003</v>
          </cell>
          <cell r="Y1513">
            <v>49775.698949999998</v>
          </cell>
          <cell r="Z1513">
            <v>50505.243520000004</v>
          </cell>
          <cell r="AA1513">
            <v>51316.760799999996</v>
          </cell>
          <cell r="AB1513">
            <v>52220.21357</v>
          </cell>
          <cell r="AC1513">
            <v>53222.820780000002</v>
          </cell>
          <cell r="AD1513">
            <v>54325.934110000002</v>
          </cell>
          <cell r="AE1513">
            <v>55493.865189999997</v>
          </cell>
          <cell r="AF1513">
            <v>56757.671679999999</v>
          </cell>
          <cell r="AG1513">
            <v>58133.544099999999</v>
          </cell>
          <cell r="AH1513">
            <v>59625.482490000002</v>
          </cell>
          <cell r="AI1513">
            <v>61224.701520000002</v>
          </cell>
          <cell r="AJ1513">
            <v>62915.959560000003</v>
          </cell>
          <cell r="AK1513">
            <v>64685.384209999997</v>
          </cell>
          <cell r="AL1513">
            <v>66521.097710000002</v>
          </cell>
          <cell r="AM1513">
            <v>68410.837950000001</v>
          </cell>
          <cell r="AN1513">
            <v>70341.347569999998</v>
          </cell>
          <cell r="AO1513">
            <v>72297.495200000005</v>
          </cell>
        </row>
        <row r="1516">
          <cell r="F1516">
            <v>331692.73849999998</v>
          </cell>
          <cell r="G1516">
            <v>339801.6813</v>
          </cell>
          <cell r="H1516">
            <v>348255.64270000003</v>
          </cell>
          <cell r="I1516">
            <v>357287.6286</v>
          </cell>
          <cell r="J1516">
            <v>366840.9227</v>
          </cell>
          <cell r="K1516">
            <v>376870.55239999999</v>
          </cell>
          <cell r="L1516">
            <v>387150.05349999998</v>
          </cell>
          <cell r="M1516">
            <v>395760.3824</v>
          </cell>
          <cell r="N1516">
            <v>404968.31449999998</v>
          </cell>
          <cell r="O1516">
            <v>417049.95520000003</v>
          </cell>
          <cell r="P1516">
            <v>428736.93900000001</v>
          </cell>
          <cell r="Q1516">
            <v>438577.83159999998</v>
          </cell>
          <cell r="R1516">
            <v>447336.52970000001</v>
          </cell>
          <cell r="S1516">
            <v>455491.1471</v>
          </cell>
          <cell r="T1516">
            <v>463564.3173</v>
          </cell>
          <cell r="U1516">
            <v>471810.33760000003</v>
          </cell>
          <cell r="V1516">
            <v>480305.34210000001</v>
          </cell>
          <cell r="W1516">
            <v>489408.94819999998</v>
          </cell>
          <cell r="X1516">
            <v>499301.81880000001</v>
          </cell>
          <cell r="Y1516">
            <v>510085.85840000003</v>
          </cell>
          <cell r="Z1516">
            <v>521761.1274</v>
          </cell>
          <cell r="AA1516">
            <v>534565.10309999995</v>
          </cell>
          <cell r="AB1516">
            <v>548596.25120000006</v>
          </cell>
          <cell r="AC1516">
            <v>563917.01839999994</v>
          </cell>
          <cell r="AD1516">
            <v>580527.75939999998</v>
          </cell>
          <cell r="AE1516">
            <v>598131.21409999998</v>
          </cell>
          <cell r="AF1516">
            <v>617084.63379999995</v>
          </cell>
          <cell r="AG1516">
            <v>637464.11690000002</v>
          </cell>
          <cell r="AH1516">
            <v>659297.71440000006</v>
          </cell>
          <cell r="AI1516">
            <v>682467.89009999996</v>
          </cell>
          <cell r="AJ1516">
            <v>706824.46730000002</v>
          </cell>
          <cell r="AK1516">
            <v>732282.39919999999</v>
          </cell>
          <cell r="AL1516">
            <v>758803.09069999994</v>
          </cell>
          <cell r="AM1516">
            <v>786346.57039999997</v>
          </cell>
          <cell r="AN1516">
            <v>814881.26459999999</v>
          </cell>
          <cell r="AO1516">
            <v>844378.10049999994</v>
          </cell>
        </row>
        <row r="1528">
          <cell r="F1528">
            <v>48475.55906</v>
          </cell>
          <cell r="G1528">
            <v>49503.006150000001</v>
          </cell>
          <cell r="H1528">
            <v>50548.41532</v>
          </cell>
          <cell r="I1528">
            <v>51647.667459999997</v>
          </cell>
          <cell r="J1528">
            <v>52820.992859999998</v>
          </cell>
          <cell r="K1528">
            <v>54067.156620000002</v>
          </cell>
          <cell r="L1528">
            <v>55342.471550000002</v>
          </cell>
          <cell r="M1528">
            <v>56335.692490000001</v>
          </cell>
          <cell r="N1528">
            <v>57350.541270000002</v>
          </cell>
          <cell r="O1528">
            <v>58715.749499999998</v>
          </cell>
          <cell r="P1528">
            <v>60031.66949</v>
          </cell>
          <cell r="Q1528">
            <v>61103.848109999999</v>
          </cell>
          <cell r="R1528">
            <v>62018.43851</v>
          </cell>
          <cell r="S1528">
            <v>62826.096619999997</v>
          </cell>
          <cell r="T1528">
            <v>63586.14488</v>
          </cell>
          <cell r="U1528">
            <v>64327.160060000002</v>
          </cell>
          <cell r="V1528">
            <v>65064.641869999999</v>
          </cell>
          <cell r="W1528">
            <v>65839.318429999999</v>
          </cell>
          <cell r="X1528">
            <v>66683.551170000006</v>
          </cell>
          <cell r="Y1528">
            <v>67617.049979999996</v>
          </cell>
          <cell r="Z1528">
            <v>68640.940449999995</v>
          </cell>
          <cell r="AA1528">
            <v>69801.593609999996</v>
          </cell>
          <cell r="AB1528">
            <v>71111.371379999997</v>
          </cell>
          <cell r="AC1528">
            <v>72577.848069999993</v>
          </cell>
          <cell r="AD1528">
            <v>74199.648419999998</v>
          </cell>
          <cell r="AE1528">
            <v>75925.433250000002</v>
          </cell>
          <cell r="AF1528">
            <v>77832.085529999997</v>
          </cell>
          <cell r="AG1528">
            <v>79932.873909999995</v>
          </cell>
          <cell r="AH1528">
            <v>82229.274269999994</v>
          </cell>
          <cell r="AI1528">
            <v>84701.188290000006</v>
          </cell>
          <cell r="AJ1528">
            <v>87322.645510000002</v>
          </cell>
          <cell r="AK1528">
            <v>90080.169009999998</v>
          </cell>
          <cell r="AL1528">
            <v>92967.444180000006</v>
          </cell>
          <cell r="AM1528">
            <v>95971.320980000004</v>
          </cell>
          <cell r="AN1528">
            <v>99077.731249999997</v>
          </cell>
          <cell r="AO1528">
            <v>102271.1575</v>
          </cell>
        </row>
        <row r="1533">
          <cell r="F1533">
            <v>1512067.868</v>
          </cell>
          <cell r="G1533">
            <v>1539354.192</v>
          </cell>
          <cell r="H1533">
            <v>1570380.5970000001</v>
          </cell>
          <cell r="I1533">
            <v>1604412.808</v>
          </cell>
          <cell r="J1533">
            <v>1640728.736</v>
          </cell>
          <cell r="K1533">
            <v>1679062.156</v>
          </cell>
          <cell r="L1533">
            <v>1717958.0319999999</v>
          </cell>
          <cell r="M1533">
            <v>1754595.8459999999</v>
          </cell>
          <cell r="N1533">
            <v>1791651.817</v>
          </cell>
          <cell r="O1533">
            <v>1835161.324</v>
          </cell>
          <cell r="P1533">
            <v>1880485.0689999999</v>
          </cell>
          <cell r="Q1533">
            <v>1920915.9569999999</v>
          </cell>
          <cell r="R1533">
            <v>1957860.014</v>
          </cell>
          <cell r="S1533">
            <v>1992016.6880000001</v>
          </cell>
          <cell r="T1533">
            <v>2024480.3810000001</v>
          </cell>
          <cell r="U1533">
            <v>2056036.0959999999</v>
          </cell>
          <cell r="V1533">
            <v>2087391.0630000001</v>
          </cell>
          <cell r="W1533">
            <v>2119451.4180000001</v>
          </cell>
          <cell r="X1533">
            <v>2152896.2379999999</v>
          </cell>
          <cell r="Y1533">
            <v>2188212.798</v>
          </cell>
          <cell r="Z1533">
            <v>2224841.7230000002</v>
          </cell>
          <cell r="AA1533">
            <v>2264851.591</v>
          </cell>
          <cell r="AB1533">
            <v>2308031.264</v>
          </cell>
          <cell r="AC1533">
            <v>2354703.7480000001</v>
          </cell>
          <cell r="AD1533">
            <v>2404997.8739999998</v>
          </cell>
          <cell r="AE1533">
            <v>2456109.469</v>
          </cell>
          <cell r="AF1533">
            <v>2511811.7889999999</v>
          </cell>
          <cell r="AG1533">
            <v>2571402.3470000001</v>
          </cell>
          <cell r="AH1533">
            <v>2635140.5269999998</v>
          </cell>
          <cell r="AI1533">
            <v>2702894.9389999998</v>
          </cell>
          <cell r="AJ1533">
            <v>2774286.6940000001</v>
          </cell>
          <cell r="AK1533">
            <v>2848913.531</v>
          </cell>
          <cell r="AL1533">
            <v>2926427.6710000001</v>
          </cell>
          <cell r="AM1533">
            <v>3006521.6609999998</v>
          </cell>
          <cell r="AN1533">
            <v>3088901.568</v>
          </cell>
          <cell r="AO1533">
            <v>3173273.2960000001</v>
          </cell>
        </row>
        <row r="1537">
          <cell r="F1537">
            <v>-2125.1515279999999</v>
          </cell>
          <cell r="G1537">
            <v>-2143.6568739999998</v>
          </cell>
          <cell r="H1537">
            <v>-2161.3505620000001</v>
          </cell>
          <cell r="I1537">
            <v>-2179.8246399999998</v>
          </cell>
          <cell r="J1537">
            <v>-2198.5182220000002</v>
          </cell>
          <cell r="K1537">
            <v>-2226.3969459999998</v>
          </cell>
          <cell r="L1537">
            <v>-2263.5513500000002</v>
          </cell>
          <cell r="M1537">
            <v>-2327.8058110000002</v>
          </cell>
          <cell r="N1537">
            <v>-2300.4133219999999</v>
          </cell>
          <cell r="O1537">
            <v>-2263.319763</v>
          </cell>
          <cell r="P1537">
            <v>-2244.257591</v>
          </cell>
          <cell r="Q1537">
            <v>-2230.0177490000001</v>
          </cell>
          <cell r="R1537">
            <v>-2211.3951959999999</v>
          </cell>
          <cell r="S1537">
            <v>-2187.7197630000001</v>
          </cell>
          <cell r="T1537">
            <v>-2160.393407</v>
          </cell>
          <cell r="U1537">
            <v>-2131.9150669999999</v>
          </cell>
          <cell r="V1537">
            <v>-2103.7402499999998</v>
          </cell>
          <cell r="W1537">
            <v>-2070.8982930000002</v>
          </cell>
          <cell r="X1537">
            <v>-2037.9233690000001</v>
          </cell>
          <cell r="Y1537">
            <v>-2006.145442</v>
          </cell>
          <cell r="Z1537">
            <v>-1975.9330190000001</v>
          </cell>
          <cell r="AA1537">
            <v>-1946.852756</v>
          </cell>
          <cell r="AB1537">
            <v>-1919.3320020000001</v>
          </cell>
          <cell r="AC1537">
            <v>-1893.5288539999999</v>
          </cell>
          <cell r="AD1537">
            <v>-1869.339162</v>
          </cell>
          <cell r="AE1537">
            <v>-1846.5542459999999</v>
          </cell>
          <cell r="AF1537">
            <v>-1823.304971</v>
          </cell>
          <cell r="AG1537">
            <v>-1801.832821</v>
          </cell>
          <cell r="AH1537">
            <v>-1781.3997910000001</v>
          </cell>
          <cell r="AI1537">
            <v>-1761.8727269999999</v>
          </cell>
          <cell r="AJ1537">
            <v>-1742.41021</v>
          </cell>
          <cell r="AK1537">
            <v>-1721.7993389999999</v>
          </cell>
          <cell r="AL1537">
            <v>-1699.103106</v>
          </cell>
          <cell r="AM1537">
            <v>-1673.7514819999999</v>
          </cell>
          <cell r="AN1537">
            <v>-1645.2172210000001</v>
          </cell>
          <cell r="AO1537">
            <v>-1612.972792</v>
          </cell>
        </row>
        <row r="1538">
          <cell r="F1538">
            <v>-612.37312850000001</v>
          </cell>
          <cell r="G1538">
            <v>-616.76354330000004</v>
          </cell>
          <cell r="H1538">
            <v>-618.84005850000005</v>
          </cell>
          <cell r="I1538">
            <v>-621.05387740000003</v>
          </cell>
          <cell r="J1538">
            <v>-624.77107909999995</v>
          </cell>
          <cell r="K1538">
            <v>-630.84359440000003</v>
          </cell>
          <cell r="L1538">
            <v>-638.8426829</v>
          </cell>
          <cell r="M1538">
            <v>-695.65767300000005</v>
          </cell>
          <cell r="N1538">
            <v>-864.46210670000005</v>
          </cell>
          <cell r="O1538">
            <v>-1047.765126</v>
          </cell>
          <cell r="P1538">
            <v>-1233.632754</v>
          </cell>
          <cell r="Q1538">
            <v>-1420.76487</v>
          </cell>
          <cell r="R1538">
            <v>-1609.7550980000001</v>
          </cell>
          <cell r="S1538">
            <v>-1801.325889</v>
          </cell>
          <cell r="T1538">
            <v>-1996.368477</v>
          </cell>
          <cell r="U1538">
            <v>-2195.8807139999999</v>
          </cell>
          <cell r="V1538">
            <v>-2400.357626</v>
          </cell>
          <cell r="W1538">
            <v>-2610.1261679999998</v>
          </cell>
          <cell r="X1538">
            <v>-2826.629602</v>
          </cell>
          <cell r="Y1538">
            <v>-3051.404055</v>
          </cell>
          <cell r="Z1538">
            <v>-3285.770579</v>
          </cell>
          <cell r="AA1538">
            <v>-3531.0729339999998</v>
          </cell>
          <cell r="AB1538">
            <v>-3789.0692519999998</v>
          </cell>
          <cell r="AC1538">
            <v>-4061.4595319999999</v>
          </cell>
          <cell r="AD1538">
            <v>-4349.8877670000002</v>
          </cell>
          <cell r="AE1538">
            <v>-4655.5849669999998</v>
          </cell>
          <cell r="AF1538">
            <v>-4979.9710949999999</v>
          </cell>
          <cell r="AG1538">
            <v>-5326.0550789999998</v>
          </cell>
          <cell r="AH1538">
            <v>-5696.9454610000003</v>
          </cell>
          <cell r="AI1538">
            <v>-6095.5117019999998</v>
          </cell>
          <cell r="AJ1538">
            <v>-6524.3269710000004</v>
          </cell>
          <cell r="AK1538">
            <v>-6986.1368000000002</v>
          </cell>
          <cell r="AL1538">
            <v>-7484.5102100000004</v>
          </cell>
          <cell r="AM1538">
            <v>-8024.1322799999998</v>
          </cell>
          <cell r="AN1538">
            <v>-8611.0957920000001</v>
          </cell>
          <cell r="AO1538">
            <v>-9253.8900130000002</v>
          </cell>
        </row>
        <row r="1540">
          <cell r="F1540">
            <v>493.02654460000002</v>
          </cell>
          <cell r="G1540">
            <v>496.22832949999997</v>
          </cell>
          <cell r="H1540">
            <v>500.03614290000002</v>
          </cell>
          <cell r="I1540">
            <v>503.53333279999998</v>
          </cell>
          <cell r="J1540">
            <v>509.3399488</v>
          </cell>
          <cell r="K1540">
            <v>516.73255930000005</v>
          </cell>
          <cell r="L1540">
            <v>522.79589699999997</v>
          </cell>
          <cell r="M1540">
            <v>598.99169979999999</v>
          </cell>
          <cell r="N1540">
            <v>671.63124640000001</v>
          </cell>
          <cell r="O1540">
            <v>745.86249080000005</v>
          </cell>
          <cell r="P1540">
            <v>820.27666599999998</v>
          </cell>
          <cell r="Q1540">
            <v>894.06666389999998</v>
          </cell>
          <cell r="R1540">
            <v>966.48131709999996</v>
          </cell>
          <cell r="S1540">
            <v>1037.6264960000001</v>
          </cell>
          <cell r="T1540">
            <v>1108.116215</v>
          </cell>
          <cell r="U1540">
            <v>1178.4437150000001</v>
          </cell>
          <cell r="V1540">
            <v>1250.246993</v>
          </cell>
          <cell r="W1540">
            <v>1323.9223910000001</v>
          </cell>
          <cell r="X1540">
            <v>1399.9701769999999</v>
          </cell>
          <cell r="Y1540">
            <v>1478.864284</v>
          </cell>
          <cell r="Z1540">
            <v>1560.823091</v>
          </cell>
          <cell r="AA1540">
            <v>1646.9135759999999</v>
          </cell>
          <cell r="AB1540">
            <v>1737.712689</v>
          </cell>
          <cell r="AC1540">
            <v>1833.7848919999999</v>
          </cell>
          <cell r="AD1540">
            <v>1935.6057129999999</v>
          </cell>
          <cell r="AE1540">
            <v>2042.598553</v>
          </cell>
          <cell r="AF1540">
            <v>2156.6348630000002</v>
          </cell>
          <cell r="AG1540">
            <v>2278.9342000000001</v>
          </cell>
          <cell r="AH1540">
            <v>2410.4062589999999</v>
          </cell>
          <cell r="AI1540">
            <v>2551.483976</v>
          </cell>
          <cell r="AJ1540">
            <v>2702.4144299999998</v>
          </cell>
          <cell r="AK1540">
            <v>2863.7530390000002</v>
          </cell>
          <cell r="AL1540">
            <v>3036.476514</v>
          </cell>
          <cell r="AM1540">
            <v>3221.8180889999999</v>
          </cell>
          <cell r="AN1540">
            <v>3421.4327990000002</v>
          </cell>
          <cell r="AO1540">
            <v>3637.580101</v>
          </cell>
        </row>
        <row r="1541">
          <cell r="F1541">
            <v>40653.00333</v>
          </cell>
          <cell r="G1541">
            <v>41286.005490000003</v>
          </cell>
          <cell r="H1541">
            <v>41901.007559999998</v>
          </cell>
          <cell r="I1541">
            <v>42578.249080000001</v>
          </cell>
          <cell r="J1541">
            <v>43204.172019999998</v>
          </cell>
          <cell r="K1541">
            <v>43847.750090000001</v>
          </cell>
          <cell r="L1541">
            <v>44524.091910000003</v>
          </cell>
          <cell r="M1541">
            <v>45296.037949999998</v>
          </cell>
          <cell r="N1541">
            <v>45893.011500000001</v>
          </cell>
          <cell r="O1541">
            <v>46574.172149999999</v>
          </cell>
          <cell r="P1541">
            <v>47183.481440000003</v>
          </cell>
          <cell r="Q1541">
            <v>47455.384830000003</v>
          </cell>
          <cell r="R1541">
            <v>47508.890249999997</v>
          </cell>
          <cell r="S1541">
            <v>47417.491170000001</v>
          </cell>
          <cell r="T1541">
            <v>47239.067880000002</v>
          </cell>
          <cell r="U1541">
            <v>47003.385419999999</v>
          </cell>
          <cell r="V1541">
            <v>46733.830439999998</v>
          </cell>
          <cell r="W1541">
            <v>46453.753599999996</v>
          </cell>
          <cell r="X1541">
            <v>46159.47219</v>
          </cell>
          <cell r="Y1541">
            <v>45850.366609999997</v>
          </cell>
          <cell r="Z1541">
            <v>45513.174650000001</v>
          </cell>
          <cell r="AA1541">
            <v>45167.085249999996</v>
          </cell>
          <cell r="AB1541">
            <v>44802.213660000001</v>
          </cell>
          <cell r="AC1541">
            <v>44403.145759999999</v>
          </cell>
          <cell r="AD1541">
            <v>43947.590730000004</v>
          </cell>
          <cell r="AE1541">
            <v>43375.02332</v>
          </cell>
          <cell r="AF1541">
            <v>42714.879180000004</v>
          </cell>
          <cell r="AG1541">
            <v>41921.818189999998</v>
          </cell>
          <cell r="AH1541">
            <v>40946.290410000001</v>
          </cell>
          <cell r="AI1541">
            <v>39717.827599999997</v>
          </cell>
          <cell r="AJ1541">
            <v>38152.584490000001</v>
          </cell>
          <cell r="AK1541">
            <v>36158.823750000003</v>
          </cell>
          <cell r="AL1541">
            <v>33628.563600000001</v>
          </cell>
          <cell r="AM1541">
            <v>30423.646000000001</v>
          </cell>
          <cell r="AN1541">
            <v>26369.48531</v>
          </cell>
          <cell r="AO1541">
            <v>21242.750960000001</v>
          </cell>
        </row>
        <row r="1551">
          <cell r="F1551">
            <v>1966951.8470000001</v>
          </cell>
          <cell r="G1551">
            <v>2004514.4350000001</v>
          </cell>
          <cell r="H1551">
            <v>2046262.166</v>
          </cell>
          <cell r="I1551">
            <v>2091802.0889999999</v>
          </cell>
          <cell r="J1551">
            <v>2140261.7549999999</v>
          </cell>
          <cell r="K1551">
            <v>2191369.5550000002</v>
          </cell>
          <cell r="L1551">
            <v>2243375.0550000002</v>
          </cell>
          <cell r="M1551">
            <v>2296530.6310000001</v>
          </cell>
          <cell r="N1551">
            <v>2350765.7140000002</v>
          </cell>
          <cell r="O1551">
            <v>2406137.2319999998</v>
          </cell>
          <cell r="P1551">
            <v>2462473.236</v>
          </cell>
          <cell r="Q1551">
            <v>2512152.7400000002</v>
          </cell>
          <cell r="R1551">
            <v>2557808.378</v>
          </cell>
          <cell r="S1551">
            <v>2600315.91</v>
          </cell>
          <cell r="T1551">
            <v>2640805.9339999999</v>
          </cell>
          <cell r="U1551">
            <v>2680385.86</v>
          </cell>
          <cell r="V1551">
            <v>2720763.4580000001</v>
          </cell>
          <cell r="W1551">
            <v>2763135.3670000001</v>
          </cell>
          <cell r="X1551">
            <v>2808325.7940000002</v>
          </cell>
          <cell r="Y1551">
            <v>2856807.4029999999</v>
          </cell>
          <cell r="Z1551">
            <v>2907879.91</v>
          </cell>
          <cell r="AA1551">
            <v>2963834.9479999999</v>
          </cell>
          <cell r="AB1551">
            <v>3024475.3629999999</v>
          </cell>
          <cell r="AC1551">
            <v>3090084.9449999998</v>
          </cell>
          <cell r="AD1551">
            <v>3160659.2540000002</v>
          </cell>
          <cell r="AE1551">
            <v>3232877.9190000002</v>
          </cell>
          <cell r="AF1551">
            <v>3310824.798</v>
          </cell>
          <cell r="AG1551">
            <v>3393839.415</v>
          </cell>
          <cell r="AH1551">
            <v>3482046.3309999998</v>
          </cell>
          <cell r="AI1551">
            <v>3574944.0389999999</v>
          </cell>
          <cell r="AJ1551">
            <v>3671745.4360000002</v>
          </cell>
          <cell r="AK1551">
            <v>3771746.591</v>
          </cell>
          <cell r="AL1551">
            <v>3874354.176</v>
          </cell>
          <cell r="AM1551">
            <v>3978981.7</v>
          </cell>
          <cell r="AN1551">
            <v>4085030.5989999999</v>
          </cell>
          <cell r="AO1551">
            <v>4191881.8590000002</v>
          </cell>
        </row>
        <row r="1552">
          <cell r="F1552">
            <v>36098.159420000004</v>
          </cell>
          <cell r="G1552">
            <v>36623.371090000001</v>
          </cell>
          <cell r="H1552">
            <v>37244.642789999998</v>
          </cell>
          <cell r="I1552">
            <v>37959.58309</v>
          </cell>
          <cell r="J1552">
            <v>38764.855029999999</v>
          </cell>
          <cell r="K1552">
            <v>39643.25217</v>
          </cell>
          <cell r="L1552">
            <v>40558.290159999997</v>
          </cell>
          <cell r="M1552">
            <v>41500.479099999997</v>
          </cell>
          <cell r="N1552">
            <v>42464.269930000002</v>
          </cell>
          <cell r="O1552">
            <v>43447.51281</v>
          </cell>
          <cell r="P1552">
            <v>44425.097099999999</v>
          </cell>
          <cell r="Q1552">
            <v>45252.256410000002</v>
          </cell>
          <cell r="R1552">
            <v>45980.553440000003</v>
          </cell>
          <cell r="S1552">
            <v>46630.451509999999</v>
          </cell>
          <cell r="T1552">
            <v>47227.261079999997</v>
          </cell>
          <cell r="U1552">
            <v>47795.48906</v>
          </cell>
          <cell r="V1552">
            <v>48372.087619999998</v>
          </cell>
          <cell r="W1552">
            <v>48983.859900000003</v>
          </cell>
          <cell r="X1552">
            <v>49649.785860000004</v>
          </cell>
          <cell r="Y1552">
            <v>50380.265720000003</v>
          </cell>
          <cell r="Z1552">
            <v>51171.842409999997</v>
          </cell>
          <cell r="AA1552">
            <v>52050.765780000002</v>
          </cell>
          <cell r="AB1552">
            <v>53024.94111</v>
          </cell>
          <cell r="AC1552">
            <v>54099.355430000003</v>
          </cell>
          <cell r="AD1552">
            <v>55272.826580000001</v>
          </cell>
          <cell r="AE1552">
            <v>56507.61191</v>
          </cell>
          <cell r="AF1552">
            <v>57840.707369999996</v>
          </cell>
          <cell r="AG1552">
            <v>59278.16203</v>
          </cell>
          <cell r="AH1552">
            <v>60821.453730000001</v>
          </cell>
          <cell r="AI1552">
            <v>62457.837930000002</v>
          </cell>
          <cell r="AJ1552">
            <v>64168.651160000001</v>
          </cell>
          <cell r="AK1552">
            <v>65937.758950000003</v>
          </cell>
          <cell r="AL1552">
            <v>67751.531059999994</v>
          </cell>
          <cell r="AM1552">
            <v>69596.323359999995</v>
          </cell>
          <cell r="AN1552">
            <v>71458.193780000001</v>
          </cell>
          <cell r="AO1552">
            <v>73322.857189999995</v>
          </cell>
        </row>
        <row r="1555">
          <cell r="F1555">
            <v>331692.73849999998</v>
          </cell>
          <cell r="G1555">
            <v>339801.6813</v>
          </cell>
          <cell r="H1555">
            <v>348255.64260000002</v>
          </cell>
          <cell r="I1555">
            <v>357287.6286</v>
          </cell>
          <cell r="J1555">
            <v>366840.92259999999</v>
          </cell>
          <cell r="K1555">
            <v>376870.55239999999</v>
          </cell>
          <cell r="L1555">
            <v>387150.05339999998</v>
          </cell>
          <cell r="M1555">
            <v>397675.06569999998</v>
          </cell>
          <cell r="N1555">
            <v>408462.82880000002</v>
          </cell>
          <cell r="O1555">
            <v>419547.01939999999</v>
          </cell>
          <cell r="P1555">
            <v>430592.1715</v>
          </cell>
          <cell r="Q1555">
            <v>440045.86900000001</v>
          </cell>
          <cell r="R1555">
            <v>448736.51620000001</v>
          </cell>
          <cell r="S1555">
            <v>456937.41090000002</v>
          </cell>
          <cell r="T1555">
            <v>464951.78149999998</v>
          </cell>
          <cell r="U1555">
            <v>473031.788</v>
          </cell>
          <cell r="V1555">
            <v>481533.23499999999</v>
          </cell>
          <cell r="W1555">
            <v>490695.60159999999</v>
          </cell>
          <cell r="X1555">
            <v>500669.68689999997</v>
          </cell>
          <cell r="Y1555">
            <v>511517.65100000001</v>
          </cell>
          <cell r="Z1555">
            <v>523200.7157</v>
          </cell>
          <cell r="AA1555">
            <v>535914.17760000005</v>
          </cell>
          <cell r="AB1555">
            <v>549719.7084</v>
          </cell>
          <cell r="AC1555">
            <v>564645.73459999997</v>
          </cell>
          <cell r="AD1555">
            <v>580651.31510000001</v>
          </cell>
          <cell r="AE1555">
            <v>597404.64500000002</v>
          </cell>
          <cell r="AF1555">
            <v>615193.53650000005</v>
          </cell>
          <cell r="AG1555">
            <v>634058.61789999995</v>
          </cell>
          <cell r="AH1555">
            <v>653993.67890000006</v>
          </cell>
          <cell r="AI1555">
            <v>674828.92319999996</v>
          </cell>
          <cell r="AJ1555">
            <v>696358.17920000001</v>
          </cell>
          <cell r="AK1555">
            <v>718435.4584</v>
          </cell>
          <cell r="AL1555">
            <v>740960.02049999998</v>
          </cell>
          <cell r="AM1555">
            <v>763835.1433</v>
          </cell>
          <cell r="AN1555">
            <v>786961.68709999998</v>
          </cell>
          <cell r="AO1555">
            <v>810234.85620000004</v>
          </cell>
        </row>
        <row r="1567">
          <cell r="F1567">
            <v>48475.55906</v>
          </cell>
          <cell r="G1567">
            <v>49503.006139999998</v>
          </cell>
          <cell r="H1567">
            <v>50548.41532</v>
          </cell>
          <cell r="I1567">
            <v>51647.667459999997</v>
          </cell>
          <cell r="J1567">
            <v>52820.992859999998</v>
          </cell>
          <cell r="K1567">
            <v>54067.156620000002</v>
          </cell>
          <cell r="L1567">
            <v>55342.471550000002</v>
          </cell>
          <cell r="M1567">
            <v>56639.826999999997</v>
          </cell>
          <cell r="N1567">
            <v>57955.319640000002</v>
          </cell>
          <cell r="O1567">
            <v>59289.089200000002</v>
          </cell>
          <cell r="P1567">
            <v>60599.964699999997</v>
          </cell>
          <cell r="Q1567">
            <v>61665.508229999999</v>
          </cell>
          <cell r="R1567">
            <v>62594.950559999997</v>
          </cell>
          <cell r="S1567">
            <v>63422.94212</v>
          </cell>
          <cell r="T1567">
            <v>64190.475599999998</v>
          </cell>
          <cell r="U1567">
            <v>64934.236069999999</v>
          </cell>
          <cell r="V1567">
            <v>65709.074040000007</v>
          </cell>
          <cell r="W1567">
            <v>66551.488159999994</v>
          </cell>
          <cell r="X1567">
            <v>67484.688080000007</v>
          </cell>
          <cell r="Y1567">
            <v>68519.959749999995</v>
          </cell>
          <cell r="Z1567">
            <v>69650.719150000004</v>
          </cell>
          <cell r="AA1567">
            <v>70915.283500000005</v>
          </cell>
          <cell r="AB1567">
            <v>72319.279479999997</v>
          </cell>
          <cell r="AC1567">
            <v>73868.431909999999</v>
          </cell>
          <cell r="AD1567">
            <v>75559.340609999999</v>
          </cell>
          <cell r="AE1567">
            <v>77337.509980000003</v>
          </cell>
          <cell r="AF1567">
            <v>79263.913719999997</v>
          </cell>
          <cell r="AG1567">
            <v>81337.151459999994</v>
          </cell>
          <cell r="AH1567">
            <v>83556.040399999998</v>
          </cell>
          <cell r="AI1567">
            <v>85896.436629999997</v>
          </cell>
          <cell r="AJ1567">
            <v>88327.731060000006</v>
          </cell>
          <cell r="AK1567">
            <v>90825.908599999995</v>
          </cell>
          <cell r="AL1567">
            <v>93372.295370000007</v>
          </cell>
          <cell r="AM1567">
            <v>95948.775290000005</v>
          </cell>
          <cell r="AN1567">
            <v>98537.301250000004</v>
          </cell>
          <cell r="AO1567">
            <v>101119.7409</v>
          </cell>
        </row>
        <row r="1572">
          <cell r="F1572">
            <v>1512067.868</v>
          </cell>
          <cell r="G1572">
            <v>1539354.192</v>
          </cell>
          <cell r="H1572">
            <v>1570380.5970000001</v>
          </cell>
          <cell r="I1572">
            <v>1604412.807</v>
          </cell>
          <cell r="J1572">
            <v>1640728.7350000001</v>
          </cell>
          <cell r="K1572">
            <v>1679062.155</v>
          </cell>
          <cell r="L1572">
            <v>1717958.0319999999</v>
          </cell>
          <cell r="M1572">
            <v>1757684.102</v>
          </cell>
          <cell r="N1572">
            <v>1798172.9680000001</v>
          </cell>
          <cell r="O1572">
            <v>1839455.338</v>
          </cell>
          <cell r="P1572">
            <v>1881776.9469999999</v>
          </cell>
          <cell r="Q1572">
            <v>1919570.666</v>
          </cell>
          <cell r="R1572">
            <v>1954437.4569999999</v>
          </cell>
          <cell r="S1572">
            <v>1986901.14</v>
          </cell>
          <cell r="T1572">
            <v>2017694.5719999999</v>
          </cell>
          <cell r="U1572">
            <v>2047584.571</v>
          </cell>
          <cell r="V1572">
            <v>2077812.767</v>
          </cell>
          <cell r="W1572">
            <v>2109243.3509999998</v>
          </cell>
          <cell r="X1572">
            <v>2142483.8080000002</v>
          </cell>
          <cell r="Y1572">
            <v>2177909.4070000001</v>
          </cell>
          <cell r="Z1572">
            <v>2214871.4190000002</v>
          </cell>
          <cell r="AA1572">
            <v>2255369.963</v>
          </cell>
          <cell r="AB1572">
            <v>2299129.0010000002</v>
          </cell>
          <cell r="AC1572">
            <v>2346389.6320000002</v>
          </cell>
          <cell r="AD1572">
            <v>2397193.0959999999</v>
          </cell>
          <cell r="AE1572">
            <v>2448683.202</v>
          </cell>
          <cell r="AF1572">
            <v>2504511.5410000002</v>
          </cell>
          <cell r="AG1572">
            <v>2563975.102</v>
          </cell>
          <cell r="AH1572">
            <v>2627208.3289999999</v>
          </cell>
          <cell r="AI1572">
            <v>2693933.787</v>
          </cell>
          <cell r="AJ1572">
            <v>2763641.9569999999</v>
          </cell>
          <cell r="AK1572">
            <v>2835834.338</v>
          </cell>
          <cell r="AL1572">
            <v>2910066.5440000002</v>
          </cell>
          <cell r="AM1572">
            <v>2985895.1090000002</v>
          </cell>
          <cell r="AN1572">
            <v>3062866.2459999998</v>
          </cell>
          <cell r="AO1572">
            <v>3140511.0159999998</v>
          </cell>
        </row>
        <row r="1575">
          <cell r="F1575">
            <v>-2035.48117</v>
          </cell>
          <cell r="G1575">
            <v>-2053.820984</v>
          </cell>
          <cell r="H1575">
            <v>-2068.1394529999998</v>
          </cell>
          <cell r="I1575">
            <v>-2083.8465700000002</v>
          </cell>
          <cell r="J1575">
            <v>-2097.9226269999999</v>
          </cell>
          <cell r="K1575">
            <v>-2121.3114989999999</v>
          </cell>
          <cell r="L1575">
            <v>-2157.8840540000001</v>
          </cell>
          <cell r="M1575">
            <v>-2201.758088</v>
          </cell>
          <cell r="N1575">
            <v>-2248.0879869999999</v>
          </cell>
          <cell r="O1575">
            <v>-2295.0087239999998</v>
          </cell>
          <cell r="P1575">
            <v>-2342.7356970000001</v>
          </cell>
          <cell r="Q1575">
            <v>-2393.1541430000002</v>
          </cell>
          <cell r="R1575">
            <v>-2434.84798</v>
          </cell>
          <cell r="S1575">
            <v>-2469.2116350000001</v>
          </cell>
          <cell r="T1575">
            <v>-2498.306517</v>
          </cell>
          <cell r="U1575">
            <v>-2524.2242670000001</v>
          </cell>
          <cell r="V1575">
            <v>-2544.3195049999999</v>
          </cell>
          <cell r="W1575">
            <v>-2563.9135839999999</v>
          </cell>
          <cell r="X1575">
            <v>-2586.123634</v>
          </cell>
          <cell r="Y1575">
            <v>-2612.3234050000001</v>
          </cell>
          <cell r="Z1575">
            <v>-2642.889459</v>
          </cell>
          <cell r="AA1575">
            <v>-2676.7190569999998</v>
          </cell>
          <cell r="AB1575">
            <v>-2714.3094919999999</v>
          </cell>
          <cell r="AC1575">
            <v>-2755.834523</v>
          </cell>
          <cell r="AD1575">
            <v>-2801.4690129999999</v>
          </cell>
          <cell r="AE1575">
            <v>-2851.7643830000002</v>
          </cell>
          <cell r="AF1575">
            <v>-2904.2151119999999</v>
          </cell>
          <cell r="AG1575">
            <v>-2960.0744610000002</v>
          </cell>
          <cell r="AH1575">
            <v>-3020.0314899999998</v>
          </cell>
          <cell r="AI1575">
            <v>-3084.6320890000002</v>
          </cell>
          <cell r="AJ1575">
            <v>-3153.385143</v>
          </cell>
          <cell r="AK1575">
            <v>-3225.116685</v>
          </cell>
          <cell r="AL1575">
            <v>-3298.7705340000002</v>
          </cell>
          <cell r="AM1575">
            <v>-3373.6037430000001</v>
          </cell>
          <cell r="AN1575">
            <v>-3448.9983350000002</v>
          </cell>
          <cell r="AO1575">
            <v>-3524.363077</v>
          </cell>
        </row>
        <row r="1577">
          <cell r="F1577">
            <v>-612.37312850000001</v>
          </cell>
          <cell r="G1577">
            <v>-616.76354319999996</v>
          </cell>
          <cell r="H1577">
            <v>-618.84005839999998</v>
          </cell>
          <cell r="I1577">
            <v>-621.05387729999995</v>
          </cell>
          <cell r="J1577">
            <v>-624.77107890000002</v>
          </cell>
          <cell r="K1577">
            <v>-630.84359419999998</v>
          </cell>
          <cell r="L1577">
            <v>-638.84268269999995</v>
          </cell>
          <cell r="M1577">
            <v>-647.95995200000004</v>
          </cell>
          <cell r="N1577">
            <v>-657.54864599999996</v>
          </cell>
          <cell r="O1577">
            <v>-667.30327569999997</v>
          </cell>
          <cell r="P1577">
            <v>-677.04816119999998</v>
          </cell>
          <cell r="Q1577">
            <v>-686.30482080000002</v>
          </cell>
          <cell r="R1577">
            <v>-694.48122769999998</v>
          </cell>
          <cell r="S1577">
            <v>-701.6555591</v>
          </cell>
          <cell r="T1577">
            <v>-708.01505440000005</v>
          </cell>
          <cell r="U1577">
            <v>-713.77650140000003</v>
          </cell>
          <cell r="V1577">
            <v>-719.24144100000001</v>
          </cell>
          <cell r="W1577">
            <v>-724.83920139999998</v>
          </cell>
          <cell r="X1577">
            <v>-730.89842829999998</v>
          </cell>
          <cell r="Y1577">
            <v>-737.5690012</v>
          </cell>
          <cell r="Z1577">
            <v>-744.86729330000003</v>
          </cell>
          <cell r="AA1577">
            <v>-752.79247889999999</v>
          </cell>
          <cell r="AB1577">
            <v>-761.42331000000001</v>
          </cell>
          <cell r="AC1577">
            <v>-770.80752600000005</v>
          </cell>
          <cell r="AD1577">
            <v>-780.97732140000005</v>
          </cell>
          <cell r="AE1577">
            <v>-791.87089879999996</v>
          </cell>
          <cell r="AF1577">
            <v>-803.42946559999996</v>
          </cell>
          <cell r="AG1577">
            <v>-815.79346069999997</v>
          </cell>
          <cell r="AH1577">
            <v>-829.03376639999999</v>
          </cell>
          <cell r="AI1577">
            <v>-843.14946180000004</v>
          </cell>
          <cell r="AJ1577">
            <v>-858.04309720000003</v>
          </cell>
          <cell r="AK1577">
            <v>-873.56763490000003</v>
          </cell>
          <cell r="AL1577">
            <v>-889.57334479999997</v>
          </cell>
          <cell r="AM1577">
            <v>-905.9162427</v>
          </cell>
          <cell r="AN1577">
            <v>-922.44929070000001</v>
          </cell>
          <cell r="AO1577">
            <v>-939.01875080000002</v>
          </cell>
        </row>
        <row r="1579">
          <cell r="F1579">
            <v>493.02665569999999</v>
          </cell>
        </row>
        <row r="1580">
          <cell r="F1580">
            <v>40653.00333</v>
          </cell>
          <cell r="G1580">
            <v>41286.005490000003</v>
          </cell>
          <cell r="H1580">
            <v>41901.007559999998</v>
          </cell>
          <cell r="I1580">
            <v>42578.249069999998</v>
          </cell>
          <cell r="J1580">
            <v>43204.172019999998</v>
          </cell>
          <cell r="K1580">
            <v>43847.750099999997</v>
          </cell>
          <cell r="L1580">
            <v>44524.091919999999</v>
          </cell>
          <cell r="M1580">
            <v>45232.914599999996</v>
          </cell>
          <cell r="N1580">
            <v>45958.415849999998</v>
          </cell>
          <cell r="O1580">
            <v>46693.28213</v>
          </cell>
          <cell r="P1580">
            <v>47421.79178</v>
          </cell>
          <cell r="Q1580">
            <v>48011.594429999997</v>
          </cell>
          <cell r="R1580">
            <v>48493.748099999997</v>
          </cell>
          <cell r="S1580">
            <v>48893.177329999999</v>
          </cell>
          <cell r="T1580">
            <v>49240.150280000002</v>
          </cell>
          <cell r="U1580">
            <v>49563.999739999999</v>
          </cell>
          <cell r="V1580">
            <v>49880.614509999999</v>
          </cell>
          <cell r="W1580">
            <v>50224.980159999999</v>
          </cell>
          <cell r="X1580">
            <v>50623.948219999998</v>
          </cell>
          <cell r="Y1580">
            <v>51092.442510000001</v>
          </cell>
          <cell r="Z1580">
            <v>51628.102480000001</v>
          </cell>
          <cell r="AA1580">
            <v>52261.477099999996</v>
          </cell>
          <cell r="AB1580">
            <v>52996.742480000001</v>
          </cell>
          <cell r="AC1580">
            <v>53837.625489999999</v>
          </cell>
          <cell r="AD1580">
            <v>54784.144549999997</v>
          </cell>
          <cell r="AE1580">
            <v>55796.714740000003</v>
          </cell>
          <cell r="AF1580">
            <v>56919.315199999997</v>
          </cell>
          <cell r="AG1580">
            <v>58150.456400000003</v>
          </cell>
          <cell r="AH1580">
            <v>59486.86017</v>
          </cell>
          <cell r="AI1580">
            <v>60911.685870000001</v>
          </cell>
          <cell r="AJ1580">
            <v>62402.302479999998</v>
          </cell>
          <cell r="AK1580">
            <v>63938.244070000001</v>
          </cell>
          <cell r="AL1580">
            <v>65502.555710000001</v>
          </cell>
          <cell r="AM1580">
            <v>67079.95306</v>
          </cell>
          <cell r="AN1580">
            <v>68656.169450000001</v>
          </cell>
          <cell r="AO1580">
            <v>70217.751919999995</v>
          </cell>
        </row>
        <row r="1600">
          <cell r="F1600">
            <v>472737.799</v>
          </cell>
          <cell r="G1600">
            <v>480955.98100000003</v>
          </cell>
          <cell r="H1600">
            <v>491172.66460000002</v>
          </cell>
          <cell r="I1600">
            <v>502861.18800000002</v>
          </cell>
          <cell r="J1600">
            <v>515821.41320000001</v>
          </cell>
          <cell r="K1600">
            <v>529876.69039999996</v>
          </cell>
          <cell r="L1600">
            <v>544676.01699999999</v>
          </cell>
          <cell r="M1600">
            <v>558722.41370000003</v>
          </cell>
          <cell r="N1600">
            <v>572924.31099999999</v>
          </cell>
          <cell r="O1600">
            <v>589173.20979999995</v>
          </cell>
          <cell r="P1600">
            <v>606842.96259999997</v>
          </cell>
          <cell r="Q1600">
            <v>624500.06510000001</v>
          </cell>
          <cell r="R1600">
            <v>641756.42099999997</v>
          </cell>
          <cell r="S1600">
            <v>658679.08759999997</v>
          </cell>
          <cell r="T1600">
            <v>675585.08270000003</v>
          </cell>
          <cell r="U1600">
            <v>692774.06070000003</v>
          </cell>
          <cell r="V1600">
            <v>710390.27099999995</v>
          </cell>
          <cell r="W1600">
            <v>728765.6139</v>
          </cell>
          <cell r="X1600">
            <v>748189.45400000003</v>
          </cell>
          <cell r="Y1600">
            <v>768871.18240000005</v>
          </cell>
          <cell r="Z1600">
            <v>790828.56449999998</v>
          </cell>
          <cell r="AA1600">
            <v>814358.9227</v>
          </cell>
          <cell r="AB1600">
            <v>839629.14350000001</v>
          </cell>
          <cell r="AC1600">
            <v>866788.93660000002</v>
          </cell>
          <cell r="AD1600">
            <v>895931.77800000005</v>
          </cell>
          <cell r="AE1600">
            <v>926671.65720000002</v>
          </cell>
          <cell r="AF1600">
            <v>959360.71089999995</v>
          </cell>
          <cell r="AG1600">
            <v>994125.33030000003</v>
          </cell>
          <cell r="AH1600">
            <v>1031128.068</v>
          </cell>
          <cell r="AI1600">
            <v>1070469.358</v>
          </cell>
          <cell r="AJ1600">
            <v>1112175.4839999999</v>
          </cell>
          <cell r="AK1600">
            <v>1156249.932</v>
          </cell>
          <cell r="AL1600">
            <v>1202722.635</v>
          </cell>
          <cell r="AM1600">
            <v>1251678.976</v>
          </cell>
          <cell r="AN1600">
            <v>1303254.31</v>
          </cell>
          <cell r="AO1600">
            <v>1357636.1270000001</v>
          </cell>
        </row>
        <row r="1601">
          <cell r="F1601">
            <v>4444.1839890000001</v>
          </cell>
          <cell r="G1601">
            <v>4518.9939240000003</v>
          </cell>
          <cell r="H1601">
            <v>4611.4327409999996</v>
          </cell>
          <cell r="I1601">
            <v>4721.7407759999996</v>
          </cell>
          <cell r="J1601">
            <v>4843.9571550000001</v>
          </cell>
          <cell r="K1601">
            <v>4976.6862270000001</v>
          </cell>
          <cell r="L1601">
            <v>5117.7255510000005</v>
          </cell>
          <cell r="M1601">
            <v>5267.9525919999996</v>
          </cell>
          <cell r="N1601">
            <v>5426.045419</v>
          </cell>
          <cell r="O1601">
            <v>5610.7226600000004</v>
          </cell>
          <cell r="P1601">
            <v>5811.8204230000001</v>
          </cell>
          <cell r="Q1601">
            <v>6005.7216129999997</v>
          </cell>
          <cell r="R1601">
            <v>6188.5543369999996</v>
          </cell>
          <cell r="S1601">
            <v>6361.4840649999996</v>
          </cell>
          <cell r="T1601">
            <v>6528.0413289999997</v>
          </cell>
          <cell r="U1601">
            <v>6691.3310949999996</v>
          </cell>
          <cell r="V1601">
            <v>6856.9897369999999</v>
          </cell>
          <cell r="W1601">
            <v>7027.0010860000002</v>
          </cell>
          <cell r="X1601">
            <v>7203.465252</v>
          </cell>
          <cell r="Y1601">
            <v>7387.867542</v>
          </cell>
          <cell r="Z1601">
            <v>7580.0697749999999</v>
          </cell>
          <cell r="AA1601">
            <v>7781.8434429999998</v>
          </cell>
          <cell r="AB1601">
            <v>7994.4114749999999</v>
          </cell>
          <cell r="AC1601">
            <v>8218.5230670000001</v>
          </cell>
          <cell r="AD1601">
            <v>8453.9626659999994</v>
          </cell>
          <cell r="AE1601">
            <v>8696.3357379999998</v>
          </cell>
          <cell r="AF1601">
            <v>8944.9859730000007</v>
          </cell>
          <cell r="AG1601">
            <v>9200.7923250000003</v>
          </cell>
          <cell r="AH1601">
            <v>9464.4833589999998</v>
          </cell>
          <cell r="AI1601">
            <v>9735.4028089999993</v>
          </cell>
          <cell r="AJ1601">
            <v>10011.42712</v>
          </cell>
          <cell r="AK1601">
            <v>10289.626190000001</v>
          </cell>
          <cell r="AL1601">
            <v>10566.89991</v>
          </cell>
          <cell r="AM1601">
            <v>10840.266750000001</v>
          </cell>
          <cell r="AN1601">
            <v>11106.55804</v>
          </cell>
          <cell r="AO1601">
            <v>11362.21963</v>
          </cell>
        </row>
        <row r="1604">
          <cell r="F1604">
            <v>234875.91560000001</v>
          </cell>
          <cell r="G1604">
            <v>239167.17610000001</v>
          </cell>
          <cell r="H1604">
            <v>244572.22519999999</v>
          </cell>
          <cell r="I1604">
            <v>250779.04860000001</v>
          </cell>
          <cell r="J1604">
            <v>257667.68599999999</v>
          </cell>
          <cell r="K1604">
            <v>265156.87290000002</v>
          </cell>
          <cell r="L1604">
            <v>273105.04920000001</v>
          </cell>
          <cell r="M1604">
            <v>280653.86700000003</v>
          </cell>
          <cell r="N1604">
            <v>288284.08270000003</v>
          </cell>
          <cell r="O1604">
            <v>297070.81770000001</v>
          </cell>
          <cell r="P1604">
            <v>306623.9191</v>
          </cell>
          <cell r="Q1604">
            <v>316233.5442</v>
          </cell>
          <cell r="R1604">
            <v>325712.35649999999</v>
          </cell>
          <cell r="S1604">
            <v>335125.99200000003</v>
          </cell>
          <cell r="T1604">
            <v>344678.45289999997</v>
          </cell>
          <cell r="U1604">
            <v>354554.76520000002</v>
          </cell>
          <cell r="V1604">
            <v>364814.73940000002</v>
          </cell>
          <cell r="W1604">
            <v>375644.0796</v>
          </cell>
          <cell r="X1604">
            <v>387206.03580000001</v>
          </cell>
          <cell r="Y1604">
            <v>399619.98729999998</v>
          </cell>
          <cell r="Z1604">
            <v>412930.0295</v>
          </cell>
          <cell r="AA1604">
            <v>427259.24320000003</v>
          </cell>
          <cell r="AB1604">
            <v>442712.61249999999</v>
          </cell>
          <cell r="AC1604">
            <v>459381.59980000003</v>
          </cell>
          <cell r="AD1604">
            <v>477327.02419999999</v>
          </cell>
          <cell r="AE1604">
            <v>496431.86859999999</v>
          </cell>
          <cell r="AF1604">
            <v>516812.37819999998</v>
          </cell>
          <cell r="AG1604">
            <v>538537.74159999995</v>
          </cell>
          <cell r="AH1604">
            <v>561692.77379999997</v>
          </cell>
          <cell r="AI1604">
            <v>586329.80330000003</v>
          </cell>
          <cell r="AJ1604">
            <v>612467.96589999995</v>
          </cell>
          <cell r="AK1604">
            <v>640121.56539999996</v>
          </cell>
          <cell r="AL1604">
            <v>669322.35719999997</v>
          </cell>
          <cell r="AM1604">
            <v>700132.58319999999</v>
          </cell>
          <cell r="AN1604">
            <v>732643.51699999999</v>
          </cell>
          <cell r="AO1604">
            <v>766975.47889999999</v>
          </cell>
        </row>
        <row r="1616">
          <cell r="F1616">
            <v>8012.3261389999998</v>
          </cell>
          <cell r="G1616">
            <v>8182.3741120000004</v>
          </cell>
          <cell r="H1616">
            <v>8389.0211390000004</v>
          </cell>
          <cell r="I1616">
            <v>8615.7071269999997</v>
          </cell>
          <cell r="J1616">
            <v>8857.5838349999995</v>
          </cell>
          <cell r="K1616">
            <v>9113.8315060000004</v>
          </cell>
          <cell r="L1616">
            <v>9380.4875549999997</v>
          </cell>
          <cell r="M1616">
            <v>9628.3591319999996</v>
          </cell>
          <cell r="N1616">
            <v>9885.4603950000001</v>
          </cell>
          <cell r="O1616">
            <v>10211.94688</v>
          </cell>
          <cell r="P1616">
            <v>10574.50009</v>
          </cell>
          <cell r="Q1616">
            <v>10920.95724</v>
          </cell>
          <cell r="R1616">
            <v>11236.0254</v>
          </cell>
          <cell r="S1616">
            <v>11521.14018</v>
          </cell>
          <cell r="T1616">
            <v>11786.83906</v>
          </cell>
          <cell r="U1616">
            <v>12042.22301</v>
          </cell>
          <cell r="V1616">
            <v>12298.17578</v>
          </cell>
          <cell r="W1616">
            <v>12564.047710000001</v>
          </cell>
          <cell r="X1616">
            <v>12848.00215</v>
          </cell>
          <cell r="Y1616">
            <v>13155.01123</v>
          </cell>
          <cell r="Z1616">
            <v>13487.042149999999</v>
          </cell>
          <cell r="AA1616">
            <v>13849.110559999999</v>
          </cell>
          <cell r="AB1616">
            <v>14245.409149999999</v>
          </cell>
          <cell r="AC1616">
            <v>14677.6448</v>
          </cell>
          <cell r="AD1616">
            <v>15144.535819999999</v>
          </cell>
          <cell r="AE1616">
            <v>15639.367099999999</v>
          </cell>
          <cell r="AF1616">
            <v>16167.22229</v>
          </cell>
          <cell r="AG1616">
            <v>16735.554540000001</v>
          </cell>
          <cell r="AH1616">
            <v>17347.57949</v>
          </cell>
          <cell r="AI1616">
            <v>18000.1057</v>
          </cell>
          <cell r="AJ1616">
            <v>18686.079730000001</v>
          </cell>
          <cell r="AK1616">
            <v>19400.245029999998</v>
          </cell>
          <cell r="AL1616">
            <v>20140.509760000001</v>
          </cell>
          <cell r="AM1616">
            <v>20904.310229999999</v>
          </cell>
          <cell r="AN1616">
            <v>21688.138749999998</v>
          </cell>
          <cell r="AO1616">
            <v>22487.735240000002</v>
          </cell>
        </row>
        <row r="1621">
          <cell r="F1621">
            <v>219508.55739999999</v>
          </cell>
          <cell r="G1621">
            <v>223116.7781</v>
          </cell>
          <cell r="H1621">
            <v>227553.2697</v>
          </cell>
          <cell r="I1621">
            <v>232616.18590000001</v>
          </cell>
          <cell r="J1621">
            <v>238237.49179999999</v>
          </cell>
          <cell r="K1621">
            <v>244321.37729999999</v>
          </cell>
          <cell r="L1621">
            <v>250664.7169</v>
          </cell>
          <cell r="M1621">
            <v>256595.93160000001</v>
          </cell>
          <cell r="N1621">
            <v>262540.74060000002</v>
          </cell>
          <cell r="O1621">
            <v>269232.19650000002</v>
          </cell>
          <cell r="P1621">
            <v>276491.90919999999</v>
          </cell>
          <cell r="Q1621">
            <v>283697.95480000001</v>
          </cell>
          <cell r="R1621">
            <v>290672.61780000001</v>
          </cell>
          <cell r="S1621">
            <v>297410.31079999998</v>
          </cell>
          <cell r="T1621">
            <v>304002.40100000001</v>
          </cell>
          <cell r="U1621">
            <v>310544.44660000002</v>
          </cell>
          <cell r="V1621">
            <v>317099.8836</v>
          </cell>
          <cell r="W1621">
            <v>323795.2879</v>
          </cell>
          <cell r="X1621">
            <v>330739.913</v>
          </cell>
          <cell r="Y1621">
            <v>338010.89360000001</v>
          </cell>
          <cell r="Z1621">
            <v>345574.39120000001</v>
          </cell>
          <cell r="AA1621">
            <v>353587.8027</v>
          </cell>
          <cell r="AB1621">
            <v>362097.0209</v>
          </cell>
          <cell r="AC1621">
            <v>371146.53470000002</v>
          </cell>
          <cell r="AD1621">
            <v>380758.28840000002</v>
          </cell>
          <cell r="AE1621">
            <v>390665.82860000001</v>
          </cell>
          <cell r="AF1621">
            <v>401077.84240000002</v>
          </cell>
          <cell r="AG1621">
            <v>412019.7035</v>
          </cell>
          <cell r="AH1621">
            <v>423538.70520000003</v>
          </cell>
          <cell r="AI1621">
            <v>435658.25420000002</v>
          </cell>
          <cell r="AJ1621">
            <v>448362.60729999997</v>
          </cell>
          <cell r="AK1621">
            <v>461609.43540000002</v>
          </cell>
          <cell r="AL1621">
            <v>475350.8688</v>
          </cell>
          <cell r="AM1621">
            <v>489550.21779999998</v>
          </cell>
          <cell r="AN1621">
            <v>504173.73950000003</v>
          </cell>
          <cell r="AO1621">
            <v>519184.96899999998</v>
          </cell>
        </row>
        <row r="1624">
          <cell r="F1624">
            <v>2246.653448</v>
          </cell>
          <cell r="G1624">
            <v>2266.7999749999999</v>
          </cell>
          <cell r="H1624">
            <v>2286.6528029999999</v>
          </cell>
          <cell r="I1624">
            <v>2307.3812379999999</v>
          </cell>
          <cell r="J1624">
            <v>2333.3932199999999</v>
          </cell>
          <cell r="K1624">
            <v>2365.682374</v>
          </cell>
          <cell r="L1624">
            <v>2402.345679</v>
          </cell>
          <cell r="M1624">
            <v>2427.0174590000001</v>
          </cell>
          <cell r="N1624">
            <v>2448.103865</v>
          </cell>
          <cell r="O1624">
            <v>2476.1024520000001</v>
          </cell>
          <cell r="P1624">
            <v>2508.3855659999999</v>
          </cell>
          <cell r="Q1624">
            <v>2541.4640840000002</v>
          </cell>
          <cell r="R1624">
            <v>2574.4563170000001</v>
          </cell>
          <cell r="S1624">
            <v>2607.9507880000001</v>
          </cell>
          <cell r="T1624">
            <v>2643.343327</v>
          </cell>
          <cell r="U1624">
            <v>2681.7267040000002</v>
          </cell>
          <cell r="V1624">
            <v>2721.8431479999999</v>
          </cell>
          <cell r="W1624">
            <v>2765.3863799999999</v>
          </cell>
          <cell r="X1624">
            <v>2813.5842769999999</v>
          </cell>
          <cell r="Y1624">
            <v>2867.2266089999998</v>
          </cell>
          <cell r="Z1624">
            <v>2926.698038</v>
          </cell>
          <cell r="AA1624">
            <v>2992.7256309999998</v>
          </cell>
          <cell r="AB1624">
            <v>3065.9614769999998</v>
          </cell>
          <cell r="AC1624">
            <v>3146.917637</v>
          </cell>
          <cell r="AD1624">
            <v>3235.9361880000001</v>
          </cell>
          <cell r="AE1624">
            <v>3332.7310910000001</v>
          </cell>
          <cell r="AF1624">
            <v>3438.6415189999998</v>
          </cell>
          <cell r="AG1624">
            <v>3554.4731830000001</v>
          </cell>
          <cell r="AH1624">
            <v>3681.0795170000001</v>
          </cell>
          <cell r="AI1624">
            <v>3818.9616169999999</v>
          </cell>
          <cell r="AJ1624">
            <v>3968.3928219999998</v>
          </cell>
          <cell r="AK1624">
            <v>4129.843922</v>
          </cell>
          <cell r="AL1624">
            <v>4304.2242059999999</v>
          </cell>
          <cell r="AM1624">
            <v>4492.8830150000003</v>
          </cell>
          <cell r="AN1624">
            <v>4697.7950559999999</v>
          </cell>
          <cell r="AO1624">
            <v>4921.970969</v>
          </cell>
        </row>
        <row r="1629">
          <cell r="F1629">
            <v>3650.1624750000001</v>
          </cell>
          <cell r="G1629">
            <v>3703.858745</v>
          </cell>
          <cell r="H1629">
            <v>3760.063036</v>
          </cell>
          <cell r="I1629">
            <v>3821.1244190000002</v>
          </cell>
          <cell r="J1629">
            <v>3881.3011879999999</v>
          </cell>
          <cell r="K1629">
            <v>3942.2400739999998</v>
          </cell>
          <cell r="L1629">
            <v>4005.692153</v>
          </cell>
          <cell r="M1629">
            <v>4149.2859509999998</v>
          </cell>
          <cell r="N1629">
            <v>4339.8780260000003</v>
          </cell>
          <cell r="O1629">
            <v>4571.4235550000003</v>
          </cell>
          <cell r="P1629">
            <v>4832.428242</v>
          </cell>
          <cell r="Q1629">
            <v>5100.4231890000001</v>
          </cell>
          <cell r="R1629">
            <v>5372.410723</v>
          </cell>
          <cell r="S1629">
            <v>5652.2097190000004</v>
          </cell>
          <cell r="T1629">
            <v>5946.0050689999998</v>
          </cell>
          <cell r="U1629">
            <v>6259.5680599999996</v>
          </cell>
          <cell r="V1629">
            <v>6598.6393470000003</v>
          </cell>
          <cell r="W1629">
            <v>6969.811205</v>
          </cell>
          <cell r="X1629">
            <v>7378.4535539999997</v>
          </cell>
          <cell r="Y1629">
            <v>7830.1960609999996</v>
          </cell>
          <cell r="Z1629">
            <v>8330.3338999999996</v>
          </cell>
          <cell r="AA1629">
            <v>8888.1972229999992</v>
          </cell>
          <cell r="AB1629">
            <v>9513.7279930000004</v>
          </cell>
          <cell r="AC1629">
            <v>10217.71665</v>
          </cell>
          <cell r="AD1629">
            <v>11012.030710000001</v>
          </cell>
          <cell r="AE1629">
            <v>11905.52614</v>
          </cell>
          <cell r="AF1629">
            <v>12919.64055</v>
          </cell>
          <cell r="AG1629">
            <v>14077.065189999999</v>
          </cell>
          <cell r="AH1629">
            <v>15403.44635</v>
          </cell>
          <cell r="AI1629">
            <v>16926.830480000001</v>
          </cell>
          <cell r="AJ1629">
            <v>18679.011170000002</v>
          </cell>
          <cell r="AK1629">
            <v>20699.21587</v>
          </cell>
          <cell r="AL1629">
            <v>23037.775379999999</v>
          </cell>
          <cell r="AM1629">
            <v>25758.71545</v>
          </cell>
          <cell r="AN1629">
            <v>28944.562109999999</v>
          </cell>
          <cell r="AO1629">
            <v>32703.753550000001</v>
          </cell>
        </row>
        <row r="1639">
          <cell r="F1639">
            <v>472737.799</v>
          </cell>
          <cell r="G1639">
            <v>480955.98100000003</v>
          </cell>
          <cell r="H1639">
            <v>491172.66450000001</v>
          </cell>
          <cell r="I1639">
            <v>502861.18800000002</v>
          </cell>
          <cell r="J1639">
            <v>515821.41310000001</v>
          </cell>
          <cell r="K1639">
            <v>529876.69030000002</v>
          </cell>
          <cell r="L1639">
            <v>544676.01690000005</v>
          </cell>
          <cell r="M1639">
            <v>560102.46479999996</v>
          </cell>
          <cell r="N1639">
            <v>576153.02850000001</v>
          </cell>
          <cell r="O1639">
            <v>592875.74800000002</v>
          </cell>
          <cell r="P1639">
            <v>610228.99040000001</v>
          </cell>
          <cell r="Q1639">
            <v>627102.92169999995</v>
          </cell>
          <cell r="R1639">
            <v>643371.72530000005</v>
          </cell>
          <cell r="S1639">
            <v>659157.01289999997</v>
          </cell>
          <cell r="T1639">
            <v>674682.83470000001</v>
          </cell>
          <cell r="U1639">
            <v>690193.88670000003</v>
          </cell>
          <cell r="V1639">
            <v>706101.25</v>
          </cell>
          <cell r="W1639">
            <v>722746.53780000005</v>
          </cell>
          <cell r="X1639">
            <v>740361.11219999997</v>
          </cell>
          <cell r="Y1639">
            <v>759070.07990000001</v>
          </cell>
          <cell r="Z1639">
            <v>778805.40449999995</v>
          </cell>
          <cell r="AA1639">
            <v>799788.48670000001</v>
          </cell>
          <cell r="AB1639">
            <v>822114.34299999999</v>
          </cell>
          <cell r="AC1639">
            <v>845850.01670000004</v>
          </cell>
          <cell r="AD1639">
            <v>871000.49809999997</v>
          </cell>
          <cell r="AE1639">
            <v>897107.93709999998</v>
          </cell>
          <cell r="AF1639">
            <v>924434.54879999999</v>
          </cell>
          <cell r="AG1639">
            <v>953085.54850000003</v>
          </cell>
          <cell r="AH1639">
            <v>983145.46470000001</v>
          </cell>
          <cell r="AI1639">
            <v>1014605.395</v>
          </cell>
          <cell r="AJ1639">
            <v>1047366.051</v>
          </cell>
          <cell r="AK1639">
            <v>1081306.6459999999</v>
          </cell>
          <cell r="AL1639">
            <v>1116317.8230000001</v>
          </cell>
          <cell r="AM1639">
            <v>1152292.446</v>
          </cell>
          <cell r="AN1639">
            <v>1189114.581</v>
          </cell>
          <cell r="AO1639">
            <v>1226651.4129999999</v>
          </cell>
        </row>
        <row r="1640">
          <cell r="F1640">
            <v>4444.1839890000001</v>
          </cell>
          <cell r="G1640">
            <v>4518.993923</v>
          </cell>
          <cell r="H1640">
            <v>4611.4327409999996</v>
          </cell>
          <cell r="I1640">
            <v>4721.7407750000002</v>
          </cell>
          <cell r="J1640">
            <v>4843.9571539999997</v>
          </cell>
          <cell r="K1640">
            <v>4976.6862259999998</v>
          </cell>
          <cell r="L1640">
            <v>5117.7255500000001</v>
          </cell>
          <cell r="M1640">
            <v>5265.9805729999998</v>
          </cell>
          <cell r="N1640">
            <v>5420.6799140000003</v>
          </cell>
          <cell r="O1640">
            <v>5581.5673210000004</v>
          </cell>
          <cell r="P1640">
            <v>5746.5874960000001</v>
          </cell>
          <cell r="Q1640">
            <v>5903.2416620000004</v>
          </cell>
          <cell r="R1640">
            <v>6049.7345859999996</v>
          </cell>
          <cell r="S1640">
            <v>6187.2266689999997</v>
          </cell>
          <cell r="T1640">
            <v>6318.1309080000001</v>
          </cell>
          <cell r="U1640">
            <v>6445.2497919999996</v>
          </cell>
          <cell r="V1640">
            <v>6571.8877080000002</v>
          </cell>
          <cell r="W1640">
            <v>6701.7122529999997</v>
          </cell>
          <cell r="X1640">
            <v>6837.5601559999996</v>
          </cell>
          <cell r="Y1640">
            <v>6981.2233489999999</v>
          </cell>
          <cell r="Z1640">
            <v>7132.8907639999998</v>
          </cell>
          <cell r="AA1640">
            <v>7294.6703109999999</v>
          </cell>
          <cell r="AB1640">
            <v>7468.1797800000004</v>
          </cell>
          <cell r="AC1640">
            <v>7654.4614970000002</v>
          </cell>
          <cell r="AD1640">
            <v>7853.6957759999996</v>
          </cell>
          <cell r="AE1640">
            <v>8062.452706</v>
          </cell>
          <cell r="AF1640">
            <v>8282.2303900000006</v>
          </cell>
          <cell r="AG1640">
            <v>8514.5995870000006</v>
          </cell>
          <cell r="AH1640">
            <v>8760.6333809999996</v>
          </cell>
          <cell r="AI1640">
            <v>9020.098215</v>
          </cell>
          <cell r="AJ1640">
            <v>9291.5637360000001</v>
          </cell>
          <cell r="AK1640">
            <v>9573.2795900000001</v>
          </cell>
          <cell r="AL1640">
            <v>9863.5770140000004</v>
          </cell>
          <cell r="AM1640">
            <v>10160.782219999999</v>
          </cell>
          <cell r="AN1640">
            <v>10463.133809999999</v>
          </cell>
          <cell r="AO1640">
            <v>10768.740750000001</v>
          </cell>
        </row>
        <row r="1643">
          <cell r="F1643">
            <v>234875.91560000001</v>
          </cell>
          <cell r="G1643">
            <v>239167.17610000001</v>
          </cell>
          <cell r="H1643">
            <v>244572.22519999999</v>
          </cell>
          <cell r="I1643">
            <v>250779.04860000001</v>
          </cell>
          <cell r="J1643">
            <v>257667.68590000001</v>
          </cell>
          <cell r="K1643">
            <v>265156.87290000002</v>
          </cell>
          <cell r="L1643">
            <v>273105.0491</v>
          </cell>
          <cell r="M1643">
            <v>281450.82160000002</v>
          </cell>
          <cell r="N1643">
            <v>290198.15470000001</v>
          </cell>
          <cell r="O1643">
            <v>299382.25290000002</v>
          </cell>
          <cell r="P1643">
            <v>308950.6593</v>
          </cell>
          <cell r="Q1643">
            <v>318356.05680000002</v>
          </cell>
          <cell r="R1643">
            <v>327536.14880000002</v>
          </cell>
          <cell r="S1643">
            <v>336567.05180000002</v>
          </cell>
          <cell r="T1643">
            <v>345581.8799</v>
          </cell>
          <cell r="U1643">
            <v>354720.17940000002</v>
          </cell>
          <cell r="V1643">
            <v>364192.5919</v>
          </cell>
          <cell r="W1643">
            <v>374184.58519999997</v>
          </cell>
          <cell r="X1643">
            <v>384824.31890000001</v>
          </cell>
          <cell r="Y1643">
            <v>396180.51809999999</v>
          </cell>
          <cell r="Z1643">
            <v>408242.21279999998</v>
          </cell>
          <cell r="AA1643">
            <v>421079.97389999998</v>
          </cell>
          <cell r="AB1643">
            <v>434747.83740000002</v>
          </cell>
          <cell r="AC1643">
            <v>449280.1347</v>
          </cell>
          <cell r="AD1643">
            <v>464674.88860000001</v>
          </cell>
          <cell r="AE1643">
            <v>480757.3297</v>
          </cell>
          <cell r="AF1643">
            <v>497568.89449999999</v>
          </cell>
          <cell r="AG1643">
            <v>515160.36839999998</v>
          </cell>
          <cell r="AH1643">
            <v>533570.58589999995</v>
          </cell>
          <cell r="AI1643">
            <v>552785.25820000004</v>
          </cell>
          <cell r="AJ1643">
            <v>572743.70920000004</v>
          </cell>
          <cell r="AK1643">
            <v>593378.72089999996</v>
          </cell>
          <cell r="AL1643">
            <v>614634.3395</v>
          </cell>
          <cell r="AM1643">
            <v>636459.21070000005</v>
          </cell>
          <cell r="AN1643">
            <v>658798.77910000004</v>
          </cell>
          <cell r="AO1643">
            <v>681589.31200000003</v>
          </cell>
        </row>
        <row r="1655">
          <cell r="F1655">
            <v>8012.3261389999998</v>
          </cell>
          <cell r="G1655">
            <v>8182.3741129999999</v>
          </cell>
          <cell r="H1655">
            <v>8389.0211390000004</v>
          </cell>
          <cell r="I1655">
            <v>8615.707128</v>
          </cell>
          <cell r="J1655">
            <v>8857.5838370000001</v>
          </cell>
          <cell r="K1655">
            <v>9113.8315079999993</v>
          </cell>
          <cell r="L1655">
            <v>9380.4875570000004</v>
          </cell>
          <cell r="M1655">
            <v>9655.6865890000008</v>
          </cell>
          <cell r="N1655">
            <v>9938.5631300000005</v>
          </cell>
          <cell r="O1655">
            <v>10229.12355</v>
          </cell>
          <cell r="P1655">
            <v>10520.05796</v>
          </cell>
          <cell r="Q1655">
            <v>10778.796039999999</v>
          </cell>
          <cell r="R1655">
            <v>11006.55521</v>
          </cell>
          <cell r="S1655">
            <v>11210.919519999999</v>
          </cell>
          <cell r="T1655">
            <v>11401.38947</v>
          </cell>
          <cell r="U1655">
            <v>11586.84663</v>
          </cell>
          <cell r="V1655">
            <v>11777.49899</v>
          </cell>
          <cell r="W1655">
            <v>11981.755069999999</v>
          </cell>
          <cell r="X1655">
            <v>12205.56331</v>
          </cell>
          <cell r="Y1655">
            <v>12452.068219999999</v>
          </cell>
          <cell r="Z1655">
            <v>12721.869989999999</v>
          </cell>
          <cell r="AA1655">
            <v>13018.17986</v>
          </cell>
          <cell r="AB1655">
            <v>13343.36742</v>
          </cell>
          <cell r="AC1655">
            <v>13698.822609999999</v>
          </cell>
          <cell r="AD1655">
            <v>14084.12991</v>
          </cell>
          <cell r="AE1655">
            <v>14494.09577</v>
          </cell>
          <cell r="AF1655">
            <v>14931.47766</v>
          </cell>
          <cell r="AG1655">
            <v>15398.56503</v>
          </cell>
          <cell r="AH1655">
            <v>15896.348620000001</v>
          </cell>
          <cell r="AI1655">
            <v>16421.911680000001</v>
          </cell>
          <cell r="AJ1655">
            <v>16969.67296</v>
          </cell>
          <cell r="AK1655">
            <v>17534.213530000001</v>
          </cell>
          <cell r="AL1655">
            <v>18111.27058</v>
          </cell>
          <cell r="AM1655">
            <v>18697.22438</v>
          </cell>
          <cell r="AN1655">
            <v>19288.665929999999</v>
          </cell>
          <cell r="AO1655">
            <v>19882.145670000002</v>
          </cell>
        </row>
        <row r="1660">
          <cell r="F1660">
            <v>219508.55739999999</v>
          </cell>
          <cell r="G1660">
            <v>223116.7781</v>
          </cell>
          <cell r="H1660">
            <v>227553.2697</v>
          </cell>
          <cell r="I1660">
            <v>232616.18580000001</v>
          </cell>
          <cell r="J1660">
            <v>238237.49179999999</v>
          </cell>
          <cell r="K1660">
            <v>244321.37729999999</v>
          </cell>
          <cell r="L1660">
            <v>250664.71679999999</v>
          </cell>
          <cell r="M1660">
            <v>257216.12460000001</v>
          </cell>
          <cell r="N1660">
            <v>263971.95409999997</v>
          </cell>
          <cell r="O1660">
            <v>270946.46779999998</v>
          </cell>
          <cell r="P1660">
            <v>278162.1165</v>
          </cell>
          <cell r="Q1660">
            <v>285114.38809999998</v>
          </cell>
          <cell r="R1660">
            <v>291742.87670000002</v>
          </cell>
          <cell r="S1660">
            <v>298083.11379999999</v>
          </cell>
          <cell r="T1660">
            <v>304211.14130000002</v>
          </cell>
          <cell r="U1660">
            <v>310216.87530000001</v>
          </cell>
          <cell r="V1660">
            <v>316283.22899999999</v>
          </cell>
          <cell r="W1660">
            <v>322549.6765</v>
          </cell>
          <cell r="X1660">
            <v>329106.6777</v>
          </cell>
          <cell r="Y1660">
            <v>336002.97830000002</v>
          </cell>
          <cell r="Z1660">
            <v>343179.78399999999</v>
          </cell>
          <cell r="AA1660">
            <v>350779.84830000001</v>
          </cell>
          <cell r="AB1660">
            <v>358838.41210000002</v>
          </cell>
          <cell r="AC1660">
            <v>367384.50459999999</v>
          </cell>
          <cell r="AD1660">
            <v>376424.614</v>
          </cell>
          <cell r="AE1660">
            <v>385686.74329999997</v>
          </cell>
          <cell r="AF1660">
            <v>395384.94059999997</v>
          </cell>
          <cell r="AG1660">
            <v>405568.34100000001</v>
          </cell>
          <cell r="AH1660">
            <v>416279.93479999999</v>
          </cell>
          <cell r="AI1660">
            <v>427529.19900000002</v>
          </cell>
          <cell r="AJ1660">
            <v>439286.7023</v>
          </cell>
          <cell r="AK1660">
            <v>451508.55829999998</v>
          </cell>
          <cell r="AL1660">
            <v>464149.7096</v>
          </cell>
          <cell r="AM1660">
            <v>477162.0036</v>
          </cell>
          <cell r="AN1660">
            <v>490491.56319999998</v>
          </cell>
          <cell r="AO1660">
            <v>504077.02409999998</v>
          </cell>
        </row>
        <row r="1663">
          <cell r="F1663">
            <v>2246.6534470000001</v>
          </cell>
          <cell r="G1663">
            <v>2266.7999730000001</v>
          </cell>
          <cell r="H1663">
            <v>2286.6528010000002</v>
          </cell>
          <cell r="I1663">
            <v>2307.3812370000001</v>
          </cell>
          <cell r="J1663">
            <v>2333.393219</v>
          </cell>
          <cell r="K1663">
            <v>2365.6823730000001</v>
          </cell>
          <cell r="L1663">
            <v>2402.3456780000001</v>
          </cell>
          <cell r="M1663">
            <v>2441.4988149999999</v>
          </cell>
          <cell r="N1663">
            <v>2482.1345999999999</v>
          </cell>
          <cell r="O1663">
            <v>2523.810383</v>
          </cell>
          <cell r="P1663">
            <v>2565.5097190000001</v>
          </cell>
          <cell r="Q1663">
            <v>2602.800549</v>
          </cell>
          <cell r="R1663">
            <v>2635.0246029999998</v>
          </cell>
          <cell r="S1663">
            <v>2662.7331370000002</v>
          </cell>
          <cell r="T1663">
            <v>2686.955324</v>
          </cell>
          <cell r="U1663">
            <v>2708.8068109999999</v>
          </cell>
          <cell r="V1663">
            <v>2730.4966359999999</v>
          </cell>
          <cell r="W1663">
            <v>2753.811831</v>
          </cell>
          <cell r="X1663">
            <v>2779.9115750000001</v>
          </cell>
          <cell r="Y1663">
            <v>2809.3954560000002</v>
          </cell>
          <cell r="Z1663">
            <v>2842.4012910000001</v>
          </cell>
          <cell r="AA1663">
            <v>2879.414119</v>
          </cell>
          <cell r="AB1663">
            <v>2920.8421990000002</v>
          </cell>
          <cell r="AC1663">
            <v>2967.0180249999999</v>
          </cell>
          <cell r="AD1663">
            <v>3018.1121469999998</v>
          </cell>
          <cell r="AE1663">
            <v>3073.6417040000001</v>
          </cell>
          <cell r="AF1663">
            <v>3134.138273</v>
          </cell>
          <cell r="AG1663">
            <v>3200.11123</v>
          </cell>
          <cell r="AH1663">
            <v>3271.8819210000001</v>
          </cell>
          <cell r="AI1663">
            <v>3349.2415179999998</v>
          </cell>
          <cell r="AJ1663">
            <v>3431.558751</v>
          </cell>
          <cell r="AK1663">
            <v>3518.0964840000001</v>
          </cell>
          <cell r="AL1663">
            <v>3608.151406</v>
          </cell>
          <cell r="AM1663">
            <v>3701.0265089999998</v>
          </cell>
          <cell r="AN1663">
            <v>3795.9929590000002</v>
          </cell>
          <cell r="AO1663">
            <v>3892.2653180000002</v>
          </cell>
        </row>
        <row r="1668">
          <cell r="F1668">
            <v>3650.1624750000001</v>
          </cell>
          <cell r="G1668">
            <v>3703.8587440000001</v>
          </cell>
          <cell r="H1668">
            <v>3760.0630350000001</v>
          </cell>
          <cell r="I1668">
            <v>3821.1244190000002</v>
          </cell>
          <cell r="J1668">
            <v>3881.3011879999999</v>
          </cell>
          <cell r="K1668">
            <v>3942.2400729999999</v>
          </cell>
          <cell r="L1668">
            <v>4005.692153</v>
          </cell>
          <cell r="M1668">
            <v>4072.3525989999998</v>
          </cell>
          <cell r="N1668">
            <v>4141.5419879999999</v>
          </cell>
          <cell r="O1668">
            <v>4212.5260090000002</v>
          </cell>
          <cell r="P1668">
            <v>4284.0594380000002</v>
          </cell>
          <cell r="Q1668">
            <v>4347.6385899999996</v>
          </cell>
          <cell r="R1668">
            <v>4401.3853790000003</v>
          </cell>
          <cell r="S1668">
            <v>4445.9679470000001</v>
          </cell>
          <cell r="T1668">
            <v>4483.3377909999999</v>
          </cell>
          <cell r="U1668">
            <v>4515.92875</v>
          </cell>
          <cell r="V1668">
            <v>4545.5457720000004</v>
          </cell>
          <cell r="W1668">
            <v>4574.99694</v>
          </cell>
          <cell r="X1668">
            <v>4607.0805110000001</v>
          </cell>
          <cell r="Y1668">
            <v>4643.8964900000001</v>
          </cell>
          <cell r="Z1668">
            <v>4686.2457549999999</v>
          </cell>
          <cell r="AA1668">
            <v>4736.400181</v>
          </cell>
          <cell r="AB1668">
            <v>4795.7040989999996</v>
          </cell>
          <cell r="AC1668">
            <v>4865.0751540000001</v>
          </cell>
          <cell r="AD1668">
            <v>4945.0575559999997</v>
          </cell>
          <cell r="AE1668">
            <v>5033.673941</v>
          </cell>
          <cell r="AF1668">
            <v>5132.867373</v>
          </cell>
          <cell r="AG1668">
            <v>5243.563204</v>
          </cell>
          <cell r="AH1668">
            <v>5366.080046</v>
          </cell>
          <cell r="AI1668">
            <v>5499.6860070000002</v>
          </cell>
          <cell r="AJ1668">
            <v>5642.8440689999998</v>
          </cell>
          <cell r="AK1668">
            <v>5793.7774719999998</v>
          </cell>
          <cell r="AL1668">
            <v>5950.7749739999999</v>
          </cell>
          <cell r="AM1668">
            <v>6112.1986150000002</v>
          </cell>
          <cell r="AN1668">
            <v>6276.4455429999998</v>
          </cell>
          <cell r="AO1668">
            <v>6441.924841</v>
          </cell>
        </row>
        <row r="1702">
          <cell r="F1702">
            <v>1202789.014</v>
          </cell>
          <cell r="G1702">
            <v>1221917.1100000001</v>
          </cell>
          <cell r="H1702">
            <v>1245829.2919999999</v>
          </cell>
          <cell r="I1702">
            <v>1273704.7819999999</v>
          </cell>
          <cell r="J1702">
            <v>1304387.318</v>
          </cell>
          <cell r="K1702">
            <v>1337354.892</v>
          </cell>
          <cell r="L1702">
            <v>1370805.483</v>
          </cell>
          <cell r="M1702">
            <v>1404084.031</v>
          </cell>
          <cell r="N1702">
            <v>1437355.834</v>
          </cell>
          <cell r="O1702">
            <v>1473401.487</v>
          </cell>
          <cell r="P1702">
            <v>1513245.841</v>
          </cell>
          <cell r="Q1702">
            <v>1553851.8489999999</v>
          </cell>
          <cell r="R1702">
            <v>1593966.456</v>
          </cell>
          <cell r="S1702">
            <v>1632164.0730000001</v>
          </cell>
          <cell r="T1702">
            <v>1667689.2069999999</v>
          </cell>
          <cell r="U1702">
            <v>1700436.6310000001</v>
          </cell>
          <cell r="V1702">
            <v>1731441.4169999999</v>
          </cell>
          <cell r="W1702">
            <v>1761033.4709999999</v>
          </cell>
          <cell r="X1702">
            <v>1789800.9129999999</v>
          </cell>
          <cell r="Y1702">
            <v>1818290.878</v>
          </cell>
          <cell r="Z1702">
            <v>1846314.3160000001</v>
          </cell>
          <cell r="AA1702">
            <v>1875202.0209999999</v>
          </cell>
          <cell r="AB1702">
            <v>1905332.4879999999</v>
          </cell>
          <cell r="AC1702">
            <v>1937180.814</v>
          </cell>
          <cell r="AD1702">
            <v>1971094.3489999999</v>
          </cell>
          <cell r="AE1702">
            <v>2005375.922</v>
          </cell>
          <cell r="AF1702">
            <v>2041779.625</v>
          </cell>
          <cell r="AG1702">
            <v>2080533.3370000001</v>
          </cell>
          <cell r="AH1702">
            <v>2122209.895</v>
          </cell>
          <cell r="AI1702">
            <v>2167305.8139999998</v>
          </cell>
          <cell r="AJ1702">
            <v>2215989.8859999999</v>
          </cell>
          <cell r="AK1702">
            <v>2268067.0550000002</v>
          </cell>
          <cell r="AL1702">
            <v>2323165.5449999999</v>
          </cell>
          <cell r="AM1702">
            <v>2380951.1</v>
          </cell>
          <cell r="AN1702">
            <v>2441050.2400000002</v>
          </cell>
          <cell r="AO1702">
            <v>2503014.4249999998</v>
          </cell>
        </row>
        <row r="1731">
          <cell r="F1731">
            <v>1202789.014</v>
          </cell>
          <cell r="G1731">
            <v>1221917.1100000001</v>
          </cell>
          <cell r="H1731">
            <v>1245829.2919999999</v>
          </cell>
          <cell r="I1731">
            <v>1273704.781</v>
          </cell>
          <cell r="J1731">
            <v>1304387.317</v>
          </cell>
          <cell r="K1731">
            <v>1337354.892</v>
          </cell>
          <cell r="L1731">
            <v>1370805.483</v>
          </cell>
          <cell r="M1731">
            <v>1404691.193</v>
          </cell>
          <cell r="N1731">
            <v>1439167.4010000001</v>
          </cell>
          <cell r="O1731">
            <v>1474400.1540000001</v>
          </cell>
          <cell r="P1731">
            <v>1511003.273</v>
          </cell>
          <cell r="Q1731">
            <v>1546561.855</v>
          </cell>
          <cell r="R1731">
            <v>1580195.321</v>
          </cell>
          <cell r="S1731">
            <v>1611336.487</v>
          </cell>
          <cell r="T1731">
            <v>1639789.5819999999</v>
          </cell>
          <cell r="U1731">
            <v>1665729.977</v>
          </cell>
          <cell r="V1731">
            <v>1690529.095</v>
          </cell>
          <cell r="W1731">
            <v>1714806.2290000001</v>
          </cell>
          <cell r="X1731">
            <v>1738974.0360000001</v>
          </cell>
          <cell r="Y1731">
            <v>1763405.737</v>
          </cell>
          <cell r="Z1731">
            <v>1787834.9790000001</v>
          </cell>
          <cell r="AA1731">
            <v>1813600.6170000001</v>
          </cell>
          <cell r="AB1731">
            <v>1841087.872</v>
          </cell>
          <cell r="AC1731">
            <v>1870703.7690000001</v>
          </cell>
          <cell r="AD1731">
            <v>1902734.101</v>
          </cell>
          <cell r="AE1731">
            <v>1935502.871</v>
          </cell>
          <cell r="AF1731">
            <v>1970880.81</v>
          </cell>
          <cell r="AG1731">
            <v>2009201.5549999999</v>
          </cell>
          <cell r="AH1731">
            <v>2050858.122</v>
          </cell>
          <cell r="AI1731">
            <v>2096160.497</v>
          </cell>
          <cell r="AJ1731">
            <v>2145151.1690000002</v>
          </cell>
          <cell r="AK1731">
            <v>2197629.4279999998</v>
          </cell>
          <cell r="AL1731">
            <v>2253227.6129999999</v>
          </cell>
          <cell r="AM1731">
            <v>2311466.5440000002</v>
          </cell>
          <cell r="AN1731">
            <v>2371793.7310000001</v>
          </cell>
          <cell r="AO1731">
            <v>2433604.86</v>
          </cell>
        </row>
        <row r="1760">
          <cell r="F1760">
            <v>1.0019287059999999</v>
          </cell>
          <cell r="G1760">
            <v>1.0214958780000001</v>
          </cell>
          <cell r="H1760">
            <v>1.0418904229999999</v>
          </cell>
          <cell r="I1760">
            <v>1.0642342499999999</v>
          </cell>
          <cell r="J1760">
            <v>1.085990158</v>
          </cell>
          <cell r="K1760">
            <v>1.108715157</v>
          </cell>
          <cell r="L1760">
            <v>1.1335140379999999</v>
          </cell>
          <cell r="M1760">
            <v>1.170588806</v>
          </cell>
          <cell r="N1760">
            <v>1.2083339740000001</v>
          </cell>
          <cell r="O1760">
            <v>1.2494698820000001</v>
          </cell>
          <cell r="P1760">
            <v>1.2939611790000001</v>
          </cell>
          <cell r="Q1760">
            <v>1.3373758600000001</v>
          </cell>
          <cell r="R1760">
            <v>1.3802170949999999</v>
          </cell>
          <cell r="S1760">
            <v>1.421761429</v>
          </cell>
          <cell r="T1760">
            <v>1.461458156</v>
          </cell>
          <cell r="U1760">
            <v>1.4988894500000001</v>
          </cell>
          <cell r="V1760">
            <v>1.534674635</v>
          </cell>
          <cell r="W1760">
            <v>1.567899723</v>
          </cell>
          <cell r="X1760">
            <v>1.598456149</v>
          </cell>
          <cell r="Y1760">
            <v>1.6264841560000001</v>
          </cell>
          <cell r="Z1760">
            <v>1.652298812</v>
          </cell>
          <cell r="AA1760">
            <v>1.6762766389999999</v>
          </cell>
          <cell r="AB1760">
            <v>1.698867557</v>
          </cell>
          <cell r="AC1760">
            <v>1.7204831009999999</v>
          </cell>
          <cell r="AD1760">
            <v>1.7416581419999999</v>
          </cell>
          <cell r="AE1760">
            <v>1.763053784</v>
          </cell>
          <cell r="AF1760">
            <v>1.7854788479999999</v>
          </cell>
          <cell r="AG1760">
            <v>1.8097087860000001</v>
          </cell>
          <cell r="AH1760">
            <v>1.836099106</v>
          </cell>
          <cell r="AI1760">
            <v>1.8648707259999999</v>
          </cell>
          <cell r="AJ1760">
            <v>1.8962086849999999</v>
          </cell>
          <cell r="AK1760">
            <v>1.930368826</v>
          </cell>
          <cell r="AL1760">
            <v>1.967555342</v>
          </cell>
          <cell r="AM1760">
            <v>2.007724643</v>
          </cell>
          <cell r="AN1760">
            <v>2.0507786050000001</v>
          </cell>
          <cell r="AO1760">
            <v>2.096571494</v>
          </cell>
        </row>
        <row r="1789">
          <cell r="F1789">
            <v>1.0019287059999999</v>
          </cell>
          <cell r="G1789">
            <v>1.021495877</v>
          </cell>
          <cell r="H1789">
            <v>1.0418904229999999</v>
          </cell>
          <cell r="I1789">
            <v>1.0642342490000001</v>
          </cell>
          <cell r="J1789">
            <v>1.0859901569999999</v>
          </cell>
          <cell r="K1789">
            <v>1.1087151559999999</v>
          </cell>
          <cell r="L1789">
            <v>1.1335140370000001</v>
          </cell>
          <cell r="M1789">
            <v>1.1601985159999999</v>
          </cell>
          <cell r="N1789">
            <v>1.188418709</v>
          </cell>
          <cell r="O1789">
            <v>1.2179983560000001</v>
          </cell>
          <cell r="P1789">
            <v>1.24861975</v>
          </cell>
          <cell r="Q1789">
            <v>1.2794647400000001</v>
          </cell>
          <cell r="R1789">
            <v>1.309724229</v>
          </cell>
          <cell r="S1789">
            <v>1.3387648080000001</v>
          </cell>
          <cell r="T1789">
            <v>1.3662283770000001</v>
          </cell>
          <cell r="U1789">
            <v>1.3919381310000001</v>
          </cell>
          <cell r="V1789">
            <v>1.4147526420000001</v>
          </cell>
          <cell r="W1789">
            <v>1.434952287</v>
          </cell>
          <cell r="X1789">
            <v>1.452914829</v>
          </cell>
          <cell r="Y1789">
            <v>1.469106113</v>
          </cell>
          <cell r="Z1789">
            <v>1.4840621359999999</v>
          </cell>
          <cell r="AA1789">
            <v>1.498246864</v>
          </cell>
          <cell r="AB1789">
            <v>1.5121850349999999</v>
          </cell>
          <cell r="AC1789">
            <v>1.526436417</v>
          </cell>
          <cell r="AD1789">
            <v>1.541619334</v>
          </cell>
          <cell r="AE1789">
            <v>1.5584050970000001</v>
          </cell>
          <cell r="AF1789">
            <v>1.577269528</v>
          </cell>
          <cell r="AG1789">
            <v>1.5986544439999999</v>
          </cell>
          <cell r="AH1789">
            <v>1.6229506819999999</v>
          </cell>
          <cell r="AI1789">
            <v>1.650340293</v>
          </cell>
          <cell r="AJ1789">
            <v>1.680927469</v>
          </cell>
          <cell r="AK1789">
            <v>1.7147267960000001</v>
          </cell>
          <cell r="AL1789">
            <v>1.7516796050000001</v>
          </cell>
          <cell r="AM1789">
            <v>1.7916619439999999</v>
          </cell>
          <cell r="AN1789">
            <v>1.8344828150000001</v>
          </cell>
          <cell r="AO1789">
            <v>1.8798851510000001</v>
          </cell>
        </row>
      </sheetData>
      <sheetData sheetId="7"/>
      <sheetData sheetId="8">
        <row r="820">
          <cell r="B820">
            <v>348.0186405</v>
          </cell>
          <cell r="C820">
            <v>348.35285049999999</v>
          </cell>
          <cell r="D820">
            <v>348.87126719999998</v>
          </cell>
          <cell r="E820">
            <v>349.23256609999999</v>
          </cell>
          <cell r="F820">
            <v>351.64635620000001</v>
          </cell>
          <cell r="G820">
            <v>355.6287653</v>
          </cell>
          <cell r="H820">
            <v>359.931557</v>
          </cell>
          <cell r="I820">
            <v>364.30333150000001</v>
          </cell>
          <cell r="J820">
            <v>368.74156310000001</v>
          </cell>
          <cell r="K820">
            <v>373.2481573</v>
          </cell>
          <cell r="L820">
            <v>377.74482389999997</v>
          </cell>
          <cell r="M820">
            <v>381.34644789999999</v>
          </cell>
          <cell r="N820">
            <v>384.18301209999998</v>
          </cell>
          <cell r="O820">
            <v>386.41100640000002</v>
          </cell>
          <cell r="P820">
            <v>388.21673449999997</v>
          </cell>
          <cell r="Q820">
            <v>389.78175210000001</v>
          </cell>
          <cell r="R820">
            <v>391.81933029999999</v>
          </cell>
          <cell r="S820">
            <v>394.41579610000002</v>
          </cell>
          <cell r="T820">
            <v>397.62809190000002</v>
          </cell>
          <cell r="U820">
            <v>401.46470870000002</v>
          </cell>
          <cell r="V820">
            <v>405.84357340000003</v>
          </cell>
          <cell r="W820">
            <v>410.90891379999999</v>
          </cell>
          <cell r="X820">
            <v>416.67950300000001</v>
          </cell>
          <cell r="Y820">
            <v>423.18010600000002</v>
          </cell>
          <cell r="Z820">
            <v>430.41459400000002</v>
          </cell>
          <cell r="AA820">
            <v>438.13591750000001</v>
          </cell>
          <cell r="AB820">
            <v>446.61146880000001</v>
          </cell>
          <cell r="AC820">
            <v>455.8775488</v>
          </cell>
          <cell r="AD820">
            <v>465.94793490000001</v>
          </cell>
          <cell r="AE820">
            <v>476.74890900000003</v>
          </cell>
          <cell r="AF820">
            <v>488.15475609999999</v>
          </cell>
          <cell r="AG820">
            <v>500.03976349999999</v>
          </cell>
          <cell r="AH820">
            <v>512.28764309999997</v>
          </cell>
          <cell r="AI820">
            <v>524.78560119999997</v>
          </cell>
          <cell r="AJ820">
            <v>537.41967209999996</v>
          </cell>
          <cell r="AK820">
            <v>550.07246269999996</v>
          </cell>
        </row>
        <row r="821">
          <cell r="B821">
            <v>213.27374029999999</v>
          </cell>
          <cell r="C821">
            <v>214.38920479999999</v>
          </cell>
          <cell r="D821">
            <v>215.71137830000001</v>
          </cell>
          <cell r="E821">
            <v>216.76898410000001</v>
          </cell>
          <cell r="F821">
            <v>219.17682260000001</v>
          </cell>
          <cell r="G821">
            <v>222.7112309</v>
          </cell>
          <cell r="H821">
            <v>226.57209649999999</v>
          </cell>
          <cell r="I821">
            <v>230.49642879999999</v>
          </cell>
          <cell r="J821">
            <v>234.4438945</v>
          </cell>
          <cell r="K821">
            <v>238.40479590000001</v>
          </cell>
          <cell r="L821">
            <v>242.2604297</v>
          </cell>
          <cell r="M821">
            <v>245.24891640000001</v>
          </cell>
          <cell r="N821">
            <v>247.50044439999999</v>
          </cell>
          <cell r="O821">
            <v>249.17580469999999</v>
          </cell>
          <cell r="P821">
            <v>250.4657704</v>
          </cell>
          <cell r="Q821">
            <v>251.55408539999999</v>
          </cell>
          <cell r="R821">
            <v>252.97854849999999</v>
          </cell>
          <cell r="S821">
            <v>254.8858032</v>
          </cell>
          <cell r="T821">
            <v>257.35451949999998</v>
          </cell>
          <cell r="U821">
            <v>260.4121336</v>
          </cell>
          <cell r="V821">
            <v>264.02217949999999</v>
          </cell>
          <cell r="W821">
            <v>268.2806367</v>
          </cell>
          <cell r="X821">
            <v>273.21264029999998</v>
          </cell>
          <cell r="Y821">
            <v>278.83947019999999</v>
          </cell>
          <cell r="Z821">
            <v>285.1611992</v>
          </cell>
          <cell r="AA821">
            <v>292.0185085</v>
          </cell>
          <cell r="AB821">
            <v>299.5748461</v>
          </cell>
          <cell r="AC821">
            <v>307.86198050000002</v>
          </cell>
          <cell r="AD821">
            <v>316.88628169999998</v>
          </cell>
          <cell r="AE821">
            <v>326.5701368</v>
          </cell>
          <cell r="AF821">
            <v>336.78928380000002</v>
          </cell>
          <cell r="AG821">
            <v>347.42322969999998</v>
          </cell>
          <cell r="AH821">
            <v>358.36706750000002</v>
          </cell>
          <cell r="AI821">
            <v>369.52058019999998</v>
          </cell>
          <cell r="AJ821">
            <v>380.78303649999998</v>
          </cell>
          <cell r="AK821">
            <v>392.05124640000003</v>
          </cell>
        </row>
        <row r="822">
          <cell r="B822">
            <v>2.7534944400000001E-2</v>
          </cell>
          <cell r="C822">
            <v>2.8000047399999999E-2</v>
          </cell>
          <cell r="D822">
            <v>2.85510195E-2</v>
          </cell>
          <cell r="E822">
            <v>2.9183565599999999E-2</v>
          </cell>
          <cell r="F822">
            <v>2.98817943E-2</v>
          </cell>
          <cell r="G822">
            <v>3.0639678900000002E-2</v>
          </cell>
          <cell r="H822">
            <v>3.1430106399999998E-2</v>
          </cell>
          <cell r="I822">
            <v>3.22420884E-2</v>
          </cell>
          <cell r="J822">
            <v>3.3069271300000001E-2</v>
          </cell>
          <cell r="K822">
            <v>3.3909353699999999E-2</v>
          </cell>
          <cell r="L822">
            <v>3.4742482099999999E-2</v>
          </cell>
          <cell r="M822">
            <v>3.5460348900000001E-2</v>
          </cell>
          <cell r="N822">
            <v>3.6085115299999998E-2</v>
          </cell>
          <cell r="O822">
            <v>3.6633936300000003E-2</v>
          </cell>
          <cell r="P822">
            <v>3.7128939899999998E-2</v>
          </cell>
          <cell r="Q822">
            <v>3.7592493999999997E-2</v>
          </cell>
          <cell r="R822">
            <v>3.80582005E-2</v>
          </cell>
          <cell r="S822">
            <v>3.8551938199999997E-2</v>
          </cell>
          <cell r="T822">
            <v>3.9091826699999999E-2</v>
          </cell>
          <cell r="U822">
            <v>3.96883554E-2</v>
          </cell>
          <cell r="V822">
            <v>4.0341204899999997E-2</v>
          </cell>
          <cell r="W822">
            <v>4.1068403400000002E-2</v>
          </cell>
          <cell r="X822">
            <v>4.1878391500000001E-2</v>
          </cell>
          <cell r="Y822">
            <v>4.2776244900000003E-2</v>
          </cell>
          <cell r="Z822">
            <v>4.3761974100000003E-2</v>
          </cell>
          <cell r="AA822">
            <v>4.4809723199999998E-2</v>
          </cell>
          <cell r="AB822">
            <v>4.59407529E-2</v>
          </cell>
          <cell r="AC822">
            <v>4.7162272099999999E-2</v>
          </cell>
          <cell r="AD822">
            <v>4.8476595900000002E-2</v>
          </cell>
          <cell r="AE822">
            <v>4.9874456999999997E-2</v>
          </cell>
          <cell r="AF822">
            <v>5.1340324499999999E-2</v>
          </cell>
          <cell r="AG822">
            <v>5.2859376E-2</v>
          </cell>
          <cell r="AH822">
            <v>5.44186953E-2</v>
          </cell>
          <cell r="AI822">
            <v>5.6005642699999997E-2</v>
          </cell>
          <cell r="AJ822">
            <v>5.7607459899999998E-2</v>
          </cell>
          <cell r="AK822">
            <v>5.9211176900000002E-2</v>
          </cell>
        </row>
        <row r="823">
          <cell r="B823">
            <v>15.22687925</v>
          </cell>
          <cell r="C823">
            <v>15.4836948</v>
          </cell>
          <cell r="D823">
            <v>15.78011791</v>
          </cell>
          <cell r="E823">
            <v>16.100300860000001</v>
          </cell>
          <cell r="F823">
            <v>16.445251989999999</v>
          </cell>
          <cell r="G823">
            <v>16.81539613</v>
          </cell>
          <cell r="H823">
            <v>17.199553739999999</v>
          </cell>
          <cell r="I823">
            <v>17.595851769999999</v>
          </cell>
          <cell r="J823">
            <v>18.002624910000002</v>
          </cell>
          <cell r="K823">
            <v>18.419735410000001</v>
          </cell>
          <cell r="L823">
            <v>18.846866380000002</v>
          </cell>
          <cell r="M823">
            <v>19.236077699999999</v>
          </cell>
          <cell r="N823">
            <v>19.596194100000002</v>
          </cell>
          <cell r="O823">
            <v>19.935984850000001</v>
          </cell>
          <cell r="P823">
            <v>20.265573419999999</v>
          </cell>
          <cell r="Q823">
            <v>20.594526609999999</v>
          </cell>
          <cell r="R823">
            <v>20.935937200000001</v>
          </cell>
          <cell r="S823">
            <v>21.300366149999999</v>
          </cell>
          <cell r="T823">
            <v>21.694929429999998</v>
          </cell>
          <cell r="U823">
            <v>22.123307430000001</v>
          </cell>
          <cell r="V823">
            <v>22.580532640000001</v>
          </cell>
          <cell r="W823">
            <v>23.079508229999998</v>
          </cell>
          <cell r="X823">
            <v>23.61948731</v>
          </cell>
          <cell r="Y823">
            <v>24.20130297</v>
          </cell>
          <cell r="Z823">
            <v>24.824333070000002</v>
          </cell>
          <cell r="AA823">
            <v>25.466015540000001</v>
          </cell>
          <cell r="AB823">
            <v>26.14860822</v>
          </cell>
          <cell r="AC823">
            <v>26.869851830000002</v>
          </cell>
          <cell r="AD823">
            <v>27.62970494</v>
          </cell>
          <cell r="AE823">
            <v>28.424551990000001</v>
          </cell>
          <cell r="AF823">
            <v>29.2485556</v>
          </cell>
          <cell r="AG823">
            <v>30.096267520000001</v>
          </cell>
          <cell r="AH823">
            <v>30.963322349999999</v>
          </cell>
          <cell r="AI823">
            <v>31.8458538</v>
          </cell>
          <cell r="AJ823">
            <v>32.740143549999999</v>
          </cell>
          <cell r="AK823">
            <v>33.642419410000002</v>
          </cell>
        </row>
        <row r="824">
          <cell r="B824">
            <v>119.490486</v>
          </cell>
          <cell r="C824">
            <v>118.45195080000001</v>
          </cell>
          <cell r="D824">
            <v>117.35122</v>
          </cell>
          <cell r="E824">
            <v>116.33409760000001</v>
          </cell>
          <cell r="F824">
            <v>115.9943998</v>
          </cell>
          <cell r="G824">
            <v>116.0714986</v>
          </cell>
          <cell r="H824">
            <v>116.12847669999999</v>
          </cell>
          <cell r="I824">
            <v>116.1788088</v>
          </cell>
          <cell r="J824">
            <v>116.2619744</v>
          </cell>
          <cell r="K824">
            <v>116.3897166</v>
          </cell>
          <cell r="L824">
            <v>116.60278529999999</v>
          </cell>
          <cell r="M824">
            <v>116.8259934</v>
          </cell>
          <cell r="N824">
            <v>117.0502884</v>
          </cell>
          <cell r="O824">
            <v>117.2625829</v>
          </cell>
          <cell r="P824">
            <v>117.4482617</v>
          </cell>
          <cell r="Q824">
            <v>117.5955475</v>
          </cell>
          <cell r="R824">
            <v>117.8667864</v>
          </cell>
          <cell r="S824">
            <v>118.1910748</v>
          </cell>
          <cell r="T824">
            <v>118.5395511</v>
          </cell>
          <cell r="U824">
            <v>118.88957929999999</v>
          </cell>
          <cell r="V824">
            <v>119.20052010000001</v>
          </cell>
          <cell r="W824">
            <v>119.5077005</v>
          </cell>
          <cell r="X824">
            <v>119.805497</v>
          </cell>
          <cell r="Y824">
            <v>120.0965566</v>
          </cell>
          <cell r="Z824">
            <v>120.3852997</v>
          </cell>
          <cell r="AA824">
            <v>120.6065837</v>
          </cell>
          <cell r="AB824">
            <v>120.8420737</v>
          </cell>
          <cell r="AC824">
            <v>121.0985542</v>
          </cell>
          <cell r="AD824">
            <v>121.3834717</v>
          </cell>
          <cell r="AE824">
            <v>121.7043458</v>
          </cell>
          <cell r="AF824">
            <v>122.0655764</v>
          </cell>
          <cell r="AG824">
            <v>122.46740680000001</v>
          </cell>
          <cell r="AH824">
            <v>122.90283460000001</v>
          </cell>
          <cell r="AI824">
            <v>123.3631616</v>
          </cell>
          <cell r="AJ824">
            <v>123.8388846</v>
          </cell>
          <cell r="AK824">
            <v>124.3195857</v>
          </cell>
        </row>
        <row r="825">
          <cell r="B825">
            <v>348.01866310000003</v>
          </cell>
          <cell r="C825">
            <v>348.35287260000001</v>
          </cell>
          <cell r="D825">
            <v>348.8712888</v>
          </cell>
          <cell r="E825">
            <v>349.23258709999999</v>
          </cell>
          <cell r="F825">
            <v>351.64637699999997</v>
          </cell>
          <cell r="G825">
            <v>355.62878610000001</v>
          </cell>
          <cell r="H825">
            <v>359.93157789999998</v>
          </cell>
          <cell r="I825">
            <v>349.44579499999998</v>
          </cell>
          <cell r="J825">
            <v>338.66438319999997</v>
          </cell>
          <cell r="K825">
            <v>329.38501050000002</v>
          </cell>
          <cell r="L825">
            <v>320.89442539999999</v>
          </cell>
          <cell r="M825">
            <v>313.16250100000002</v>
          </cell>
          <cell r="N825">
            <v>305.70664290000002</v>
          </cell>
          <cell r="O825">
            <v>298.35844059999999</v>
          </cell>
          <cell r="P825">
            <v>291.11928760000001</v>
          </cell>
          <cell r="Q825">
            <v>283.98630120000001</v>
          </cell>
          <cell r="R825">
            <v>276.752343</v>
          </cell>
          <cell r="S825">
            <v>269.57847049999998</v>
          </cell>
          <cell r="T825">
            <v>262.56395379999998</v>
          </cell>
          <cell r="U825">
            <v>255.75262760000001</v>
          </cell>
          <cell r="V825">
            <v>249.1098891</v>
          </cell>
          <cell r="W825">
            <v>242.72161389999999</v>
          </cell>
          <cell r="X825">
            <v>236.57125020000001</v>
          </cell>
          <cell r="Y825">
            <v>230.6236877</v>
          </cell>
          <cell r="Z825">
            <v>224.8242626</v>
          </cell>
          <cell r="AA825">
            <v>218.98875530000001</v>
          </cell>
          <cell r="AB825">
            <v>213.21404229999999</v>
          </cell>
          <cell r="AC825">
            <v>207.47235359999999</v>
          </cell>
          <cell r="AD825">
            <v>201.69351689999999</v>
          </cell>
          <cell r="AE825">
            <v>195.7588767</v>
          </cell>
          <cell r="AF825">
            <v>189.5287175</v>
          </cell>
          <cell r="AG825">
            <v>182.8718064</v>
          </cell>
          <cell r="AH825">
            <v>175.6601703</v>
          </cell>
          <cell r="AI825">
            <v>167.7455148</v>
          </cell>
          <cell r="AJ825">
            <v>158.95146550000001</v>
          </cell>
          <cell r="AK825">
            <v>149.05299840000001</v>
          </cell>
        </row>
        <row r="826">
          <cell r="B826">
            <v>213.2737558</v>
          </cell>
          <cell r="C826">
            <v>214.38922009999999</v>
          </cell>
          <cell r="D826">
            <v>215.71139339999999</v>
          </cell>
          <cell r="E826">
            <v>216.7689987</v>
          </cell>
          <cell r="F826">
            <v>219.1768371</v>
          </cell>
          <cell r="G826">
            <v>222.7112454</v>
          </cell>
          <cell r="H826">
            <v>226.5721111</v>
          </cell>
          <cell r="I826">
            <v>220.2904035</v>
          </cell>
          <cell r="J826">
            <v>213.45038349999999</v>
          </cell>
          <cell r="K826">
            <v>207.74391410000001</v>
          </cell>
          <cell r="L826">
            <v>202.49657479999999</v>
          </cell>
          <cell r="M826">
            <v>197.56751070000001</v>
          </cell>
          <cell r="N826">
            <v>192.72569709999999</v>
          </cell>
          <cell r="O826">
            <v>187.93399919999999</v>
          </cell>
          <cell r="P826">
            <v>183.25557789999999</v>
          </cell>
          <cell r="Q826">
            <v>178.71440240000001</v>
          </cell>
          <cell r="R826">
            <v>174.1513033</v>
          </cell>
          <cell r="S826">
            <v>169.68893499999999</v>
          </cell>
          <cell r="T826">
            <v>165.40016170000001</v>
          </cell>
          <cell r="U826">
            <v>161.3119112</v>
          </cell>
          <cell r="V826">
            <v>157.40110630000001</v>
          </cell>
          <cell r="W826">
            <v>153.7070841</v>
          </cell>
          <cell r="X826">
            <v>150.2163587</v>
          </cell>
          <cell r="Y826">
            <v>146.89190590000001</v>
          </cell>
          <cell r="Z826">
            <v>143.67644150000001</v>
          </cell>
          <cell r="AA826">
            <v>140.441439</v>
          </cell>
          <cell r="AB826">
            <v>137.2194528</v>
          </cell>
          <cell r="AC826">
            <v>133.98010199999999</v>
          </cell>
          <cell r="AD826">
            <v>130.65171309999999</v>
          </cell>
          <cell r="AE826">
            <v>127.1177788</v>
          </cell>
          <cell r="AF826">
            <v>123.2436426</v>
          </cell>
          <cell r="AG826">
            <v>118.9034458</v>
          </cell>
          <cell r="AH826">
            <v>113.97408230000001</v>
          </cell>
          <cell r="AI826">
            <v>108.3123435</v>
          </cell>
          <cell r="AJ826">
            <v>101.7466313</v>
          </cell>
          <cell r="AK826">
            <v>94.056473780000005</v>
          </cell>
        </row>
        <row r="827">
          <cell r="B827">
            <v>2.7534944400000001E-2</v>
          </cell>
          <cell r="C827">
            <v>2.8000047399999999E-2</v>
          </cell>
          <cell r="D827">
            <v>2.85510195E-2</v>
          </cell>
          <cell r="E827">
            <v>2.9183565599999999E-2</v>
          </cell>
          <cell r="F827">
            <v>2.98817943E-2</v>
          </cell>
          <cell r="G827">
            <v>3.0639678900000002E-2</v>
          </cell>
          <cell r="H827">
            <v>3.1430106399999998E-2</v>
          </cell>
          <cell r="I827">
            <v>3.2117533400000002E-2</v>
          </cell>
          <cell r="J827">
            <v>3.2787262599999999E-2</v>
          </cell>
          <cell r="K827">
            <v>3.3600017400000001E-2</v>
          </cell>
          <cell r="L827">
            <v>3.4414126400000002E-2</v>
          </cell>
          <cell r="M827">
            <v>3.5103977000000001E-2</v>
          </cell>
          <cell r="N827">
            <v>3.5692293399999998E-2</v>
          </cell>
          <cell r="O827">
            <v>3.6205466999999998E-2</v>
          </cell>
          <cell r="P827">
            <v>3.6675594200000002E-2</v>
          </cell>
          <cell r="Q827">
            <v>3.7123631099999999E-2</v>
          </cell>
          <cell r="R827">
            <v>3.7575972700000002E-2</v>
          </cell>
          <cell r="S827">
            <v>3.8044819299999998E-2</v>
          </cell>
          <cell r="T827">
            <v>3.8546480600000002E-2</v>
          </cell>
          <cell r="U827">
            <v>3.9092970800000001E-2</v>
          </cell>
          <cell r="V827">
            <v>3.96862511E-2</v>
          </cell>
          <cell r="W827">
            <v>4.03465228E-2</v>
          </cell>
          <cell r="X827">
            <v>4.1084352900000003E-2</v>
          </cell>
          <cell r="Y827">
            <v>4.1907000299999997E-2</v>
          </cell>
          <cell r="Z827">
            <v>4.2816821400000003E-2</v>
          </cell>
          <cell r="AA827">
            <v>4.3789883299999999E-2</v>
          </cell>
          <cell r="AB827">
            <v>4.4841264700000001E-2</v>
          </cell>
          <cell r="AC827">
            <v>4.5987926300000002E-2</v>
          </cell>
          <cell r="AD827">
            <v>4.7235711700000002E-2</v>
          </cell>
          <cell r="AE827">
            <v>4.8579488400000002E-2</v>
          </cell>
          <cell r="AF827">
            <v>5.0007705299999997E-2</v>
          </cell>
          <cell r="AG827">
            <v>5.15089034E-2</v>
          </cell>
          <cell r="AH827">
            <v>5.3073265299999998E-2</v>
          </cell>
          <cell r="AI827">
            <v>5.4691216299999998E-2</v>
          </cell>
          <cell r="AJ827">
            <v>5.6353069800000002E-2</v>
          </cell>
          <cell r="AK827">
            <v>5.80487082E-2</v>
          </cell>
        </row>
        <row r="828">
          <cell r="B828">
            <v>15.22687925</v>
          </cell>
          <cell r="C828">
            <v>15.4836948</v>
          </cell>
          <cell r="D828">
            <v>15.78011791</v>
          </cell>
          <cell r="E828">
            <v>16.100300860000001</v>
          </cell>
          <cell r="F828">
            <v>16.445251979999998</v>
          </cell>
          <cell r="G828">
            <v>16.815396119999999</v>
          </cell>
          <cell r="H828">
            <v>17.199553739999999</v>
          </cell>
          <cell r="I828">
            <v>17.519832940000001</v>
          </cell>
          <cell r="J828">
            <v>17.81560408</v>
          </cell>
          <cell r="K828">
            <v>18.149821039999999</v>
          </cell>
          <cell r="L828">
            <v>18.495490390000001</v>
          </cell>
          <cell r="M828">
            <v>18.809097220000002</v>
          </cell>
          <cell r="N828">
            <v>19.098675310000001</v>
          </cell>
          <cell r="O828">
            <v>19.37479883</v>
          </cell>
          <cell r="P828">
            <v>19.649974480000001</v>
          </cell>
          <cell r="Q828">
            <v>19.932730580000001</v>
          </cell>
          <cell r="R828">
            <v>20.22867943</v>
          </cell>
          <cell r="S828">
            <v>20.54000095</v>
          </cell>
          <cell r="T828">
            <v>20.872912599999999</v>
          </cell>
          <cell r="U828">
            <v>21.232736370000001</v>
          </cell>
          <cell r="V828">
            <v>21.616955279999999</v>
          </cell>
          <cell r="W828">
            <v>22.04091103</v>
          </cell>
          <cell r="X828">
            <v>22.506002590000001</v>
          </cell>
          <cell r="Y828">
            <v>23.014759349999999</v>
          </cell>
          <cell r="Z828">
            <v>23.568331929999999</v>
          </cell>
          <cell r="AA828">
            <v>24.146232749999999</v>
          </cell>
          <cell r="AB828">
            <v>24.769682849999999</v>
          </cell>
          <cell r="AC828">
            <v>25.441723459999999</v>
          </cell>
          <cell r="AD828">
            <v>26.16432674</v>
          </cell>
          <cell r="AE828">
            <v>26.93636987</v>
          </cell>
          <cell r="AF828">
            <v>27.755129289999999</v>
          </cell>
          <cell r="AG828">
            <v>28.618899580000001</v>
          </cell>
          <cell r="AH828">
            <v>29.52749867</v>
          </cell>
          <cell r="AI828">
            <v>30.481256569999999</v>
          </cell>
          <cell r="AJ828">
            <v>31.481400659999998</v>
          </cell>
          <cell r="AK828">
            <v>32.53035989</v>
          </cell>
        </row>
        <row r="829">
          <cell r="B829">
            <v>119.49049309999999</v>
          </cell>
          <cell r="C829">
            <v>118.4519576</v>
          </cell>
          <cell r="D829">
            <v>117.3512265</v>
          </cell>
          <cell r="E829">
            <v>116.3341039</v>
          </cell>
          <cell r="F829">
            <v>115.99440610000001</v>
          </cell>
          <cell r="G829">
            <v>116.0715048</v>
          </cell>
          <cell r="H829">
            <v>116.12848289999999</v>
          </cell>
          <cell r="I829">
            <v>111.603441</v>
          </cell>
          <cell r="J829">
            <v>107.36560830000001</v>
          </cell>
          <cell r="K829">
            <v>103.45767530000001</v>
          </cell>
          <cell r="L829">
            <v>99.867946079999996</v>
          </cell>
          <cell r="M829">
            <v>96.750789109999999</v>
          </cell>
          <cell r="N829">
            <v>93.846578190000002</v>
          </cell>
          <cell r="O829">
            <v>91.013437170000003</v>
          </cell>
          <cell r="P829">
            <v>88.177059619999994</v>
          </cell>
          <cell r="Q829">
            <v>85.302044589999994</v>
          </cell>
          <cell r="R829">
            <v>82.334784229999997</v>
          </cell>
          <cell r="S829">
            <v>79.31148967</v>
          </cell>
          <cell r="T829">
            <v>76.252333059999998</v>
          </cell>
          <cell r="U829">
            <v>73.168887119999994</v>
          </cell>
          <cell r="V829">
            <v>70.052141320000004</v>
          </cell>
          <cell r="W829">
            <v>66.933272279999997</v>
          </cell>
          <cell r="X829">
            <v>63.807804509999997</v>
          </cell>
          <cell r="Y829">
            <v>60.675115439999999</v>
          </cell>
          <cell r="Z829">
            <v>57.5366724</v>
          </cell>
          <cell r="AA829">
            <v>54.357293609999999</v>
          </cell>
          <cell r="AB829">
            <v>51.180065429999999</v>
          </cell>
          <cell r="AC829">
            <v>48.00454019</v>
          </cell>
          <cell r="AD829">
            <v>44.830241360000002</v>
          </cell>
          <cell r="AE829">
            <v>41.656148639999998</v>
          </cell>
          <cell r="AF829">
            <v>38.479937909999997</v>
          </cell>
          <cell r="AG829">
            <v>35.297952070000001</v>
          </cell>
          <cell r="AH829">
            <v>32.10551615</v>
          </cell>
          <cell r="AI829">
            <v>28.897223489999998</v>
          </cell>
          <cell r="AJ829">
            <v>25.6670804</v>
          </cell>
          <cell r="AK829">
            <v>22.408116010000001</v>
          </cell>
        </row>
        <row r="830">
          <cell r="A830" t="str">
            <v>ems_ci_co2_sagr_2</v>
          </cell>
          <cell r="B830">
            <v>14.16949179</v>
          </cell>
          <cell r="C830">
            <v>14.30293636</v>
          </cell>
          <cell r="D830">
            <v>14.46801889</v>
          </cell>
          <cell r="E830">
            <v>14.64496553</v>
          </cell>
          <cell r="F830">
            <v>14.898508120000001</v>
          </cell>
          <cell r="G830">
            <v>15.218914590000001</v>
          </cell>
          <cell r="H830">
            <v>15.569826689999999</v>
          </cell>
          <cell r="I830">
            <v>15.10957009</v>
          </cell>
          <cell r="J830">
            <v>14.57146893</v>
          </cell>
          <cell r="K830">
            <v>14.067482829999999</v>
          </cell>
          <cell r="L830">
            <v>13.566045799999999</v>
          </cell>
          <cell r="M830">
            <v>13.0731447</v>
          </cell>
          <cell r="N830">
            <v>12.58083514</v>
          </cell>
          <cell r="O830">
            <v>12.08849107</v>
          </cell>
          <cell r="P830">
            <v>11.600133599999999</v>
          </cell>
          <cell r="Q830">
            <v>11.117883839999999</v>
          </cell>
          <cell r="R830">
            <v>10.632054350000001</v>
          </cell>
          <cell r="S830">
            <v>10.150752900000001</v>
          </cell>
          <cell r="T830">
            <v>9.6800437969999997</v>
          </cell>
          <cell r="U830">
            <v>9.222737553</v>
          </cell>
          <cell r="V830">
            <v>8.7780645439999994</v>
          </cell>
          <cell r="W830">
            <v>8.3477414700000008</v>
          </cell>
          <cell r="X830">
            <v>7.9307655490000002</v>
          </cell>
          <cell r="Y830">
            <v>7.5245437419999996</v>
          </cell>
          <cell r="Z830">
            <v>7.1251619960000001</v>
          </cell>
          <cell r="AA830">
            <v>6.7247736690000002</v>
          </cell>
          <cell r="AB830">
            <v>6.3209940920000003</v>
          </cell>
          <cell r="AC830">
            <v>5.9111118510000003</v>
          </cell>
          <cell r="AD830">
            <v>5.4897023430000003</v>
          </cell>
          <cell r="AE830">
            <v>5.0492246590000001</v>
          </cell>
          <cell r="AF830">
            <v>4.5811774859999996</v>
          </cell>
          <cell r="AG830">
            <v>4.0769833029999996</v>
          </cell>
          <cell r="AH830">
            <v>3.5278955019999998</v>
          </cell>
          <cell r="AI830">
            <v>2.9244888539999998</v>
          </cell>
          <cell r="AJ830">
            <v>2.2562536030000002</v>
          </cell>
          <cell r="AK830">
            <v>1.5109169520000001</v>
          </cell>
        </row>
        <row r="832">
          <cell r="A832" t="str">
            <v>ems_ci_co2_sfor_2</v>
          </cell>
          <cell r="B832">
            <v>0.53965023629999997</v>
          </cell>
          <cell r="C832">
            <v>0.5321345904</v>
          </cell>
          <cell r="D832">
            <v>0.52391275829999995</v>
          </cell>
          <cell r="E832">
            <v>0.51479273189999997</v>
          </cell>
          <cell r="F832">
            <v>0.5102617585</v>
          </cell>
          <cell r="G832">
            <v>0.50910694950000002</v>
          </cell>
          <cell r="H832">
            <v>0.50970587749999996</v>
          </cell>
          <cell r="I832">
            <v>0.47925833899999998</v>
          </cell>
          <cell r="J832">
            <v>0.44806571769999998</v>
          </cell>
          <cell r="K832">
            <v>0.41999471640000002</v>
          </cell>
          <cell r="L832">
            <v>0.3943723288</v>
          </cell>
          <cell r="M832">
            <v>0.37284640600000002</v>
          </cell>
          <cell r="N832">
            <v>0.35387618879999999</v>
          </cell>
          <cell r="O832">
            <v>0.33657326650000002</v>
          </cell>
          <cell r="P832">
            <v>0.32055750929999999</v>
          </cell>
          <cell r="Q832">
            <v>0.30558706089999998</v>
          </cell>
          <cell r="R832">
            <v>0.29004854520000001</v>
          </cell>
          <cell r="S832">
            <v>0.27482103720000001</v>
          </cell>
          <cell r="T832">
            <v>0.26024264759999999</v>
          </cell>
          <cell r="U832">
            <v>0.24641689620000001</v>
          </cell>
          <cell r="V832">
            <v>0.23329598800000001</v>
          </cell>
          <cell r="W832">
            <v>0.2209304336</v>
          </cell>
          <cell r="X832">
            <v>0.20925710719999999</v>
          </cell>
          <cell r="Y832">
            <v>0.19818953950000001</v>
          </cell>
          <cell r="Z832">
            <v>0.18763260779999999</v>
          </cell>
          <cell r="AA832">
            <v>0.17738383420000001</v>
          </cell>
          <cell r="AB832">
            <v>0.16757919430000001</v>
          </cell>
          <cell r="AC832">
            <v>0.1580614743</v>
          </cell>
          <cell r="AD832">
            <v>0.14870346579999999</v>
          </cell>
          <cell r="AE832">
            <v>0.1393537863</v>
          </cell>
          <cell r="AF832">
            <v>0.129853518</v>
          </cell>
          <cell r="AG832">
            <v>0.120051741</v>
          </cell>
          <cell r="AH832">
            <v>0.1097961858</v>
          </cell>
          <cell r="AI832">
            <v>9.8915432999999997E-2</v>
          </cell>
          <cell r="AJ832">
            <v>8.7209944299999995E-2</v>
          </cell>
          <cell r="AK832">
            <v>7.4435356699999997E-2</v>
          </cell>
        </row>
        <row r="834">
          <cell r="A834" t="str">
            <v>ems_ci_co2_sfoo_2</v>
          </cell>
          <cell r="B834">
            <v>8.6183733500000006</v>
          </cell>
          <cell r="C834">
            <v>8.6006273370000006</v>
          </cell>
          <cell r="D834">
            <v>8.5948533600000001</v>
          </cell>
          <cell r="E834">
            <v>8.5811881850000002</v>
          </cell>
          <cell r="F834">
            <v>8.6447036500000003</v>
          </cell>
          <cell r="G834">
            <v>8.7701395439999992</v>
          </cell>
          <cell r="H834">
            <v>8.8836774579999993</v>
          </cell>
          <cell r="I834">
            <v>8.4761272929999993</v>
          </cell>
          <cell r="J834">
            <v>8.0285759199999998</v>
          </cell>
          <cell r="K834">
            <v>7.6152812189999999</v>
          </cell>
          <cell r="L834">
            <v>7.2327387009999997</v>
          </cell>
          <cell r="M834">
            <v>6.900302656</v>
          </cell>
          <cell r="N834">
            <v>6.5994212460000004</v>
          </cell>
          <cell r="O834">
            <v>6.3190946109999997</v>
          </cell>
          <cell r="P834">
            <v>6.0544523520000002</v>
          </cell>
          <cell r="Q834">
            <v>5.8027435010000001</v>
          </cell>
          <cell r="R834">
            <v>5.5622331029999996</v>
          </cell>
          <cell r="S834">
            <v>5.3334169290000002</v>
          </cell>
          <cell r="T834">
            <v>5.1170572950000004</v>
          </cell>
          <cell r="U834">
            <v>4.9135557600000004</v>
          </cell>
          <cell r="V834">
            <v>4.7219610980000004</v>
          </cell>
          <cell r="W834">
            <v>4.5435865670000002</v>
          </cell>
          <cell r="X834">
            <v>4.3780474219999999</v>
          </cell>
          <cell r="Y834">
            <v>4.2243018330000002</v>
          </cell>
          <cell r="Z834">
            <v>4.0807858369999996</v>
          </cell>
          <cell r="AA834">
            <v>3.9432964770000001</v>
          </cell>
          <cell r="AB834">
            <v>3.8117347260000001</v>
          </cell>
          <cell r="AC834">
            <v>3.6854221489999999</v>
          </cell>
          <cell r="AD834">
            <v>3.5619372669999998</v>
          </cell>
          <cell r="AE834">
            <v>3.4376399339999999</v>
          </cell>
          <cell r="AF834">
            <v>3.3081774309999998</v>
          </cell>
          <cell r="AG834">
            <v>3.1689913280000002</v>
          </cell>
          <cell r="AH834">
            <v>3.0152402600000001</v>
          </cell>
          <cell r="AI834">
            <v>2.8413980379999999</v>
          </cell>
          <cell r="AJ834">
            <v>2.6411125489999998</v>
          </cell>
          <cell r="AK834">
            <v>2.406834811</v>
          </cell>
        </row>
        <row r="836">
          <cell r="A836" t="str">
            <v>ems_ci_co2_sveh_2</v>
          </cell>
          <cell r="B836">
            <v>1.1119214820000001</v>
          </cell>
          <cell r="C836">
            <v>1.1115752000000001</v>
          </cell>
          <cell r="D836">
            <v>1.106864053</v>
          </cell>
          <cell r="E836">
            <v>1.0940318200000001</v>
          </cell>
          <cell r="F836">
            <v>1.090909122</v>
          </cell>
          <cell r="G836">
            <v>1.098080969</v>
          </cell>
          <cell r="H836">
            <v>1.0991816029999999</v>
          </cell>
          <cell r="I836">
            <v>1.0057041900000001</v>
          </cell>
          <cell r="J836">
            <v>0.89717149920000006</v>
          </cell>
          <cell r="K836">
            <v>0.79571134099999996</v>
          </cell>
          <cell r="L836">
            <v>0.69816674970000003</v>
          </cell>
          <cell r="M836">
            <v>0.60874750450000004</v>
          </cell>
          <cell r="N836">
            <v>0.52768860780000004</v>
          </cell>
          <cell r="O836">
            <v>0.4555276244</v>
          </cell>
          <cell r="P836">
            <v>0.39263194200000001</v>
          </cell>
          <cell r="Q836">
            <v>0.33855853270000003</v>
          </cell>
          <cell r="R836">
            <v>0.29273918360000001</v>
          </cell>
          <cell r="S836">
            <v>0.25423036830000001</v>
          </cell>
          <cell r="T836">
            <v>0.22198045750000001</v>
          </cell>
          <cell r="U836">
            <v>0.19510003519999999</v>
          </cell>
          <cell r="V836">
            <v>0.17284401120000001</v>
          </cell>
          <cell r="W836">
            <v>0.154559906</v>
          </cell>
          <cell r="X836">
            <v>0.13964481049999999</v>
          </cell>
          <cell r="Y836">
            <v>0.12751299890000001</v>
          </cell>
          <cell r="Z836">
            <v>0.1176543514</v>
          </cell>
          <cell r="AA836">
            <v>0.10965008599999999</v>
          </cell>
          <cell r="AB836">
            <v>0.10328786600000001</v>
          </cell>
          <cell r="AC836">
            <v>9.8227608800000005E-2</v>
          </cell>
          <cell r="AD836">
            <v>9.4071762700000006E-2</v>
          </cell>
          <cell r="AE836">
            <v>9.0348534199999997E-2</v>
          </cell>
          <cell r="AF836">
            <v>8.6574408699999994E-2</v>
          </cell>
          <cell r="AG836">
            <v>8.2291523399999997E-2</v>
          </cell>
          <cell r="AH836">
            <v>7.7015115699999998E-2</v>
          </cell>
          <cell r="AI836">
            <v>7.0148317200000004E-2</v>
          </cell>
          <cell r="AJ836">
            <v>6.0964230799999998E-2</v>
          </cell>
          <cell r="AK836">
            <v>4.8555608700000003E-2</v>
          </cell>
        </row>
        <row r="838">
          <cell r="A838" t="str">
            <v>ems_ci_co2_sgla_2</v>
          </cell>
          <cell r="B838">
            <v>7.7695963629999998</v>
          </cell>
          <cell r="C838">
            <v>7.8393404569999996</v>
          </cell>
          <cell r="D838">
            <v>7.9210119920000004</v>
          </cell>
          <cell r="E838">
            <v>7.9964522489999998</v>
          </cell>
          <cell r="F838">
            <v>8.1128120920000004</v>
          </cell>
          <cell r="G838">
            <v>8.2660537880000007</v>
          </cell>
          <cell r="H838">
            <v>8.4268166129999997</v>
          </cell>
          <cell r="I838">
            <v>8.2638957570000002</v>
          </cell>
          <cell r="J838">
            <v>8.0575816200000006</v>
          </cell>
          <cell r="K838">
            <v>7.870498059</v>
          </cell>
          <cell r="L838">
            <v>7.6932170930000003</v>
          </cell>
          <cell r="M838">
            <v>7.5363349700000004</v>
          </cell>
          <cell r="N838">
            <v>7.393302083</v>
          </cell>
          <cell r="O838">
            <v>7.261524616</v>
          </cell>
          <cell r="P838">
            <v>7.1415127590000003</v>
          </cell>
          <cell r="Q838">
            <v>7.0331946910000003</v>
          </cell>
          <cell r="R838">
            <v>6.9305139320000002</v>
          </cell>
          <cell r="S838">
            <v>6.8342681089999999</v>
          </cell>
          <cell r="T838">
            <v>6.7471371209999997</v>
          </cell>
          <cell r="U838">
            <v>6.6710279159999999</v>
          </cell>
          <cell r="V838">
            <v>6.6061943430000003</v>
          </cell>
          <cell r="W838">
            <v>6.5548007579999998</v>
          </cell>
          <cell r="X838">
            <v>6.5176668199999996</v>
          </cell>
          <cell r="Y838">
            <v>6.4946859119999996</v>
          </cell>
          <cell r="Z838">
            <v>6.4850746929999996</v>
          </cell>
          <cell r="AA838">
            <v>6.4850781990000002</v>
          </cell>
          <cell r="AB838">
            <v>6.4950833399999999</v>
          </cell>
          <cell r="AC838">
            <v>6.5166081819999997</v>
          </cell>
          <cell r="AD838">
            <v>6.5487452990000001</v>
          </cell>
          <cell r="AE838">
            <v>6.5891166639999996</v>
          </cell>
          <cell r="AF838">
            <v>6.6347958909999996</v>
          </cell>
          <cell r="AG838">
            <v>6.6832978550000002</v>
          </cell>
          <cell r="AH838">
            <v>6.7325394599999999</v>
          </cell>
          <cell r="AI838">
            <v>6.7802041329999998</v>
          </cell>
          <cell r="AJ838">
            <v>6.8238867990000003</v>
          </cell>
          <cell r="AK838">
            <v>6.8610676049999997</v>
          </cell>
        </row>
        <row r="840">
          <cell r="A840" t="str">
            <v>ems_ci_co2_spap_2</v>
          </cell>
          <cell r="B840">
            <v>2.533610962</v>
          </cell>
          <cell r="C840">
            <v>2.559495868</v>
          </cell>
          <cell r="D840">
            <v>2.5886845410000001</v>
          </cell>
          <cell r="E840">
            <v>2.6133404370000002</v>
          </cell>
          <cell r="F840">
            <v>2.6531706150000001</v>
          </cell>
          <cell r="G840">
            <v>2.7047290319999999</v>
          </cell>
          <cell r="H840">
            <v>2.7521776870000001</v>
          </cell>
          <cell r="I840">
            <v>2.6699067090000002</v>
          </cell>
          <cell r="J840">
            <v>2.578770907</v>
          </cell>
          <cell r="K840">
            <v>2.5048967910000002</v>
          </cell>
          <cell r="L840">
            <v>2.4350593850000002</v>
          </cell>
          <cell r="M840">
            <v>2.3684646800000002</v>
          </cell>
          <cell r="N840">
            <v>2.3029021439999999</v>
          </cell>
          <cell r="O840">
            <v>2.2389966370000001</v>
          </cell>
          <cell r="P840">
            <v>2.178431792</v>
          </cell>
          <cell r="Q840">
            <v>2.1218740139999999</v>
          </cell>
          <cell r="R840">
            <v>2.067594207</v>
          </cell>
          <cell r="S840">
            <v>2.0170603570000001</v>
          </cell>
          <cell r="T840">
            <v>1.970952547</v>
          </cell>
          <cell r="U840">
            <v>1.929414282</v>
          </cell>
          <cell r="V840">
            <v>1.8921459469999999</v>
          </cell>
          <cell r="W840">
            <v>1.8594613339999999</v>
          </cell>
          <cell r="X840">
            <v>1.831297194</v>
          </cell>
          <cell r="Y840">
            <v>1.8073161369999999</v>
          </cell>
          <cell r="Z840">
            <v>1.7869212590000001</v>
          </cell>
          <cell r="AA840">
            <v>1.768778006</v>
          </cell>
          <cell r="AB840">
            <v>1.7532114569999999</v>
          </cell>
          <cell r="AC840">
            <v>1.7400571899999999</v>
          </cell>
          <cell r="AD840">
            <v>1.72870518</v>
          </cell>
          <cell r="AE840">
            <v>1.717959735</v>
          </cell>
          <cell r="AF840">
            <v>1.7064313360000001</v>
          </cell>
          <cell r="AG840">
            <v>1.6929405230000001</v>
          </cell>
          <cell r="AH840">
            <v>1.676500589</v>
          </cell>
          <cell r="AI840">
            <v>1.6561056569999999</v>
          </cell>
          <cell r="AJ840">
            <v>1.630720137</v>
          </cell>
          <cell r="AK840">
            <v>1.5992524910000001</v>
          </cell>
        </row>
        <row r="842">
          <cell r="A842" t="str">
            <v>ems_ci_co2_sche_2</v>
          </cell>
          <cell r="B842">
            <v>13.59787135</v>
          </cell>
          <cell r="C842">
            <v>13.92077106</v>
          </cell>
          <cell r="D842">
            <v>14.27752819</v>
          </cell>
          <cell r="E842">
            <v>14.64251211</v>
          </cell>
          <cell r="F842">
            <v>15.030597930000001</v>
          </cell>
          <cell r="G842">
            <v>15.441185340000001</v>
          </cell>
          <cell r="H842">
            <v>15.845460640000001</v>
          </cell>
          <cell r="I842">
            <v>15.87281978</v>
          </cell>
          <cell r="J842">
            <v>15.85692862</v>
          </cell>
          <cell r="K842">
            <v>15.93814665</v>
          </cell>
          <cell r="L842">
            <v>15.99013693</v>
          </cell>
          <cell r="M842">
            <v>15.938760479999999</v>
          </cell>
          <cell r="N842">
            <v>15.80575582</v>
          </cell>
          <cell r="O842">
            <v>15.625139369999999</v>
          </cell>
          <cell r="P842">
            <v>15.43086851</v>
          </cell>
          <cell r="Q842">
            <v>15.24118893</v>
          </cell>
          <cell r="R842">
            <v>15.073913449999999</v>
          </cell>
          <cell r="S842">
            <v>14.934969239999999</v>
          </cell>
          <cell r="T842">
            <v>14.82976335</v>
          </cell>
          <cell r="U842">
            <v>14.758868809999999</v>
          </cell>
          <cell r="V842">
            <v>14.720286979999999</v>
          </cell>
          <cell r="W842">
            <v>14.71590408</v>
          </cell>
          <cell r="X842">
            <v>14.74615502</v>
          </cell>
          <cell r="Y842">
            <v>14.80924065</v>
          </cell>
          <cell r="Z842">
            <v>14.900938180000001</v>
          </cell>
          <cell r="AA842">
            <v>15.01314932</v>
          </cell>
          <cell r="AB842">
            <v>15.14770444</v>
          </cell>
          <cell r="AC842">
            <v>15.308821999999999</v>
          </cell>
          <cell r="AD842">
            <v>15.49396061</v>
          </cell>
          <cell r="AE842">
            <v>15.69365797</v>
          </cell>
          <cell r="AF842">
            <v>15.89656025</v>
          </cell>
          <cell r="AG842">
            <v>16.094529269999999</v>
          </cell>
          <cell r="AH842">
            <v>16.282363149999998</v>
          </cell>
          <cell r="AI842">
            <v>16.45482792</v>
          </cell>
          <cell r="AJ842">
            <v>16.606737630000001</v>
          </cell>
          <cell r="AK842">
            <v>16.733048830000001</v>
          </cell>
        </row>
        <row r="844">
          <cell r="A844" t="str">
            <v>ems_ci_co2_spla_2</v>
          </cell>
          <cell r="B844">
            <v>1.4824302970000001</v>
          </cell>
          <cell r="C844">
            <v>1.4894085180000001</v>
          </cell>
          <cell r="D844">
            <v>1.4970472770000001</v>
          </cell>
          <cell r="E844">
            <v>1.499244724</v>
          </cell>
          <cell r="F844">
            <v>1.5132738649999999</v>
          </cell>
          <cell r="G844">
            <v>1.537020016</v>
          </cell>
          <cell r="H844">
            <v>1.563083011</v>
          </cell>
          <cell r="I844">
            <v>1.479825293</v>
          </cell>
          <cell r="J844">
            <v>1.3911279050000001</v>
          </cell>
          <cell r="K844">
            <v>1.314993597</v>
          </cell>
          <cell r="L844">
            <v>1.2428310309999999</v>
          </cell>
          <cell r="M844">
            <v>1.1750619600000001</v>
          </cell>
          <cell r="N844">
            <v>1.1106242319999999</v>
          </cell>
          <cell r="O844">
            <v>1.0497091780000001</v>
          </cell>
          <cell r="P844">
            <v>0.99293351910000005</v>
          </cell>
          <cell r="Q844">
            <v>0.94023926140000003</v>
          </cell>
          <cell r="R844">
            <v>0.88964403930000002</v>
          </cell>
          <cell r="S844">
            <v>0.84185638350000003</v>
          </cell>
          <cell r="T844">
            <v>0.79714693709999995</v>
          </cell>
          <cell r="U844">
            <v>0.75543832079999995</v>
          </cell>
          <cell r="V844">
            <v>0.71646452650000003</v>
          </cell>
          <cell r="W844">
            <v>0.68002447099999996</v>
          </cell>
          <cell r="X844">
            <v>0.64581263799999999</v>
          </cell>
          <cell r="Y844">
            <v>0.61336712469999999</v>
          </cell>
          <cell r="Z844">
            <v>0.58211817089999995</v>
          </cell>
          <cell r="AA844">
            <v>0.55136701749999995</v>
          </cell>
          <cell r="AB844">
            <v>0.52075977449999999</v>
          </cell>
          <cell r="AC844">
            <v>0.48983802510000002</v>
          </cell>
          <cell r="AD844">
            <v>0.45791348949999999</v>
          </cell>
          <cell r="AE844">
            <v>0.4240856583</v>
          </cell>
          <cell r="AF844">
            <v>0.3874195486</v>
          </cell>
          <cell r="AG844">
            <v>0.3470565578</v>
          </cell>
          <cell r="AH844">
            <v>0.30215155989999998</v>
          </cell>
          <cell r="AI844">
            <v>0.2517567121</v>
          </cell>
          <cell r="AJ844">
            <v>0.19475584949999999</v>
          </cell>
          <cell r="AK844">
            <v>0.12973947969999999</v>
          </cell>
        </row>
        <row r="846">
          <cell r="A846" t="str">
            <v>ems_ci_co2_smet_2</v>
          </cell>
          <cell r="B846">
            <v>19.467183080000002</v>
          </cell>
          <cell r="C846">
            <v>19.626582750000001</v>
          </cell>
          <cell r="D846">
            <v>19.80670559</v>
          </cell>
          <cell r="E846">
            <v>19.915586959999999</v>
          </cell>
          <cell r="F846">
            <v>20.164650890000001</v>
          </cell>
          <cell r="G846">
            <v>20.524407159999999</v>
          </cell>
          <cell r="H846">
            <v>20.907109810000001</v>
          </cell>
          <cell r="I846">
            <v>20.310238909999999</v>
          </cell>
          <cell r="J846">
            <v>19.595177240000002</v>
          </cell>
          <cell r="K846">
            <v>19.013307130000001</v>
          </cell>
          <cell r="L846">
            <v>18.46084346</v>
          </cell>
          <cell r="M846">
            <v>17.970907589999999</v>
          </cell>
          <cell r="N846">
            <v>17.517495149999998</v>
          </cell>
          <cell r="O846">
            <v>17.101456970000001</v>
          </cell>
          <cell r="P846">
            <v>16.73440896</v>
          </cell>
          <cell r="Q846">
            <v>16.41923684</v>
          </cell>
          <cell r="R846">
            <v>16.11357782</v>
          </cell>
          <cell r="S846">
            <v>15.8367568</v>
          </cell>
          <cell r="T846">
            <v>15.600242550000001</v>
          </cell>
          <cell r="U846">
            <v>15.407829319999999</v>
          </cell>
          <cell r="V846">
            <v>15.2594762</v>
          </cell>
          <cell r="W846">
            <v>15.15694023</v>
          </cell>
          <cell r="X846">
            <v>15.10105559</v>
          </cell>
          <cell r="Y846">
            <v>15.090020340000001</v>
          </cell>
          <cell r="Z846">
            <v>15.119803080000001</v>
          </cell>
          <cell r="AA846">
            <v>15.18322987</v>
          </cell>
          <cell r="AB846">
            <v>15.280699289999999</v>
          </cell>
          <cell r="AC846">
            <v>15.41515274</v>
          </cell>
          <cell r="AD846">
            <v>15.583572849999999</v>
          </cell>
          <cell r="AE846">
            <v>15.77729343</v>
          </cell>
          <cell r="AF846">
            <v>15.98620985</v>
          </cell>
          <cell r="AG846">
            <v>16.203112520000001</v>
          </cell>
          <cell r="AH846">
            <v>16.423376229999999</v>
          </cell>
          <cell r="AI846">
            <v>16.642349970000001</v>
          </cell>
          <cell r="AJ846">
            <v>16.855543040000001</v>
          </cell>
          <cell r="AK846">
            <v>17.058623690000001</v>
          </cell>
        </row>
        <row r="848">
          <cell r="A848" t="str">
            <v>ems_ci_co2_sigo_2</v>
          </cell>
          <cell r="B848">
            <v>1.216511809</v>
          </cell>
          <cell r="C848">
            <v>1.238486529</v>
          </cell>
          <cell r="D848">
            <v>1.2600958840000001</v>
          </cell>
          <cell r="E848">
            <v>1.277281871</v>
          </cell>
          <cell r="F848">
            <v>1.300921744</v>
          </cell>
          <cell r="G848">
            <v>1.330426831</v>
          </cell>
          <cell r="H848">
            <v>1.355726813</v>
          </cell>
          <cell r="I848">
            <v>1.2927851640000001</v>
          </cell>
          <cell r="J848">
            <v>1.223841263</v>
          </cell>
          <cell r="K848">
            <v>1.166339032</v>
          </cell>
          <cell r="L848">
            <v>1.1092920959999999</v>
          </cell>
          <cell r="M848">
            <v>1.0517338919999999</v>
          </cell>
          <cell r="N848">
            <v>0.99349710000000002</v>
          </cell>
          <cell r="O848">
            <v>0.93608595449999998</v>
          </cell>
          <cell r="P848">
            <v>0.88127164020000004</v>
          </cell>
          <cell r="Q848">
            <v>0.82970906389999999</v>
          </cell>
          <cell r="R848">
            <v>0.78169544179999995</v>
          </cell>
          <cell r="S848">
            <v>0.73773828480000003</v>
          </cell>
          <cell r="T848">
            <v>0.69771369260000005</v>
          </cell>
          <cell r="U848">
            <v>0.66123953369999999</v>
          </cell>
          <cell r="V848">
            <v>0.62794485619999996</v>
          </cell>
          <cell r="W848">
            <v>0.59752846630000001</v>
          </cell>
          <cell r="X848">
            <v>0.56970315439999997</v>
          </cell>
          <cell r="Y848">
            <v>0.54397924610000004</v>
          </cell>
          <cell r="Z848">
            <v>0.51976370039999997</v>
          </cell>
          <cell r="AA848">
            <v>0.49648616350000002</v>
          </cell>
          <cell r="AB848">
            <v>0.47373173660000001</v>
          </cell>
          <cell r="AC848">
            <v>0.45134584280000001</v>
          </cell>
          <cell r="AD848">
            <v>0.4286170882</v>
          </cell>
          <cell r="AE848">
            <v>0.4045209173</v>
          </cell>
          <cell r="AF848">
            <v>0.37799406060000001</v>
          </cell>
          <cell r="AG848">
            <v>0.34811415099999998</v>
          </cell>
          <cell r="AH848">
            <v>0.31398661449999998</v>
          </cell>
          <cell r="AI848">
            <v>0.274549924</v>
          </cell>
          <cell r="AJ848">
            <v>0.2285703104</v>
          </cell>
          <cell r="AK848">
            <v>0.17458450389999999</v>
          </cell>
        </row>
        <row r="850">
          <cell r="A850" t="str">
            <v>ems_ci_co2_scgo_2</v>
          </cell>
          <cell r="B850">
            <v>2.2734885010000001</v>
          </cell>
          <cell r="C850">
            <v>2.289601572</v>
          </cell>
          <cell r="D850">
            <v>2.308798103</v>
          </cell>
          <cell r="E850">
            <v>2.325087914</v>
          </cell>
          <cell r="F850">
            <v>2.3559123839999998</v>
          </cell>
          <cell r="G850">
            <v>2.3993437640000002</v>
          </cell>
          <cell r="H850">
            <v>2.4437195809999999</v>
          </cell>
          <cell r="I850">
            <v>2.361486454</v>
          </cell>
          <cell r="J850">
            <v>2.263999283</v>
          </cell>
          <cell r="K850">
            <v>2.1751524760000001</v>
          </cell>
          <cell r="L850">
            <v>2.0881989810000001</v>
          </cell>
          <cell r="M850">
            <v>2.0063369899999999</v>
          </cell>
          <cell r="N850">
            <v>1.9274036889999999</v>
          </cell>
          <cell r="O850">
            <v>1.8512883490000001</v>
          </cell>
          <cell r="P850">
            <v>1.7790075510000001</v>
          </cell>
          <cell r="Q850">
            <v>1.7110452650000001</v>
          </cell>
          <cell r="R850">
            <v>1.6445341490000001</v>
          </cell>
          <cell r="S850">
            <v>1.5813220809999999</v>
          </cell>
          <cell r="T850">
            <v>1.522423565</v>
          </cell>
          <cell r="U850">
            <v>1.4683145710000001</v>
          </cell>
          <cell r="V850">
            <v>1.418998247</v>
          </cell>
          <cell r="W850">
            <v>1.3748265639999999</v>
          </cell>
          <cell r="X850">
            <v>1.3357405090000001</v>
          </cell>
          <cell r="Y850">
            <v>1.3014284549999999</v>
          </cell>
          <cell r="Z850">
            <v>1.2714026540000001</v>
          </cell>
          <cell r="AA850">
            <v>1.244632156</v>
          </cell>
          <cell r="AB850">
            <v>1.2214891430000001</v>
          </cell>
          <cell r="AC850">
            <v>1.2014622740000001</v>
          </cell>
          <cell r="AD850">
            <v>1.1838147539999999</v>
          </cell>
          <cell r="AE850">
            <v>1.1674044800000001</v>
          </cell>
          <cell r="AF850">
            <v>1.1509403460000001</v>
          </cell>
          <cell r="AG850">
            <v>1.13324862</v>
          </cell>
          <cell r="AH850">
            <v>1.1132397009999999</v>
          </cell>
          <cell r="AI850">
            <v>1.0897311629999999</v>
          </cell>
          <cell r="AJ850">
            <v>1.0614525909999999</v>
          </cell>
          <cell r="AK850">
            <v>1.0270053180000001</v>
          </cell>
        </row>
        <row r="852">
          <cell r="A852" t="str">
            <v>ems_ci_co2_scon_2</v>
          </cell>
          <cell r="B852">
            <v>7.427060129</v>
          </cell>
          <cell r="C852">
            <v>7.1022372860000003</v>
          </cell>
          <cell r="D852">
            <v>6.7601761519999997</v>
          </cell>
          <cell r="E852">
            <v>6.3688177250000004</v>
          </cell>
          <cell r="F852">
            <v>6.1582708019999997</v>
          </cell>
          <cell r="G852">
            <v>6.0989008690000004</v>
          </cell>
          <cell r="H852">
            <v>6.1256001080000004</v>
          </cell>
          <cell r="I852">
            <v>5.3634564180000002</v>
          </cell>
          <cell r="J852">
            <v>4.5536535990000004</v>
          </cell>
          <cell r="K852">
            <v>3.8390478350000001</v>
          </cell>
          <cell r="L852">
            <v>3.2489288119999999</v>
          </cell>
          <cell r="M852">
            <v>2.8281899720000001</v>
          </cell>
          <cell r="N852">
            <v>2.5162547220000002</v>
          </cell>
          <cell r="O852">
            <v>2.272493678</v>
          </cell>
          <cell r="P852">
            <v>2.0737660980000001</v>
          </cell>
          <cell r="Q852">
            <v>1.906663625</v>
          </cell>
          <cell r="R852">
            <v>1.7475870760000001</v>
          </cell>
          <cell r="S852">
            <v>1.600084378</v>
          </cell>
          <cell r="T852">
            <v>1.467194342</v>
          </cell>
          <cell r="U852">
            <v>1.3501969540000001</v>
          </cell>
          <cell r="V852">
            <v>1.2489928530000001</v>
          </cell>
          <cell r="W852">
            <v>1.163157333</v>
          </cell>
          <cell r="X852">
            <v>1.0916180360000001</v>
          </cell>
          <cell r="Y852">
            <v>1.032984822</v>
          </cell>
          <cell r="Z852">
            <v>0.98593576400000005</v>
          </cell>
          <cell r="AA852">
            <v>0.9488991443</v>
          </cell>
          <cell r="AB852">
            <v>0.92121935290000001</v>
          </cell>
          <cell r="AC852">
            <v>0.90187039010000003</v>
          </cell>
          <cell r="AD852">
            <v>0.88904021349999995</v>
          </cell>
          <cell r="AE852">
            <v>0.88022352670000004</v>
          </cell>
          <cell r="AF852">
            <v>0.87219514929999997</v>
          </cell>
          <cell r="AG852">
            <v>0.86072365139999996</v>
          </cell>
          <cell r="AH852">
            <v>0.83961531550000001</v>
          </cell>
          <cell r="AI852">
            <v>0.79895799300000003</v>
          </cell>
          <cell r="AJ852">
            <v>0.72245266850000001</v>
          </cell>
          <cell r="AK852">
            <v>0.58187483740000001</v>
          </cell>
        </row>
        <row r="854">
          <cell r="A854" t="str">
            <v>ems_ci_co2_srai_2</v>
          </cell>
          <cell r="B854">
            <v>1.7345464589999999</v>
          </cell>
          <cell r="C854">
            <v>1.7615715430000001</v>
          </cell>
          <cell r="D854">
            <v>1.7921473109999999</v>
          </cell>
          <cell r="E854">
            <v>1.824792881</v>
          </cell>
          <cell r="F854">
            <v>1.8608684660000001</v>
          </cell>
          <cell r="G854">
            <v>1.9000068000000001</v>
          </cell>
          <cell r="H854">
            <v>1.9399432809999999</v>
          </cell>
          <cell r="I854">
            <v>1.902878708</v>
          </cell>
          <cell r="J854">
            <v>1.8604022659999999</v>
          </cell>
          <cell r="K854">
            <v>1.821600798</v>
          </cell>
          <cell r="L854">
            <v>1.781050257</v>
          </cell>
          <cell r="M854">
            <v>1.7345800309999999</v>
          </cell>
          <cell r="N854">
            <v>1.6828686960000001</v>
          </cell>
          <cell r="O854">
            <v>1.6273637430000001</v>
          </cell>
          <cell r="P854">
            <v>1.569713575</v>
          </cell>
          <cell r="Q854">
            <v>1.5109588039999999</v>
          </cell>
          <cell r="R854">
            <v>1.451416654</v>
          </cell>
          <cell r="S854">
            <v>1.3919120389999999</v>
          </cell>
          <cell r="T854">
            <v>1.3329468369999999</v>
          </cell>
          <cell r="U854">
            <v>1.2746646340000001</v>
          </cell>
          <cell r="V854">
            <v>1.2167623590000001</v>
          </cell>
          <cell r="W854">
            <v>1.1595353669999999</v>
          </cell>
          <cell r="X854">
            <v>1.1027484780000001</v>
          </cell>
          <cell r="Y854">
            <v>1.046085916</v>
          </cell>
          <cell r="Z854">
            <v>0.98911037989999995</v>
          </cell>
          <cell r="AA854">
            <v>0.93077975629999998</v>
          </cell>
          <cell r="AB854">
            <v>0.87129865679999996</v>
          </cell>
          <cell r="AC854">
            <v>0.81023365169999995</v>
          </cell>
          <cell r="AD854">
            <v>0.74705699699999994</v>
          </cell>
          <cell r="AE854">
            <v>0.68107262599999996</v>
          </cell>
          <cell r="AF854">
            <v>0.61154396099999997</v>
          </cell>
          <cell r="AG854">
            <v>0.5378073391</v>
          </cell>
          <cell r="AH854">
            <v>0.45927531830000001</v>
          </cell>
          <cell r="AI854">
            <v>0.37539767610000002</v>
          </cell>
          <cell r="AJ854">
            <v>0.2856414685</v>
          </cell>
          <cell r="AK854">
            <v>0.18947103849999999</v>
          </cell>
        </row>
        <row r="856">
          <cell r="A856" t="str">
            <v>ems_ci_co2_sroa_2</v>
          </cell>
          <cell r="B856">
            <v>17.318265199999999</v>
          </cell>
          <cell r="C856">
            <v>17.591020669999999</v>
          </cell>
          <cell r="D856">
            <v>17.899963899999999</v>
          </cell>
          <cell r="E856">
            <v>18.2300644</v>
          </cell>
          <cell r="F856">
            <v>18.593509739999998</v>
          </cell>
          <cell r="G856">
            <v>18.986307289999999</v>
          </cell>
          <cell r="H856">
            <v>19.386480479999999</v>
          </cell>
          <cell r="I856">
            <v>19.021934309999999</v>
          </cell>
          <cell r="J856">
            <v>18.60658656</v>
          </cell>
          <cell r="K856">
            <v>18.229984810000001</v>
          </cell>
          <cell r="L856">
            <v>17.83678772</v>
          </cell>
          <cell r="M856">
            <v>17.38347358</v>
          </cell>
          <cell r="N856">
            <v>16.87660954</v>
          </cell>
          <cell r="O856">
            <v>16.330684720000001</v>
          </cell>
          <cell r="P856">
            <v>15.762212590000001</v>
          </cell>
          <cell r="Q856">
            <v>15.181605530000001</v>
          </cell>
          <cell r="R856">
            <v>14.592256040000001</v>
          </cell>
          <cell r="S856">
            <v>14.002268369999999</v>
          </cell>
          <cell r="T856">
            <v>13.41657122</v>
          </cell>
          <cell r="U856">
            <v>12.83653299</v>
          </cell>
          <cell r="V856">
            <v>12.25904495</v>
          </cell>
          <cell r="W856">
            <v>11.687066229999999</v>
          </cell>
          <cell r="X856">
            <v>11.11824345</v>
          </cell>
          <cell r="Y856">
            <v>10.549447860000001</v>
          </cell>
          <cell r="Z856">
            <v>9.9763372540000006</v>
          </cell>
          <cell r="AA856">
            <v>9.388472234</v>
          </cell>
          <cell r="AB856">
            <v>8.7880118209999996</v>
          </cell>
          <cell r="AC856">
            <v>8.1707254070000008</v>
          </cell>
          <cell r="AD856">
            <v>7.5315156779999999</v>
          </cell>
          <cell r="AE856">
            <v>6.8636371370000004</v>
          </cell>
          <cell r="AF856">
            <v>6.159953346</v>
          </cell>
          <cell r="AG856">
            <v>5.4140669389999996</v>
          </cell>
          <cell r="AH856">
            <v>4.6203663209999997</v>
          </cell>
          <cell r="AI856">
            <v>3.7736499910000001</v>
          </cell>
          <cell r="AJ856">
            <v>2.8689212020000001</v>
          </cell>
          <cell r="AK856">
            <v>1.901196111</v>
          </cell>
        </row>
        <row r="858">
          <cell r="A858" t="str">
            <v>ems_ci_co2_swat_2</v>
          </cell>
          <cell r="B858">
            <v>3.8248369960000002</v>
          </cell>
          <cell r="C858">
            <v>3.950925486</v>
          </cell>
          <cell r="D858">
            <v>4.0834675960000002</v>
          </cell>
          <cell r="E858">
            <v>4.2127890890000002</v>
          </cell>
          <cell r="F858">
            <v>4.3444162469999998</v>
          </cell>
          <cell r="G858">
            <v>4.4804280580000002</v>
          </cell>
          <cell r="H858">
            <v>4.6179450419999997</v>
          </cell>
          <cell r="I858">
            <v>4.5799090060000003</v>
          </cell>
          <cell r="J858">
            <v>4.5487200720000001</v>
          </cell>
          <cell r="K858">
            <v>4.5734984949999999</v>
          </cell>
          <cell r="L858">
            <v>4.5935391560000003</v>
          </cell>
          <cell r="M858">
            <v>4.5690687350000001</v>
          </cell>
          <cell r="N858">
            <v>4.4998059279999998</v>
          </cell>
          <cell r="O858">
            <v>4.3976601569999998</v>
          </cell>
          <cell r="P858">
            <v>4.2773398140000003</v>
          </cell>
          <cell r="Q858">
            <v>4.1473889880000003</v>
          </cell>
          <cell r="R858">
            <v>4.0166295190000003</v>
          </cell>
          <cell r="S858">
            <v>3.8906215820000001</v>
          </cell>
          <cell r="T858">
            <v>3.7715789559999999</v>
          </cell>
          <cell r="U858">
            <v>3.6587417790000001</v>
          </cell>
          <cell r="V858">
            <v>3.5508728029999999</v>
          </cell>
          <cell r="W858">
            <v>3.4471001060000002</v>
          </cell>
          <cell r="X858">
            <v>3.3468148310000001</v>
          </cell>
          <cell r="Y858">
            <v>3.2475251749999998</v>
          </cell>
          <cell r="Z858">
            <v>3.1459094200000002</v>
          </cell>
          <cell r="AA858">
            <v>3.0392874320000001</v>
          </cell>
          <cell r="AB858">
            <v>2.9278927019999998</v>
          </cell>
          <cell r="AC858">
            <v>2.8129472020000001</v>
          </cell>
          <cell r="AD858">
            <v>2.691580965</v>
          </cell>
          <cell r="AE858">
            <v>2.558881585</v>
          </cell>
          <cell r="AF858">
            <v>2.410173946</v>
          </cell>
          <cell r="AG858">
            <v>2.2427838969999998</v>
          </cell>
          <cell r="AH858">
            <v>2.0550223330000001</v>
          </cell>
          <cell r="AI858">
            <v>1.844380949</v>
          </cell>
          <cell r="AJ858">
            <v>1.6080438530000001</v>
          </cell>
          <cell r="AK858">
            <v>1.3430674890000001</v>
          </cell>
        </row>
        <row r="860">
          <cell r="A860" t="str">
            <v>ems_ci_co2_sair_2</v>
          </cell>
          <cell r="B860">
            <v>19.2035819</v>
          </cell>
          <cell r="C860">
            <v>19.61793376</v>
          </cell>
          <cell r="D860">
            <v>20.08459448</v>
          </cell>
          <cell r="E860">
            <v>20.551703509999999</v>
          </cell>
          <cell r="F860">
            <v>21.076494950000001</v>
          </cell>
          <cell r="G860">
            <v>21.67064117</v>
          </cell>
          <cell r="H860">
            <v>22.31905622</v>
          </cell>
          <cell r="I860">
            <v>22.016126830000001</v>
          </cell>
          <cell r="J860">
            <v>21.616387069999998</v>
          </cell>
          <cell r="K860">
            <v>21.336065619999999</v>
          </cell>
          <cell r="L860">
            <v>21.054505049999999</v>
          </cell>
          <cell r="M860">
            <v>20.71266438</v>
          </cell>
          <cell r="N860">
            <v>20.315300000000001</v>
          </cell>
          <cell r="O860">
            <v>19.871370339999999</v>
          </cell>
          <cell r="P860">
            <v>19.39601583</v>
          </cell>
          <cell r="Q860">
            <v>18.896125829999999</v>
          </cell>
          <cell r="R860">
            <v>18.354460459999999</v>
          </cell>
          <cell r="S860">
            <v>17.789410230000001</v>
          </cell>
          <cell r="T860">
            <v>17.21806733</v>
          </cell>
          <cell r="U860">
            <v>16.651053449999999</v>
          </cell>
          <cell r="V860">
            <v>16.091513450000001</v>
          </cell>
          <cell r="W860">
            <v>15.547575269999999</v>
          </cell>
          <cell r="X860">
            <v>15.02094628</v>
          </cell>
          <cell r="Y860">
            <v>14.50736788</v>
          </cell>
          <cell r="Z860">
            <v>13.99845665</v>
          </cell>
          <cell r="AA860">
            <v>13.47803964</v>
          </cell>
          <cell r="AB860">
            <v>12.94965833</v>
          </cell>
          <cell r="AC860">
            <v>12.411002099999999</v>
          </cell>
          <cell r="AD860">
            <v>11.85266691</v>
          </cell>
          <cell r="AE860">
            <v>11.25917671</v>
          </cell>
          <cell r="AF860">
            <v>10.6132638</v>
          </cell>
          <cell r="AG860">
            <v>9.8999782839999995</v>
          </cell>
          <cell r="AH860">
            <v>9.105514844</v>
          </cell>
          <cell r="AI860">
            <v>8.2137675780000006</v>
          </cell>
          <cell r="AJ860">
            <v>7.2061794079999997</v>
          </cell>
          <cell r="AK860">
            <v>6.0607930679999997</v>
          </cell>
        </row>
        <row r="862">
          <cell r="A862" t="str">
            <v>ems_ci_co2_spri_2</v>
          </cell>
          <cell r="B862">
            <v>30.586880539999999</v>
          </cell>
          <cell r="C862">
            <v>30.295202110000002</v>
          </cell>
          <cell r="D862">
            <v>30.006257519999998</v>
          </cell>
          <cell r="E862">
            <v>29.59225584</v>
          </cell>
          <cell r="F862">
            <v>29.560724650000001</v>
          </cell>
          <cell r="G862">
            <v>29.819296850000001</v>
          </cell>
          <cell r="H862">
            <v>30.129024860000001</v>
          </cell>
          <cell r="I862">
            <v>27.986079709999998</v>
          </cell>
          <cell r="J862">
            <v>25.773685560000001</v>
          </cell>
          <cell r="K862">
            <v>23.78876983</v>
          </cell>
          <cell r="L862">
            <v>22.021287189999999</v>
          </cell>
          <cell r="M862">
            <v>20.573461179999999</v>
          </cell>
          <cell r="N862">
            <v>19.328321339999999</v>
          </cell>
          <cell r="O862">
            <v>18.219343120000001</v>
          </cell>
          <cell r="P862">
            <v>17.212189980000002</v>
          </cell>
          <cell r="Q862">
            <v>16.285308669999999</v>
          </cell>
          <cell r="R862">
            <v>15.38718132</v>
          </cell>
          <cell r="S862">
            <v>14.532675559999999</v>
          </cell>
          <cell r="T862">
            <v>13.72948487</v>
          </cell>
          <cell r="U862">
            <v>12.97992795</v>
          </cell>
          <cell r="V862">
            <v>12.280188409999999</v>
          </cell>
          <cell r="W862">
            <v>11.631992670000001</v>
          </cell>
          <cell r="X862">
            <v>11.030723849999999</v>
          </cell>
          <cell r="Y862">
            <v>10.470137749999999</v>
          </cell>
          <cell r="Z862">
            <v>9.9427170829999998</v>
          </cell>
          <cell r="AA862">
            <v>9.4341574549999994</v>
          </cell>
          <cell r="AB862">
            <v>8.9436532569999994</v>
          </cell>
          <cell r="AC862">
            <v>8.4630899809999995</v>
          </cell>
          <cell r="AD862">
            <v>7.9815948580000002</v>
          </cell>
          <cell r="AE862">
            <v>7.4852193979999999</v>
          </cell>
          <cell r="AF862">
            <v>6.9579341030000004</v>
          </cell>
          <cell r="AG862">
            <v>6.3824122320000001</v>
          </cell>
          <cell r="AH862">
            <v>5.7390630270000003</v>
          </cell>
          <cell r="AI862">
            <v>5.0039856509999998</v>
          </cell>
          <cell r="AJ862">
            <v>4.1468332869999998</v>
          </cell>
          <cell r="AK862">
            <v>3.126700724</v>
          </cell>
        </row>
        <row r="864">
          <cell r="A864" t="str">
            <v>ems_ci_co2_spub_2</v>
          </cell>
          <cell r="B864">
            <v>13.794241100000001</v>
          </cell>
          <cell r="C864">
            <v>13.41243502</v>
          </cell>
          <cell r="D864">
            <v>13.038854499999999</v>
          </cell>
          <cell r="E864">
            <v>12.60446992</v>
          </cell>
          <cell r="F864">
            <v>12.39261196</v>
          </cell>
          <cell r="G864">
            <v>12.33420005</v>
          </cell>
          <cell r="H864">
            <v>12.31562907</v>
          </cell>
          <cell r="I864">
            <v>11.23038199</v>
          </cell>
          <cell r="J864">
            <v>10.1963621</v>
          </cell>
          <cell r="K864">
            <v>9.2893225180000005</v>
          </cell>
          <cell r="L864">
            <v>8.5198059659999998</v>
          </cell>
          <cell r="M864">
            <v>7.9162074010000003</v>
          </cell>
          <cell r="N864">
            <v>7.4244979009999996</v>
          </cell>
          <cell r="O864">
            <v>7.0065073419999999</v>
          </cell>
          <cell r="P864">
            <v>6.6388144100000002</v>
          </cell>
          <cell r="Q864">
            <v>6.3067214099999998</v>
          </cell>
          <cell r="R864">
            <v>5.9878362899999997</v>
          </cell>
          <cell r="S864">
            <v>5.6837832129999999</v>
          </cell>
          <cell r="T864">
            <v>5.3951294609999998</v>
          </cell>
          <cell r="U864">
            <v>5.1215596589999999</v>
          </cell>
          <cell r="V864">
            <v>4.8585628070000002</v>
          </cell>
          <cell r="W864">
            <v>4.6118730990000003</v>
          </cell>
          <cell r="X864">
            <v>4.3770307610000003</v>
          </cell>
          <cell r="Y864">
            <v>4.1517879100000004</v>
          </cell>
          <cell r="Z864">
            <v>3.934020179</v>
          </cell>
          <cell r="AA864">
            <v>3.7140528439999998</v>
          </cell>
          <cell r="AB864">
            <v>3.5008480020000001</v>
          </cell>
          <cell r="AC864">
            <v>3.2892402600000001</v>
          </cell>
          <cell r="AD864">
            <v>3.0758157380000002</v>
          </cell>
          <cell r="AE864">
            <v>2.8568741059999998</v>
          </cell>
          <cell r="AF864">
            <v>2.6282807099999999</v>
          </cell>
          <cell r="AG864">
            <v>2.3854519079999998</v>
          </cell>
          <cell r="AH864">
            <v>2.123011091</v>
          </cell>
          <cell r="AI864">
            <v>1.8341938680000001</v>
          </cell>
          <cell r="AJ864">
            <v>1.5100958440000001</v>
          </cell>
          <cell r="AK864">
            <v>1.137956846</v>
          </cell>
        </row>
        <row r="866">
          <cell r="A866" t="str">
            <v>ems_ci_co2_smin_2</v>
          </cell>
          <cell r="B866">
            <v>1.049167145</v>
          </cell>
          <cell r="C866">
            <v>1.065630871</v>
          </cell>
          <cell r="D866">
            <v>1.0846919749999999</v>
          </cell>
          <cell r="E866">
            <v>1.104948686</v>
          </cell>
          <cell r="F866">
            <v>1.127475317</v>
          </cell>
          <cell r="G866">
            <v>1.1521803289999999</v>
          </cell>
          <cell r="H866">
            <v>1.177834896</v>
          </cell>
          <cell r="I866">
            <v>1.1514480220000001</v>
          </cell>
          <cell r="J866">
            <v>1.1210008170000001</v>
          </cell>
          <cell r="K866">
            <v>1.0932136610000001</v>
          </cell>
          <cell r="L866">
            <v>1.0649352569999999</v>
          </cell>
          <cell r="M866">
            <v>1.033320786</v>
          </cell>
          <cell r="N866">
            <v>0.99839040109999999</v>
          </cell>
          <cell r="O866">
            <v>0.96113958789999998</v>
          </cell>
          <cell r="P866">
            <v>0.9227929829</v>
          </cell>
          <cell r="Q866">
            <v>0.88415576569999998</v>
          </cell>
          <cell r="R866">
            <v>0.84700463349999999</v>
          </cell>
          <cell r="S866">
            <v>0.81050495079999996</v>
          </cell>
          <cell r="T866">
            <v>0.77483280560000001</v>
          </cell>
          <cell r="U866">
            <v>0.74003115990000001</v>
          </cell>
          <cell r="V866">
            <v>0.70592076469999998</v>
          </cell>
          <cell r="W866">
            <v>0.67253306000000002</v>
          </cell>
          <cell r="X866">
            <v>0.63972027440000001</v>
          </cell>
          <cell r="Y866">
            <v>0.60719632339999996</v>
          </cell>
          <cell r="Z866">
            <v>0.57458471509999998</v>
          </cell>
          <cell r="AA866">
            <v>0.54126626560000002</v>
          </cell>
          <cell r="AB866">
            <v>0.50691476189999995</v>
          </cell>
          <cell r="AC866">
            <v>0.4716032329</v>
          </cell>
          <cell r="AD866">
            <v>0.43497910239999998</v>
          </cell>
          <cell r="AE866">
            <v>0.3965410452</v>
          </cell>
          <cell r="AF866">
            <v>0.3557976008</v>
          </cell>
          <cell r="AG866">
            <v>0.3123703914</v>
          </cell>
          <cell r="AH866">
            <v>0.26596739409999998</v>
          </cell>
          <cell r="AI866">
            <v>0.2163220689</v>
          </cell>
          <cell r="AJ866">
            <v>0.1631996929</v>
          </cell>
          <cell r="AK866">
            <v>0.1063947452</v>
          </cell>
        </row>
        <row r="868">
          <cell r="A868" t="str">
            <v>ems_ci_co2_soil_2</v>
          </cell>
          <cell r="B868">
            <v>16.59683708</v>
          </cell>
          <cell r="C868">
            <v>16.747162100000001</v>
          </cell>
          <cell r="D868">
            <v>16.90187508</v>
          </cell>
          <cell r="E868">
            <v>17.06827543</v>
          </cell>
          <cell r="F868">
            <v>17.284668580000002</v>
          </cell>
          <cell r="G868">
            <v>17.549286859999999</v>
          </cell>
          <cell r="H868">
            <v>17.843143810000001</v>
          </cell>
          <cell r="I868">
            <v>17.669015640000001</v>
          </cell>
          <cell r="J868">
            <v>17.444935220000001</v>
          </cell>
          <cell r="K868">
            <v>17.27811444</v>
          </cell>
          <cell r="L868">
            <v>17.11399523</v>
          </cell>
          <cell r="M868">
            <v>16.91780743</v>
          </cell>
          <cell r="N868">
            <v>16.688644660000001</v>
          </cell>
          <cell r="O868">
            <v>16.435068000000001</v>
          </cell>
          <cell r="P868">
            <v>16.169422449999999</v>
          </cell>
          <cell r="Q868">
            <v>15.89852628</v>
          </cell>
          <cell r="R868">
            <v>15.605299049999999</v>
          </cell>
          <cell r="S868">
            <v>15.30953892</v>
          </cell>
          <cell r="T868">
            <v>15.01826383</v>
          </cell>
          <cell r="U868">
            <v>14.734012509999999</v>
          </cell>
          <cell r="V868">
            <v>14.456549239999999</v>
          </cell>
          <cell r="W868">
            <v>14.188350010000001</v>
          </cell>
          <cell r="X868">
            <v>13.93034203</v>
          </cell>
          <cell r="Y868">
            <v>13.68189851</v>
          </cell>
          <cell r="Z868">
            <v>13.440944160000001</v>
          </cell>
          <cell r="AA868">
            <v>13.201924310000001</v>
          </cell>
          <cell r="AB868">
            <v>12.97225894</v>
          </cell>
          <cell r="AC868">
            <v>12.748644609999999</v>
          </cell>
          <cell r="AD868">
            <v>12.529073970000001</v>
          </cell>
          <cell r="AE868">
            <v>12.30839439</v>
          </cell>
          <cell r="AF868">
            <v>12.080080799999999</v>
          </cell>
          <cell r="AG868">
            <v>11.838722750000001</v>
          </cell>
          <cell r="AH868">
            <v>11.580197460000001</v>
          </cell>
          <cell r="AI868">
            <v>11.300507570000001</v>
          </cell>
          <cell r="AJ868">
            <v>10.995608580000001</v>
          </cell>
          <cell r="AK868">
            <v>10.66136539</v>
          </cell>
        </row>
        <row r="870">
          <cell r="A870" t="str">
            <v>ems_ci_co2_sbfu_2</v>
          </cell>
          <cell r="B870">
            <v>3.8672089619999999</v>
          </cell>
          <cell r="C870">
            <v>3.885484113</v>
          </cell>
          <cell r="D870">
            <v>3.900839902</v>
          </cell>
          <cell r="E870">
            <v>3.9203771010000001</v>
          </cell>
          <cell r="F870">
            <v>3.9524332659999999</v>
          </cell>
          <cell r="G870">
            <v>3.9966097989999998</v>
          </cell>
          <cell r="H870">
            <v>4.0490283409999996</v>
          </cell>
          <cell r="I870">
            <v>4.7284678480000002</v>
          </cell>
          <cell r="J870">
            <v>5.4709351640000001</v>
          </cell>
          <cell r="K870">
            <v>6.1971896339999999</v>
          </cell>
          <cell r="L870">
            <v>6.8905852579999998</v>
          </cell>
          <cell r="M870">
            <v>7.5461615200000001</v>
          </cell>
          <cell r="N870">
            <v>8.1597412479999996</v>
          </cell>
          <cell r="O870">
            <v>8.7280861489999992</v>
          </cell>
          <cell r="P870">
            <v>9.2492329130000002</v>
          </cell>
          <cell r="Q870">
            <v>9.7210128650000005</v>
          </cell>
          <cell r="R870">
            <v>10.137436429999999</v>
          </cell>
          <cell r="S870">
            <v>10.498263420000001</v>
          </cell>
          <cell r="T870">
            <v>10.80367749</v>
          </cell>
          <cell r="U870">
            <v>11.05291085</v>
          </cell>
          <cell r="V870">
            <v>11.24356815</v>
          </cell>
          <cell r="W870">
            <v>11.374434089999999</v>
          </cell>
          <cell r="X870">
            <v>11.44310194</v>
          </cell>
          <cell r="Y870">
            <v>11.445936039999999</v>
          </cell>
          <cell r="Z870">
            <v>11.3779959</v>
          </cell>
          <cell r="AA870">
            <v>11.231145039999999</v>
          </cell>
          <cell r="AB870">
            <v>11.000820770000001</v>
          </cell>
          <cell r="AC870">
            <v>10.68087952</v>
          </cell>
          <cell r="AD870">
            <v>10.26274703</v>
          </cell>
          <cell r="AE870">
            <v>9.7351014399999993</v>
          </cell>
          <cell r="AF870">
            <v>9.0844593580000002</v>
          </cell>
          <cell r="AG870">
            <v>8.2959716419999996</v>
          </cell>
          <cell r="AH870">
            <v>7.353224</v>
          </cell>
          <cell r="AI870">
            <v>6.2373331810000003</v>
          </cell>
          <cell r="AJ870">
            <v>4.9262875409999998</v>
          </cell>
          <cell r="AK870">
            <v>3.3937137179999999</v>
          </cell>
        </row>
        <row r="872">
          <cell r="A872" t="str">
            <v>ems_ci_co2_seoi_2</v>
          </cell>
          <cell r="B872">
            <v>3.0530849629999999</v>
          </cell>
          <cell r="C872">
            <v>3.1008413799999999</v>
          </cell>
          <cell r="D872">
            <v>3.1487658980000002</v>
          </cell>
          <cell r="E872">
            <v>3.2010231560000002</v>
          </cell>
          <cell r="F872">
            <v>3.2503175830000002</v>
          </cell>
          <cell r="G872">
            <v>3.2999354570000001</v>
          </cell>
          <cell r="H872">
            <v>3.3520951760000002</v>
          </cell>
          <cell r="I872">
            <v>3.2916079850000002</v>
          </cell>
          <cell r="J872">
            <v>3.2340316310000001</v>
          </cell>
          <cell r="K872">
            <v>3.181364968</v>
          </cell>
          <cell r="L872">
            <v>3.1212001069999999</v>
          </cell>
          <cell r="M872">
            <v>3.0365782779999999</v>
          </cell>
          <cell r="N872">
            <v>2.933144763</v>
          </cell>
          <cell r="O872">
            <v>2.8176702429999998</v>
          </cell>
          <cell r="P872">
            <v>2.6956152809999998</v>
          </cell>
          <cell r="Q872">
            <v>2.5702115929999998</v>
          </cell>
          <cell r="R872">
            <v>2.443530188</v>
          </cell>
          <cell r="S872">
            <v>2.3173191009999998</v>
          </cell>
          <cell r="T872">
            <v>2.1918501570000002</v>
          </cell>
          <cell r="U872">
            <v>2.0671987270000001</v>
          </cell>
          <cell r="V872">
            <v>1.943036961</v>
          </cell>
          <cell r="W872">
            <v>1.8199097230000001</v>
          </cell>
          <cell r="X872">
            <v>1.6977076550000001</v>
          </cell>
          <cell r="Y872">
            <v>1.5760534639999999</v>
          </cell>
          <cell r="Z872">
            <v>1.4544410189999999</v>
          </cell>
          <cell r="AA872">
            <v>1.3317517210000001</v>
          </cell>
          <cell r="AB872">
            <v>1.208737084</v>
          </cell>
          <cell r="AC872">
            <v>1.085249787</v>
          </cell>
          <cell r="AD872">
            <v>0.96111066170000004</v>
          </cell>
          <cell r="AE872">
            <v>0.8361821062</v>
          </cell>
          <cell r="AF872">
            <v>0.71067784450000004</v>
          </cell>
          <cell r="AG872">
            <v>0.58544002920000004</v>
          </cell>
          <cell r="AH872">
            <v>0.4620348085</v>
          </cell>
          <cell r="AI872">
            <v>0.34284110029999998</v>
          </cell>
          <cell r="AJ872">
            <v>0.2313307171</v>
          </cell>
          <cell r="AK872">
            <v>0.13248462729999999</v>
          </cell>
        </row>
        <row r="874">
          <cell r="A874" t="str">
            <v>ems_ci_co2_sega_2</v>
          </cell>
          <cell r="B874">
            <v>3.6124779720000002</v>
          </cell>
          <cell r="C874">
            <v>3.6691375490000002</v>
          </cell>
          <cell r="D874">
            <v>3.7260057569999998</v>
          </cell>
          <cell r="E874">
            <v>3.788033301</v>
          </cell>
          <cell r="F874">
            <v>3.846494013</v>
          </cell>
          <cell r="G874">
            <v>3.9052944620000001</v>
          </cell>
          <cell r="H874">
            <v>3.9670553900000001</v>
          </cell>
          <cell r="I874">
            <v>3.8821869040000001</v>
          </cell>
          <cell r="J874">
            <v>3.7996943600000002</v>
          </cell>
          <cell r="K874">
            <v>3.7223935199999998</v>
          </cell>
          <cell r="L874">
            <v>3.6357794399999999</v>
          </cell>
          <cell r="M874">
            <v>3.5202726640000002</v>
          </cell>
          <cell r="N874">
            <v>3.3827909310000002</v>
          </cell>
          <cell r="O874">
            <v>3.2314479149999999</v>
          </cell>
          <cell r="P874">
            <v>3.0727229540000001</v>
          </cell>
          <cell r="Q874">
            <v>2.9104437540000001</v>
          </cell>
          <cell r="R874">
            <v>2.7470545780000002</v>
          </cell>
          <cell r="S874">
            <v>2.5845792140000001</v>
          </cell>
          <cell r="T874">
            <v>2.4233554069999999</v>
          </cell>
          <cell r="U874">
            <v>2.2635017560000001</v>
          </cell>
          <cell r="V874">
            <v>2.1047037030000002</v>
          </cell>
          <cell r="W874">
            <v>1.947605748</v>
          </cell>
          <cell r="X874">
            <v>1.792143104</v>
          </cell>
          <cell r="Y874">
            <v>1.6379908569999999</v>
          </cell>
          <cell r="Z874">
            <v>1.4847367380000001</v>
          </cell>
          <cell r="AA874">
            <v>1.3314269089999999</v>
          </cell>
          <cell r="AB874">
            <v>1.1790890359999999</v>
          </cell>
          <cell r="AC874">
            <v>1.027910697</v>
          </cell>
          <cell r="AD874">
            <v>0.87818834769999998</v>
          </cell>
          <cell r="AE874">
            <v>0.73046829849999995</v>
          </cell>
          <cell r="AF874">
            <v>0.58591423009999999</v>
          </cell>
          <cell r="AG874">
            <v>0.44662362030000002</v>
          </cell>
          <cell r="AH874">
            <v>0.31578624020000001</v>
          </cell>
          <cell r="AI874">
            <v>0.19788591580000001</v>
          </cell>
          <cell r="AJ874">
            <v>9.9115761299999994E-2</v>
          </cell>
          <cell r="AK874">
            <v>2.7941713999999999E-2</v>
          </cell>
        </row>
        <row r="876">
          <cell r="A876" t="str">
            <v>ems_ci_co2_seco_2</v>
          </cell>
          <cell r="B876">
            <v>7.4463073450000001</v>
          </cell>
          <cell r="C876">
            <v>7.5630982649999998</v>
          </cell>
          <cell r="D876">
            <v>7.6803192300000003</v>
          </cell>
          <cell r="E876">
            <v>7.8081750019999996</v>
          </cell>
          <cell r="F876">
            <v>7.9286785540000002</v>
          </cell>
          <cell r="G876">
            <v>8.0498823969999993</v>
          </cell>
          <cell r="H876">
            <v>8.1771885990000008</v>
          </cell>
          <cell r="I876">
            <v>8.2744684720000006</v>
          </cell>
          <cell r="J876">
            <v>8.3839116469999997</v>
          </cell>
          <cell r="K876">
            <v>8.5132238000000005</v>
          </cell>
          <cell r="L876">
            <v>8.6302274820000004</v>
          </cell>
          <cell r="M876">
            <v>8.6851629409999997</v>
          </cell>
          <cell r="N876">
            <v>8.6881639320000001</v>
          </cell>
          <cell r="O876">
            <v>8.6542999330000008</v>
          </cell>
          <cell r="P876">
            <v>8.5967599369999999</v>
          </cell>
          <cell r="Q876">
            <v>8.5234337339999993</v>
          </cell>
          <cell r="R876">
            <v>8.4395086290000005</v>
          </cell>
          <cell r="S876">
            <v>8.3498836329999993</v>
          </cell>
          <cell r="T876">
            <v>8.2547802019999992</v>
          </cell>
          <cell r="U876">
            <v>8.1536814280000005</v>
          </cell>
          <cell r="V876">
            <v>8.0442888579999998</v>
          </cell>
          <cell r="W876">
            <v>7.9276106200000003</v>
          </cell>
          <cell r="X876">
            <v>7.8018477449999999</v>
          </cell>
          <cell r="Y876">
            <v>7.6634473129999998</v>
          </cell>
          <cell r="Z876">
            <v>7.5072682500000001</v>
          </cell>
          <cell r="AA876">
            <v>7.3233857770000004</v>
          </cell>
          <cell r="AB876">
            <v>7.1100028760000002</v>
          </cell>
          <cell r="AC876">
            <v>6.8589537749999998</v>
          </cell>
          <cell r="AD876">
            <v>6.5589944039999999</v>
          </cell>
          <cell r="AE876">
            <v>6.194914807</v>
          </cell>
          <cell r="AF876">
            <v>5.7480395829999997</v>
          </cell>
          <cell r="AG876">
            <v>5.1966930429999998</v>
          </cell>
          <cell r="AH876">
            <v>4.515048459</v>
          </cell>
          <cell r="AI876">
            <v>3.6707458009999998</v>
          </cell>
          <cell r="AJ876">
            <v>2.6221544880000001</v>
          </cell>
          <cell r="AK876">
            <v>1.311284903</v>
          </cell>
        </row>
        <row r="878">
          <cell r="A878" t="str">
            <v>ems_ci_co2_sech_2</v>
          </cell>
          <cell r="B878">
            <v>9.6588429310000006</v>
          </cell>
          <cell r="C878">
            <v>9.7797315390000001</v>
          </cell>
          <cell r="D878">
            <v>9.8991178719999997</v>
          </cell>
          <cell r="E878">
            <v>10.022925470000001</v>
          </cell>
          <cell r="F878">
            <v>10.14205362</v>
          </cell>
          <cell r="G878">
            <v>10.268673720000001</v>
          </cell>
          <cell r="H878">
            <v>10.3957769</v>
          </cell>
          <cell r="I878">
            <v>10.43852418</v>
          </cell>
          <cell r="J878">
            <v>10.48075457</v>
          </cell>
          <cell r="K878">
            <v>10.533485880000001</v>
          </cell>
          <cell r="L878">
            <v>10.590649020000001</v>
          </cell>
          <cell r="M878">
            <v>10.61364888</v>
          </cell>
          <cell r="N878">
            <v>10.617128490000001</v>
          </cell>
          <cell r="O878">
            <v>10.61182481</v>
          </cell>
          <cell r="P878">
            <v>10.60492835</v>
          </cell>
          <cell r="Q878">
            <v>10.6001689</v>
          </cell>
          <cell r="R878">
            <v>10.60307686</v>
          </cell>
          <cell r="S878">
            <v>10.61534116</v>
          </cell>
          <cell r="T878">
            <v>10.637535440000001</v>
          </cell>
          <cell r="U878">
            <v>10.671232639999999</v>
          </cell>
          <cell r="V878">
            <v>10.71423639</v>
          </cell>
          <cell r="W878">
            <v>10.7757155</v>
          </cell>
          <cell r="X878">
            <v>10.857769210000001</v>
          </cell>
          <cell r="Y878">
            <v>10.961727850000001</v>
          </cell>
          <cell r="Z878">
            <v>11.088580289999999</v>
          </cell>
          <cell r="AA878">
            <v>11.228164960000001</v>
          </cell>
          <cell r="AB878">
            <v>11.39572692</v>
          </cell>
          <cell r="AC878">
            <v>11.59472304</v>
          </cell>
          <cell r="AD878">
            <v>11.827137029999999</v>
          </cell>
          <cell r="AE878">
            <v>12.093210900000001</v>
          </cell>
          <cell r="AF878">
            <v>12.392486030000001</v>
          </cell>
          <cell r="AG878">
            <v>12.725557540000001</v>
          </cell>
          <cell r="AH878">
            <v>13.094424999999999</v>
          </cell>
          <cell r="AI878">
            <v>13.5020434</v>
          </cell>
          <cell r="AJ878">
            <v>13.9525662</v>
          </cell>
          <cell r="AK878">
            <v>14.451885799999999</v>
          </cell>
        </row>
        <row r="880">
          <cell r="A880" t="str">
            <v>ems_ci_co2_seot_2</v>
          </cell>
          <cell r="B880">
            <v>1.3202878659999999</v>
          </cell>
          <cell r="C880">
            <v>1.3358481849999999</v>
          </cell>
          <cell r="D880">
            <v>1.3507955549999999</v>
          </cell>
          <cell r="E880">
            <v>1.3658626920000001</v>
          </cell>
          <cell r="F880">
            <v>1.3820972030000001</v>
          </cell>
          <cell r="G880">
            <v>1.400193327</v>
          </cell>
          <cell r="H880">
            <v>1.4198231370000001</v>
          </cell>
          <cell r="I880">
            <v>1.432299499</v>
          </cell>
          <cell r="J880">
            <v>1.4466139769999999</v>
          </cell>
          <cell r="K880">
            <v>1.464834416</v>
          </cell>
          <cell r="L880">
            <v>1.4823963550000001</v>
          </cell>
          <cell r="M880">
            <v>1.4942711179999999</v>
          </cell>
          <cell r="N880">
            <v>1.501233136</v>
          </cell>
          <cell r="O880">
            <v>1.5051517720000001</v>
          </cell>
          <cell r="P880">
            <v>1.5078405850000001</v>
          </cell>
          <cell r="Q880">
            <v>1.5104157</v>
          </cell>
          <cell r="R880">
            <v>1.51247737</v>
          </cell>
          <cell r="S880">
            <v>1.51555678</v>
          </cell>
          <cell r="T880">
            <v>1.520189376</v>
          </cell>
          <cell r="U880">
            <v>1.526721708</v>
          </cell>
          <cell r="V880">
            <v>1.5351878430000001</v>
          </cell>
          <cell r="W880">
            <v>1.5463209680000001</v>
          </cell>
          <cell r="X880">
            <v>1.560455258</v>
          </cell>
          <cell r="Y880">
            <v>1.5777322300000001</v>
          </cell>
          <cell r="Z880">
            <v>1.5981471620000001</v>
          </cell>
          <cell r="AA880">
            <v>1.620860763</v>
          </cell>
          <cell r="AB880">
            <v>1.6470451960000001</v>
          </cell>
          <cell r="AC880">
            <v>1.676919037</v>
          </cell>
          <cell r="AD880">
            <v>1.7104670689999999</v>
          </cell>
          <cell r="AE880">
            <v>1.747274904</v>
          </cell>
          <cell r="AF880">
            <v>1.7867079960000001</v>
          </cell>
          <cell r="AG880">
            <v>1.828225164</v>
          </cell>
          <cell r="AH880">
            <v>1.871426265</v>
          </cell>
          <cell r="AI880">
            <v>1.9158546910000001</v>
          </cell>
          <cell r="AJ880">
            <v>1.960993926</v>
          </cell>
          <cell r="AK880">
            <v>2.006278123</v>
          </cell>
        </row>
        <row r="882">
          <cell r="A882" t="str">
            <v>ems_y_co2_sagr_2</v>
          </cell>
          <cell r="B882">
            <v>2.7534944400000001E-2</v>
          </cell>
          <cell r="C882">
            <v>2.8000047399999999E-2</v>
          </cell>
          <cell r="D882">
            <v>2.85510195E-2</v>
          </cell>
          <cell r="E882">
            <v>2.9183565599999999E-2</v>
          </cell>
          <cell r="F882">
            <v>2.98817943E-2</v>
          </cell>
          <cell r="G882">
            <v>3.0639678900000002E-2</v>
          </cell>
          <cell r="H882">
            <v>3.1430106399999998E-2</v>
          </cell>
          <cell r="I882">
            <v>3.2117533400000002E-2</v>
          </cell>
          <cell r="J882">
            <v>3.2787262599999999E-2</v>
          </cell>
          <cell r="K882">
            <v>3.3600017400000001E-2</v>
          </cell>
          <cell r="L882">
            <v>3.4414126400000002E-2</v>
          </cell>
          <cell r="M882">
            <v>3.5103977000000001E-2</v>
          </cell>
          <cell r="N882">
            <v>3.5692293399999998E-2</v>
          </cell>
          <cell r="O882">
            <v>3.6205466999999998E-2</v>
          </cell>
          <cell r="P882">
            <v>3.6675594200000002E-2</v>
          </cell>
          <cell r="Q882">
            <v>3.7123631099999999E-2</v>
          </cell>
          <cell r="R882">
            <v>3.7575972700000002E-2</v>
          </cell>
          <cell r="S882">
            <v>3.8044819299999998E-2</v>
          </cell>
          <cell r="T882">
            <v>3.8546480600000002E-2</v>
          </cell>
          <cell r="U882">
            <v>3.9092970800000001E-2</v>
          </cell>
          <cell r="V882">
            <v>3.96862511E-2</v>
          </cell>
          <cell r="W882">
            <v>4.03465228E-2</v>
          </cell>
          <cell r="X882">
            <v>4.1084352900000003E-2</v>
          </cell>
          <cell r="Y882">
            <v>4.1907000299999997E-2</v>
          </cell>
          <cell r="Z882">
            <v>4.2816821400000003E-2</v>
          </cell>
          <cell r="AA882">
            <v>4.3789883299999999E-2</v>
          </cell>
          <cell r="AB882">
            <v>4.4841264700000001E-2</v>
          </cell>
          <cell r="AC882">
            <v>4.5987926300000002E-2</v>
          </cell>
          <cell r="AD882">
            <v>4.7235711700000002E-2</v>
          </cell>
          <cell r="AE882">
            <v>4.8579488400000002E-2</v>
          </cell>
          <cell r="AF882">
            <v>5.0007705299999997E-2</v>
          </cell>
          <cell r="AG882">
            <v>5.15089034E-2</v>
          </cell>
          <cell r="AH882">
            <v>5.3073265299999998E-2</v>
          </cell>
          <cell r="AI882">
            <v>5.4691216299999998E-2</v>
          </cell>
          <cell r="AJ882">
            <v>5.6353069800000002E-2</v>
          </cell>
          <cell r="AK882">
            <v>5.80487082E-2</v>
          </cell>
        </row>
        <row r="883">
          <cell r="A883" t="str">
            <v>ems_mat_co2_spub_2</v>
          </cell>
          <cell r="B883">
            <v>4.2805170859999997</v>
          </cell>
          <cell r="C883">
            <v>4.3430931849999999</v>
          </cell>
          <cell r="D883">
            <v>4.4131036000000003</v>
          </cell>
          <cell r="E883">
            <v>4.4871425829999998</v>
          </cell>
          <cell r="F883">
            <v>4.5643528819999997</v>
          </cell>
          <cell r="G883">
            <v>4.6444057870000002</v>
          </cell>
          <cell r="H883">
            <v>4.7234934629999996</v>
          </cell>
          <cell r="I883">
            <v>4.8029368100000003</v>
          </cell>
          <cell r="J883">
            <v>4.8835369350000004</v>
          </cell>
          <cell r="K883">
            <v>4.9690405379999998</v>
          </cell>
          <cell r="L883">
            <v>5.0630209300000004</v>
          </cell>
          <cell r="M883">
            <v>5.1510678299999997</v>
          </cell>
          <cell r="N883">
            <v>5.2370856640000003</v>
          </cell>
          <cell r="O883">
            <v>5.3218761590000003</v>
          </cell>
          <cell r="P883">
            <v>5.4062109720000002</v>
          </cell>
          <cell r="Q883">
            <v>5.4907971250000003</v>
          </cell>
          <cell r="R883">
            <v>5.5764871349999998</v>
          </cell>
          <cell r="S883">
            <v>5.6640074079999998</v>
          </cell>
          <cell r="T883">
            <v>5.7540141120000001</v>
          </cell>
          <cell r="U883">
            <v>5.8470336669999998</v>
          </cell>
          <cell r="V883">
            <v>5.9390006739999999</v>
          </cell>
          <cell r="W883">
            <v>6.0385640609999998</v>
          </cell>
          <cell r="X883">
            <v>6.1429196719999997</v>
          </cell>
          <cell r="Y883">
            <v>6.2520236469999997</v>
          </cell>
          <cell r="Z883">
            <v>6.3660523290000004</v>
          </cell>
          <cell r="AA883">
            <v>6.4719353679999996</v>
          </cell>
          <cell r="AB883">
            <v>6.5876492610000001</v>
          </cell>
          <cell r="AC883">
            <v>6.7091233619999997</v>
          </cell>
          <cell r="AD883">
            <v>6.8361210740000002</v>
          </cell>
          <cell r="AE883">
            <v>6.9686490890000004</v>
          </cell>
          <cell r="AF883">
            <v>7.1065603790000003</v>
          </cell>
          <cell r="AG883">
            <v>7.2496368970000002</v>
          </cell>
          <cell r="AH883">
            <v>7.3976709710000002</v>
          </cell>
          <cell r="AI883">
            <v>7.5504947509999996</v>
          </cell>
          <cell r="AJ883">
            <v>7.7079718960000001</v>
          </cell>
          <cell r="AK883">
            <v>7.8699800670000002</v>
          </cell>
        </row>
        <row r="884">
          <cell r="A884" t="str">
            <v>ems_mat_co2_sgla_2</v>
          </cell>
          <cell r="B884">
            <v>10.94636216</v>
          </cell>
          <cell r="C884">
            <v>11.140601609999999</v>
          </cell>
          <cell r="D884">
            <v>11.36701431</v>
          </cell>
          <cell r="E884">
            <v>11.61315827</v>
          </cell>
          <cell r="F884">
            <v>11.880899100000001</v>
          </cell>
          <cell r="G884">
            <v>12.17099033</v>
          </cell>
          <cell r="H884">
            <v>12.47606027</v>
          </cell>
          <cell r="I884">
            <v>12.71689613</v>
          </cell>
          <cell r="J884">
            <v>12.932067139999999</v>
          </cell>
          <cell r="K884">
            <v>13.180780499999999</v>
          </cell>
          <cell r="L884">
            <v>13.43246946</v>
          </cell>
          <cell r="M884">
            <v>13.658029389999999</v>
          </cell>
          <cell r="N884">
            <v>13.861589650000001</v>
          </cell>
          <cell r="O884">
            <v>14.05292268</v>
          </cell>
          <cell r="P884">
            <v>14.243763510000001</v>
          </cell>
          <cell r="Q884">
            <v>14.441933450000001</v>
          </cell>
          <cell r="R884">
            <v>14.65219229</v>
          </cell>
          <cell r="S884">
            <v>14.87599354</v>
          </cell>
          <cell r="T884">
            <v>15.118898489999999</v>
          </cell>
          <cell r="U884">
            <v>15.3857027</v>
          </cell>
          <cell r="V884">
            <v>15.67795461</v>
          </cell>
          <cell r="W884">
            <v>16.002346970000001</v>
          </cell>
          <cell r="X884">
            <v>16.36308292</v>
          </cell>
          <cell r="Y884">
            <v>16.762735710000001</v>
          </cell>
          <cell r="Z884">
            <v>17.202279600000001</v>
          </cell>
          <cell r="AA884">
            <v>17.67429739</v>
          </cell>
          <cell r="AB884">
            <v>18.18203359</v>
          </cell>
          <cell r="AC884">
            <v>18.732600099999999</v>
          </cell>
          <cell r="AD884">
            <v>19.328205659999998</v>
          </cell>
          <cell r="AE884">
            <v>19.967720780000001</v>
          </cell>
          <cell r="AF884">
            <v>20.648568910000002</v>
          </cell>
          <cell r="AG884">
            <v>21.369262679999999</v>
          </cell>
          <cell r="AH884">
            <v>22.1298277</v>
          </cell>
          <cell r="AI884">
            <v>22.93076181</v>
          </cell>
          <cell r="AJ884">
            <v>23.773428769999999</v>
          </cell>
          <cell r="AK884">
            <v>24.66037983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7139.7161619999997</v>
          </cell>
          <cell r="D18">
            <v>7244.7187759999997</v>
          </cell>
          <cell r="E18">
            <v>7390.783402</v>
          </cell>
          <cell r="F18">
            <v>7572.0227359999999</v>
          </cell>
          <cell r="G18">
            <v>7778.2006119999996</v>
          </cell>
          <cell r="H18">
            <v>7996.7153760000001</v>
          </cell>
          <cell r="I18">
            <v>8193.3824810000006</v>
          </cell>
          <cell r="J18">
            <v>8388.8671209999993</v>
          </cell>
          <cell r="K18">
            <v>8591.9146959999998</v>
          </cell>
          <cell r="L18">
            <v>8804.4030070000008</v>
          </cell>
          <cell r="M18">
            <v>9029.8931439999997</v>
          </cell>
          <cell r="N18">
            <v>9259.4160919999995</v>
          </cell>
          <cell r="O18">
            <v>9483.9557569999997</v>
          </cell>
          <cell r="P18">
            <v>9697.1716539999998</v>
          </cell>
          <cell r="Q18">
            <v>9895.2384060000004</v>
          </cell>
          <cell r="R18">
            <v>10073.71739</v>
          </cell>
          <cell r="S18">
            <v>10234.57351</v>
          </cell>
          <cell r="T18">
            <v>10379.38853</v>
          </cell>
          <cell r="U18">
            <v>10509.320180000001</v>
          </cell>
          <cell r="V18">
            <v>10624.309740000001</v>
          </cell>
          <cell r="W18">
            <v>10727.13106</v>
          </cell>
          <cell r="X18">
            <v>10819.279619999999</v>
          </cell>
          <cell r="Y18">
            <v>10902.52722</v>
          </cell>
          <cell r="Z18">
            <v>10978.50958</v>
          </cell>
          <cell r="AA18">
            <v>11045.57366</v>
          </cell>
          <cell r="AB18">
            <v>11107.359909999999</v>
          </cell>
          <cell r="AC18">
            <v>11165.341329999999</v>
          </cell>
          <cell r="AD18">
            <v>11221.372859999999</v>
          </cell>
          <cell r="AE18">
            <v>11277.11268</v>
          </cell>
          <cell r="AF18">
            <v>11333.48525</v>
          </cell>
          <cell r="AG18">
            <v>11390.59172</v>
          </cell>
          <cell r="AH18">
            <v>11447.973969999999</v>
          </cell>
          <cell r="AI18">
            <v>11504.95225</v>
          </cell>
          <cell r="AJ18">
            <v>11560.62789</v>
          </cell>
          <cell r="AK18">
            <v>11613.852940000001</v>
          </cell>
        </row>
        <row r="19">
          <cell r="A19" t="str">
            <v>auto_ca_cfut_0</v>
          </cell>
          <cell r="B19">
            <v>7095.7005250000002</v>
          </cell>
          <cell r="C19">
            <v>7139.7161619999997</v>
          </cell>
          <cell r="D19">
            <v>7244.7187759999997</v>
          </cell>
          <cell r="E19">
            <v>7390.7834009999997</v>
          </cell>
          <cell r="F19">
            <v>7572.0227349999996</v>
          </cell>
          <cell r="G19">
            <v>7778.2006099999999</v>
          </cell>
          <cell r="H19">
            <v>7996.7153740000003</v>
          </cell>
          <cell r="I19">
            <v>8221.7650740000008</v>
          </cell>
          <cell r="J19">
            <v>8451.5357000000004</v>
          </cell>
          <cell r="K19">
            <v>8685.2987030000004</v>
          </cell>
          <cell r="L19">
            <v>8923.4700389999998</v>
          </cell>
          <cell r="M19">
            <v>9160.6917140000005</v>
          </cell>
          <cell r="N19">
            <v>9393.4270589999996</v>
          </cell>
          <cell r="O19">
            <v>9618.3346610000008</v>
          </cell>
          <cell r="P19">
            <v>9832.6757909999997</v>
          </cell>
          <cell r="Q19">
            <v>10034.66207</v>
          </cell>
          <cell r="R19">
            <v>10228.643179999999</v>
          </cell>
          <cell r="S19">
            <v>10415.597019999999</v>
          </cell>
          <cell r="T19">
            <v>10595.074259999999</v>
          </cell>
          <cell r="U19">
            <v>10766.71963</v>
          </cell>
          <cell r="V19">
            <v>10929.572840000001</v>
          </cell>
          <cell r="W19">
            <v>11086.114890000001</v>
          </cell>
          <cell r="X19">
            <v>11237.850549999999</v>
          </cell>
          <cell r="Y19">
            <v>11386.63501</v>
          </cell>
          <cell r="Z19">
            <v>11534.282880000001</v>
          </cell>
          <cell r="AA19">
            <v>11679.201349999999</v>
          </cell>
          <cell r="AB19">
            <v>11825.75628</v>
          </cell>
          <cell r="AC19">
            <v>11976.05733</v>
          </cell>
          <cell r="AD19">
            <v>12132.21588</v>
          </cell>
          <cell r="AE19">
            <v>12296.058639999999</v>
          </cell>
          <cell r="AF19">
            <v>12468.660449999999</v>
          </cell>
          <cell r="AG19">
            <v>12650.2621</v>
          </cell>
          <cell r="AH19">
            <v>12840.37948</v>
          </cell>
          <cell r="AI19">
            <v>13037.92787</v>
          </cell>
          <cell r="AJ19">
            <v>13241.339190000001</v>
          </cell>
          <cell r="AK19">
            <v>13448.655339999999</v>
          </cell>
        </row>
        <row r="20">
          <cell r="A20" t="str">
            <v>auto_cb_cfut_2</v>
          </cell>
          <cell r="B20">
            <v>8251.256421</v>
          </cell>
          <cell r="C20">
            <v>8180.830328</v>
          </cell>
          <cell r="D20">
            <v>8176.5895499999997</v>
          </cell>
          <cell r="E20">
            <v>8218.4194220000008</v>
          </cell>
          <cell r="F20">
            <v>8299.8524209999996</v>
          </cell>
          <cell r="G20">
            <v>8410.5837379999994</v>
          </cell>
          <cell r="H20">
            <v>8538.0037360000006</v>
          </cell>
          <cell r="I20">
            <v>8648.3613170000008</v>
          </cell>
          <cell r="J20">
            <v>8759.3571009999996</v>
          </cell>
          <cell r="K20">
            <v>8878.5477050000009</v>
          </cell>
          <cell r="L20">
            <v>9007.1432050000003</v>
          </cell>
          <cell r="M20">
            <v>9148.4261449999995</v>
          </cell>
          <cell r="N20">
            <v>9294.7177019999999</v>
          </cell>
          <cell r="O20">
            <v>9438.1466299999993</v>
          </cell>
          <cell r="P20">
            <v>9573.1984740000007</v>
          </cell>
          <cell r="Q20">
            <v>9696.5755379999991</v>
          </cell>
          <cell r="R20">
            <v>9804.2614950000007</v>
          </cell>
          <cell r="S20">
            <v>9897.9537849999997</v>
          </cell>
          <cell r="T20">
            <v>9979.1090999999997</v>
          </cell>
          <cell r="U20">
            <v>10048.795980000001</v>
          </cell>
          <cell r="V20">
            <v>10106.94154</v>
          </cell>
          <cell r="W20">
            <v>10155.972169999999</v>
          </cell>
          <cell r="X20">
            <v>10197.11059</v>
          </cell>
          <cell r="Y20">
            <v>10231.78872</v>
          </cell>
          <cell r="Z20">
            <v>10261.28081</v>
          </cell>
          <cell r="AA20">
            <v>10283.898160000001</v>
          </cell>
          <cell r="AB20">
            <v>10302.639810000001</v>
          </cell>
          <cell r="AC20">
            <v>10318.531080000001</v>
          </cell>
          <cell r="AD20">
            <v>10332.91951</v>
          </cell>
          <cell r="AE20">
            <v>10346.991739999999</v>
          </cell>
          <cell r="AF20">
            <v>10361.310240000001</v>
          </cell>
          <cell r="AG20">
            <v>10375.737150000001</v>
          </cell>
          <cell r="AH20">
            <v>10389.667450000001</v>
          </cell>
          <cell r="AI20">
            <v>10402.334349999999</v>
          </cell>
          <cell r="AJ20">
            <v>10412.82178</v>
          </cell>
          <cell r="AK20">
            <v>10420.04263</v>
          </cell>
        </row>
        <row r="21">
          <cell r="A21" t="str">
            <v>auto_cb_cfut_0</v>
          </cell>
          <cell r="B21">
            <v>8251.256421</v>
          </cell>
          <cell r="C21">
            <v>8180.830328</v>
          </cell>
          <cell r="D21">
            <v>8176.5895490000003</v>
          </cell>
          <cell r="E21">
            <v>8218.4194210000005</v>
          </cell>
          <cell r="F21">
            <v>8299.8524199999993</v>
          </cell>
          <cell r="G21">
            <v>8410.5837360000005</v>
          </cell>
          <cell r="H21">
            <v>8538.0037329999996</v>
          </cell>
          <cell r="I21">
            <v>8675.9037380000009</v>
          </cell>
          <cell r="J21">
            <v>8821.9112330000007</v>
          </cell>
          <cell r="K21">
            <v>8974.7845620000007</v>
          </cell>
          <cell r="L21">
            <v>9134.4539050000003</v>
          </cell>
          <cell r="M21">
            <v>9295.5608470000006</v>
          </cell>
          <cell r="N21">
            <v>9454.6155529999996</v>
          </cell>
          <cell r="O21">
            <v>9608.4317749999991</v>
          </cell>
          <cell r="P21">
            <v>9754.4502960000009</v>
          </cell>
          <cell r="Q21">
            <v>9891.0126409999993</v>
          </cell>
          <cell r="R21">
            <v>10022.21695</v>
          </cell>
          <cell r="S21">
            <v>10149.123</v>
          </cell>
          <cell r="T21">
            <v>10271.394190000001</v>
          </cell>
          <cell r="U21">
            <v>10388.664629999999</v>
          </cell>
          <cell r="V21">
            <v>10499.909379999999</v>
          </cell>
          <cell r="W21">
            <v>10607.193069999999</v>
          </cell>
          <cell r="X21">
            <v>10711.630730000001</v>
          </cell>
          <cell r="Y21">
            <v>10814.62089</v>
          </cell>
          <cell r="Z21">
            <v>10917.487279999999</v>
          </cell>
          <cell r="AA21">
            <v>11018.41288</v>
          </cell>
          <cell r="AB21">
            <v>11120.99517</v>
          </cell>
          <cell r="AC21">
            <v>11226.751340000001</v>
          </cell>
          <cell r="AD21">
            <v>11337.185020000001</v>
          </cell>
          <cell r="AE21">
            <v>11453.54478</v>
          </cell>
          <cell r="AF21">
            <v>11576.414119999999</v>
          </cell>
          <cell r="AG21">
            <v>11705.648649999999</v>
          </cell>
          <cell r="AH21">
            <v>11840.485189999999</v>
          </cell>
          <cell r="AI21">
            <v>11979.66324</v>
          </cell>
          <cell r="AJ21">
            <v>12121.539699999999</v>
          </cell>
          <cell r="AK21">
            <v>12264.18183</v>
          </cell>
        </row>
        <row r="22">
          <cell r="A22" t="str">
            <v>auto_cc_cfut_2</v>
          </cell>
          <cell r="B22">
            <v>6777.6024520000001</v>
          </cell>
          <cell r="C22">
            <v>6645.4047959999998</v>
          </cell>
          <cell r="D22">
            <v>6564.7364379999999</v>
          </cell>
          <cell r="E22">
            <v>6520.9660329999997</v>
          </cell>
          <cell r="F22">
            <v>6509.0302110000002</v>
          </cell>
          <cell r="G22">
            <v>6521.4424980000003</v>
          </cell>
          <cell r="H22">
            <v>6549.1014519999999</v>
          </cell>
          <cell r="I22">
            <v>6567.9978069999997</v>
          </cell>
          <cell r="J22">
            <v>6588.9466080000002</v>
          </cell>
          <cell r="K22">
            <v>6616.6212750000004</v>
          </cell>
          <cell r="L22">
            <v>6651.4767009999996</v>
          </cell>
          <cell r="M22">
            <v>6695.6982070000004</v>
          </cell>
          <cell r="N22">
            <v>6744.5659109999997</v>
          </cell>
          <cell r="O22">
            <v>6793.124401</v>
          </cell>
          <cell r="P22">
            <v>6837.9065909999999</v>
          </cell>
          <cell r="Q22">
            <v>6876.8483779999997</v>
          </cell>
          <cell r="R22">
            <v>6907.3055690000001</v>
          </cell>
          <cell r="S22">
            <v>6930.3109409999997</v>
          </cell>
          <cell r="T22">
            <v>6946.8098579999996</v>
          </cell>
          <cell r="U22">
            <v>6957.4915300000002</v>
          </cell>
          <cell r="V22">
            <v>6962.2736699999996</v>
          </cell>
          <cell r="W22">
            <v>6962.66608</v>
          </cell>
          <cell r="X22">
            <v>6959.3635530000001</v>
          </cell>
          <cell r="Y22">
            <v>6953.173143</v>
          </cell>
          <cell r="Z22">
            <v>6944.7789400000001</v>
          </cell>
          <cell r="AA22">
            <v>6932.9394329999996</v>
          </cell>
          <cell r="AB22">
            <v>6919.4141710000004</v>
          </cell>
          <cell r="AC22">
            <v>6904.6686929999996</v>
          </cell>
          <cell r="AD22">
            <v>6889.3683090000004</v>
          </cell>
          <cell r="AE22">
            <v>6874.0878519999997</v>
          </cell>
          <cell r="AF22">
            <v>6859.0228029999998</v>
          </cell>
          <cell r="AG22">
            <v>6843.9421050000001</v>
          </cell>
          <cell r="AH22">
            <v>6828.3366379999998</v>
          </cell>
          <cell r="AI22">
            <v>6811.6182609999996</v>
          </cell>
          <cell r="AJ22">
            <v>6793.1333350000004</v>
          </cell>
          <cell r="AK22">
            <v>6772.1511250000003</v>
          </cell>
        </row>
        <row r="23">
          <cell r="A23" t="str">
            <v>auto_cc_cfut_0</v>
          </cell>
          <cell r="B23">
            <v>6777.6024520000001</v>
          </cell>
          <cell r="C23">
            <v>6645.4047959999998</v>
          </cell>
          <cell r="D23">
            <v>6564.7364379999999</v>
          </cell>
          <cell r="E23">
            <v>6520.9660329999997</v>
          </cell>
          <cell r="F23">
            <v>6509.0302099999999</v>
          </cell>
          <cell r="G23">
            <v>6521.442497</v>
          </cell>
          <cell r="H23">
            <v>6549.1014500000001</v>
          </cell>
          <cell r="I23">
            <v>6587.2541680000004</v>
          </cell>
          <cell r="J23">
            <v>6633.812132</v>
          </cell>
          <cell r="K23">
            <v>6687.5328639999998</v>
          </cell>
          <cell r="L23">
            <v>6748.0370569999995</v>
          </cell>
          <cell r="M23">
            <v>6811.4565009999997</v>
          </cell>
          <cell r="N23">
            <v>6875.295752</v>
          </cell>
          <cell r="O23">
            <v>6937.3454060000004</v>
          </cell>
          <cell r="P23">
            <v>6995.861105</v>
          </cell>
          <cell r="Q23">
            <v>7049.7139120000002</v>
          </cell>
          <cell r="R23">
            <v>7101.6681140000001</v>
          </cell>
          <cell r="S23">
            <v>7152.5137139999997</v>
          </cell>
          <cell r="T23">
            <v>7202.0583989999996</v>
          </cell>
          <cell r="U23">
            <v>7250.0140179999999</v>
          </cell>
          <cell r="V23">
            <v>7295.5882709999996</v>
          </cell>
          <cell r="W23">
            <v>7339.9904130000004</v>
          </cell>
          <cell r="X23">
            <v>7383.767503</v>
          </cell>
          <cell r="Y23">
            <v>7427.6315169999998</v>
          </cell>
          <cell r="Z23">
            <v>7472.2229310000002</v>
          </cell>
          <cell r="AA23">
            <v>7516.0966509999998</v>
          </cell>
          <cell r="AB23">
            <v>7561.361355</v>
          </cell>
          <cell r="AC23">
            <v>7608.7461659999999</v>
          </cell>
          <cell r="AD23">
            <v>7658.9662129999997</v>
          </cell>
          <cell r="AE23">
            <v>7712.5769300000002</v>
          </cell>
          <cell r="AF23">
            <v>7769.7146769999999</v>
          </cell>
          <cell r="AG23">
            <v>7830.063193</v>
          </cell>
          <cell r="AH23">
            <v>7892.9312410000002</v>
          </cell>
          <cell r="AI23">
            <v>7957.3372479999998</v>
          </cell>
          <cell r="AJ23">
            <v>8022.0890140000001</v>
          </cell>
          <cell r="AK23">
            <v>8085.8488740000003</v>
          </cell>
        </row>
        <row r="24">
          <cell r="A24" t="str">
            <v>auto_cd_cfut_2</v>
          </cell>
          <cell r="B24">
            <v>4159.6639080000004</v>
          </cell>
          <cell r="C24">
            <v>4054.0469210000001</v>
          </cell>
          <cell r="D24">
            <v>3977.8566150000001</v>
          </cell>
          <cell r="E24">
            <v>3922.3955540000002</v>
          </cell>
          <cell r="F24">
            <v>3884.398686</v>
          </cell>
          <cell r="G24">
            <v>3859.522962</v>
          </cell>
          <cell r="H24">
            <v>3842.604562</v>
          </cell>
          <cell r="I24">
            <v>3820.4096690000001</v>
          </cell>
          <cell r="J24">
            <v>3798.0932210000001</v>
          </cell>
          <cell r="K24">
            <v>3778.1946939999998</v>
          </cell>
          <cell r="L24">
            <v>3761.1585660000001</v>
          </cell>
          <cell r="M24">
            <v>3748.4244279999998</v>
          </cell>
          <cell r="N24">
            <v>3738.103803</v>
          </cell>
          <cell r="O24">
            <v>3728.20973</v>
          </cell>
          <cell r="P24">
            <v>3717.4667279999999</v>
          </cell>
          <cell r="Q24">
            <v>3705.2282340000002</v>
          </cell>
          <cell r="R24">
            <v>3690.4940000000001</v>
          </cell>
          <cell r="S24">
            <v>3673.9634190000002</v>
          </cell>
          <cell r="T24">
            <v>3656.2772209999998</v>
          </cell>
          <cell r="U24">
            <v>3637.89867</v>
          </cell>
          <cell r="V24">
            <v>3618.851099</v>
          </cell>
          <cell r="W24">
            <v>3599.8634390000002</v>
          </cell>
          <cell r="X24">
            <v>3581.2169690000001</v>
          </cell>
          <cell r="Y24">
            <v>3563.2071449999999</v>
          </cell>
          <cell r="Z24">
            <v>3546.0322660000002</v>
          </cell>
          <cell r="AA24">
            <v>3528.915219</v>
          </cell>
          <cell r="AB24">
            <v>3512.5050590000001</v>
          </cell>
          <cell r="AC24">
            <v>3496.7844530000002</v>
          </cell>
          <cell r="AD24">
            <v>3481.8324859999998</v>
          </cell>
          <cell r="AE24">
            <v>3467.7256619999998</v>
          </cell>
          <cell r="AF24">
            <v>3454.4049559999999</v>
          </cell>
          <cell r="AG24">
            <v>3441.643673</v>
          </cell>
          <cell r="AH24">
            <v>3429.1102380000002</v>
          </cell>
          <cell r="AI24">
            <v>3416.471477</v>
          </cell>
          <cell r="AJ24">
            <v>3403.4050820000002</v>
          </cell>
          <cell r="AK24">
            <v>3389.5908920000002</v>
          </cell>
        </row>
        <row r="25">
          <cell r="A25" t="str">
            <v>auto_cd_cfut_0</v>
          </cell>
          <cell r="B25">
            <v>4159.6639080000004</v>
          </cell>
          <cell r="C25">
            <v>4054.0469210000001</v>
          </cell>
          <cell r="D25">
            <v>3977.8566150000001</v>
          </cell>
          <cell r="E25">
            <v>3922.3955529999998</v>
          </cell>
          <cell r="F25">
            <v>3884.398686</v>
          </cell>
          <cell r="G25">
            <v>3859.5229610000001</v>
          </cell>
          <cell r="H25">
            <v>3842.6045610000001</v>
          </cell>
          <cell r="I25">
            <v>3830.8332719999999</v>
          </cell>
          <cell r="J25">
            <v>3822.8857189999999</v>
          </cell>
          <cell r="K25">
            <v>3817.9661630000001</v>
          </cell>
          <cell r="L25">
            <v>3815.792841</v>
          </cell>
          <cell r="M25">
            <v>3814.4416799999999</v>
          </cell>
          <cell r="N25">
            <v>3812.8480979999999</v>
          </cell>
          <cell r="O25">
            <v>3810.201755</v>
          </cell>
          <cell r="P25">
            <v>3805.9607550000001</v>
          </cell>
          <cell r="Q25">
            <v>3799.867154</v>
          </cell>
          <cell r="R25">
            <v>3793.5433969999999</v>
          </cell>
          <cell r="S25">
            <v>3787.6441709999999</v>
          </cell>
          <cell r="T25">
            <v>3782.2617359999999</v>
          </cell>
          <cell r="U25">
            <v>3777.3374170000002</v>
          </cell>
          <cell r="V25">
            <v>3772.4786300000001</v>
          </cell>
          <cell r="W25">
            <v>3768.1703680000001</v>
          </cell>
          <cell r="X25">
            <v>3764.527364</v>
          </cell>
          <cell r="Y25">
            <v>3761.6956129999999</v>
          </cell>
          <cell r="Z25">
            <v>3759.7381529999998</v>
          </cell>
          <cell r="AA25">
            <v>3757.7056090000001</v>
          </cell>
          <cell r="AB25">
            <v>3756.2763709999999</v>
          </cell>
          <cell r="AC25">
            <v>3755.471227</v>
          </cell>
          <cell r="AD25">
            <v>3755.301414</v>
          </cell>
          <cell r="AE25">
            <v>3755.7299410000001</v>
          </cell>
          <cell r="AF25">
            <v>3756.5686049999999</v>
          </cell>
          <cell r="AG25">
            <v>3757.473598</v>
          </cell>
          <cell r="AH25">
            <v>3757.988664</v>
          </cell>
          <cell r="AI25">
            <v>3757.5886300000002</v>
          </cell>
          <cell r="AJ25">
            <v>3755.7190900000001</v>
          </cell>
          <cell r="AK25">
            <v>3751.8280140000002</v>
          </cell>
        </row>
        <row r="26">
          <cell r="A26" t="str">
            <v>auto_ce_cfut_2</v>
          </cell>
          <cell r="B26">
            <v>2503.7292430000002</v>
          </cell>
          <cell r="C26">
            <v>2442.4856709999999</v>
          </cell>
          <cell r="D26">
            <v>2398.1217489999999</v>
          </cell>
          <cell r="E26">
            <v>2365.0982180000001</v>
          </cell>
          <cell r="F26">
            <v>2341.28917</v>
          </cell>
          <cell r="G26">
            <v>2324.059393</v>
          </cell>
          <cell r="H26">
            <v>2310.298393</v>
          </cell>
          <cell r="I26">
            <v>2291.9884269999998</v>
          </cell>
          <cell r="J26">
            <v>2271.8134289999998</v>
          </cell>
          <cell r="K26">
            <v>2251.261606</v>
          </cell>
          <cell r="L26">
            <v>2230.6302449999998</v>
          </cell>
          <cell r="M26">
            <v>2210.8933710000001</v>
          </cell>
          <cell r="N26">
            <v>2191.3595639999999</v>
          </cell>
          <cell r="O26">
            <v>2171.281622</v>
          </cell>
          <cell r="P26">
            <v>2150.2734180000002</v>
          </cell>
          <cell r="Q26">
            <v>2128.243262</v>
          </cell>
          <cell r="R26">
            <v>2104.8577369999998</v>
          </cell>
          <cell r="S26">
            <v>2080.6128840000001</v>
          </cell>
          <cell r="T26">
            <v>2055.960724</v>
          </cell>
          <cell r="U26">
            <v>2031.229525</v>
          </cell>
          <cell r="V26">
            <v>2006.4865809999999</v>
          </cell>
          <cell r="W26">
            <v>1982.1199979999999</v>
          </cell>
          <cell r="X26">
            <v>1958.258898</v>
          </cell>
          <cell r="Y26">
            <v>1935.0142519999999</v>
          </cell>
          <cell r="Z26">
            <v>1912.425244</v>
          </cell>
          <cell r="AA26">
            <v>1890.0341129999999</v>
          </cell>
          <cell r="AB26">
            <v>1868.062275</v>
          </cell>
          <cell r="AC26">
            <v>1846.385857</v>
          </cell>
          <cell r="AD26">
            <v>1824.924008</v>
          </cell>
          <cell r="AE26">
            <v>1803.6090280000001</v>
          </cell>
          <cell r="AF26">
            <v>1782.328624</v>
          </cell>
          <cell r="AG26">
            <v>1760.9109269999999</v>
          </cell>
          <cell r="AH26">
            <v>1739.153333</v>
          </cell>
          <cell r="AI26">
            <v>1716.873754</v>
          </cell>
          <cell r="AJ26">
            <v>1693.9190020000001</v>
          </cell>
          <cell r="AK26">
            <v>1670.160482</v>
          </cell>
        </row>
        <row r="27">
          <cell r="A27" t="str">
            <v>auto_ce_cfut_0</v>
          </cell>
          <cell r="B27">
            <v>2503.7292430000002</v>
          </cell>
          <cell r="C27">
            <v>2442.4856709999999</v>
          </cell>
          <cell r="D27">
            <v>2398.1217489999999</v>
          </cell>
          <cell r="E27">
            <v>2365.0982180000001</v>
          </cell>
          <cell r="F27">
            <v>2341.2891690000001</v>
          </cell>
          <cell r="G27">
            <v>2324.059393</v>
          </cell>
          <cell r="H27">
            <v>2310.298393</v>
          </cell>
          <cell r="I27">
            <v>2298.2986040000001</v>
          </cell>
          <cell r="J27">
            <v>2287.2618560000001</v>
          </cell>
          <cell r="K27">
            <v>2276.7378410000001</v>
          </cell>
          <cell r="L27">
            <v>2266.60313</v>
          </cell>
          <cell r="M27">
            <v>2255.8651639999998</v>
          </cell>
          <cell r="N27">
            <v>2244.092877</v>
          </cell>
          <cell r="O27">
            <v>2231.0429250000002</v>
          </cell>
          <cell r="P27">
            <v>2216.628236</v>
          </cell>
          <cell r="Q27">
            <v>2200.897371</v>
          </cell>
          <cell r="R27">
            <v>2184.9049249999998</v>
          </cell>
          <cell r="S27">
            <v>2169.1735159999998</v>
          </cell>
          <cell r="T27">
            <v>2153.873724</v>
          </cell>
          <cell r="U27">
            <v>2139.0376510000001</v>
          </cell>
          <cell r="V27">
            <v>2124.4697999999999</v>
          </cell>
          <cell r="W27">
            <v>2110.396761</v>
          </cell>
          <cell r="X27">
            <v>2096.8194360000002</v>
          </cell>
          <cell r="Y27">
            <v>2083.7301189999998</v>
          </cell>
          <cell r="Z27">
            <v>2071.053281</v>
          </cell>
          <cell r="AA27">
            <v>2058.176277</v>
          </cell>
          <cell r="AB27">
            <v>2045.309753</v>
          </cell>
          <cell r="AC27">
            <v>2032.323359</v>
          </cell>
          <cell r="AD27">
            <v>2019.0850290000001</v>
          </cell>
          <cell r="AE27">
            <v>2005.455281</v>
          </cell>
          <cell r="AF27">
            <v>1991.243577</v>
          </cell>
          <cell r="AG27">
            <v>1976.211585</v>
          </cell>
          <cell r="AH27">
            <v>1960.0979930000001</v>
          </cell>
          <cell r="AI27">
            <v>1942.641515</v>
          </cell>
          <cell r="AJ27">
            <v>1923.6006030000001</v>
          </cell>
          <cell r="AK27">
            <v>1902.7679639999999</v>
          </cell>
        </row>
        <row r="28">
          <cell r="A28" t="str">
            <v>auto_cf_cfut_2</v>
          </cell>
          <cell r="B28">
            <v>1243.6668460000001</v>
          </cell>
          <cell r="C28">
            <v>1210.5867760000001</v>
          </cell>
          <cell r="D28">
            <v>1184.4484</v>
          </cell>
          <cell r="E28">
            <v>1162.2686229999999</v>
          </cell>
          <cell r="F28">
            <v>1142.8394949999999</v>
          </cell>
          <cell r="G28">
            <v>1124.9236109999999</v>
          </cell>
          <cell r="H28">
            <v>1107.1504199999999</v>
          </cell>
          <cell r="I28">
            <v>1086.062711</v>
          </cell>
          <cell r="J28">
            <v>1062.633491</v>
          </cell>
          <cell r="K28">
            <v>1037.617745</v>
          </cell>
          <cell r="L28">
            <v>1011.311602</v>
          </cell>
          <cell r="M28">
            <v>984.32134610000003</v>
          </cell>
          <cell r="N28">
            <v>956.7896283</v>
          </cell>
          <cell r="O28">
            <v>928.84628859999998</v>
          </cell>
          <cell r="P28">
            <v>900.70108330000005</v>
          </cell>
          <cell r="Q28">
            <v>872.59481410000001</v>
          </cell>
          <cell r="R28">
            <v>844.63665760000004</v>
          </cell>
          <cell r="S28">
            <v>817.10705329999996</v>
          </cell>
          <cell r="T28">
            <v>790.23393369999997</v>
          </cell>
          <cell r="U28">
            <v>764.16943019999997</v>
          </cell>
          <cell r="V28">
            <v>738.95823919999998</v>
          </cell>
          <cell r="W28">
            <v>714.6944992</v>
          </cell>
          <cell r="X28">
            <v>691.37810579999996</v>
          </cell>
          <cell r="Y28">
            <v>668.98498359999996</v>
          </cell>
          <cell r="Z28">
            <v>647.45695260000002</v>
          </cell>
          <cell r="AA28">
            <v>626.60724040000002</v>
          </cell>
          <cell r="AB28">
            <v>606.39902729999994</v>
          </cell>
          <cell r="AC28">
            <v>586.70752789999995</v>
          </cell>
          <cell r="AD28">
            <v>567.42446040000004</v>
          </cell>
          <cell r="AE28">
            <v>548.46492780000005</v>
          </cell>
          <cell r="AF28">
            <v>529.75747520000004</v>
          </cell>
          <cell r="AG28">
            <v>511.23893320000002</v>
          </cell>
          <cell r="AH28">
            <v>492.8578349</v>
          </cell>
          <cell r="AI28">
            <v>474.58447050000001</v>
          </cell>
          <cell r="AJ28">
            <v>456.41128939999999</v>
          </cell>
          <cell r="AK28">
            <v>438.34885980000001</v>
          </cell>
        </row>
        <row r="29">
          <cell r="A29" t="str">
            <v>auto_cf_cfut_0</v>
          </cell>
          <cell r="B29">
            <v>1243.6668460000001</v>
          </cell>
          <cell r="C29">
            <v>1210.5867760000001</v>
          </cell>
          <cell r="D29">
            <v>1184.4484</v>
          </cell>
          <cell r="E29">
            <v>1162.2686229999999</v>
          </cell>
          <cell r="F29">
            <v>1142.8394949999999</v>
          </cell>
          <cell r="G29">
            <v>1124.9236109999999</v>
          </cell>
          <cell r="H29">
            <v>1107.1504199999999</v>
          </cell>
          <cell r="I29">
            <v>1088.8053629999999</v>
          </cell>
          <cell r="J29">
            <v>1069.6160190000001</v>
          </cell>
          <cell r="K29">
            <v>1049.503146</v>
          </cell>
          <cell r="L29">
            <v>1028.5482199999999</v>
          </cell>
          <cell r="M29">
            <v>1006.582708</v>
          </cell>
          <cell r="N29">
            <v>983.71370890000003</v>
          </cell>
          <cell r="O29">
            <v>960.14296720000004</v>
          </cell>
          <cell r="P29">
            <v>936.10908659999996</v>
          </cell>
          <cell r="Q29">
            <v>911.85149460000002</v>
          </cell>
          <cell r="R29">
            <v>887.88391249999995</v>
          </cell>
          <cell r="S29">
            <v>864.52013220000003</v>
          </cell>
          <cell r="T29">
            <v>841.91040699999996</v>
          </cell>
          <cell r="U29">
            <v>820.10714170000006</v>
          </cell>
          <cell r="V29">
            <v>799.04979660000004</v>
          </cell>
          <cell r="W29">
            <v>778.76196059999995</v>
          </cell>
          <cell r="X29">
            <v>759.17742090000002</v>
          </cell>
          <cell r="Y29">
            <v>740.20832470000005</v>
          </cell>
          <cell r="Z29">
            <v>721.73118360000001</v>
          </cell>
          <cell r="AA29">
            <v>703.47429629999999</v>
          </cell>
          <cell r="AB29">
            <v>685.37967619999995</v>
          </cell>
          <cell r="AC29">
            <v>667.30991759999995</v>
          </cell>
          <cell r="AD29">
            <v>649.1437717</v>
          </cell>
          <cell r="AE29">
            <v>630.78608799999995</v>
          </cell>
          <cell r="AF29">
            <v>612.1616014</v>
          </cell>
          <cell r="AG29">
            <v>593.21654639999997</v>
          </cell>
          <cell r="AH29">
            <v>573.9226721</v>
          </cell>
          <cell r="AI29">
            <v>554.2787687</v>
          </cell>
          <cell r="AJ29">
            <v>534.31019560000004</v>
          </cell>
          <cell r="AK29">
            <v>514.06648680000001</v>
          </cell>
        </row>
        <row r="30">
          <cell r="A30" t="str">
            <v>auto_cg_cfut_2</v>
          </cell>
          <cell r="B30">
            <v>2239.620606</v>
          </cell>
          <cell r="C30">
            <v>2183.4432149999998</v>
          </cell>
          <cell r="D30">
            <v>2137.4822509999999</v>
          </cell>
          <cell r="E30">
            <v>2095.845272</v>
          </cell>
          <cell r="F30">
            <v>2056.2069809999998</v>
          </cell>
          <cell r="G30">
            <v>2016.5252700000001</v>
          </cell>
          <cell r="H30">
            <v>1974.6537579999999</v>
          </cell>
          <cell r="I30">
            <v>1924.9751659999999</v>
          </cell>
          <cell r="J30">
            <v>1869.1706839999999</v>
          </cell>
          <cell r="K30">
            <v>1808.9307899999999</v>
          </cell>
          <cell r="L30">
            <v>1745.2212280000001</v>
          </cell>
          <cell r="M30">
            <v>1679.498938</v>
          </cell>
          <cell r="N30">
            <v>1612.635683</v>
          </cell>
          <cell r="O30">
            <v>1545.4024400000001</v>
          </cell>
          <cell r="P30">
            <v>1478.5524700000001</v>
          </cell>
          <cell r="Q30">
            <v>1412.746144</v>
          </cell>
          <cell r="R30">
            <v>1348.3697</v>
          </cell>
          <cell r="S30">
            <v>1285.902382</v>
          </cell>
          <cell r="T30">
            <v>1225.6962120000001</v>
          </cell>
          <cell r="U30">
            <v>1167.9593589999999</v>
          </cell>
          <cell r="V30">
            <v>1112.735889</v>
          </cell>
          <cell r="W30">
            <v>1060.0833439999999</v>
          </cell>
          <cell r="X30">
            <v>1009.9331110000001</v>
          </cell>
          <cell r="Y30">
            <v>962.17521199999999</v>
          </cell>
          <cell r="Z30">
            <v>916.65434660000005</v>
          </cell>
          <cell r="AA30">
            <v>873.0884595</v>
          </cell>
          <cell r="AB30">
            <v>831.33731190000003</v>
          </cell>
          <cell r="AC30">
            <v>791.18187039999998</v>
          </cell>
          <cell r="AD30">
            <v>752.43463480000003</v>
          </cell>
          <cell r="AE30">
            <v>714.95468189999997</v>
          </cell>
          <cell r="AF30">
            <v>678.63795400000004</v>
          </cell>
          <cell r="AG30">
            <v>643.40824259999999</v>
          </cell>
          <cell r="AH30">
            <v>609.21511450000003</v>
          </cell>
          <cell r="AI30">
            <v>576.03821019999998</v>
          </cell>
          <cell r="AJ30">
            <v>543.88299140000004</v>
          </cell>
          <cell r="AK30">
            <v>512.77246649999995</v>
          </cell>
        </row>
        <row r="31">
          <cell r="A31" t="str">
            <v>auto_cg_cfut_0</v>
          </cell>
          <cell r="B31">
            <v>2239.620606</v>
          </cell>
          <cell r="C31">
            <v>2183.4432149999998</v>
          </cell>
          <cell r="D31">
            <v>2137.4822509999999</v>
          </cell>
          <cell r="E31">
            <v>2095.845272</v>
          </cell>
          <cell r="F31">
            <v>2056.2069809999998</v>
          </cell>
          <cell r="G31">
            <v>2016.5252700000001</v>
          </cell>
          <cell r="H31">
            <v>1974.6537579999999</v>
          </cell>
          <cell r="I31">
            <v>1929.640044</v>
          </cell>
          <cell r="J31">
            <v>1881.346914</v>
          </cell>
          <cell r="K31">
            <v>1830.0065569999999</v>
          </cell>
          <cell r="L31">
            <v>1776.1235360000001</v>
          </cell>
          <cell r="M31">
            <v>1719.8890269999999</v>
          </cell>
          <cell r="N31">
            <v>1661.934782</v>
          </cell>
          <cell r="O31">
            <v>1603.004357</v>
          </cell>
          <cell r="P31">
            <v>1543.8196949999999</v>
          </cell>
          <cell r="Q31">
            <v>1485.008959</v>
          </cell>
          <cell r="R31">
            <v>1427.4662659999999</v>
          </cell>
          <cell r="S31">
            <v>1371.765028</v>
          </cell>
          <cell r="T31">
            <v>1318.1943670000001</v>
          </cell>
          <cell r="U31">
            <v>1266.8513989999999</v>
          </cell>
          <cell r="V31">
            <v>1217.642959</v>
          </cell>
          <cell r="W31">
            <v>1170.534355</v>
          </cell>
          <cell r="X31">
            <v>1125.361862</v>
          </cell>
          <cell r="Y31">
            <v>1081.922468</v>
          </cell>
          <cell r="Z31">
            <v>1039.9642389999999</v>
          </cell>
          <cell r="AA31">
            <v>999.07863799999996</v>
          </cell>
          <cell r="AB31">
            <v>959.09950200000003</v>
          </cell>
          <cell r="AC31">
            <v>919.79866430000004</v>
          </cell>
          <cell r="AD31">
            <v>880.99476470000002</v>
          </cell>
          <cell r="AE31">
            <v>842.57015890000002</v>
          </cell>
          <cell r="AF31">
            <v>804.46311660000003</v>
          </cell>
          <cell r="AG31">
            <v>766.66368339999997</v>
          </cell>
          <cell r="AH31">
            <v>729.20934160000002</v>
          </cell>
          <cell r="AI31">
            <v>692.17710590000002</v>
          </cell>
          <cell r="AJ31">
            <v>655.67382399999997</v>
          </cell>
          <cell r="AK31">
            <v>619.82559660000004</v>
          </cell>
        </row>
        <row r="32">
          <cell r="A32" t="str">
            <v>auto_ca_cele_2</v>
          </cell>
          <cell r="B32">
            <v>9.8427898650000003</v>
          </cell>
          <cell r="C32">
            <v>15.130629320000001</v>
          </cell>
          <cell r="D32">
            <v>21.017923889999999</v>
          </cell>
          <cell r="E32">
            <v>27.457126939999998</v>
          </cell>
          <cell r="F32">
            <v>34.503908269999997</v>
          </cell>
          <cell r="G32">
            <v>42.057561620000001</v>
          </cell>
          <cell r="H32">
            <v>50.009741820000002</v>
          </cell>
          <cell r="I32">
            <v>58.404292120000001</v>
          </cell>
          <cell r="J32">
            <v>69.027944210000001</v>
          </cell>
          <cell r="K32">
            <v>83.708955459999999</v>
          </cell>
          <cell r="L32">
            <v>104.6657731</v>
          </cell>
          <cell r="M32">
            <v>133.70714989999999</v>
          </cell>
          <cell r="N32">
            <v>170.86091630000001</v>
          </cell>
          <cell r="O32">
            <v>215.9126445</v>
          </cell>
          <cell r="P32">
            <v>268.58917869999999</v>
          </cell>
          <cell r="Q32">
            <v>328.63628319999998</v>
          </cell>
          <cell r="R32">
            <v>395.83318259999999</v>
          </cell>
          <cell r="S32">
            <v>470.59199799999999</v>
          </cell>
          <cell r="T32">
            <v>553.17460000000005</v>
          </cell>
          <cell r="U32">
            <v>643.75327059999995</v>
          </cell>
          <cell r="V32">
            <v>742.33424720000005</v>
          </cell>
          <cell r="W32">
            <v>849.30772839999997</v>
          </cell>
          <cell r="X32">
            <v>964.97553809999999</v>
          </cell>
          <cell r="Y32">
            <v>1089.759781</v>
          </cell>
          <cell r="Z32">
            <v>1224.1556800000001</v>
          </cell>
          <cell r="AA32">
            <v>1368.0783140000001</v>
          </cell>
          <cell r="AB32">
            <v>1522.567941</v>
          </cell>
          <cell r="AC32">
            <v>1688.3981799999999</v>
          </cell>
          <cell r="AD32">
            <v>1866.5963200000001</v>
          </cell>
          <cell r="AE32">
            <v>2058.333149</v>
          </cell>
          <cell r="AF32">
            <v>2264.7654560000001</v>
          </cell>
          <cell r="AG32">
            <v>2486.9574250000001</v>
          </cell>
          <cell r="AH32">
            <v>2725.9039560000001</v>
          </cell>
          <cell r="AI32">
            <v>2982.6043100000002</v>
          </cell>
          <cell r="AJ32">
            <v>3258.0376470000001</v>
          </cell>
          <cell r="AK32">
            <v>3553.1173779999999</v>
          </cell>
        </row>
        <row r="33">
          <cell r="A33" t="str">
            <v>auto_ca_cele_0</v>
          </cell>
          <cell r="B33">
            <v>9.8427898650000003</v>
          </cell>
          <cell r="C33">
            <v>15.130629320000001</v>
          </cell>
          <cell r="D33">
            <v>21.017923889999999</v>
          </cell>
          <cell r="E33">
            <v>27.457126939999998</v>
          </cell>
          <cell r="F33">
            <v>34.503908279999997</v>
          </cell>
          <cell r="G33">
            <v>42.057561649999997</v>
          </cell>
          <cell r="H33">
            <v>50.00974188</v>
          </cell>
          <cell r="I33">
            <v>58.382186679999997</v>
          </cell>
          <cell r="J33">
            <v>67.283919539999999</v>
          </cell>
          <cell r="K33">
            <v>76.86006519</v>
          </cell>
          <cell r="L33">
            <v>87.288797059999993</v>
          </cell>
          <cell r="M33">
            <v>98.67017645</v>
          </cell>
          <cell r="N33">
            <v>111.11940199999999</v>
          </cell>
          <cell r="O33">
            <v>124.7410824</v>
          </cell>
          <cell r="P33">
            <v>139.63606390000001</v>
          </cell>
          <cell r="Q33">
            <v>155.91266709999999</v>
          </cell>
          <cell r="R33">
            <v>173.7684946</v>
          </cell>
          <cell r="S33">
            <v>193.25137230000001</v>
          </cell>
          <cell r="T33">
            <v>214.34891999999999</v>
          </cell>
          <cell r="U33">
            <v>237.05552180000001</v>
          </cell>
          <cell r="V33">
            <v>261.36211780000002</v>
          </cell>
          <cell r="W33">
            <v>287.39818450000001</v>
          </cell>
          <cell r="X33">
            <v>315.29904820000002</v>
          </cell>
          <cell r="Y33">
            <v>345.24975669999998</v>
          </cell>
          <cell r="Z33">
            <v>377.4731936</v>
          </cell>
          <cell r="AA33">
            <v>412.07112269999999</v>
          </cell>
          <cell r="AB33">
            <v>449.4521039</v>
          </cell>
          <cell r="AC33">
            <v>489.97873399999997</v>
          </cell>
          <cell r="AD33">
            <v>534.06955119999998</v>
          </cell>
          <cell r="AE33">
            <v>582.18685740000001</v>
          </cell>
          <cell r="AF33">
            <v>634.80641319999995</v>
          </cell>
          <cell r="AG33">
            <v>692.40273460000003</v>
          </cell>
          <cell r="AH33">
            <v>755.44475050000005</v>
          </cell>
          <cell r="AI33">
            <v>824.39301639999996</v>
          </cell>
          <cell r="AJ33">
            <v>899.69720319999999</v>
          </cell>
          <cell r="AK33">
            <v>981.79230329999996</v>
          </cell>
        </row>
        <row r="34">
          <cell r="A34" t="str">
            <v>auto_cb_cele_2</v>
          </cell>
          <cell r="B34">
            <v>11.44571741</v>
          </cell>
          <cell r="C34">
            <v>16.448995610000001</v>
          </cell>
          <cell r="D34">
            <v>22.035707649999999</v>
          </cell>
          <cell r="E34">
            <v>28.16328743</v>
          </cell>
          <cell r="F34">
            <v>34.887207519999997</v>
          </cell>
          <cell r="G34">
            <v>42.108072239999998</v>
          </cell>
          <cell r="H34">
            <v>49.719354320000001</v>
          </cell>
          <cell r="I34">
            <v>57.771959709999997</v>
          </cell>
          <cell r="J34">
            <v>68.013119399999994</v>
          </cell>
          <cell r="K34">
            <v>82.204010339999996</v>
          </cell>
          <cell r="L34">
            <v>102.4451201</v>
          </cell>
          <cell r="M34">
            <v>130.4153603</v>
          </cell>
          <cell r="N34">
            <v>166.09932810000001</v>
          </cell>
          <cell r="O34">
            <v>209.26091719999999</v>
          </cell>
          <cell r="P34">
            <v>259.61702359999998</v>
          </cell>
          <cell r="Q34">
            <v>316.90891269999997</v>
          </cell>
          <cell r="R34">
            <v>380.90460180000002</v>
          </cell>
          <cell r="S34">
            <v>451.96782139999999</v>
          </cell>
          <cell r="T34">
            <v>530.33067159999996</v>
          </cell>
          <cell r="U34">
            <v>616.1435649</v>
          </cell>
          <cell r="V34">
            <v>709.39716650000003</v>
          </cell>
          <cell r="W34">
            <v>810.44021410000005</v>
          </cell>
          <cell r="X34">
            <v>919.52816600000006</v>
          </cell>
          <cell r="Y34">
            <v>1037.0191870000001</v>
          </cell>
          <cell r="Z34">
            <v>1163.3263730000001</v>
          </cell>
          <cell r="AA34">
            <v>1298.2998689999999</v>
          </cell>
          <cell r="AB34">
            <v>1442.8273360000001</v>
          </cell>
          <cell r="AC34">
            <v>1597.5168570000001</v>
          </cell>
          <cell r="AD34">
            <v>1763.186477</v>
          </cell>
          <cell r="AE34">
            <v>1940.7648979999999</v>
          </cell>
          <cell r="AF34">
            <v>2131.1451630000001</v>
          </cell>
          <cell r="AG34">
            <v>2335.1102270000001</v>
          </cell>
          <cell r="AH34">
            <v>2553.3529100000001</v>
          </cell>
          <cell r="AI34">
            <v>2786.545783</v>
          </cell>
          <cell r="AJ34">
            <v>3035.321833</v>
          </cell>
          <cell r="AK34">
            <v>3300.2349939999999</v>
          </cell>
        </row>
        <row r="35">
          <cell r="A35" t="str">
            <v>auto_cb_cele_0</v>
          </cell>
          <cell r="B35">
            <v>11.44571741</v>
          </cell>
          <cell r="C35">
            <v>16.448995610000001</v>
          </cell>
          <cell r="D35">
            <v>22.03570766</v>
          </cell>
          <cell r="E35">
            <v>28.16328743</v>
          </cell>
          <cell r="F35">
            <v>34.887207529999998</v>
          </cell>
          <cell r="G35">
            <v>42.108072280000002</v>
          </cell>
          <cell r="H35">
            <v>49.719354379999999</v>
          </cell>
          <cell r="I35">
            <v>57.741480799999998</v>
          </cell>
          <cell r="J35">
            <v>66.280209249999999</v>
          </cell>
          <cell r="K35">
            <v>75.476370009999997</v>
          </cell>
          <cell r="L35">
            <v>85.502375420000007</v>
          </cell>
          <cell r="M35">
            <v>96.455117670000007</v>
          </cell>
          <cell r="N35">
            <v>108.44648359999999</v>
          </cell>
          <cell r="O35">
            <v>121.5787079</v>
          </cell>
          <cell r="P35">
            <v>135.95073859999999</v>
          </cell>
          <cell r="Q35">
            <v>151.66873860000001</v>
          </cell>
          <cell r="R35">
            <v>168.92642660000001</v>
          </cell>
          <cell r="S35">
            <v>187.77481520000001</v>
          </cell>
          <cell r="T35">
            <v>208.20599910000001</v>
          </cell>
          <cell r="U35">
            <v>230.21645090000001</v>
          </cell>
          <cell r="V35">
            <v>253.79645780000001</v>
          </cell>
          <cell r="W35">
            <v>279.06786349999999</v>
          </cell>
          <cell r="X35">
            <v>306.15534600000001</v>
          </cell>
          <cell r="Y35">
            <v>335.22863460000002</v>
          </cell>
          <cell r="Z35">
            <v>366.49007779999999</v>
          </cell>
          <cell r="AA35">
            <v>400.01960559999998</v>
          </cell>
          <cell r="AB35">
            <v>436.18902859999997</v>
          </cell>
          <cell r="AC35">
            <v>475.3189926</v>
          </cell>
          <cell r="AD35">
            <v>517.77677180000001</v>
          </cell>
          <cell r="AE35">
            <v>563.96425050000005</v>
          </cell>
          <cell r="AF35">
            <v>614.28818660000002</v>
          </cell>
          <cell r="AG35">
            <v>669.14557590000004</v>
          </cell>
          <cell r="AH35">
            <v>728.91913650000004</v>
          </cell>
          <cell r="AI35">
            <v>793.97444240000004</v>
          </cell>
          <cell r="AJ35">
            <v>864.65758170000004</v>
          </cell>
          <cell r="AK35">
            <v>941.29191969999999</v>
          </cell>
        </row>
        <row r="36">
          <cell r="A36" t="str">
            <v>auto_cc_cele_2</v>
          </cell>
          <cell r="B36">
            <v>9.4015406210000005</v>
          </cell>
          <cell r="C36">
            <v>12.809561970000001</v>
          </cell>
          <cell r="D36">
            <v>16.626379450000002</v>
          </cell>
          <cell r="E36">
            <v>20.824251830000001</v>
          </cell>
          <cell r="F36">
            <v>25.442596980000001</v>
          </cell>
          <cell r="G36">
            <v>30.410760740000001</v>
          </cell>
          <cell r="H36">
            <v>35.653234769999997</v>
          </cell>
          <cell r="I36">
            <v>41.209820919999999</v>
          </cell>
          <cell r="J36">
            <v>48.305779809999997</v>
          </cell>
          <cell r="K36">
            <v>58.157868980000003</v>
          </cell>
          <cell r="L36">
            <v>72.192798640000007</v>
          </cell>
          <cell r="M36">
            <v>91.528051250000004</v>
          </cell>
          <cell r="N36">
            <v>116.12393849999999</v>
          </cell>
          <cell r="O36">
            <v>145.7972919</v>
          </cell>
          <cell r="P36">
            <v>180.33929649999999</v>
          </cell>
          <cell r="Q36">
            <v>219.56236749999999</v>
          </cell>
          <cell r="R36">
            <v>263.29391950000002</v>
          </cell>
          <cell r="S36">
            <v>311.7639648</v>
          </cell>
          <cell r="T36">
            <v>365.12049430000002</v>
          </cell>
          <cell r="U36">
            <v>423.45828640000002</v>
          </cell>
          <cell r="V36">
            <v>486.76202749999999</v>
          </cell>
          <cell r="W36">
            <v>555.25625769999999</v>
          </cell>
          <cell r="X36">
            <v>629.09593240000004</v>
          </cell>
          <cell r="Y36">
            <v>708.49865190000003</v>
          </cell>
          <cell r="Z36">
            <v>793.71023460000004</v>
          </cell>
          <cell r="AA36">
            <v>884.58531819999996</v>
          </cell>
          <cell r="AB36">
            <v>981.66597190000005</v>
          </cell>
          <cell r="AC36">
            <v>1085.2873259999999</v>
          </cell>
          <cell r="AD36">
            <v>1195.90869</v>
          </cell>
          <cell r="AE36">
            <v>1314.0498279999999</v>
          </cell>
          <cell r="AF36">
            <v>1440.193767</v>
          </cell>
          <cell r="AG36">
            <v>1574.736639</v>
          </cell>
          <cell r="AH36">
            <v>1718.000346</v>
          </cell>
          <cell r="AI36">
            <v>1870.2806680000001</v>
          </cell>
          <cell r="AJ36">
            <v>2031.8370279999999</v>
          </cell>
          <cell r="AK36">
            <v>2202.8684400000002</v>
          </cell>
        </row>
        <row r="37">
          <cell r="A37" t="str">
            <v>auto_cc_cele_0</v>
          </cell>
          <cell r="B37">
            <v>9.4015406210000005</v>
          </cell>
          <cell r="C37">
            <v>12.809561970000001</v>
          </cell>
          <cell r="D37">
            <v>16.626379459999999</v>
          </cell>
          <cell r="E37">
            <v>20.824251830000001</v>
          </cell>
          <cell r="F37">
            <v>25.442596999999999</v>
          </cell>
          <cell r="G37">
            <v>30.41076077</v>
          </cell>
          <cell r="H37">
            <v>35.653234820000002</v>
          </cell>
          <cell r="I37">
            <v>41.183521079999998</v>
          </cell>
          <cell r="J37">
            <v>47.07499902</v>
          </cell>
          <cell r="K37">
            <v>53.42545904</v>
          </cell>
          <cell r="L37">
            <v>60.354318560000003</v>
          </cell>
          <cell r="M37">
            <v>67.928420849999995</v>
          </cell>
          <cell r="N37">
            <v>76.225291139999996</v>
          </cell>
          <cell r="O37">
            <v>85.316169439999996</v>
          </cell>
          <cell r="P37">
            <v>95.270282350000002</v>
          </cell>
          <cell r="Q37">
            <v>106.1618826</v>
          </cell>
          <cell r="R37">
            <v>118.1269642</v>
          </cell>
          <cell r="S37">
            <v>131.2040614</v>
          </cell>
          <cell r="T37">
            <v>145.3904077</v>
          </cell>
          <cell r="U37">
            <v>160.6848009</v>
          </cell>
          <cell r="V37">
            <v>177.07976249999999</v>
          </cell>
          <cell r="W37">
            <v>194.65736620000001</v>
          </cell>
          <cell r="X37">
            <v>213.49964460000001</v>
          </cell>
          <cell r="Y37">
            <v>233.7177342</v>
          </cell>
          <cell r="Z37">
            <v>255.44261700000001</v>
          </cell>
          <cell r="AA37">
            <v>278.71677390000002</v>
          </cell>
          <cell r="AB37">
            <v>303.78175110000001</v>
          </cell>
          <cell r="AC37">
            <v>330.83909649999998</v>
          </cell>
          <cell r="AD37">
            <v>360.11772459999997</v>
          </cell>
          <cell r="AE37">
            <v>391.8655334</v>
          </cell>
          <cell r="AF37">
            <v>426.32864219999999</v>
          </cell>
          <cell r="AG37">
            <v>463.74112589999999</v>
          </cell>
          <cell r="AH37">
            <v>504.32184690000003</v>
          </cell>
          <cell r="AI37">
            <v>548.27253870000004</v>
          </cell>
          <cell r="AJ37">
            <v>595.77643330000001</v>
          </cell>
          <cell r="AK37">
            <v>646.99649529999999</v>
          </cell>
        </row>
        <row r="38">
          <cell r="A38" t="str">
            <v>auto_cd_cele_2</v>
          </cell>
          <cell r="B38">
            <v>5.770071272</v>
          </cell>
          <cell r="C38">
            <v>7.5897061490000004</v>
          </cell>
          <cell r="D38">
            <v>9.5751188579999997</v>
          </cell>
          <cell r="E38">
            <v>11.68180757</v>
          </cell>
          <cell r="F38">
            <v>13.907260300000001</v>
          </cell>
          <cell r="G38">
            <v>16.215637539999999</v>
          </cell>
          <cell r="H38">
            <v>18.564836629999999</v>
          </cell>
          <cell r="I38">
            <v>20.897747519999999</v>
          </cell>
          <cell r="J38">
            <v>23.513173370000001</v>
          </cell>
          <cell r="K38">
            <v>26.679362050000002</v>
          </cell>
          <cell r="L38">
            <v>30.683684249999999</v>
          </cell>
          <cell r="M38">
            <v>35.751172009999998</v>
          </cell>
          <cell r="N38">
            <v>41.858178819999999</v>
          </cell>
          <cell r="O38">
            <v>48.952681759999997</v>
          </cell>
          <cell r="P38">
            <v>56.983893940000002</v>
          </cell>
          <cell r="Q38">
            <v>65.911464910000007</v>
          </cell>
          <cell r="R38">
            <v>75.696220210000007</v>
          </cell>
          <cell r="S38">
            <v>86.390949610000007</v>
          </cell>
          <cell r="T38">
            <v>98.036774550000004</v>
          </cell>
          <cell r="U38">
            <v>110.6662108</v>
          </cell>
          <cell r="V38">
            <v>124.28805269999999</v>
          </cell>
          <cell r="W38">
            <v>138.96474280000001</v>
          </cell>
          <cell r="X38">
            <v>154.74138450000001</v>
          </cell>
          <cell r="Y38">
            <v>171.6752664</v>
          </cell>
          <cell r="Z38">
            <v>189.8271546</v>
          </cell>
          <cell r="AA38">
            <v>209.16824629999999</v>
          </cell>
          <cell r="AB38">
            <v>229.81507189999999</v>
          </cell>
          <cell r="AC38">
            <v>251.83097549999999</v>
          </cell>
          <cell r="AD38">
            <v>275.30081180000002</v>
          </cell>
          <cell r="AE38">
            <v>300.32182820000003</v>
          </cell>
          <cell r="AF38">
            <v>326.9847967</v>
          </cell>
          <cell r="AG38">
            <v>355.36349899999999</v>
          </cell>
          <cell r="AH38">
            <v>385.51738419999998</v>
          </cell>
          <cell r="AI38">
            <v>417.50427939999997</v>
          </cell>
          <cell r="AJ38">
            <v>451.3813159</v>
          </cell>
          <cell r="AK38">
            <v>487.2019808</v>
          </cell>
        </row>
        <row r="39">
          <cell r="A39" t="str">
            <v>auto_cd_cele_0</v>
          </cell>
          <cell r="B39">
            <v>5.770071272</v>
          </cell>
          <cell r="C39">
            <v>7.5897061490000004</v>
          </cell>
          <cell r="D39">
            <v>9.5751188579999997</v>
          </cell>
          <cell r="E39">
            <v>11.68180757</v>
          </cell>
          <cell r="F39">
            <v>13.907260300000001</v>
          </cell>
          <cell r="G39">
            <v>16.215637539999999</v>
          </cell>
          <cell r="H39">
            <v>18.564836639999999</v>
          </cell>
          <cell r="I39">
            <v>20.945256409999999</v>
          </cell>
          <cell r="J39">
            <v>23.36844181</v>
          </cell>
          <cell r="K39">
            <v>25.853633049999999</v>
          </cell>
          <cell r="L39">
            <v>28.426879240000002</v>
          </cell>
          <cell r="M39">
            <v>31.093225839999999</v>
          </cell>
          <cell r="N39">
            <v>33.864283290000003</v>
          </cell>
          <cell r="O39">
            <v>36.751417670000002</v>
          </cell>
          <cell r="P39">
            <v>39.76664581</v>
          </cell>
          <cell r="Q39">
            <v>42.924089760000001</v>
          </cell>
          <cell r="R39">
            <v>46.261376370000001</v>
          </cell>
          <cell r="S39">
            <v>49.790905109999997</v>
          </cell>
          <cell r="T39">
            <v>53.513063330000001</v>
          </cell>
          <cell r="U39">
            <v>57.426956349999998</v>
          </cell>
          <cell r="V39">
            <v>61.527430950000003</v>
          </cell>
          <cell r="W39">
            <v>65.831775730000004</v>
          </cell>
          <cell r="X39">
            <v>70.354003899999995</v>
          </cell>
          <cell r="Y39">
            <v>75.11288571</v>
          </cell>
          <cell r="Z39">
            <v>80.128905329999995</v>
          </cell>
          <cell r="AA39">
            <v>85.396520839999994</v>
          </cell>
          <cell r="AB39">
            <v>90.957489379999998</v>
          </cell>
          <cell r="AC39">
            <v>96.839163510000006</v>
          </cell>
          <cell r="AD39">
            <v>103.0716067</v>
          </cell>
          <cell r="AE39">
            <v>109.6860504</v>
          </cell>
          <cell r="AF39">
            <v>116.7103985</v>
          </cell>
          <cell r="AG39">
            <v>124.16740489999999</v>
          </cell>
          <cell r="AH39">
            <v>132.074592</v>
          </cell>
          <cell r="AI39">
            <v>140.44448349999999</v>
          </cell>
          <cell r="AJ39">
            <v>149.28502829999999</v>
          </cell>
          <cell r="AK39">
            <v>158.60001779999999</v>
          </cell>
        </row>
        <row r="40">
          <cell r="A40" t="str">
            <v>auto_ce_cele_2</v>
          </cell>
          <cell r="B40">
            <v>3.4730440960000002</v>
          </cell>
          <cell r="C40">
            <v>4.5933005749999998</v>
          </cell>
          <cell r="D40">
            <v>5.8100829870000004</v>
          </cell>
          <cell r="E40">
            <v>7.0945435110000004</v>
          </cell>
          <cell r="F40">
            <v>8.4435847279999994</v>
          </cell>
          <cell r="G40">
            <v>9.8336161369999999</v>
          </cell>
          <cell r="H40">
            <v>11.237641930000001</v>
          </cell>
          <cell r="I40">
            <v>12.62133304</v>
          </cell>
          <cell r="J40">
            <v>14.159592099999999</v>
          </cell>
          <cell r="K40">
            <v>16.000319730000001</v>
          </cell>
          <cell r="L40">
            <v>18.291680400000001</v>
          </cell>
          <cell r="M40">
            <v>21.142536079999999</v>
          </cell>
          <cell r="N40">
            <v>24.528760210000002</v>
          </cell>
          <cell r="O40">
            <v>28.413850960000001</v>
          </cell>
          <cell r="P40">
            <v>32.764923940000003</v>
          </cell>
          <cell r="Q40">
            <v>37.55680503</v>
          </cell>
          <cell r="R40">
            <v>42.764984550000001</v>
          </cell>
          <cell r="S40">
            <v>48.413698910000001</v>
          </cell>
          <cell r="T40">
            <v>54.522340700000001</v>
          </cell>
          <cell r="U40">
            <v>61.105838769999998</v>
          </cell>
          <cell r="V40">
            <v>68.165684600000006</v>
          </cell>
          <cell r="W40">
            <v>75.729961840000001</v>
          </cell>
          <cell r="X40">
            <v>83.815183430000005</v>
          </cell>
          <cell r="Y40">
            <v>92.441446760000005</v>
          </cell>
          <cell r="Z40">
            <v>101.6270949</v>
          </cell>
          <cell r="AA40">
            <v>111.3404298</v>
          </cell>
          <cell r="AB40">
            <v>121.6190544</v>
          </cell>
          <cell r="AC40">
            <v>132.46691269999999</v>
          </cell>
          <cell r="AD40">
            <v>143.8931695</v>
          </cell>
          <cell r="AE40">
            <v>155.9093087</v>
          </cell>
          <cell r="AF40">
            <v>168.52042879999999</v>
          </cell>
          <cell r="AG40">
            <v>181.72019760000001</v>
          </cell>
          <cell r="AH40">
            <v>195.49224380000001</v>
          </cell>
          <cell r="AI40">
            <v>209.81721680000001</v>
          </cell>
          <cell r="AJ40">
            <v>224.6743199</v>
          </cell>
          <cell r="AK40">
            <v>240.04070010000001</v>
          </cell>
        </row>
        <row r="41">
          <cell r="A41" t="str">
            <v>auto_ce_cele_0</v>
          </cell>
          <cell r="B41">
            <v>3.4730440960000002</v>
          </cell>
          <cell r="C41">
            <v>4.5933005749999998</v>
          </cell>
          <cell r="D41">
            <v>5.8100829870000004</v>
          </cell>
          <cell r="E41">
            <v>7.0945435110000004</v>
          </cell>
          <cell r="F41">
            <v>8.4435847289999995</v>
          </cell>
          <cell r="G41">
            <v>9.8336161410000003</v>
          </cell>
          <cell r="H41">
            <v>11.237641930000001</v>
          </cell>
          <cell r="I41">
            <v>12.64875861</v>
          </cell>
          <cell r="J41">
            <v>14.07304465</v>
          </cell>
          <cell r="K41">
            <v>15.52117144</v>
          </cell>
          <cell r="L41">
            <v>17.007659919999998</v>
          </cell>
          <cell r="M41">
            <v>18.534952950000001</v>
          </cell>
          <cell r="N41">
            <v>20.109857340000001</v>
          </cell>
          <cell r="O41">
            <v>21.739508239999999</v>
          </cell>
          <cell r="P41">
            <v>23.4316171</v>
          </cell>
          <cell r="Q41">
            <v>25.19503216</v>
          </cell>
          <cell r="R41">
            <v>27.052087870000001</v>
          </cell>
          <cell r="S41">
            <v>29.01109323</v>
          </cell>
          <cell r="T41">
            <v>31.073194730000001</v>
          </cell>
          <cell r="U41">
            <v>33.238096689999999</v>
          </cell>
          <cell r="V41">
            <v>35.502236400000001</v>
          </cell>
          <cell r="W41">
            <v>37.873784069999999</v>
          </cell>
          <cell r="X41">
            <v>40.35815324</v>
          </cell>
          <cell r="Y41">
            <v>42.962403629999997</v>
          </cell>
          <cell r="Z41">
            <v>45.693275509999999</v>
          </cell>
          <cell r="AA41">
            <v>48.541711749999997</v>
          </cell>
          <cell r="AB41">
            <v>51.52337868</v>
          </cell>
          <cell r="AC41">
            <v>54.64448659</v>
          </cell>
          <cell r="AD41">
            <v>57.911254319999998</v>
          </cell>
          <cell r="AE41">
            <v>61.329381120000001</v>
          </cell>
          <cell r="AF41">
            <v>64.901827389999994</v>
          </cell>
          <cell r="AG41">
            <v>68.628058730000006</v>
          </cell>
          <cell r="AH41">
            <v>72.504248430000004</v>
          </cell>
          <cell r="AI41">
            <v>76.523659409999993</v>
          </cell>
          <cell r="AJ41">
            <v>80.677149999999997</v>
          </cell>
          <cell r="AK41">
            <v>84.953695300000007</v>
          </cell>
        </row>
        <row r="42">
          <cell r="A42" t="str">
            <v>auto_cf_cele_2</v>
          </cell>
          <cell r="B42">
            <v>1.7251505170000001</v>
          </cell>
          <cell r="C42">
            <v>2.2525967260000002</v>
          </cell>
          <cell r="D42">
            <v>2.8080324289999998</v>
          </cell>
          <cell r="E42">
            <v>3.3713034230000001</v>
          </cell>
          <cell r="F42">
            <v>3.936064762</v>
          </cell>
          <cell r="G42">
            <v>4.4908866859999996</v>
          </cell>
          <cell r="H42">
            <v>5.0232424169999996</v>
          </cell>
          <cell r="I42">
            <v>5.5105068289999997</v>
          </cell>
          <cell r="J42">
            <v>5.9922101420000002</v>
          </cell>
          <cell r="K42">
            <v>6.4963676970000002</v>
          </cell>
          <cell r="L42">
            <v>7.0440393339999998</v>
          </cell>
          <cell r="M42">
            <v>7.6490560399999996</v>
          </cell>
          <cell r="N42">
            <v>8.3028212799999999</v>
          </cell>
          <cell r="O42">
            <v>8.9966757279999996</v>
          </cell>
          <cell r="P42">
            <v>9.7246623499999991</v>
          </cell>
          <cell r="Q42">
            <v>10.48335767</v>
          </cell>
          <cell r="R42">
            <v>11.269251390000001</v>
          </cell>
          <cell r="S42">
            <v>12.086868129999999</v>
          </cell>
          <cell r="T42">
            <v>12.940161870000001</v>
          </cell>
          <cell r="U42">
            <v>13.832055520000001</v>
          </cell>
          <cell r="V42">
            <v>14.76268292</v>
          </cell>
          <cell r="W42">
            <v>15.73545262</v>
          </cell>
          <cell r="X42">
            <v>16.75080908</v>
          </cell>
          <cell r="Y42">
            <v>17.808582269999999</v>
          </cell>
          <cell r="Z42">
            <v>18.906978559999999</v>
          </cell>
          <cell r="AA42">
            <v>20.03586275</v>
          </cell>
          <cell r="AB42">
            <v>21.19301441</v>
          </cell>
          <cell r="AC42">
            <v>22.36970796</v>
          </cell>
          <cell r="AD42">
            <v>23.55673333</v>
          </cell>
          <cell r="AE42">
            <v>24.745060240000001</v>
          </cell>
          <cell r="AF42">
            <v>25.925262870000001</v>
          </cell>
          <cell r="AG42">
            <v>27.08714183</v>
          </cell>
          <cell r="AH42">
            <v>28.22007224</v>
          </cell>
          <cell r="AI42">
            <v>29.314222390000001</v>
          </cell>
          <cell r="AJ42">
            <v>30.361092320000001</v>
          </cell>
          <cell r="AK42">
            <v>31.353620729999999</v>
          </cell>
        </row>
        <row r="43">
          <cell r="A43" t="str">
            <v>auto_cf_cele_0</v>
          </cell>
          <cell r="B43">
            <v>1.7251505170000001</v>
          </cell>
          <cell r="C43">
            <v>2.2525967260000002</v>
          </cell>
          <cell r="D43">
            <v>2.8080324289999998</v>
          </cell>
          <cell r="E43">
            <v>3.3713034230000001</v>
          </cell>
          <cell r="F43">
            <v>3.936064762</v>
          </cell>
          <cell r="G43">
            <v>4.4908866879999998</v>
          </cell>
          <cell r="H43">
            <v>5.0232424199999999</v>
          </cell>
          <cell r="I43">
            <v>5.5283384519999998</v>
          </cell>
          <cell r="J43">
            <v>6.0063364830000001</v>
          </cell>
          <cell r="K43">
            <v>6.4591925520000002</v>
          </cell>
          <cell r="L43">
            <v>6.8902353429999996</v>
          </cell>
          <cell r="M43">
            <v>7.2994084030000002</v>
          </cell>
          <cell r="N43">
            <v>7.6890427929999996</v>
          </cell>
          <cell r="O43">
            <v>8.0622030099999993</v>
          </cell>
          <cell r="P43">
            <v>8.4222954419999994</v>
          </cell>
          <cell r="Q43">
            <v>8.7728415420000001</v>
          </cell>
          <cell r="R43">
            <v>9.1208876490000002</v>
          </cell>
          <cell r="S43">
            <v>9.4702418430000002</v>
          </cell>
          <cell r="T43">
            <v>9.8225692200000001</v>
          </cell>
          <cell r="U43">
            <v>10.17849305</v>
          </cell>
          <cell r="V43">
            <v>10.53716603</v>
          </cell>
          <cell r="W43">
            <v>10.899549950000001</v>
          </cell>
          <cell r="X43">
            <v>11.26531464</v>
          </cell>
          <cell r="Y43">
            <v>11.633810349999999</v>
          </cell>
          <cell r="Z43">
            <v>12.00361487</v>
          </cell>
          <cell r="AA43">
            <v>12.36978263</v>
          </cell>
          <cell r="AB43">
            <v>12.73145605</v>
          </cell>
          <cell r="AC43">
            <v>13.08566519</v>
          </cell>
          <cell r="AD43">
            <v>13.42925305</v>
          </cell>
          <cell r="AE43">
            <v>13.75910335</v>
          </cell>
          <cell r="AF43">
            <v>14.07200117</v>
          </cell>
          <cell r="AG43">
            <v>14.364702250000001</v>
          </cell>
          <cell r="AH43">
            <v>14.63411247</v>
          </cell>
          <cell r="AI43">
            <v>14.87744719</v>
          </cell>
          <cell r="AJ43">
            <v>15.0923687</v>
          </cell>
          <cell r="AK43">
            <v>15.277087</v>
          </cell>
        </row>
        <row r="44">
          <cell r="A44" t="str">
            <v>auto_cg_cele_2</v>
          </cell>
          <cell r="B44">
            <v>3.1066862139999998</v>
          </cell>
          <cell r="C44">
            <v>4.0900373480000001</v>
          </cell>
          <cell r="D44">
            <v>5.1054673140000002</v>
          </cell>
          <cell r="E44">
            <v>6.1106810759999997</v>
          </cell>
          <cell r="F44">
            <v>7.0907790899999998</v>
          </cell>
          <cell r="G44">
            <v>8.0242560419999993</v>
          </cell>
          <cell r="H44">
            <v>8.8892754810000003</v>
          </cell>
          <cell r="I44">
            <v>9.6478038060000006</v>
          </cell>
          <cell r="J44">
            <v>10.360470380000001</v>
          </cell>
          <cell r="K44">
            <v>11.06622434</v>
          </cell>
          <cell r="L44">
            <v>11.78875352</v>
          </cell>
          <cell r="M44">
            <v>12.54114979</v>
          </cell>
          <cell r="N44">
            <v>13.31011567</v>
          </cell>
          <cell r="O44">
            <v>14.08525006</v>
          </cell>
          <cell r="P44">
            <v>14.86144412</v>
          </cell>
          <cell r="Q44">
            <v>15.63745786</v>
          </cell>
          <cell r="R44">
            <v>16.411834809999998</v>
          </cell>
          <cell r="S44">
            <v>17.191742820000002</v>
          </cell>
          <cell r="T44">
            <v>17.98342714</v>
          </cell>
          <cell r="U44">
            <v>18.791388550000001</v>
          </cell>
          <cell r="V44">
            <v>19.616303370000001</v>
          </cell>
          <cell r="W44">
            <v>20.461406329999999</v>
          </cell>
          <cell r="X44">
            <v>21.325757110000001</v>
          </cell>
          <cell r="Y44">
            <v>22.206846509999998</v>
          </cell>
          <cell r="Z44">
            <v>23.099525809999999</v>
          </cell>
          <cell r="AA44">
            <v>23.989636099999998</v>
          </cell>
          <cell r="AB44">
            <v>24.869835599999998</v>
          </cell>
          <cell r="AC44">
            <v>25.72579957</v>
          </cell>
          <cell r="AD44">
            <v>26.542891789999999</v>
          </cell>
          <cell r="AE44">
            <v>27.307767649999999</v>
          </cell>
          <cell r="AF44">
            <v>28.008299829999999</v>
          </cell>
          <cell r="AG44">
            <v>28.633403009999999</v>
          </cell>
          <cell r="AH44">
            <v>29.173393770000001</v>
          </cell>
          <cell r="AI44">
            <v>29.621097890000001</v>
          </cell>
          <cell r="AJ44">
            <v>29.97223619</v>
          </cell>
          <cell r="AK44">
            <v>30.225275060000001</v>
          </cell>
        </row>
        <row r="45">
          <cell r="A45" t="str">
            <v>auto_cg_cele_0</v>
          </cell>
          <cell r="B45">
            <v>3.1066862139999998</v>
          </cell>
          <cell r="C45">
            <v>4.0900373480000001</v>
          </cell>
          <cell r="D45">
            <v>5.1054673150000003</v>
          </cell>
          <cell r="E45">
            <v>6.1106810769999997</v>
          </cell>
          <cell r="F45">
            <v>7.090779092</v>
          </cell>
          <cell r="G45">
            <v>8.0242560469999997</v>
          </cell>
          <cell r="H45">
            <v>8.8892754879999991</v>
          </cell>
          <cell r="I45">
            <v>9.6783102329999995</v>
          </cell>
          <cell r="J45">
            <v>10.39287528</v>
          </cell>
          <cell r="K45">
            <v>11.03779213</v>
          </cell>
          <cell r="L45">
            <v>11.62012314</v>
          </cell>
          <cell r="M45">
            <v>12.142438970000001</v>
          </cell>
          <cell r="N45">
            <v>12.61154514</v>
          </cell>
          <cell r="O45">
            <v>13.035538819999999</v>
          </cell>
          <cell r="P45">
            <v>13.422724909999999</v>
          </cell>
          <cell r="Q45">
            <v>13.78096573</v>
          </cell>
          <cell r="R45">
            <v>14.122219940000001</v>
          </cell>
          <cell r="S45">
            <v>14.453882159999999</v>
          </cell>
          <cell r="T45">
            <v>14.77992938</v>
          </cell>
          <cell r="U45">
            <v>15.1022406</v>
          </cell>
          <cell r="V45">
            <v>15.42012912</v>
          </cell>
          <cell r="W45">
            <v>15.73443838</v>
          </cell>
          <cell r="X45">
            <v>16.04388982</v>
          </cell>
          <cell r="Y45">
            <v>16.346334479999999</v>
          </cell>
          <cell r="Z45">
            <v>16.638235909999999</v>
          </cell>
          <cell r="AA45">
            <v>16.91175926</v>
          </cell>
          <cell r="AB45">
            <v>17.163545379999999</v>
          </cell>
          <cell r="AC45">
            <v>17.387991899999999</v>
          </cell>
          <cell r="AD45">
            <v>17.57965896</v>
          </cell>
          <cell r="AE45">
            <v>17.733836119999999</v>
          </cell>
          <cell r="AF45">
            <v>17.846561820000002</v>
          </cell>
          <cell r="AG45">
            <v>17.91476729</v>
          </cell>
          <cell r="AH45">
            <v>17.93644909</v>
          </cell>
          <cell r="AI45">
            <v>17.910749150000001</v>
          </cell>
          <cell r="AJ45">
            <v>17.837960519999999</v>
          </cell>
          <cell r="AK45">
            <v>17.719460470000001</v>
          </cell>
        </row>
        <row r="46">
          <cell r="A46" t="str">
            <v>auto_ca_cgas_2</v>
          </cell>
          <cell r="B46">
            <v>0.42568169729999999</v>
          </cell>
          <cell r="C46">
            <v>0.44916480609999998</v>
          </cell>
          <cell r="D46">
            <v>0.47659156349999998</v>
          </cell>
          <cell r="E46">
            <v>0.50644029739999996</v>
          </cell>
          <cell r="F46">
            <v>0.53833349190000002</v>
          </cell>
          <cell r="G46">
            <v>0.57151338380000005</v>
          </cell>
          <cell r="H46">
            <v>0.60500392069999998</v>
          </cell>
          <cell r="I46">
            <v>0.63599446569999996</v>
          </cell>
          <cell r="J46">
            <v>0.66623453590000004</v>
          </cell>
          <cell r="K46">
            <v>0.69649801489999996</v>
          </cell>
          <cell r="L46">
            <v>0.72699064069999997</v>
          </cell>
          <cell r="M46">
            <v>0.75805898419999995</v>
          </cell>
          <cell r="N46">
            <v>0.78899857080000002</v>
          </cell>
          <cell r="O46">
            <v>0.81908636260000001</v>
          </cell>
          <cell r="P46">
            <v>0.84781034629999996</v>
          </cell>
          <cell r="Q46">
            <v>0.87486035370000004</v>
          </cell>
          <cell r="R46">
            <v>0.89986907279999995</v>
          </cell>
          <cell r="S46">
            <v>0.92300109590000001</v>
          </cell>
          <cell r="T46">
            <v>0.94439138690000002</v>
          </cell>
          <cell r="U46">
            <v>0.96414119369999995</v>
          </cell>
          <cell r="V46">
            <v>0.982250807</v>
          </cell>
          <cell r="W46">
            <v>0.9989580844</v>
          </cell>
          <cell r="X46">
            <v>1.0143967549999999</v>
          </cell>
          <cell r="Y46">
            <v>1.028725181</v>
          </cell>
          <cell r="Z46">
            <v>1.0420919790000001</v>
          </cell>
          <cell r="AA46">
            <v>1.054370877</v>
          </cell>
          <cell r="AB46">
            <v>1.0658774</v>
          </cell>
          <cell r="AC46">
            <v>1.0767490669999999</v>
          </cell>
          <cell r="AD46">
            <v>1.087156513</v>
          </cell>
          <cell r="AE46">
            <v>1.097255313</v>
          </cell>
          <cell r="AF46">
            <v>1.1071405110000001</v>
          </cell>
          <cell r="AG46">
            <v>1.116838094</v>
          </cell>
          <cell r="AH46">
            <v>1.1263261</v>
          </cell>
          <cell r="AI46">
            <v>1.1355623210000001</v>
          </cell>
          <cell r="AJ46">
            <v>1.144484356</v>
          </cell>
          <cell r="AK46">
            <v>1.1530068840000001</v>
          </cell>
        </row>
        <row r="47">
          <cell r="A47" t="str">
            <v>auto_ca_cgas_0</v>
          </cell>
          <cell r="B47">
            <v>0.42568169729999999</v>
          </cell>
          <cell r="C47">
            <v>0.44916480600000003</v>
          </cell>
          <cell r="D47">
            <v>0.47659156339999997</v>
          </cell>
          <cell r="E47">
            <v>0.50644029729999995</v>
          </cell>
          <cell r="F47">
            <v>0.53833349180000001</v>
          </cell>
          <cell r="G47">
            <v>0.57151338360000004</v>
          </cell>
          <cell r="H47">
            <v>0.60500392039999995</v>
          </cell>
          <cell r="I47">
            <v>0.63837891550000003</v>
          </cell>
          <cell r="J47">
            <v>0.67153591769999998</v>
          </cell>
          <cell r="K47">
            <v>0.70445820999999997</v>
          </cell>
          <cell r="L47">
            <v>0.73722150799999997</v>
          </cell>
          <cell r="M47">
            <v>0.76941443939999998</v>
          </cell>
          <cell r="N47">
            <v>0.80076932430000003</v>
          </cell>
          <cell r="O47">
            <v>0.83102849440000004</v>
          </cell>
          <cell r="P47">
            <v>0.85997917199999996</v>
          </cell>
          <cell r="Q47">
            <v>0.88748381279999999</v>
          </cell>
          <cell r="R47">
            <v>0.91391744159999999</v>
          </cell>
          <cell r="S47">
            <v>0.93937681380000004</v>
          </cell>
          <cell r="T47">
            <v>0.96383912969999996</v>
          </cell>
          <cell r="U47">
            <v>0.98728797810000002</v>
          </cell>
          <cell r="V47">
            <v>1.0096548219999999</v>
          </cell>
          <cell r="W47">
            <v>1.0311582349999999</v>
          </cell>
          <cell r="X47">
            <v>1.0519373400000001</v>
          </cell>
          <cell r="Y47">
            <v>1.0721618390000001</v>
          </cell>
          <cell r="Z47">
            <v>1.091999546</v>
          </cell>
          <cell r="AA47">
            <v>1.1113333910000001</v>
          </cell>
          <cell r="AB47">
            <v>1.130543804</v>
          </cell>
          <cell r="AC47">
            <v>1.1498264300000001</v>
          </cell>
          <cell r="AD47">
            <v>1.1693786289999999</v>
          </cell>
          <cell r="AE47">
            <v>1.1893753090000001</v>
          </cell>
          <cell r="AF47">
            <v>1.209929228</v>
          </cell>
          <cell r="AG47">
            <v>1.2310830530000001</v>
          </cell>
          <cell r="AH47">
            <v>1.2528174569999999</v>
          </cell>
          <cell r="AI47">
            <v>1.2750607009999999</v>
          </cell>
          <cell r="AJ47">
            <v>1.297697828</v>
          </cell>
          <cell r="AK47">
            <v>1.320578051</v>
          </cell>
        </row>
        <row r="48">
          <cell r="A48" t="str">
            <v>auto_cb_cgas_2</v>
          </cell>
          <cell r="B48">
            <v>0.49500522540000003</v>
          </cell>
          <cell r="C48">
            <v>0.51209606730000001</v>
          </cell>
          <cell r="D48">
            <v>0.53321859250000003</v>
          </cell>
          <cell r="E48">
            <v>0.55686367560000005</v>
          </cell>
          <cell r="F48">
            <v>0.58263151530000001</v>
          </cell>
          <cell r="G48">
            <v>0.60978264029999996</v>
          </cell>
          <cell r="H48">
            <v>0.63736279409999996</v>
          </cell>
          <cell r="I48">
            <v>0.66261880669999995</v>
          </cell>
          <cell r="J48">
            <v>0.68707143270000004</v>
          </cell>
          <cell r="K48">
            <v>0.71140989509999997</v>
          </cell>
          <cell r="L48">
            <v>0.73579656510000002</v>
          </cell>
          <cell r="M48">
            <v>0.76056568700000005</v>
          </cell>
          <cell r="N48">
            <v>0.78513120020000005</v>
          </cell>
          <cell r="O48">
            <v>0.80887730440000005</v>
          </cell>
          <cell r="P48">
            <v>0.83137322260000002</v>
          </cell>
          <cell r="Q48">
            <v>0.85236528069999995</v>
          </cell>
          <cell r="R48">
            <v>0.87153372689999997</v>
          </cell>
          <cell r="S48">
            <v>0.88903255469999998</v>
          </cell>
          <cell r="T48">
            <v>0.90499700530000005</v>
          </cell>
          <cell r="U48">
            <v>0.91953078249999998</v>
          </cell>
          <cell r="V48">
            <v>0.93264220009999999</v>
          </cell>
          <cell r="W48">
            <v>0.94454854600000004</v>
          </cell>
          <cell r="X48">
            <v>0.95536826600000002</v>
          </cell>
          <cell r="Y48">
            <v>0.96523797389999999</v>
          </cell>
          <cell r="Z48">
            <v>0.97428185990000005</v>
          </cell>
          <cell r="AA48">
            <v>0.98237576329999998</v>
          </cell>
          <cell r="AB48">
            <v>0.98978606449999995</v>
          </cell>
          <cell r="AC48">
            <v>0.99661628820000003</v>
          </cell>
          <cell r="AD48">
            <v>1.0029972620000001</v>
          </cell>
          <cell r="AE48">
            <v>1.00904693</v>
          </cell>
          <cell r="AF48">
            <v>1.0148311839999999</v>
          </cell>
          <cell r="AG48">
            <v>1.0203566420000001</v>
          </cell>
          <cell r="AH48">
            <v>1.025589359</v>
          </cell>
          <cell r="AI48">
            <v>1.0304799650000001</v>
          </cell>
          <cell r="AJ48">
            <v>1.034964623</v>
          </cell>
          <cell r="AK48">
            <v>1.0389631260000001</v>
          </cell>
        </row>
        <row r="49">
          <cell r="A49" t="str">
            <v>auto_cb_cgas_0</v>
          </cell>
          <cell r="B49">
            <v>0.49500522540000003</v>
          </cell>
          <cell r="C49">
            <v>0.51209606730000001</v>
          </cell>
          <cell r="D49">
            <v>0.53321859240000002</v>
          </cell>
          <cell r="E49">
            <v>0.55686367550000004</v>
          </cell>
          <cell r="F49">
            <v>0.58263151520000001</v>
          </cell>
          <cell r="G49">
            <v>0.60978264010000005</v>
          </cell>
          <cell r="H49">
            <v>0.63736279380000005</v>
          </cell>
          <cell r="I49">
            <v>0.66493267290000002</v>
          </cell>
          <cell r="J49">
            <v>0.69236211839999995</v>
          </cell>
          <cell r="K49">
            <v>0.71960859990000003</v>
          </cell>
          <cell r="L49">
            <v>0.74672257460000002</v>
          </cell>
          <cell r="M49">
            <v>0.77330658949999997</v>
          </cell>
          <cell r="N49">
            <v>0.7991099814</v>
          </cell>
          <cell r="O49">
            <v>0.82390044230000004</v>
          </cell>
          <cell r="P49">
            <v>0.84749202950000002</v>
          </cell>
          <cell r="Q49">
            <v>0.86976936270000005</v>
          </cell>
          <cell r="R49">
            <v>0.89109704860000005</v>
          </cell>
          <cell r="S49">
            <v>0.91158844370000003</v>
          </cell>
          <cell r="T49">
            <v>0.93123943639999995</v>
          </cell>
          <cell r="U49">
            <v>0.95004151039999996</v>
          </cell>
          <cell r="V49">
            <v>0.96792892480000003</v>
          </cell>
          <cell r="W49">
            <v>0.9850929007</v>
          </cell>
          <cell r="X49">
            <v>1.001646432</v>
          </cell>
          <cell r="Y49">
            <v>1.0177265559999999</v>
          </cell>
          <cell r="Z49">
            <v>1.0334646059999999</v>
          </cell>
          <cell r="AA49">
            <v>1.0487285019999999</v>
          </cell>
          <cell r="AB49">
            <v>1.0638374180000001</v>
          </cell>
          <cell r="AC49">
            <v>1.0789393329999999</v>
          </cell>
          <cell r="AD49">
            <v>1.0941817540000001</v>
          </cell>
          <cell r="AE49">
            <v>1.109691376</v>
          </cell>
          <cell r="AF49">
            <v>1.125539262</v>
          </cell>
          <cell r="AG49">
            <v>1.1417346989999999</v>
          </cell>
          <cell r="AH49">
            <v>1.158233464</v>
          </cell>
          <cell r="AI49">
            <v>1.1749473269999999</v>
          </cell>
          <cell r="AJ49">
            <v>1.191753192</v>
          </cell>
          <cell r="AK49">
            <v>1.2085005769999999</v>
          </cell>
        </row>
        <row r="50">
          <cell r="A50" t="str">
            <v>auto_cc_cgas_2</v>
          </cell>
          <cell r="B50">
            <v>0.40659851759999999</v>
          </cell>
          <cell r="C50">
            <v>0.41439080290000002</v>
          </cell>
          <cell r="D50">
            <v>0.4251608133</v>
          </cell>
          <cell r="E50">
            <v>0.43783013659999998</v>
          </cell>
          <cell r="F50">
            <v>0.45209591910000002</v>
          </cell>
          <cell r="G50">
            <v>0.46743756489999999</v>
          </cell>
          <cell r="H50">
            <v>0.48318239470000002</v>
          </cell>
          <cell r="I50">
            <v>0.49738784730000002</v>
          </cell>
          <cell r="J50">
            <v>0.51100142820000005</v>
          </cell>
          <cell r="K50">
            <v>0.52446616629999998</v>
          </cell>
          <cell r="L50">
            <v>0.53787355309999996</v>
          </cell>
          <cell r="M50">
            <v>0.55145771050000003</v>
          </cell>
          <cell r="N50">
            <v>0.56487230200000005</v>
          </cell>
          <cell r="O50">
            <v>0.57774199240000002</v>
          </cell>
          <cell r="P50">
            <v>0.58980754319999995</v>
          </cell>
          <cell r="Q50">
            <v>0.60092111690000005</v>
          </cell>
          <cell r="R50">
            <v>0.61088188730000004</v>
          </cell>
          <cell r="S50">
            <v>0.61979319850000003</v>
          </cell>
          <cell r="T50">
            <v>0.62775134399999999</v>
          </cell>
          <cell r="U50">
            <v>0.63483125979999999</v>
          </cell>
          <cell r="V50">
            <v>0.64104289010000004</v>
          </cell>
          <cell r="W50">
            <v>0.64652877279999998</v>
          </cell>
          <cell r="X50">
            <v>0.65136393800000003</v>
          </cell>
          <cell r="Y50">
            <v>0.65563269999999996</v>
          </cell>
          <cell r="Z50">
            <v>0.65940904980000004</v>
          </cell>
          <cell r="AA50">
            <v>0.66260505459999997</v>
          </cell>
          <cell r="AB50">
            <v>0.66538228239999997</v>
          </cell>
          <cell r="AC50">
            <v>0.66779499630000005</v>
          </cell>
          <cell r="AD50">
            <v>0.66991389410000002</v>
          </cell>
          <cell r="AE50">
            <v>0.67180200369999998</v>
          </cell>
          <cell r="AF50">
            <v>0.67349030219999995</v>
          </cell>
          <cell r="AG50">
            <v>0.67497327470000001</v>
          </cell>
          <cell r="AH50">
            <v>0.67622088020000004</v>
          </cell>
          <cell r="AI50">
            <v>0.67719498789999999</v>
          </cell>
          <cell r="AJ50">
            <v>0.67785050260000002</v>
          </cell>
          <cell r="AK50">
            <v>0.67813439730000002</v>
          </cell>
        </row>
        <row r="51">
          <cell r="A51" t="str">
            <v>auto_cc_cgas_0</v>
          </cell>
          <cell r="B51">
            <v>0.40659851759999999</v>
          </cell>
          <cell r="C51">
            <v>0.41439080290000002</v>
          </cell>
          <cell r="D51">
            <v>0.4251608133</v>
          </cell>
          <cell r="E51">
            <v>0.43783013659999998</v>
          </cell>
          <cell r="F51">
            <v>0.45209591910000002</v>
          </cell>
          <cell r="G51">
            <v>0.46743756479999998</v>
          </cell>
          <cell r="H51">
            <v>0.4831823945</v>
          </cell>
          <cell r="I51">
            <v>0.4990055934</v>
          </cell>
          <cell r="J51">
            <v>0.51479541090000003</v>
          </cell>
          <cell r="K51">
            <v>0.53050450380000003</v>
          </cell>
          <cell r="L51">
            <v>0.54615288019999997</v>
          </cell>
          <cell r="M51">
            <v>0.56146371179999999</v>
          </cell>
          <cell r="N51">
            <v>0.57626750979999997</v>
          </cell>
          <cell r="O51">
            <v>0.59041309409999998</v>
          </cell>
          <cell r="P51">
            <v>0.60378335780000003</v>
          </cell>
          <cell r="Q51">
            <v>0.61630881100000001</v>
          </cell>
          <cell r="R51">
            <v>0.6282439997</v>
          </cell>
          <cell r="S51">
            <v>0.6396797716</v>
          </cell>
          <cell r="T51">
            <v>0.65062393600000001</v>
          </cell>
          <cell r="U51">
            <v>0.6610745053</v>
          </cell>
          <cell r="V51">
            <v>0.67098537840000005</v>
          </cell>
          <cell r="W51">
            <v>0.68047630800000003</v>
          </cell>
          <cell r="X51">
            <v>0.68961183650000002</v>
          </cell>
          <cell r="Y51">
            <v>0.69846990379999996</v>
          </cell>
          <cell r="Z51">
            <v>0.70712222650000001</v>
          </cell>
          <cell r="AA51">
            <v>0.71546501569999998</v>
          </cell>
          <cell r="AB51">
            <v>0.72369007679999997</v>
          </cell>
          <cell r="AC51">
            <v>0.73187511650000003</v>
          </cell>
          <cell r="AD51">
            <v>0.74009657559999997</v>
          </cell>
          <cell r="AE51">
            <v>0.74841737679999998</v>
          </cell>
          <cell r="AF51">
            <v>0.75686493430000001</v>
          </cell>
          <cell r="AG51">
            <v>0.76542781579999997</v>
          </cell>
          <cell r="AH51">
            <v>0.77406173349999996</v>
          </cell>
          <cell r="AI51">
            <v>0.78269625659999997</v>
          </cell>
          <cell r="AJ51">
            <v>0.79124124470000001</v>
          </cell>
          <cell r="AK51">
            <v>0.79959217530000004</v>
          </cell>
        </row>
        <row r="52">
          <cell r="A52" t="str">
            <v>auto_cd_cgas_2</v>
          </cell>
          <cell r="B52">
            <v>0.2495444651</v>
          </cell>
          <cell r="C52">
            <v>0.25227008449999999</v>
          </cell>
          <cell r="D52">
            <v>0.2566070124</v>
          </cell>
          <cell r="E52">
            <v>0.26191624829999999</v>
          </cell>
          <cell r="F52">
            <v>0.2679982467</v>
          </cell>
          <cell r="G52">
            <v>0.27455402379999999</v>
          </cell>
          <cell r="H52">
            <v>0.28120593459999998</v>
          </cell>
          <cell r="I52">
            <v>0.28688820809999999</v>
          </cell>
          <cell r="J52">
            <v>0.29206002129999997</v>
          </cell>
          <cell r="K52">
            <v>0.29696582719999998</v>
          </cell>
          <cell r="L52">
            <v>0.3016754002</v>
          </cell>
          <cell r="M52">
            <v>0.3063406602</v>
          </cell>
          <cell r="N52">
            <v>0.31083384959999999</v>
          </cell>
          <cell r="O52">
            <v>0.31501457529999999</v>
          </cell>
          <cell r="P52">
            <v>0.31879800050000001</v>
          </cell>
          <cell r="Q52">
            <v>0.32214908819999999</v>
          </cell>
          <cell r="R52">
            <v>0.32500105010000002</v>
          </cell>
          <cell r="S52">
            <v>0.32742752180000001</v>
          </cell>
          <cell r="T52">
            <v>0.32949718049999999</v>
          </cell>
          <cell r="U52">
            <v>0.33126369100000003</v>
          </cell>
          <cell r="V52">
            <v>0.332743434</v>
          </cell>
          <cell r="W52">
            <v>0.3340111966</v>
          </cell>
          <cell r="X52">
            <v>0.33510424979999998</v>
          </cell>
          <cell r="Y52">
            <v>0.33606056519999999</v>
          </cell>
          <cell r="Z52">
            <v>0.3369095104</v>
          </cell>
          <cell r="AA52">
            <v>0.33759796879999998</v>
          </cell>
          <cell r="AB52">
            <v>0.33819087660000002</v>
          </cell>
          <cell r="AC52">
            <v>0.33869737109999998</v>
          </cell>
          <cell r="AD52">
            <v>0.33913400539999999</v>
          </cell>
          <cell r="AE52">
            <v>0.339516598</v>
          </cell>
          <cell r="AF52">
            <v>0.33984909330000002</v>
          </cell>
          <cell r="AG52">
            <v>0.34012071690000001</v>
          </cell>
          <cell r="AH52">
            <v>0.3403110748</v>
          </cell>
          <cell r="AI52">
            <v>0.34039874549999999</v>
          </cell>
          <cell r="AJ52">
            <v>0.34036238070000002</v>
          </cell>
          <cell r="AK52">
            <v>0.34018004019999998</v>
          </cell>
        </row>
        <row r="53">
          <cell r="A53" t="str">
            <v>auto_cd_cgas_0</v>
          </cell>
          <cell r="B53">
            <v>0.2495444651</v>
          </cell>
          <cell r="C53">
            <v>0.25227008449999999</v>
          </cell>
          <cell r="D53">
            <v>0.2566070124</v>
          </cell>
          <cell r="E53">
            <v>0.26191624819999998</v>
          </cell>
          <cell r="F53">
            <v>0.2679982467</v>
          </cell>
          <cell r="G53">
            <v>0.27455402379999999</v>
          </cell>
          <cell r="H53">
            <v>0.28120593459999998</v>
          </cell>
          <cell r="I53">
            <v>0.28776390540000002</v>
          </cell>
          <cell r="J53">
            <v>0.29415628030000002</v>
          </cell>
          <cell r="K53">
            <v>0.3003515571</v>
          </cell>
          <cell r="L53">
            <v>0.30635817990000003</v>
          </cell>
          <cell r="M53">
            <v>0.3120442504</v>
          </cell>
          <cell r="N53">
            <v>0.31734574199999999</v>
          </cell>
          <cell r="O53">
            <v>0.32221702819999998</v>
          </cell>
          <cell r="P53">
            <v>0.32663258899999997</v>
          </cell>
          <cell r="Q53">
            <v>0.33058881150000002</v>
          </cell>
          <cell r="R53">
            <v>0.33423859560000002</v>
          </cell>
          <cell r="S53">
            <v>0.33765458980000002</v>
          </cell>
          <cell r="T53">
            <v>0.34086193250000002</v>
          </cell>
          <cell r="U53">
            <v>0.34387211359999997</v>
          </cell>
          <cell r="V53">
            <v>0.3466674696</v>
          </cell>
          <cell r="W53">
            <v>0.34930260000000002</v>
          </cell>
          <cell r="X53">
            <v>0.35180075710000003</v>
          </cell>
          <cell r="Y53">
            <v>0.35418711629999999</v>
          </cell>
          <cell r="Z53">
            <v>0.35647926460000001</v>
          </cell>
          <cell r="AA53">
            <v>0.3586090482</v>
          </cell>
          <cell r="AB53">
            <v>0.36064311630000001</v>
          </cell>
          <cell r="AC53">
            <v>0.36259314180000002</v>
          </cell>
          <cell r="AD53">
            <v>0.36446940160000002</v>
          </cell>
          <cell r="AE53">
            <v>0.36627755200000001</v>
          </cell>
          <cell r="AF53">
            <v>0.36800995079999999</v>
          </cell>
          <cell r="AG53">
            <v>0.36964512999999999</v>
          </cell>
          <cell r="AH53">
            <v>0.37115126910000001</v>
          </cell>
          <cell r="AI53">
            <v>0.37248976340000001</v>
          </cell>
          <cell r="AJ53">
            <v>0.37361853179999999</v>
          </cell>
          <cell r="AK53">
            <v>0.37449469819999998</v>
          </cell>
        </row>
        <row r="54">
          <cell r="A54" t="str">
            <v>auto_ce_cgas_2</v>
          </cell>
          <cell r="B54">
            <v>0.15020246549999999</v>
          </cell>
          <cell r="C54">
            <v>0.15203861069999999</v>
          </cell>
          <cell r="D54">
            <v>0.1547776736</v>
          </cell>
          <cell r="E54">
            <v>0.15800821919999999</v>
          </cell>
          <cell r="F54">
            <v>0.1615950716</v>
          </cell>
          <cell r="G54">
            <v>0.16535481760000001</v>
          </cell>
          <cell r="H54">
            <v>0.16905834959999999</v>
          </cell>
          <cell r="I54">
            <v>0.1720582809</v>
          </cell>
          <cell r="J54">
            <v>0.17459432590000001</v>
          </cell>
          <cell r="K54">
            <v>0.17680831020000001</v>
          </cell>
          <cell r="L54">
            <v>0.17874287420000001</v>
          </cell>
          <cell r="M54">
            <v>0.18049679060000001</v>
          </cell>
          <cell r="N54">
            <v>0.18202911090000001</v>
          </cell>
          <cell r="O54">
            <v>0.1832922394</v>
          </cell>
          <cell r="P54">
            <v>0.18426700409999999</v>
          </cell>
          <cell r="Q54">
            <v>0.184957643</v>
          </cell>
          <cell r="R54">
            <v>0.18534722179999999</v>
          </cell>
          <cell r="S54">
            <v>0.1854873685</v>
          </cell>
          <cell r="T54">
            <v>0.1854260294</v>
          </cell>
          <cell r="U54">
            <v>0.18520071239999999</v>
          </cell>
          <cell r="V54">
            <v>0.1848268028</v>
          </cell>
          <cell r="W54">
            <v>0.18434611619999999</v>
          </cell>
          <cell r="X54">
            <v>0.18377863420000001</v>
          </cell>
          <cell r="Y54">
            <v>0.18314240919999999</v>
          </cell>
          <cell r="Z54">
            <v>0.18244905959999999</v>
          </cell>
          <cell r="AA54">
            <v>0.18166798549999999</v>
          </cell>
          <cell r="AB54">
            <v>0.1808245644</v>
          </cell>
          <cell r="AC54">
            <v>0.1799150279</v>
          </cell>
          <cell r="AD54">
            <v>0.17893864679999999</v>
          </cell>
          <cell r="AE54">
            <v>0.17789531459999999</v>
          </cell>
          <cell r="AF54">
            <v>0.17678074190000001</v>
          </cell>
          <cell r="AG54">
            <v>0.17558516830000001</v>
          </cell>
          <cell r="AH54">
            <v>0.17429573800000001</v>
          </cell>
          <cell r="AI54">
            <v>0.17290079729999999</v>
          </cell>
          <cell r="AJ54">
            <v>0.1713906586</v>
          </cell>
          <cell r="AK54">
            <v>0.16975730410000001</v>
          </cell>
        </row>
        <row r="55">
          <cell r="A55" t="str">
            <v>auto_ce_cgas_0</v>
          </cell>
          <cell r="B55">
            <v>0.15020246549999999</v>
          </cell>
          <cell r="C55">
            <v>0.15203861069999999</v>
          </cell>
          <cell r="D55">
            <v>0.1547776736</v>
          </cell>
          <cell r="E55">
            <v>0.15800821919999999</v>
          </cell>
          <cell r="F55">
            <v>0.16159507149999999</v>
          </cell>
          <cell r="G55">
            <v>0.16535481760000001</v>
          </cell>
          <cell r="H55">
            <v>0.16905834959999999</v>
          </cell>
          <cell r="I55">
            <v>0.17258840510000001</v>
          </cell>
          <cell r="J55">
            <v>0.17590028569999999</v>
          </cell>
          <cell r="K55">
            <v>0.1789760926</v>
          </cell>
          <cell r="L55">
            <v>0.18182356329999999</v>
          </cell>
          <cell r="M55">
            <v>0.18437612810000001</v>
          </cell>
          <cell r="N55">
            <v>0.18661206050000001</v>
          </cell>
          <cell r="O55">
            <v>0.18852394389999999</v>
          </cell>
          <cell r="P55">
            <v>0.1901163635</v>
          </cell>
          <cell r="Q55">
            <v>0.19140444300000001</v>
          </cell>
          <cell r="R55">
            <v>0.1924871963</v>
          </cell>
          <cell r="S55">
            <v>0.19341965180000001</v>
          </cell>
          <cell r="T55">
            <v>0.1942272401</v>
          </cell>
          <cell r="U55">
            <v>0.19492328449999999</v>
          </cell>
          <cell r="V55">
            <v>0.19550136400000001</v>
          </cell>
          <cell r="W55">
            <v>0.19598964129999999</v>
          </cell>
          <cell r="X55">
            <v>0.19639703959999999</v>
          </cell>
          <cell r="Y55">
            <v>0.1967312075</v>
          </cell>
          <cell r="Z55">
            <v>0.19699356709999999</v>
          </cell>
          <cell r="AA55">
            <v>0.19713983409999999</v>
          </cell>
          <cell r="AB55">
            <v>0.19719365229999999</v>
          </cell>
          <cell r="AC55">
            <v>0.19714991749999999</v>
          </cell>
          <cell r="AD55">
            <v>0.19700284800000001</v>
          </cell>
          <cell r="AE55">
            <v>0.19674553710000001</v>
          </cell>
          <cell r="AF55">
            <v>0.1963663085</v>
          </cell>
          <cell r="AG55">
            <v>0.19584895499999999</v>
          </cell>
          <cell r="AH55">
            <v>0.19517479330000001</v>
          </cell>
          <cell r="AI55">
            <v>0.1943246018</v>
          </cell>
          <cell r="AJ55">
            <v>0.19328031000000001</v>
          </cell>
          <cell r="AK55">
            <v>0.19202627559999999</v>
          </cell>
        </row>
        <row r="56">
          <cell r="A56" t="str">
            <v>auto_cf_cgas_2</v>
          </cell>
          <cell r="B56">
            <v>7.4609436000000001E-2</v>
          </cell>
          <cell r="C56">
            <v>7.5298127399999998E-2</v>
          </cell>
          <cell r="D56">
            <v>7.6310682599999999E-2</v>
          </cell>
          <cell r="E56">
            <v>7.7421631099999999E-2</v>
          </cell>
          <cell r="F56">
            <v>7.8549222500000002E-2</v>
          </cell>
          <cell r="G56">
            <v>7.9606444499999998E-2</v>
          </cell>
          <cell r="H56">
            <v>8.0492446999999995E-2</v>
          </cell>
          <cell r="I56">
            <v>8.0928420500000001E-2</v>
          </cell>
          <cell r="J56">
            <v>8.1002565400000004E-2</v>
          </cell>
          <cell r="K56">
            <v>8.0785614500000005E-2</v>
          </cell>
          <cell r="L56">
            <v>8.0310267099999999E-2</v>
          </cell>
          <cell r="M56">
            <v>7.9635171000000005E-2</v>
          </cell>
          <cell r="N56">
            <v>7.8780322200000003E-2</v>
          </cell>
          <cell r="O56">
            <v>7.7764323299999993E-2</v>
          </cell>
          <cell r="P56">
            <v>7.6612176800000001E-2</v>
          </cell>
          <cell r="Q56">
            <v>7.5351302199999998E-2</v>
          </cell>
          <cell r="R56">
            <v>7.3997921699999997E-2</v>
          </cell>
          <cell r="S56">
            <v>7.2582345100000001E-2</v>
          </cell>
          <cell r="T56">
            <v>7.1130410399999996E-2</v>
          </cell>
          <cell r="U56">
            <v>6.9661462600000001E-2</v>
          </cell>
          <cell r="V56">
            <v>6.8185606600000004E-2</v>
          </cell>
          <cell r="W56">
            <v>6.6716761700000002E-2</v>
          </cell>
          <cell r="X56">
            <v>6.5260675099999998E-2</v>
          </cell>
          <cell r="Y56">
            <v>6.3820720499999997E-2</v>
          </cell>
          <cell r="Z56">
            <v>6.2397038000000002E-2</v>
          </cell>
          <cell r="AA56">
            <v>6.0978575399999999E-2</v>
          </cell>
          <cell r="AB56">
            <v>5.9566348099999999E-2</v>
          </cell>
          <cell r="AC56">
            <v>5.8153677000000001E-2</v>
          </cell>
          <cell r="AD56">
            <v>5.6734871100000001E-2</v>
          </cell>
          <cell r="AE56">
            <v>5.53058518E-2</v>
          </cell>
          <cell r="AF56">
            <v>5.3863369699999997E-2</v>
          </cell>
          <cell r="AG56">
            <v>5.2404607300000003E-2</v>
          </cell>
          <cell r="AH56">
            <v>5.0927493400000003E-2</v>
          </cell>
          <cell r="AI56">
            <v>4.94315777E-2</v>
          </cell>
          <cell r="AJ56">
            <v>4.7918105199999998E-2</v>
          </cell>
          <cell r="AK56">
            <v>4.6389716099999999E-2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7.5298127399999998E-2</v>
          </cell>
          <cell r="D57">
            <v>7.6310682599999999E-2</v>
          </cell>
          <cell r="E57">
            <v>7.7421631099999999E-2</v>
          </cell>
          <cell r="F57">
            <v>7.8549222500000002E-2</v>
          </cell>
          <cell r="G57">
            <v>7.9606444499999998E-2</v>
          </cell>
          <cell r="H57">
            <v>8.0492446999999995E-2</v>
          </cell>
          <cell r="I57">
            <v>8.1158833499999999E-2</v>
          </cell>
          <cell r="J57">
            <v>8.1592704700000004E-2</v>
          </cell>
          <cell r="K57">
            <v>8.1796415799999994E-2</v>
          </cell>
          <cell r="L57">
            <v>8.1785158999999996E-2</v>
          </cell>
          <cell r="M57">
            <v>8.15527058E-2</v>
          </cell>
          <cell r="N57">
            <v>8.1115271599999997E-2</v>
          </cell>
          <cell r="O57">
            <v>8.0496709400000005E-2</v>
          </cell>
          <cell r="P57">
            <v>7.9723797400000004E-2</v>
          </cell>
          <cell r="Q57">
            <v>7.8823268899999993E-2</v>
          </cell>
          <cell r="R57">
            <v>7.7844795699999997E-2</v>
          </cell>
          <cell r="S57">
            <v>7.6821507299999994E-2</v>
          </cell>
          <cell r="T57">
            <v>7.5772775099999995E-2</v>
          </cell>
          <cell r="U57">
            <v>7.4709521900000006E-2</v>
          </cell>
          <cell r="V57">
            <v>7.3632841700000007E-2</v>
          </cell>
          <cell r="W57">
            <v>7.2550431999999998E-2</v>
          </cell>
          <cell r="X57">
            <v>7.1462119399999996E-2</v>
          </cell>
          <cell r="Y57">
            <v>7.0365490099999997E-2</v>
          </cell>
          <cell r="Z57">
            <v>6.9254713199999998E-2</v>
          </cell>
          <cell r="AA57">
            <v>6.8111063400000005E-2</v>
          </cell>
          <cell r="AB57">
            <v>6.6933163700000006E-2</v>
          </cell>
          <cell r="AC57">
            <v>6.5712671900000005E-2</v>
          </cell>
          <cell r="AD57">
            <v>6.4442226500000005E-2</v>
          </cell>
          <cell r="AE57">
            <v>6.3116325599999995E-2</v>
          </cell>
          <cell r="AF57">
            <v>6.1730859899999997E-2</v>
          </cell>
          <cell r="AG57">
            <v>6.0283291000000003E-2</v>
          </cell>
          <cell r="AH57">
            <v>5.8773031099999998E-2</v>
          </cell>
          <cell r="AI57">
            <v>5.7201616300000001E-2</v>
          </cell>
          <cell r="AJ57">
            <v>5.55727107E-2</v>
          </cell>
          <cell r="AK57">
            <v>5.3891946400000001E-2</v>
          </cell>
        </row>
        <row r="58">
          <cell r="A58" t="str">
            <v>auto_cg_cgas_2</v>
          </cell>
          <cell r="B58">
            <v>0.13435819299999999</v>
          </cell>
          <cell r="C58">
            <v>0.13588352519999999</v>
          </cell>
          <cell r="D58">
            <v>0.13780453870000001</v>
          </cell>
          <cell r="E58">
            <v>0.13966826660000001</v>
          </cell>
          <cell r="F58">
            <v>0.1413112081</v>
          </cell>
          <cell r="G58">
            <v>0.14258867010000001</v>
          </cell>
          <cell r="H58">
            <v>0.1433428913</v>
          </cell>
          <cell r="I58">
            <v>0.14312034470000001</v>
          </cell>
          <cell r="J58">
            <v>0.14207227550000001</v>
          </cell>
          <cell r="K58">
            <v>0.1403522475</v>
          </cell>
          <cell r="L58">
            <v>0.1380543934</v>
          </cell>
          <cell r="M58">
            <v>0.1353145422</v>
          </cell>
          <cell r="N58">
            <v>0.1322203975</v>
          </cell>
          <cell r="O58">
            <v>0.12885141389999999</v>
          </cell>
          <cell r="P58">
            <v>0.12528563200000001</v>
          </cell>
          <cell r="Q58">
            <v>0.1215933359</v>
          </cell>
          <cell r="R58">
            <v>0.1178217042</v>
          </cell>
          <cell r="S58">
            <v>0.1140253054</v>
          </cell>
          <cell r="T58">
            <v>0.1102477427</v>
          </cell>
          <cell r="U58">
            <v>0.1065201102</v>
          </cell>
          <cell r="V58">
            <v>0.10285913350000001</v>
          </cell>
          <cell r="W58">
            <v>9.9281912599999994E-2</v>
          </cell>
          <cell r="X58">
            <v>9.5794256800000005E-2</v>
          </cell>
          <cell r="Y58">
            <v>9.2397688699999994E-2</v>
          </cell>
          <cell r="Z58">
            <v>8.9089108900000005E-2</v>
          </cell>
          <cell r="AA58">
            <v>8.5853947799999997E-2</v>
          </cell>
          <cell r="AB58">
            <v>8.2688616399999998E-2</v>
          </cell>
          <cell r="AC58">
            <v>7.9582213499999999E-2</v>
          </cell>
          <cell r="AD58">
            <v>7.6525736499999997E-2</v>
          </cell>
          <cell r="AE58">
            <v>7.3513432500000003E-2</v>
          </cell>
          <cell r="AF58">
            <v>7.0542084000000005E-2</v>
          </cell>
          <cell r="AG58">
            <v>6.7610333800000005E-2</v>
          </cell>
          <cell r="AH58">
            <v>6.4718576900000005E-2</v>
          </cell>
          <cell r="AI58">
            <v>6.1869380299999999E-2</v>
          </cell>
          <cell r="AJ58">
            <v>5.9067186600000002E-2</v>
          </cell>
          <cell r="AK58">
            <v>5.6317670700000003E-2</v>
          </cell>
        </row>
        <row r="59">
          <cell r="A59" t="str">
            <v>auto_cg_cgas_0</v>
          </cell>
          <cell r="B59">
            <v>0.13435819299999999</v>
          </cell>
          <cell r="C59">
            <v>0.13588352519999999</v>
          </cell>
          <cell r="D59">
            <v>0.13780453870000001</v>
          </cell>
          <cell r="E59">
            <v>0.13966826660000001</v>
          </cell>
          <cell r="F59">
            <v>0.1413112081</v>
          </cell>
          <cell r="G59">
            <v>0.14258867010000001</v>
          </cell>
          <cell r="H59">
            <v>0.1433428913</v>
          </cell>
          <cell r="I59">
            <v>0.14351224579999999</v>
          </cell>
          <cell r="J59">
            <v>0.143101217</v>
          </cell>
          <cell r="K59">
            <v>0.14214414510000001</v>
          </cell>
          <cell r="L59">
            <v>0.14069762459999999</v>
          </cell>
          <cell r="M59">
            <v>0.138791683</v>
          </cell>
          <cell r="N59">
            <v>0.136492735</v>
          </cell>
          <cell r="O59">
            <v>0.133876567</v>
          </cell>
          <cell r="P59">
            <v>0.13101727420000001</v>
          </cell>
          <cell r="Q59">
            <v>0.12798116230000001</v>
          </cell>
          <cell r="R59">
            <v>0.124856843</v>
          </cell>
          <cell r="S59">
            <v>0.1217062923</v>
          </cell>
          <cell r="T59">
            <v>0.11856747820000001</v>
          </cell>
          <cell r="U59">
            <v>0.1154617553</v>
          </cell>
          <cell r="V59">
            <v>0.1123937928</v>
          </cell>
          <cell r="W59">
            <v>0.1093722713</v>
          </cell>
          <cell r="X59">
            <v>0.1063942619</v>
          </cell>
          <cell r="Y59">
            <v>0.1034526479</v>
          </cell>
          <cell r="Z59">
            <v>0.10053531979999999</v>
          </cell>
          <cell r="AA59">
            <v>9.7616122E-2</v>
          </cell>
          <cell r="AB59">
            <v>9.4688224299999998E-2</v>
          </cell>
          <cell r="AC59">
            <v>9.1738928299999994E-2</v>
          </cell>
          <cell r="AD59">
            <v>8.8758769799999998E-2</v>
          </cell>
          <cell r="AE59">
            <v>8.5743043000000005E-2</v>
          </cell>
          <cell r="AF59">
            <v>8.2691264900000006E-2</v>
          </cell>
          <cell r="AG59">
            <v>7.9606928399999999E-2</v>
          </cell>
          <cell r="AH59">
            <v>7.64972285E-2</v>
          </cell>
          <cell r="AI59">
            <v>7.33724766E-2</v>
          </cell>
          <cell r="AJ59">
            <v>7.0245349600000007E-2</v>
          </cell>
          <cell r="AK59">
            <v>6.7130047799999995E-2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139.4020707</v>
          </cell>
          <cell r="C100">
            <v>140.9922345</v>
          </cell>
          <cell r="D100">
            <v>142.632555</v>
          </cell>
          <cell r="E100">
            <v>144.41430890000001</v>
          </cell>
          <cell r="F100">
            <v>146.40814409999999</v>
          </cell>
          <cell r="G100">
            <v>148.63448679999999</v>
          </cell>
          <cell r="H100">
            <v>151.01393830000001</v>
          </cell>
          <cell r="I100">
            <v>154.53184089999999</v>
          </cell>
          <cell r="J100">
            <v>158.30411219999999</v>
          </cell>
          <cell r="K100">
            <v>162.86351400000001</v>
          </cell>
          <cell r="L100">
            <v>167.5757164</v>
          </cell>
          <cell r="M100">
            <v>171.858057</v>
          </cell>
          <cell r="N100">
            <v>175.8171226</v>
          </cell>
          <cell r="O100">
            <v>179.60672030000001</v>
          </cell>
          <cell r="P100">
            <v>183.40445299999999</v>
          </cell>
          <cell r="Q100">
            <v>187.32233189999999</v>
          </cell>
          <cell r="R100">
            <v>191.2594685</v>
          </cell>
          <cell r="S100">
            <v>195.4887712</v>
          </cell>
          <cell r="T100">
            <v>200.0931449</v>
          </cell>
          <cell r="U100">
            <v>205.14319499999999</v>
          </cell>
          <cell r="V100">
            <v>210.67673429999999</v>
          </cell>
          <cell r="W100">
            <v>216.83010490000001</v>
          </cell>
          <cell r="X100">
            <v>223.6937533</v>
          </cell>
          <cell r="Y100">
            <v>231.35014849999999</v>
          </cell>
          <cell r="Z100">
            <v>239.87604619999999</v>
          </cell>
          <cell r="AA100">
            <v>249.24634019999999</v>
          </cell>
          <cell r="AB100">
            <v>259.78753819999997</v>
          </cell>
          <cell r="AC100">
            <v>271.62434580000001</v>
          </cell>
          <cell r="AD100">
            <v>284.92606039999998</v>
          </cell>
          <cell r="AE100">
            <v>299.83277820000001</v>
          </cell>
          <cell r="AF100">
            <v>316.49413090000002</v>
          </cell>
          <cell r="AG100">
            <v>335.13128590000002</v>
          </cell>
          <cell r="AH100">
            <v>356.05769190000001</v>
          </cell>
          <cell r="AI100">
            <v>379.6696306</v>
          </cell>
          <cell r="AJ100">
            <v>406.48654590000001</v>
          </cell>
          <cell r="AK100">
            <v>437.20966499999997</v>
          </cell>
        </row>
        <row r="101">
          <cell r="A101" t="str">
            <v>m_toe_2</v>
          </cell>
          <cell r="B101">
            <v>150.64917399999999</v>
          </cell>
          <cell r="C101">
            <v>151.65968330000001</v>
          </cell>
          <cell r="D101">
            <v>152.7455712</v>
          </cell>
          <cell r="E101">
            <v>153.8333509</v>
          </cell>
          <cell r="F101">
            <v>155.5374195</v>
          </cell>
          <cell r="G101">
            <v>157.74960340000001</v>
          </cell>
          <cell r="H101">
            <v>159.97266730000001</v>
          </cell>
          <cell r="I101">
            <v>159.16782359999999</v>
          </cell>
          <cell r="J101">
            <v>158.0856445</v>
          </cell>
          <cell r="K101">
            <v>157.64380929999999</v>
          </cell>
          <cell r="L101">
            <v>157.3870805</v>
          </cell>
          <cell r="M101">
            <v>157.10597200000001</v>
          </cell>
          <cell r="N101">
            <v>156.71956589999999</v>
          </cell>
          <cell r="O101">
            <v>156.25570759999999</v>
          </cell>
          <cell r="P101">
            <v>155.7943927</v>
          </cell>
          <cell r="Q101">
            <v>155.38011560000001</v>
          </cell>
          <cell r="R101">
            <v>154.9568707</v>
          </cell>
          <cell r="S101">
            <v>154.64028709999999</v>
          </cell>
          <cell r="T101">
            <v>154.4767674</v>
          </cell>
          <cell r="U101">
            <v>154.4912458</v>
          </cell>
          <cell r="V101">
            <v>154.6804391</v>
          </cell>
          <cell r="W101">
            <v>155.09950660000001</v>
          </cell>
          <cell r="X101">
            <v>155.76814619999999</v>
          </cell>
          <cell r="Y101">
            <v>156.69731669999999</v>
          </cell>
          <cell r="Z101">
            <v>157.88748870000001</v>
          </cell>
          <cell r="AA101">
            <v>159.2735782</v>
          </cell>
          <cell r="AB101">
            <v>160.971541</v>
          </cell>
          <cell r="AC101">
            <v>162.99717530000001</v>
          </cell>
          <cell r="AD101">
            <v>165.36931179999999</v>
          </cell>
          <cell r="AE101">
            <v>168.0757131</v>
          </cell>
          <cell r="AF101">
            <v>171.09344970000001</v>
          </cell>
          <cell r="AG101">
            <v>174.4180681</v>
          </cell>
          <cell r="AH101">
            <v>178.0694585</v>
          </cell>
          <cell r="AI101">
            <v>182.08429849999999</v>
          </cell>
          <cell r="AJ101">
            <v>186.52406350000001</v>
          </cell>
          <cell r="AK101">
            <v>191.4885142</v>
          </cell>
        </row>
        <row r="102">
          <cell r="A102" t="str">
            <v>ci_toe_2</v>
          </cell>
          <cell r="B102">
            <v>192.35883190000001</v>
          </cell>
          <cell r="C102">
            <v>194.59561819999999</v>
          </cell>
          <cell r="D102">
            <v>197.03085720000001</v>
          </cell>
          <cell r="E102">
            <v>199.57255119999999</v>
          </cell>
          <cell r="F102">
            <v>202.6828452</v>
          </cell>
          <cell r="G102">
            <v>206.3477039</v>
          </cell>
          <cell r="H102">
            <v>210.20149169999999</v>
          </cell>
          <cell r="I102">
            <v>212.56923029999999</v>
          </cell>
          <cell r="J102">
            <v>214.77883750000001</v>
          </cell>
          <cell r="K102">
            <v>217.95078910000001</v>
          </cell>
          <cell r="L102">
            <v>221.35121520000001</v>
          </cell>
          <cell r="M102">
            <v>224.3593468</v>
          </cell>
          <cell r="N102">
            <v>226.9977389</v>
          </cell>
          <cell r="O102">
            <v>229.4256207</v>
          </cell>
          <cell r="P102">
            <v>231.86064809999999</v>
          </cell>
          <cell r="Q102">
            <v>234.4470838</v>
          </cell>
          <cell r="R102">
            <v>237.19940339999999</v>
          </cell>
          <cell r="S102">
            <v>240.30371460000001</v>
          </cell>
          <cell r="T102">
            <v>243.88327820000001</v>
          </cell>
          <cell r="U102">
            <v>248.03077339999999</v>
          </cell>
          <cell r="V102">
            <v>252.79214959999999</v>
          </cell>
          <cell r="W102">
            <v>258.3249098</v>
          </cell>
          <cell r="X102">
            <v>264.73667799999998</v>
          </cell>
          <cell r="Y102">
            <v>272.12201540000001</v>
          </cell>
          <cell r="Z102">
            <v>280.56255420000002</v>
          </cell>
          <cell r="AA102">
            <v>290.01658800000001</v>
          </cell>
          <cell r="AB102">
            <v>300.78592190000001</v>
          </cell>
          <cell r="AC102">
            <v>313.0625718</v>
          </cell>
          <cell r="AD102">
            <v>327.03171579999997</v>
          </cell>
          <cell r="AE102">
            <v>342.83476899999999</v>
          </cell>
          <cell r="AF102">
            <v>360.61574839999997</v>
          </cell>
          <cell r="AG102">
            <v>380.59767820000002</v>
          </cell>
          <cell r="AH102">
            <v>403.1124221</v>
          </cell>
          <cell r="AI102">
            <v>428.59471009999999</v>
          </cell>
          <cell r="AJ102">
            <v>457.62745210000003</v>
          </cell>
          <cell r="AK102">
            <v>491.0122834</v>
          </cell>
        </row>
        <row r="103">
          <cell r="A103" t="str">
            <v>ch_toe_2</v>
          </cell>
          <cell r="B103">
            <v>64.301440170000006</v>
          </cell>
          <cell r="C103">
            <v>63.959274899999997</v>
          </cell>
          <cell r="D103">
            <v>63.535335439999997</v>
          </cell>
          <cell r="E103">
            <v>63.140045450000002</v>
          </cell>
          <cell r="F103">
            <v>62.990036979999999</v>
          </cell>
          <cell r="G103">
            <v>63.008604390000002</v>
          </cell>
          <cell r="H103">
            <v>62.986963529999997</v>
          </cell>
          <cell r="I103">
            <v>62.45233837</v>
          </cell>
          <cell r="J103">
            <v>61.987019949999997</v>
          </cell>
          <cell r="K103">
            <v>61.634344460000001</v>
          </cell>
          <cell r="L103">
            <v>61.425074940000002</v>
          </cell>
          <cell r="M103">
            <v>61.385735259999997</v>
          </cell>
          <cell r="N103">
            <v>61.45951135</v>
          </cell>
          <cell r="O103">
            <v>61.599997469999998</v>
          </cell>
          <cell r="P103">
            <v>61.773071109999997</v>
          </cell>
          <cell r="Q103">
            <v>61.956237260000002</v>
          </cell>
          <cell r="R103">
            <v>62.167114179999999</v>
          </cell>
          <cell r="S103">
            <v>62.387704169999999</v>
          </cell>
          <cell r="T103">
            <v>62.612347849999999</v>
          </cell>
          <cell r="U103">
            <v>62.840838189999999</v>
          </cell>
          <cell r="V103">
            <v>63.058136879999999</v>
          </cell>
          <cell r="W103">
            <v>63.29366461</v>
          </cell>
          <cell r="X103">
            <v>63.542131849999997</v>
          </cell>
          <cell r="Y103">
            <v>63.802809230000001</v>
          </cell>
          <cell r="Z103">
            <v>64.077623110000005</v>
          </cell>
          <cell r="AA103">
            <v>64.321485139999993</v>
          </cell>
          <cell r="AB103">
            <v>64.587884439999996</v>
          </cell>
          <cell r="AC103">
            <v>64.879034840000003</v>
          </cell>
          <cell r="AD103">
            <v>65.198975230000002</v>
          </cell>
          <cell r="AE103">
            <v>65.552790189999996</v>
          </cell>
          <cell r="AF103">
            <v>65.945512359999995</v>
          </cell>
          <cell r="AG103">
            <v>66.381396460000005</v>
          </cell>
          <cell r="AH103">
            <v>66.864045989999994</v>
          </cell>
          <cell r="AI103">
            <v>67.39809984</v>
          </cell>
          <cell r="AJ103">
            <v>67.989633769999998</v>
          </cell>
          <cell r="AK103">
            <v>68.6471047</v>
          </cell>
        </row>
        <row r="104">
          <cell r="A104" t="str">
            <v>x_toe_2</v>
          </cell>
          <cell r="B104">
            <v>33.390972560000002</v>
          </cell>
          <cell r="C104">
            <v>34.097024730000001</v>
          </cell>
          <cell r="D104">
            <v>34.811933619999998</v>
          </cell>
          <cell r="E104">
            <v>35.535063119999997</v>
          </cell>
          <cell r="F104">
            <v>36.272681489999997</v>
          </cell>
          <cell r="G104">
            <v>37.027781869999998</v>
          </cell>
          <cell r="H104">
            <v>37.79815035</v>
          </cell>
          <cell r="I104">
            <v>38.678095730000003</v>
          </cell>
          <cell r="J104">
            <v>39.623899280000003</v>
          </cell>
          <cell r="K104">
            <v>40.922189699999997</v>
          </cell>
          <cell r="L104">
            <v>42.186506749999999</v>
          </cell>
          <cell r="M104">
            <v>43.218946979999998</v>
          </cell>
          <cell r="N104">
            <v>44.079438240000002</v>
          </cell>
          <cell r="O104">
            <v>44.836809789999997</v>
          </cell>
          <cell r="P104">
            <v>45.565126360000001</v>
          </cell>
          <cell r="Q104">
            <v>46.299126440000002</v>
          </cell>
          <cell r="R104">
            <v>46.849821660000003</v>
          </cell>
          <cell r="S104">
            <v>47.437639609999998</v>
          </cell>
          <cell r="T104">
            <v>48.074286190000002</v>
          </cell>
          <cell r="U104">
            <v>48.76282922</v>
          </cell>
          <cell r="V104">
            <v>49.506886940000001</v>
          </cell>
          <cell r="W104">
            <v>50.311037110000001</v>
          </cell>
          <cell r="X104">
            <v>51.183089649999999</v>
          </cell>
          <cell r="Y104">
            <v>52.122640670000003</v>
          </cell>
          <cell r="Z104">
            <v>53.123357570000003</v>
          </cell>
          <cell r="AA104">
            <v>54.181845199999998</v>
          </cell>
          <cell r="AB104">
            <v>55.385272829999998</v>
          </cell>
          <cell r="AC104">
            <v>56.679914439999997</v>
          </cell>
          <cell r="AD104">
            <v>58.064681229999998</v>
          </cell>
          <cell r="AE104">
            <v>59.520932109999997</v>
          </cell>
          <cell r="AF104">
            <v>61.02631976</v>
          </cell>
          <cell r="AG104">
            <v>62.570279370000002</v>
          </cell>
          <cell r="AH104">
            <v>64.150682309999993</v>
          </cell>
          <cell r="AI104">
            <v>65.761119129999997</v>
          </cell>
          <cell r="AJ104">
            <v>67.393523579999993</v>
          </cell>
          <cell r="AK104">
            <v>69.038791189999998</v>
          </cell>
        </row>
        <row r="105">
          <cell r="A105" t="str">
            <v>y_toe_0</v>
          </cell>
          <cell r="B105">
            <v>139.4020707</v>
          </cell>
          <cell r="C105">
            <v>140.9922345</v>
          </cell>
          <cell r="D105">
            <v>142.632555</v>
          </cell>
          <cell r="E105">
            <v>144.41430890000001</v>
          </cell>
          <cell r="F105">
            <v>146.40814409999999</v>
          </cell>
          <cell r="G105">
            <v>148.63448679999999</v>
          </cell>
          <cell r="H105">
            <v>151.01393830000001</v>
          </cell>
          <cell r="I105">
            <v>153.48761060000001</v>
          </cell>
          <cell r="J105">
            <v>156.01612270000001</v>
          </cell>
          <cell r="K105">
            <v>158.58084600000001</v>
          </cell>
          <cell r="L105">
            <v>161.11560399999999</v>
          </cell>
          <cell r="M105">
            <v>163.2245073</v>
          </cell>
          <cell r="N105">
            <v>164.99633549999999</v>
          </cell>
          <cell r="O105">
            <v>166.51320190000001</v>
          </cell>
          <cell r="P105">
            <v>167.8689024</v>
          </cell>
          <cell r="Q105">
            <v>169.15008850000001</v>
          </cell>
          <cell r="R105">
            <v>170.45455050000001</v>
          </cell>
          <cell r="S105">
            <v>171.88189109999999</v>
          </cell>
          <cell r="T105">
            <v>173.50030570000001</v>
          </cell>
          <cell r="U105">
            <v>175.34213740000001</v>
          </cell>
          <cell r="V105">
            <v>177.39827120000001</v>
          </cell>
          <cell r="W105">
            <v>179.7333051</v>
          </cell>
          <cell r="X105">
            <v>182.3638502</v>
          </cell>
          <cell r="Y105">
            <v>185.30044290000001</v>
          </cell>
          <cell r="Z105">
            <v>188.54065180000001</v>
          </cell>
          <cell r="AA105">
            <v>191.99162770000001</v>
          </cell>
          <cell r="AB105">
            <v>195.74717380000001</v>
          </cell>
          <cell r="AC105">
            <v>199.8202139</v>
          </cell>
          <cell r="AD105">
            <v>204.20775639999999</v>
          </cell>
          <cell r="AE105">
            <v>208.86334529999999</v>
          </cell>
          <cell r="AF105">
            <v>213.7208162</v>
          </cell>
          <cell r="AG105">
            <v>218.72092269999999</v>
          </cell>
          <cell r="AH105">
            <v>223.81504390000001</v>
          </cell>
          <cell r="AI105">
            <v>228.95929820000001</v>
          </cell>
          <cell r="AJ105">
            <v>234.11184059999999</v>
          </cell>
          <cell r="AK105">
            <v>239.23170250000001</v>
          </cell>
        </row>
        <row r="106">
          <cell r="A106" t="str">
            <v>m_toe_0</v>
          </cell>
          <cell r="B106">
            <v>150.64917389999999</v>
          </cell>
          <cell r="C106">
            <v>151.65968330000001</v>
          </cell>
          <cell r="D106">
            <v>152.74557150000001</v>
          </cell>
          <cell r="E106">
            <v>153.8333513</v>
          </cell>
          <cell r="F106">
            <v>155.53742</v>
          </cell>
          <cell r="G106">
            <v>157.74960400000001</v>
          </cell>
          <cell r="H106">
            <v>159.9726679</v>
          </cell>
          <cell r="I106">
            <v>162.1645777</v>
          </cell>
          <cell r="J106">
            <v>164.34453329999999</v>
          </cell>
          <cell r="K106">
            <v>166.52996709999999</v>
          </cell>
          <cell r="L106">
            <v>168.6697187</v>
          </cell>
          <cell r="M106">
            <v>170.3739545</v>
          </cell>
          <cell r="N106">
            <v>171.71964059999999</v>
          </cell>
          <cell r="O106">
            <v>172.7976783</v>
          </cell>
          <cell r="P106">
            <v>173.70554920000001</v>
          </cell>
          <cell r="Q106">
            <v>174.53085730000001</v>
          </cell>
          <cell r="R106">
            <v>175.593975</v>
          </cell>
          <cell r="S106">
            <v>176.9233778</v>
          </cell>
          <cell r="T106">
            <v>178.53682850000001</v>
          </cell>
          <cell r="U106">
            <v>180.43222180000001</v>
          </cell>
          <cell r="V106">
            <v>182.58024159999999</v>
          </cell>
          <cell r="W106">
            <v>185.0236635</v>
          </cell>
          <cell r="X106">
            <v>187.77342200000001</v>
          </cell>
          <cell r="Y106">
            <v>190.83846080000001</v>
          </cell>
          <cell r="Z106">
            <v>194.2162519</v>
          </cell>
          <cell r="AA106">
            <v>197.8258586</v>
          </cell>
          <cell r="AB106">
            <v>201.74947689999999</v>
          </cell>
          <cell r="AC106">
            <v>206.0087541</v>
          </cell>
          <cell r="AD106">
            <v>210.6094827</v>
          </cell>
          <cell r="AE106">
            <v>215.51469689999999</v>
          </cell>
          <cell r="AF106">
            <v>220.6638772</v>
          </cell>
          <cell r="AG106">
            <v>225.9999431</v>
          </cell>
          <cell r="AH106">
            <v>231.47395589999999</v>
          </cell>
          <cell r="AI106">
            <v>237.0401353</v>
          </cell>
          <cell r="AJ106">
            <v>242.65286599999999</v>
          </cell>
          <cell r="AK106">
            <v>248.26529980000001</v>
          </cell>
        </row>
        <row r="107">
          <cell r="A107" t="str">
            <v>ci_toe_0</v>
          </cell>
          <cell r="B107">
            <v>192.35883179999999</v>
          </cell>
          <cell r="C107">
            <v>194.5956181</v>
          </cell>
          <cell r="D107">
            <v>197.03085720000001</v>
          </cell>
          <cell r="E107">
            <v>199.57255140000001</v>
          </cell>
          <cell r="F107">
            <v>202.68284539999999</v>
          </cell>
          <cell r="G107">
            <v>206.34770420000001</v>
          </cell>
          <cell r="H107">
            <v>210.201492</v>
          </cell>
          <cell r="I107">
            <v>214.11837070000001</v>
          </cell>
          <cell r="J107">
            <v>218.05457029999999</v>
          </cell>
          <cell r="K107">
            <v>221.9985284</v>
          </cell>
          <cell r="L107">
            <v>225.84138949999999</v>
          </cell>
          <cell r="M107">
            <v>228.95075929999999</v>
          </cell>
          <cell r="N107">
            <v>231.4335438</v>
          </cell>
          <cell r="O107">
            <v>233.4351278</v>
          </cell>
          <cell r="P107">
            <v>235.12347729999999</v>
          </cell>
          <cell r="Q107">
            <v>236.656622</v>
          </cell>
          <cell r="R107">
            <v>238.34604340000001</v>
          </cell>
          <cell r="S107">
            <v>240.34407039999999</v>
          </cell>
          <cell r="T107">
            <v>242.7439072</v>
          </cell>
          <cell r="U107">
            <v>245.5880587</v>
          </cell>
          <cell r="V107">
            <v>248.8617438</v>
          </cell>
          <cell r="W107">
            <v>252.64727020000001</v>
          </cell>
          <cell r="X107">
            <v>256.97177770000002</v>
          </cell>
          <cell r="Y107">
            <v>261.85385609999997</v>
          </cell>
          <cell r="Z107">
            <v>267.29133350000001</v>
          </cell>
          <cell r="AA107">
            <v>273.15611810000001</v>
          </cell>
          <cell r="AB107">
            <v>279.56880640000003</v>
          </cell>
          <cell r="AC107">
            <v>286.55522730000001</v>
          </cell>
          <cell r="AD107">
            <v>294.11580939999999</v>
          </cell>
          <cell r="AE107">
            <v>302.17846489999999</v>
          </cell>
          <cell r="AF107">
            <v>310.63225310000001</v>
          </cell>
          <cell r="AG107">
            <v>319.37233429999998</v>
          </cell>
          <cell r="AH107">
            <v>328.31047000000001</v>
          </cell>
          <cell r="AI107">
            <v>337.36548119999998</v>
          </cell>
          <cell r="AJ107">
            <v>346.45841539999998</v>
          </cell>
          <cell r="AK107">
            <v>355.51060159999997</v>
          </cell>
        </row>
        <row r="108">
          <cell r="A108" t="str">
            <v>ch_toe_0</v>
          </cell>
          <cell r="B108">
            <v>64.301440170000006</v>
          </cell>
          <cell r="C108">
            <v>63.959274999999998</v>
          </cell>
          <cell r="D108">
            <v>63.535335609999997</v>
          </cell>
          <cell r="E108">
            <v>63.14004568</v>
          </cell>
          <cell r="F108">
            <v>62.990037229999999</v>
          </cell>
          <cell r="G108">
            <v>63.008604640000001</v>
          </cell>
          <cell r="H108">
            <v>62.986963770000003</v>
          </cell>
          <cell r="I108">
            <v>62.951802499999999</v>
          </cell>
          <cell r="J108">
            <v>62.926951080000002</v>
          </cell>
          <cell r="K108">
            <v>62.921980329999997</v>
          </cell>
          <cell r="L108">
            <v>62.966428620000002</v>
          </cell>
          <cell r="M108">
            <v>63.014464709999999</v>
          </cell>
          <cell r="N108">
            <v>63.066609339999999</v>
          </cell>
          <cell r="O108">
            <v>63.119659470000002</v>
          </cell>
          <cell r="P108">
            <v>63.168063009999997</v>
          </cell>
          <cell r="Q108">
            <v>63.206469179999999</v>
          </cell>
          <cell r="R108">
            <v>63.321667339999998</v>
          </cell>
          <cell r="S108">
            <v>63.474355060000001</v>
          </cell>
          <cell r="T108">
            <v>63.648251520000002</v>
          </cell>
          <cell r="U108">
            <v>63.828812759999998</v>
          </cell>
          <cell r="V108">
            <v>63.989376550000003</v>
          </cell>
          <cell r="W108">
            <v>64.153487580000004</v>
          </cell>
          <cell r="X108">
            <v>64.316103389999995</v>
          </cell>
          <cell r="Y108">
            <v>64.47681944</v>
          </cell>
          <cell r="Z108">
            <v>64.636800050000005</v>
          </cell>
          <cell r="AA108">
            <v>64.751569779999997</v>
          </cell>
          <cell r="AB108">
            <v>64.875775070000003</v>
          </cell>
          <cell r="AC108">
            <v>65.011964969999994</v>
          </cell>
          <cell r="AD108">
            <v>65.163461380000001</v>
          </cell>
          <cell r="AE108">
            <v>65.333973040000004</v>
          </cell>
          <cell r="AF108">
            <v>65.526093270000004</v>
          </cell>
          <cell r="AG108">
            <v>65.740739399999995</v>
          </cell>
          <cell r="AH108">
            <v>65.975677450000006</v>
          </cell>
          <cell r="AI108">
            <v>66.227973849999998</v>
          </cell>
          <cell r="AJ108">
            <v>66.494305879999999</v>
          </cell>
          <cell r="AK108">
            <v>66.77089325</v>
          </cell>
        </row>
        <row r="109">
          <cell r="A109" t="str">
            <v>x_toe_0</v>
          </cell>
          <cell r="B109">
            <v>33.390972560000002</v>
          </cell>
          <cell r="C109">
            <v>34.097024730000001</v>
          </cell>
          <cell r="D109">
            <v>34.811933619999998</v>
          </cell>
          <cell r="E109">
            <v>35.535063119999997</v>
          </cell>
          <cell r="F109">
            <v>36.272681499999997</v>
          </cell>
          <cell r="G109">
            <v>37.027781879999999</v>
          </cell>
          <cell r="H109">
            <v>37.798150360000001</v>
          </cell>
          <cell r="I109">
            <v>38.582015089999999</v>
          </cell>
          <cell r="J109">
            <v>39.379134530000002</v>
          </cell>
          <cell r="K109">
            <v>40.19030446</v>
          </cell>
          <cell r="L109">
            <v>40.977504609999997</v>
          </cell>
          <cell r="M109">
            <v>41.63323785</v>
          </cell>
          <cell r="N109">
            <v>42.215822959999997</v>
          </cell>
          <cell r="O109">
            <v>42.75609291</v>
          </cell>
          <cell r="P109">
            <v>43.282911259999999</v>
          </cell>
          <cell r="Q109">
            <v>43.817854539999999</v>
          </cell>
          <cell r="R109">
            <v>44.380814749999999</v>
          </cell>
          <cell r="S109">
            <v>44.986843360000002</v>
          </cell>
          <cell r="T109">
            <v>45.644975510000002</v>
          </cell>
          <cell r="U109">
            <v>46.357487720000002</v>
          </cell>
          <cell r="V109">
            <v>47.127392380000003</v>
          </cell>
          <cell r="W109">
            <v>47.956210710000001</v>
          </cell>
          <cell r="X109">
            <v>48.849391130000001</v>
          </cell>
          <cell r="Y109">
            <v>49.80822818</v>
          </cell>
          <cell r="Z109">
            <v>50.828770149999997</v>
          </cell>
          <cell r="AA109">
            <v>51.909798449999997</v>
          </cell>
          <cell r="AB109">
            <v>53.052069230000001</v>
          </cell>
          <cell r="AC109">
            <v>54.261775749999998</v>
          </cell>
          <cell r="AD109">
            <v>55.537968329999998</v>
          </cell>
          <cell r="AE109">
            <v>56.865604240000003</v>
          </cell>
          <cell r="AF109">
            <v>58.226347070000003</v>
          </cell>
          <cell r="AG109">
            <v>59.60779204</v>
          </cell>
          <cell r="AH109">
            <v>61.002852359999999</v>
          </cell>
          <cell r="AI109">
            <v>62.405978529999999</v>
          </cell>
          <cell r="AJ109">
            <v>63.811985319999998</v>
          </cell>
          <cell r="AK109">
            <v>65.215507509999995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29"/>
  <sheetViews>
    <sheetView zoomScale="77" workbookViewId="0">
      <pane xSplit="2" ySplit="4" topLeftCell="AA523" activePane="bottomRight" state="frozen"/>
      <selection pane="topRight" activeCell="C1" sqref="C1"/>
      <selection pane="bottomLeft" activeCell="A4" sqref="A4"/>
      <selection pane="bottomRight" activeCell="B525" sqref="B525:AL529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18</v>
      </c>
      <c r="C5" s="1">
        <f>[1]Results!F1365</f>
        <v>0</v>
      </c>
      <c r="D5" s="1">
        <f>[1]Results!G1365</f>
        <v>0</v>
      </c>
      <c r="E5" s="1">
        <f>[1]Results!H1365</f>
        <v>0</v>
      </c>
      <c r="F5" s="1">
        <f>[1]Results!I1365</f>
        <v>0</v>
      </c>
      <c r="G5" s="1">
        <f>[1]Results!J1365</f>
        <v>0</v>
      </c>
      <c r="H5" s="1">
        <f>[1]Results!K1365</f>
        <v>0</v>
      </c>
      <c r="I5" s="1">
        <f>[1]Results!L1365</f>
        <v>0</v>
      </c>
      <c r="J5" s="1">
        <f>[1]Results!M1365</f>
        <v>-0.22577943122299438</v>
      </c>
      <c r="K5" s="1">
        <f>[1]Results!N1365</f>
        <v>-0.45270811614862572</v>
      </c>
      <c r="L5" s="1">
        <f>[1]Results!O1365</f>
        <v>-0.31562530067381633</v>
      </c>
      <c r="M5" s="1">
        <f>[1]Results!P1365</f>
        <v>-0.15880178837761605</v>
      </c>
      <c r="N5" s="1">
        <f>[1]Results!Q1365</f>
        <v>-2.713829011178337E-2</v>
      </c>
      <c r="O5" s="1">
        <f>[1]Results!R1365</f>
        <v>7.1304220350509873E-2</v>
      </c>
      <c r="P5" s="1">
        <f>[1]Results!S1365</f>
        <v>0.15057840533787559</v>
      </c>
      <c r="Q5" s="1">
        <f>[1]Results!T1365</f>
        <v>0.23176076362543263</v>
      </c>
      <c r="R5" s="1">
        <f>[1]Results!U1365</f>
        <v>0.31393342991943296</v>
      </c>
      <c r="S5" s="1">
        <f>[1]Results!V1365</f>
        <v>0.36353884817050819</v>
      </c>
      <c r="T5" s="1">
        <f>[1]Results!W1365</f>
        <v>0.38703312576622295</v>
      </c>
      <c r="U5" s="1">
        <f>[1]Results!X1365</f>
        <v>0.38913253400862935</v>
      </c>
      <c r="V5" s="1">
        <f>[1]Results!Y1365</f>
        <v>0.3765304787602064</v>
      </c>
      <c r="W5" s="1">
        <f>[1]Results!Z1365</f>
        <v>0.35467533714732546</v>
      </c>
      <c r="X5" s="1">
        <f>[1]Results!AA1365</f>
        <v>0.3275040502408455</v>
      </c>
      <c r="Y5" s="1">
        <f>[1]Results!AB1365</f>
        <v>0.29862664822659646</v>
      </c>
      <c r="Z5" s="1">
        <f>[1]Results!AC1365</f>
        <v>0.27176539068221039</v>
      </c>
      <c r="AA5" s="1">
        <f>[1]Results!AD1365</f>
        <v>0.25067804926701687</v>
      </c>
      <c r="AB5" s="1">
        <f>[1]Results!AE1365</f>
        <v>0.23750664301731561</v>
      </c>
      <c r="AC5" s="1">
        <f>[1]Results!AF1365</f>
        <v>0.23696049807262476</v>
      </c>
      <c r="AD5" s="1">
        <f>[1]Results!AG1365</f>
        <v>0.24863178883176573</v>
      </c>
      <c r="AE5" s="1">
        <f>[1]Results!AH1365</f>
        <v>0.27588212830473857</v>
      </c>
      <c r="AF5" s="1">
        <f>[1]Results!AI1365</f>
        <v>0.32265390283416906</v>
      </c>
      <c r="AG5" s="1">
        <f>[1]Results!AJ1365</f>
        <v>0.39184496891615517</v>
      </c>
      <c r="AH5" s="1">
        <f>[1]Results!AK1365</f>
        <v>0.48492290860118192</v>
      </c>
      <c r="AI5" s="1">
        <f>[1]Results!AL1365</f>
        <v>0.6029349177662402</v>
      </c>
      <c r="AJ5" s="1">
        <f>[1]Results!AM1365</f>
        <v>0.74735691260459092</v>
      </c>
      <c r="AK5" s="1">
        <f>[1]Results!AN1365</f>
        <v>0.91990850997438756</v>
      </c>
      <c r="AL5" s="1">
        <f>[1]Results!AO1365</f>
        <v>1.1220513769173657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-6.0997540352047963E-9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-5.5311533131430224E-9</v>
      </c>
      <c r="J6" s="1">
        <f>[1]Results!M1366</f>
        <v>-0.2889886400339492</v>
      </c>
      <c r="K6" s="1">
        <f>[1]Results!N1366</f>
        <v>-0.57286449044265941</v>
      </c>
      <c r="L6" s="1">
        <f>[1]Results!O1366</f>
        <v>-0.40550972274832064</v>
      </c>
      <c r="M6" s="1">
        <f>[1]Results!P1366</f>
        <v>-0.23522963091492377</v>
      </c>
      <c r="N6" s="1">
        <f>[1]Results!Q1366</f>
        <v>-0.11274081555182613</v>
      </c>
      <c r="O6" s="1">
        <f>[1]Results!R1366</f>
        <v>-4.3353800857814928E-2</v>
      </c>
      <c r="P6" s="1">
        <f>[1]Results!S1366</f>
        <v>-2.3325062113221939E-3</v>
      </c>
      <c r="Q6" s="1">
        <f>[1]Results!T1366</f>
        <v>4.0929542877954361E-2</v>
      </c>
      <c r="R6" s="1">
        <f>[1]Results!U1366</f>
        <v>8.6764915505210816E-2</v>
      </c>
      <c r="S6" s="1">
        <f>[1]Results!V1366</f>
        <v>9.6407876183302044E-2</v>
      </c>
      <c r="T6" s="1">
        <f>[1]Results!W1366</f>
        <v>7.9113475393999266E-2</v>
      </c>
      <c r="U6" s="1">
        <f>[1]Results!X1366</f>
        <v>3.9524167284854528E-2</v>
      </c>
      <c r="V6" s="1">
        <f>[1]Results!Y1366</f>
        <v>-1.5138233982803229E-2</v>
      </c>
      <c r="W6" s="1">
        <f>[1]Results!Z1366</f>
        <v>-7.8806973963452265E-2</v>
      </c>
      <c r="X6" s="1">
        <f>[1]Results!AA1366</f>
        <v>-0.14642439822895037</v>
      </c>
      <c r="Y6" s="1">
        <f>[1]Results!AB1366</f>
        <v>-0.21374613632170192</v>
      </c>
      <c r="Z6" s="1">
        <f>[1]Results!AC1366</f>
        <v>-0.27671294056963447</v>
      </c>
      <c r="AA6" s="1">
        <f>[1]Results!AD1366</f>
        <v>-0.33125759563867874</v>
      </c>
      <c r="AB6" s="1">
        <f>[1]Results!AE1366</f>
        <v>-0.37544884400689815</v>
      </c>
      <c r="AC6" s="1">
        <f>[1]Results!AF1366</f>
        <v>-0.40298513717805795</v>
      </c>
      <c r="AD6" s="1">
        <f>[1]Results!AG1366</f>
        <v>-0.41454634884752206</v>
      </c>
      <c r="AE6" s="1">
        <f>[1]Results!AH1366</f>
        <v>-0.40754556828895838</v>
      </c>
      <c r="AF6" s="1">
        <f>[1]Results!AI1366</f>
        <v>-0.37880967344352534</v>
      </c>
      <c r="AG6" s="1">
        <f>[1]Results!AJ1366</f>
        <v>-0.32629828779133785</v>
      </c>
      <c r="AH6" s="1">
        <f>[1]Results!AK1366</f>
        <v>-0.24935401811549962</v>
      </c>
      <c r="AI6" s="1">
        <f>[1]Results!AL1366</f>
        <v>-0.14802847968116151</v>
      </c>
      <c r="AJ6" s="1">
        <f>[1]Results!AM1366</f>
        <v>-2.2716392461630264E-2</v>
      </c>
      <c r="AK6" s="1">
        <f>[1]Results!AN1366</f>
        <v>0.12601044196489664</v>
      </c>
      <c r="AL6" s="1">
        <f>[1]Results!AO1366</f>
        <v>0.29675423262001122</v>
      </c>
    </row>
    <row r="7" spans="1:38" x14ac:dyDescent="0.35">
      <c r="A7" s="3" t="str">
        <f>[1]Results!E1367</f>
        <v>100*((CH_2-CH_0)/GDP_0)</v>
      </c>
      <c r="B7" t="s">
        <v>19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4.2803519879134152E-8</v>
      </c>
      <c r="G7" s="1">
        <f>[1]Results!J1367</f>
        <v>4.1833054927938562E-8</v>
      </c>
      <c r="H7" s="1">
        <f>[1]Results!K1367</f>
        <v>0</v>
      </c>
      <c r="I7" s="1">
        <f>[1]Results!L1367</f>
        <v>0</v>
      </c>
      <c r="J7" s="1">
        <f>[1]Results!M1367</f>
        <v>-2.3664758259374537E-2</v>
      </c>
      <c r="K7" s="1">
        <f>[1]Results!N1367</f>
        <v>-6.8973270409666498E-2</v>
      </c>
      <c r="L7" s="1">
        <f>[1]Results!O1367</f>
        <v>-3.7144975389814261E-2</v>
      </c>
      <c r="M7" s="1">
        <f>[1]Results!P1367</f>
        <v>8.1494186509300501E-2</v>
      </c>
      <c r="N7" s="1">
        <f>[1]Results!Q1367</f>
        <v>0.25961046494576867</v>
      </c>
      <c r="O7" s="1">
        <f>[1]Results!R1367</f>
        <v>0.48153482882236887</v>
      </c>
      <c r="P7" s="1">
        <f>[1]Results!S1367</f>
        <v>0.71620900354104844</v>
      </c>
      <c r="Q7" s="1">
        <f>[1]Results!T1367</f>
        <v>0.94454082381165605</v>
      </c>
      <c r="R7" s="1">
        <f>[1]Results!U1367</f>
        <v>1.1575623670650288</v>
      </c>
      <c r="S7" s="1">
        <f>[1]Results!V1367</f>
        <v>1.3442802106439864</v>
      </c>
      <c r="T7" s="1">
        <f>[1]Results!W1367</f>
        <v>1.49570902862425</v>
      </c>
      <c r="U7" s="1">
        <f>[1]Results!X1367</f>
        <v>1.6182666139054458</v>
      </c>
      <c r="V7" s="1">
        <f>[1]Results!Y1367</f>
        <v>1.7181322540376378</v>
      </c>
      <c r="W7" s="1">
        <f>[1]Results!Z1367</f>
        <v>1.7988959505915365</v>
      </c>
      <c r="X7" s="1">
        <f>[1]Results!AA1367</f>
        <v>1.8596879394547499</v>
      </c>
      <c r="Y7" s="1">
        <f>[1]Results!AB1367</f>
        <v>1.9011915864138287</v>
      </c>
      <c r="Z7" s="1">
        <f>[1]Results!AC1367</f>
        <v>1.9261204184358547</v>
      </c>
      <c r="AA7" s="1">
        <f>[1]Results!AD1367</f>
        <v>1.9371026134371825</v>
      </c>
      <c r="AB7" s="1">
        <f>[1]Results!AE1367</f>
        <v>1.9363251915155164</v>
      </c>
      <c r="AC7" s="1">
        <f>[1]Results!AF1367</f>
        <v>1.9191195873716285</v>
      </c>
      <c r="AD7" s="1">
        <f>[1]Results!AG1367</f>
        <v>1.8841909404034394</v>
      </c>
      <c r="AE7" s="1">
        <f>[1]Results!AH1367</f>
        <v>1.8374887605234356</v>
      </c>
      <c r="AF7" s="1">
        <f>[1]Results!AI1367</f>
        <v>1.7849741832289281</v>
      </c>
      <c r="AG7" s="1">
        <f>[1]Results!AJ1367</f>
        <v>1.7307198091147347</v>
      </c>
      <c r="AH7" s="1">
        <f>[1]Results!AK1367</f>
        <v>1.6754718373752462</v>
      </c>
      <c r="AI7" s="1">
        <f>[1]Results!AL1367</f>
        <v>1.6196066202716277</v>
      </c>
      <c r="AJ7" s="1">
        <f>[1]Results!AM1367</f>
        <v>1.5667947829466764</v>
      </c>
      <c r="AK7" s="1">
        <f>[1]Results!AN1367</f>
        <v>1.5210501018690885</v>
      </c>
      <c r="AL7" s="1">
        <f>[1]Results!AO1367</f>
        <v>1.485450429493492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8.7507325288071776E-10</v>
      </c>
      <c r="F8" s="1">
        <f>[1]Results!I1368</f>
        <v>1.7121408699101543E-9</v>
      </c>
      <c r="G8" s="1">
        <f>[1]Results!J1368</f>
        <v>1.6733222701676759E-9</v>
      </c>
      <c r="H8" s="1">
        <f>[1]Results!K1368</f>
        <v>2.4512277799110475E-9</v>
      </c>
      <c r="I8" s="1">
        <f>[1]Results!L1368</f>
        <v>2.7931964588170368E-9</v>
      </c>
      <c r="J8" s="1">
        <f>[1]Results!M1368</f>
        <v>-6.6069111714303214E-2</v>
      </c>
      <c r="K8" s="1">
        <f>[1]Results!N1368</f>
        <v>-0.1135947924710438</v>
      </c>
      <c r="L8" s="1">
        <f>[1]Results!O1368</f>
        <v>-0.12963825269144846</v>
      </c>
      <c r="M8" s="1">
        <f>[1]Results!P1368</f>
        <v>-0.12536006928213811</v>
      </c>
      <c r="N8" s="1">
        <f>[1]Results!Q1368</f>
        <v>-9.1575692559000527E-2</v>
      </c>
      <c r="O8" s="1">
        <f>[1]Results!R1368</f>
        <v>-5.248473448677056E-2</v>
      </c>
      <c r="P8" s="1">
        <f>[1]Results!S1368</f>
        <v>-2.0329467098867949E-2</v>
      </c>
      <c r="Q8" s="1">
        <f>[1]Results!T1368</f>
        <v>2.7307103185468633E-3</v>
      </c>
      <c r="R8" s="1">
        <f>[1]Results!U1368</f>
        <v>1.8355156524851035E-2</v>
      </c>
      <c r="S8" s="1">
        <f>[1]Results!V1368</f>
        <v>1.502082784494542E-2</v>
      </c>
      <c r="T8" s="1">
        <f>[1]Results!W1368</f>
        <v>4.678174271217128E-3</v>
      </c>
      <c r="U8" s="1">
        <f>[1]Results!X1368</f>
        <v>-5.2376877688108895E-3</v>
      </c>
      <c r="V8" s="1">
        <f>[1]Results!Y1368</f>
        <v>-1.2171646799436241E-2</v>
      </c>
      <c r="W8" s="1">
        <f>[1]Results!Z1368</f>
        <v>-1.6094321923672245E-2</v>
      </c>
      <c r="X8" s="1">
        <f>[1]Results!AA1368</f>
        <v>-1.7698225303447487E-2</v>
      </c>
      <c r="Y8" s="1">
        <f>[1]Results!AB1368</f>
        <v>-1.7896084775068526E-2</v>
      </c>
      <c r="Z8" s="1">
        <f>[1]Results!AC1368</f>
        <v>-1.7129510093004278E-2</v>
      </c>
      <c r="AA8" s="1">
        <f>[1]Results!AD1368</f>
        <v>-1.5680592111611012E-2</v>
      </c>
      <c r="AB8" s="1">
        <f>[1]Results!AE1368</f>
        <v>-1.4024835275533004E-2</v>
      </c>
      <c r="AC8" s="1">
        <f>[1]Results!AF1368</f>
        <v>-1.2435103954170992E-2</v>
      </c>
      <c r="AD8" s="1">
        <f>[1]Results!AG1368</f>
        <v>-1.1245282749121573E-2</v>
      </c>
      <c r="AE8" s="1">
        <f>[1]Results!AH1368</f>
        <v>-9.9158833767976941E-3</v>
      </c>
      <c r="AF8" s="1">
        <f>[1]Results!AI1368</f>
        <v>-7.9989945440405025E-3</v>
      </c>
      <c r="AG8" s="1">
        <f>[1]Results!AJ1368</f>
        <v>-5.3303128758024065E-3</v>
      </c>
      <c r="AH8" s="1">
        <f>[1]Results!AK1368</f>
        <v>-1.9766547778498835E-3</v>
      </c>
      <c r="AI8" s="1">
        <f>[1]Results!AL1368</f>
        <v>2.0814181504444779E-3</v>
      </c>
      <c r="AJ8" s="1">
        <f>[1]Results!AM1368</f>
        <v>7.2259431651990492E-3</v>
      </c>
      <c r="AK8" s="1">
        <f>[1]Results!AN1368</f>
        <v>1.3848664506456096E-2</v>
      </c>
      <c r="AL8" s="1">
        <f>[1]Results!AO1368</f>
        <v>2.2164056603902953E-2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21</v>
      </c>
      <c r="C10" s="1">
        <f>[1]Results!F1370</f>
        <v>0</v>
      </c>
      <c r="D10" s="1">
        <f>[1]Results!G1370</f>
        <v>0</v>
      </c>
      <c r="E10" s="1">
        <f>[1]Results!H1370</f>
        <v>4.3753649910048393E-9</v>
      </c>
      <c r="F10" s="1">
        <f>[1]Results!I1370</f>
        <v>0</v>
      </c>
      <c r="G10" s="1">
        <f>[1]Results!J1370</f>
        <v>4.1833059797947446E-9</v>
      </c>
      <c r="H10" s="1">
        <f>[1]Results!K1370</f>
        <v>4.085377057014409E-9</v>
      </c>
      <c r="I10" s="1">
        <f>[1]Results!L1370</f>
        <v>3.990278830514242E-9</v>
      </c>
      <c r="J10" s="1">
        <f>[1]Results!M1370</f>
        <v>-5.3788899284015659E-2</v>
      </c>
      <c r="K10" s="1">
        <f>[1]Results!N1370</f>
        <v>-0.12292959918342489</v>
      </c>
      <c r="L10" s="1">
        <f>[1]Results!O1370</f>
        <v>-0.13771426343198634</v>
      </c>
      <c r="M10" s="1">
        <f>[1]Results!P1370</f>
        <v>-0.12304714107170145</v>
      </c>
      <c r="N10" s="1">
        <f>[1]Results!Q1370</f>
        <v>-9.2692643109603692E-2</v>
      </c>
      <c r="O10" s="1">
        <f>[1]Results!R1370</f>
        <v>-5.6482292824561846E-2</v>
      </c>
      <c r="P10" s="1">
        <f>[1]Results!S1370</f>
        <v>-1.6434665202201368E-2</v>
      </c>
      <c r="Q10" s="1">
        <f>[1]Results!T1370</f>
        <v>3.0545574329491499E-2</v>
      </c>
      <c r="R10" s="1">
        <f>[1]Results!U1370</f>
        <v>8.6055899335027636E-2</v>
      </c>
      <c r="S10" s="1">
        <f>[1]Results!V1370</f>
        <v>0.14092688391864983</v>
      </c>
      <c r="T10" s="1">
        <f>[1]Results!W1370</f>
        <v>0.19475067248758618</v>
      </c>
      <c r="U10" s="1">
        <f>[1]Results!X1370</f>
        <v>0.24924498464032291</v>
      </c>
      <c r="V10" s="1">
        <f>[1]Results!Y1370</f>
        <v>0.3068151055743662</v>
      </c>
      <c r="W10" s="1">
        <f>[1]Results!Z1370</f>
        <v>0.3698471109088356</v>
      </c>
      <c r="X10" s="1">
        <f>[1]Results!AA1370</f>
        <v>0.43986763843560034</v>
      </c>
      <c r="Y10" s="1">
        <f>[1]Results!AB1370</f>
        <v>0.51831567252759014</v>
      </c>
      <c r="Z10" s="1">
        <f>[1]Results!AC1370</f>
        <v>0.60668883761880277</v>
      </c>
      <c r="AA10" s="1">
        <f>[1]Results!AD1370</f>
        <v>0.70646975199130524</v>
      </c>
      <c r="AB10" s="1">
        <f>[1]Results!AE1370</f>
        <v>0.8192711662833172</v>
      </c>
      <c r="AC10" s="1">
        <f>[1]Results!AF1370</f>
        <v>0.94539636237681235</v>
      </c>
      <c r="AD10" s="1">
        <f>[1]Results!AG1370</f>
        <v>1.0840439267827882</v>
      </c>
      <c r="AE10" s="1">
        <f>[1]Results!AH1370</f>
        <v>1.2356734886518457</v>
      </c>
      <c r="AF10" s="1">
        <f>[1]Results!AI1370</f>
        <v>1.4015782897960285</v>
      </c>
      <c r="AG10" s="1">
        <f>[1]Results!AJ1370</f>
        <v>1.5834133403431709</v>
      </c>
      <c r="AH10" s="1">
        <f>[1]Results!AK1370</f>
        <v>1.7826461571932017</v>
      </c>
      <c r="AI10" s="1">
        <f>[1]Results!AL1370</f>
        <v>2.0009428579976483</v>
      </c>
      <c r="AJ10" s="1">
        <f>[1]Results!AM1370</f>
        <v>2.2410490282066946</v>
      </c>
      <c r="AK10" s="1">
        <f>[1]Results!AN1370</f>
        <v>2.506800428285521</v>
      </c>
      <c r="AL10" s="1">
        <f>[1]Results!AO1370</f>
        <v>2.8032346790875668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0</v>
      </c>
      <c r="D12" s="1">
        <f>[1]Results!G1372</f>
        <v>0</v>
      </c>
      <c r="E12" s="1">
        <f>[1]Results!H1372</f>
        <v>-4.3753675378023368E-9</v>
      </c>
      <c r="F12" s="1">
        <f>[1]Results!I1372</f>
        <v>-8.5607099554098926E-9</v>
      </c>
      <c r="G12" s="1">
        <f>[1]Results!J1372</f>
        <v>-1.2549920374388678E-8</v>
      </c>
      <c r="H12" s="1">
        <f>[1]Results!K1372</f>
        <v>-1.6341517740072419E-8</v>
      </c>
      <c r="I12" s="1">
        <f>[1]Results!L1372</f>
        <v>-1.5961124612653822E-8</v>
      </c>
      <c r="J12" s="1">
        <f>[1]Results!M1372</f>
        <v>-0.14832577757720947</v>
      </c>
      <c r="K12" s="1">
        <f>[1]Results!N1372</f>
        <v>-0.26080525417029254</v>
      </c>
      <c r="L12" s="1">
        <f>[1]Results!O1372</f>
        <v>-0.14076605069365555</v>
      </c>
      <c r="M12" s="1">
        <f>[1]Results!P1372</f>
        <v>-0.11724880837744622</v>
      </c>
      <c r="N12" s="1">
        <f>[1]Results!Q1372</f>
        <v>-0.19405612263151342</v>
      </c>
      <c r="O12" s="1">
        <f>[1]Results!R1372</f>
        <v>-0.35374830865390794</v>
      </c>
      <c r="P12" s="1">
        <f>[1]Results!S1372</f>
        <v>-0.54919595707221858</v>
      </c>
      <c r="Q12" s="1">
        <f>[1]Results!T1372</f>
        <v>-0.74332565482868418</v>
      </c>
      <c r="R12" s="1">
        <f>[1]Results!U1372</f>
        <v>-0.92968484982172306</v>
      </c>
      <c r="S12" s="1">
        <f>[1]Results!V1372</f>
        <v>-1.1216682201060604</v>
      </c>
      <c r="T12" s="1">
        <f>[1]Results!W1372</f>
        <v>-1.3034265753456213</v>
      </c>
      <c r="U12" s="1">
        <f>[1]Results!X1372</f>
        <v>-1.4783790740887892</v>
      </c>
      <c r="V12" s="1">
        <f>[1]Results!Y1372</f>
        <v>-1.6484168683301383</v>
      </c>
      <c r="W12" s="1">
        <f>[1]Results!Z1372</f>
        <v>-1.8140677458859038</v>
      </c>
      <c r="X12" s="1">
        <f>[1]Results!AA1372</f>
        <v>-1.9720515427440337</v>
      </c>
      <c r="Y12" s="1">
        <f>[1]Results!AB1372</f>
        <v>-2.1208805959183263</v>
      </c>
      <c r="Z12" s="1">
        <f>[1]Results!AC1372</f>
        <v>-2.2610438682698715</v>
      </c>
      <c r="AA12" s="1">
        <f>[1]Results!AD1372</f>
        <v>-2.392894318995137</v>
      </c>
      <c r="AB12" s="1">
        <f>[1]Results!AE1372</f>
        <v>-2.5180897120103132</v>
      </c>
      <c r="AC12" s="1">
        <f>[1]Results!AF1372</f>
        <v>-2.6275554489689803</v>
      </c>
      <c r="AD12" s="1">
        <f>[1]Results!AG1372</f>
        <v>-2.7196031100518154</v>
      </c>
      <c r="AE12" s="1">
        <f>[1]Results!AH1372</f>
        <v>-2.7972801131448044</v>
      </c>
      <c r="AF12" s="1">
        <f>[1]Results!AI1372</f>
        <v>-2.8638986203690555</v>
      </c>
      <c r="AG12" s="1">
        <f>[1]Results!AJ1372</f>
        <v>-2.9222882049735879</v>
      </c>
      <c r="AH12" s="1">
        <f>[1]Results!AK1372</f>
        <v>-2.9731950859672631</v>
      </c>
      <c r="AI12" s="1">
        <f>[1]Results!AL1372</f>
        <v>-3.0176145605030413</v>
      </c>
      <c r="AJ12" s="1">
        <f>[1]Results!AM1372</f>
        <v>-3.0604869210975947</v>
      </c>
      <c r="AK12" s="1">
        <f>[1]Results!AN1372</f>
        <v>-3.1079420201802135</v>
      </c>
      <c r="AL12" s="1">
        <f>[1]Results!AO1372</f>
        <v>-3.1666337102624604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4.2803519879134152E-8</v>
      </c>
      <c r="G13" s="1">
        <f>[1]Results!J1373</f>
        <v>4.1833054927938562E-8</v>
      </c>
      <c r="H13" s="1">
        <f>[1]Results!K1373</f>
        <v>-4.0854103490661475E-10</v>
      </c>
      <c r="I13" s="1">
        <f>[1]Results!L1373</f>
        <v>0</v>
      </c>
      <c r="J13" s="1">
        <f>[1]Results!M1373</f>
        <v>-2.2364543956121908E-2</v>
      </c>
      <c r="K13" s="1">
        <f>[1]Results!N1373</f>
        <v>-6.5058928698839322E-2</v>
      </c>
      <c r="L13" s="1">
        <f>[1]Results!O1373</f>
        <v>-3.1439178414697219E-2</v>
      </c>
      <c r="M13" s="1">
        <f>[1]Results!P1373</f>
        <v>8.7658194061861039E-2</v>
      </c>
      <c r="N13" s="1">
        <f>[1]Results!Q1373</f>
        <v>0.26496402993799656</v>
      </c>
      <c r="O13" s="1">
        <f>[1]Results!R1373</f>
        <v>0.48477337248591146</v>
      </c>
      <c r="P13" s="1">
        <f>[1]Results!S1373</f>
        <v>0.71655409191994268</v>
      </c>
      <c r="Q13" s="1">
        <f>[1]Results!T1373</f>
        <v>0.94168423227003961</v>
      </c>
      <c r="R13" s="1">
        <f>[1]Results!U1373</f>
        <v>1.1514954540781586</v>
      </c>
      <c r="S13" s="1">
        <f>[1]Results!V1373</f>
        <v>1.3353795461827018</v>
      </c>
      <c r="T13" s="1">
        <f>[1]Results!W1373</f>
        <v>1.4846812832537737</v>
      </c>
      <c r="U13" s="1">
        <f>[1]Results!X1373</f>
        <v>1.6056874048530172</v>
      </c>
      <c r="V13" s="1">
        <f>[1]Results!Y1373</f>
        <v>1.7043618480397265</v>
      </c>
      <c r="W13" s="1">
        <f>[1]Results!Z1373</f>
        <v>1.7841334336823085</v>
      </c>
      <c r="X13" s="1">
        <f>[1]Results!AA1373</f>
        <v>1.8440988169675476</v>
      </c>
      <c r="Y13" s="1">
        <f>[1]Results!AB1373</f>
        <v>1.8849342669666831</v>
      </c>
      <c r="Z13" s="1">
        <f>[1]Results!AC1373</f>
        <v>1.9093331248642122</v>
      </c>
      <c r="AA13" s="1">
        <f>[1]Results!AD1373</f>
        <v>1.9199098640407042</v>
      </c>
      <c r="AB13" s="1">
        <f>[1]Results!AE1373</f>
        <v>1.9188486992761131</v>
      </c>
      <c r="AC13" s="1">
        <f>[1]Results!AF1373</f>
        <v>1.9016194572645104</v>
      </c>
      <c r="AD13" s="1">
        <f>[1]Results!AG1373</f>
        <v>1.8670415392381039</v>
      </c>
      <c r="AE13" s="1">
        <f>[1]Results!AH1373</f>
        <v>1.8210310082573959</v>
      </c>
      <c r="AF13" s="1">
        <f>[1]Results!AI1373</f>
        <v>1.7694731714409728</v>
      </c>
      <c r="AG13" s="1">
        <f>[1]Results!AJ1373</f>
        <v>1.7163775047808589</v>
      </c>
      <c r="AH13" s="1">
        <f>[1]Results!AK1373</f>
        <v>1.6624873585387341</v>
      </c>
      <c r="AI13" s="1">
        <f>[1]Results!AL1373</f>
        <v>1.608195090840012</v>
      </c>
      <c r="AJ13" s="1">
        <f>[1]Results!AM1373</f>
        <v>1.5571280783301973</v>
      </c>
      <c r="AK13" s="1">
        <f>[1]Results!AN1373</f>
        <v>1.5132359297806071</v>
      </c>
      <c r="AL13" s="1">
        <f>[1]Results!AO1373</f>
        <v>1.4795415383810817</v>
      </c>
    </row>
    <row r="14" spans="1:3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0</v>
      </c>
      <c r="D14" s="1">
        <f>[1]Results!G1374</f>
        <v>0</v>
      </c>
      <c r="E14" s="1">
        <f>[1]Results!H1374</f>
        <v>4.3753649910048393E-9</v>
      </c>
      <c r="F14" s="1">
        <f>[1]Results!I1374</f>
        <v>0</v>
      </c>
      <c r="G14" s="1">
        <f>[1]Results!J1374</f>
        <v>4.1833035447903008E-9</v>
      </c>
      <c r="H14" s="1">
        <f>[1]Results!K1374</f>
        <v>4.4939133359136329E-9</v>
      </c>
      <c r="I14" s="1">
        <f>[1]Results!L1374</f>
        <v>3.990278830514242E-9</v>
      </c>
      <c r="J14" s="1">
        <f>[1]Results!M1374</f>
        <v>-5.508911358727283E-2</v>
      </c>
      <c r="K14" s="1">
        <f>[1]Results!N1374</f>
        <v>-0.12684394089425649</v>
      </c>
      <c r="L14" s="1">
        <f>[1]Results!O1374</f>
        <v>-0.14342006040709904</v>
      </c>
      <c r="M14" s="1">
        <f>[1]Results!P1374</f>
        <v>-0.12921114862426622</v>
      </c>
      <c r="N14" s="1">
        <f>[1]Results!Q1374</f>
        <v>-9.8046208101835702E-2</v>
      </c>
      <c r="O14" s="1">
        <f>[1]Results!R1374</f>
        <v>-5.9720836488104445E-2</v>
      </c>
      <c r="P14" s="1">
        <f>[1]Results!S1374</f>
        <v>-1.677975358109967E-2</v>
      </c>
      <c r="Q14" s="1">
        <f>[1]Results!T1374</f>
        <v>3.3402165871107989E-2</v>
      </c>
      <c r="R14" s="1">
        <f>[1]Results!U1374</f>
        <v>9.2122812321893982E-2</v>
      </c>
      <c r="S14" s="1">
        <f>[1]Results!V1374</f>
        <v>0.1498275483799382</v>
      </c>
      <c r="T14" s="1">
        <f>[1]Results!W1374</f>
        <v>0.20577841785806625</v>
      </c>
      <c r="U14" s="1">
        <f>[1]Results!X1374</f>
        <v>0.26182419369275522</v>
      </c>
      <c r="V14" s="1">
        <f>[1]Results!Y1374</f>
        <v>0.32058551157227422</v>
      </c>
      <c r="W14" s="1">
        <f>[1]Results!Z1374</f>
        <v>0.38460962781806018</v>
      </c>
      <c r="X14" s="1">
        <f>[1]Results!AA1374</f>
        <v>0.45545676092280291</v>
      </c>
      <c r="Y14" s="1">
        <f>[1]Results!AB1374</f>
        <v>0.53457299197473218</v>
      </c>
      <c r="Z14" s="1">
        <f>[1]Results!AC1374</f>
        <v>0.62347613119044187</v>
      </c>
      <c r="AA14" s="1">
        <f>[1]Results!AD1374</f>
        <v>0.72366250138778065</v>
      </c>
      <c r="AB14" s="1">
        <f>[1]Results!AE1374</f>
        <v>0.8367476585227176</v>
      </c>
      <c r="AC14" s="1">
        <f>[1]Results!AF1374</f>
        <v>0.96289649248392384</v>
      </c>
      <c r="AD14" s="1">
        <f>[1]Results!AG1374</f>
        <v>1.1011933279481265</v>
      </c>
      <c r="AE14" s="1">
        <f>[1]Results!AH1374</f>
        <v>1.2521312409178853</v>
      </c>
      <c r="AF14" s="1">
        <f>[1]Results!AI1374</f>
        <v>1.417079301583984</v>
      </c>
      <c r="AG14" s="1">
        <f>[1]Results!AJ1374</f>
        <v>1.5977556446770407</v>
      </c>
      <c r="AH14" s="1">
        <f>[1]Results!AK1374</f>
        <v>1.7956306360297194</v>
      </c>
      <c r="AI14" s="1">
        <f>[1]Results!AL1374</f>
        <v>2.0123543874292693</v>
      </c>
      <c r="AJ14" s="1">
        <f>[1]Results!AM1374</f>
        <v>2.250715732823179</v>
      </c>
      <c r="AK14" s="1">
        <f>[1]Results!AN1374</f>
        <v>2.5146146003739975</v>
      </c>
      <c r="AL14" s="1">
        <f>[1]Results!AO1374</f>
        <v>2.8091435701999772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3.9378302746626033E-9</v>
      </c>
      <c r="F15" s="1">
        <f>[1]Results!I1375</f>
        <v>0</v>
      </c>
      <c r="G15" s="1">
        <f>[1]Results!J1375</f>
        <v>4.1833035447903008E-9</v>
      </c>
      <c r="H15" s="1">
        <f>[1]Results!K1375</f>
        <v>3.6768384001114901E-9</v>
      </c>
      <c r="I15" s="1">
        <f>[1]Results!L1375</f>
        <v>3.5912523410523463E-9</v>
      </c>
      <c r="J15" s="1">
        <f>[1]Results!M1375</f>
        <v>-5.0574112721191687E-2</v>
      </c>
      <c r="K15" s="1">
        <f>[1]Results!N1375</f>
        <v>-0.11627225978713741</v>
      </c>
      <c r="L15" s="1">
        <f>[1]Results!O1375</f>
        <v>-0.12860260822552302</v>
      </c>
      <c r="M15" s="1">
        <f>[1]Results!P1375</f>
        <v>-0.1122085583164267</v>
      </c>
      <c r="N15" s="1">
        <f>[1]Results!Q1375</f>
        <v>-8.1309577016098242E-2</v>
      </c>
      <c r="O15" s="1">
        <f>[1]Results!R1375</f>
        <v>-4.5430683455583862E-2</v>
      </c>
      <c r="P15" s="1">
        <f>[1]Results!S1375</f>
        <v>-6.3548258396158731E-3</v>
      </c>
      <c r="Q15" s="1">
        <f>[1]Results!T1375</f>
        <v>3.9127195145088715E-2</v>
      </c>
      <c r="R15" s="1">
        <f>[1]Results!U1375</f>
        <v>9.2682741296866725E-2</v>
      </c>
      <c r="S15" s="1">
        <f>[1]Results!V1375</f>
        <v>0.1457208427735569</v>
      </c>
      <c r="T15" s="1">
        <f>[1]Results!W1375</f>
        <v>0.1978095000218556</v>
      </c>
      <c r="U15" s="1">
        <f>[1]Results!X1375</f>
        <v>0.25052046085324098</v>
      </c>
      <c r="V15" s="1">
        <f>[1]Results!Y1375</f>
        <v>0.30611759168835423</v>
      </c>
      <c r="W15" s="1">
        <f>[1]Results!Z1375</f>
        <v>0.3668898840796132</v>
      </c>
      <c r="X15" s="1">
        <f>[1]Results!AA1375</f>
        <v>0.43434965769436507</v>
      </c>
      <c r="Y15" s="1">
        <f>[1]Results!AB1375</f>
        <v>0.50994808194569552</v>
      </c>
      <c r="Z15" s="1">
        <f>[1]Results!AC1375</f>
        <v>0.59518000079888966</v>
      </c>
      <c r="AA15" s="1">
        <f>[1]Results!AD1375</f>
        <v>0.69154042567836005</v>
      </c>
      <c r="AB15" s="1">
        <f>[1]Results!AE1375</f>
        <v>0.80069443571303445</v>
      </c>
      <c r="AC15" s="1">
        <f>[1]Results!AF1375</f>
        <v>0.92312203636289969</v>
      </c>
      <c r="AD15" s="1">
        <f>[1]Results!AG1375</f>
        <v>1.0582298255336737</v>
      </c>
      <c r="AE15" s="1">
        <f>[1]Results!AH1375</f>
        <v>1.206547569778579</v>
      </c>
      <c r="AF15" s="1">
        <f>[1]Results!AI1375</f>
        <v>1.3693982186152922</v>
      </c>
      <c r="AG15" s="1">
        <f>[1]Results!AJ1375</f>
        <v>1.5484592673887103</v>
      </c>
      <c r="AH15" s="1">
        <f>[1]Results!AK1375</f>
        <v>1.745260428816767</v>
      </c>
      <c r="AI15" s="1">
        <f>[1]Results!AL1375</f>
        <v>1.9615328109977748</v>
      </c>
      <c r="AJ15" s="1">
        <f>[1]Results!AM1375</f>
        <v>2.200017857222738</v>
      </c>
      <c r="AK15" s="1">
        <f>[1]Results!AN1375</f>
        <v>2.4645184195896248</v>
      </c>
      <c r="AL15" s="1">
        <f>[1]Results!AO1375</f>
        <v>2.7600324525506492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4.0853791377676431E-10</v>
      </c>
      <c r="I16" s="1">
        <f>[1]Results!L1376</f>
        <v>0</v>
      </c>
      <c r="J16" s="1">
        <f>[1]Results!M1376</f>
        <v>-1.3002143032539036E-3</v>
      </c>
      <c r="K16" s="1">
        <f>[1]Results!N1376</f>
        <v>-3.9143417108299357E-3</v>
      </c>
      <c r="L16" s="1">
        <f>[1]Results!O1376</f>
        <v>-5.7057969751139236E-3</v>
      </c>
      <c r="M16" s="1">
        <f>[1]Results!P1376</f>
        <v>-6.1640075525642296E-3</v>
      </c>
      <c r="N16" s="1">
        <f>[1]Results!Q1376</f>
        <v>-5.3535649922322745E-3</v>
      </c>
      <c r="O16" s="1">
        <f>[1]Results!R1376</f>
        <v>-3.2385436635434814E-3</v>
      </c>
      <c r="P16" s="1">
        <f>[1]Results!S1376</f>
        <v>-3.4508837889592241E-4</v>
      </c>
      <c r="Q16" s="1">
        <f>[1]Results!T1376</f>
        <v>2.8565915416148904E-3</v>
      </c>
      <c r="R16" s="1">
        <f>[1]Results!U1376</f>
        <v>6.0669129868673264E-3</v>
      </c>
      <c r="S16" s="1">
        <f>[1]Results!V1376</f>
        <v>8.9006644612870355E-3</v>
      </c>
      <c r="T16" s="1">
        <f>[1]Results!W1376</f>
        <v>1.1027745370478039E-2</v>
      </c>
      <c r="U16" s="1">
        <f>[1]Results!X1376</f>
        <v>1.2579209052431178E-2</v>
      </c>
      <c r="V16" s="1">
        <f>[1]Results!Y1376</f>
        <v>1.3770405997906672E-2</v>
      </c>
      <c r="W16" s="1">
        <f>[1]Results!Z1376</f>
        <v>1.476251690922533E-2</v>
      </c>
      <c r="X16" s="1">
        <f>[1]Results!AA1376</f>
        <v>1.5589122487201856E-2</v>
      </c>
      <c r="Y16" s="1">
        <f>[1]Results!AB1376</f>
        <v>1.6257319447141504E-2</v>
      </c>
      <c r="Z16" s="1">
        <f>[1]Results!AC1376</f>
        <v>1.6787293571638422E-2</v>
      </c>
      <c r="AA16" s="1">
        <f>[1]Results!AD1376</f>
        <v>1.7192749396475301E-2</v>
      </c>
      <c r="AB16" s="1">
        <f>[1]Results!AE1376</f>
        <v>1.7476492239400756E-2</v>
      </c>
      <c r="AC16" s="1">
        <f>[1]Results!AF1376</f>
        <v>1.7500130107114029E-2</v>
      </c>
      <c r="AD16" s="1">
        <f>[1]Results!AG1376</f>
        <v>1.7149401165337957E-2</v>
      </c>
      <c r="AE16" s="1">
        <f>[1]Results!AH1376</f>
        <v>1.6457752266041972E-2</v>
      </c>
      <c r="AF16" s="1">
        <f>[1]Results!AI1376</f>
        <v>1.5501011787954599E-2</v>
      </c>
      <c r="AG16" s="1">
        <f>[1]Results!AJ1376</f>
        <v>1.4342304333873863E-2</v>
      </c>
      <c r="AH16" s="1">
        <f>[1]Results!AK1376</f>
        <v>1.29844788365183E-2</v>
      </c>
      <c r="AI16" s="1">
        <f>[1]Results!AL1376</f>
        <v>1.1411529431618878E-2</v>
      </c>
      <c r="AJ16" s="1">
        <f>[1]Results!AM1376</f>
        <v>9.6667046164818984E-3</v>
      </c>
      <c r="AK16" s="1">
        <f>[1]Results!AN1376</f>
        <v>7.8141720884751121E-3</v>
      </c>
      <c r="AL16" s="1">
        <f>[1]Results!AO1376</f>
        <v>5.90889111241155E-3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4.3753630809067175E-10</v>
      </c>
      <c r="F17" s="1">
        <f>[1]Results!I1377</f>
        <v>0</v>
      </c>
      <c r="G17" s="1">
        <f>[1]Results!J1377</f>
        <v>0</v>
      </c>
      <c r="H17" s="1">
        <f>[1]Results!K1377</f>
        <v>4.085380624019952E-10</v>
      </c>
      <c r="I17" s="1">
        <f>[1]Results!L1377</f>
        <v>3.9902823144880616E-10</v>
      </c>
      <c r="J17" s="1">
        <f>[1]Results!M1377</f>
        <v>-3.2147865628242584E-3</v>
      </c>
      <c r="K17" s="1">
        <f>[1]Results!N1377</f>
        <v>-6.6573393962858184E-3</v>
      </c>
      <c r="L17" s="1">
        <f>[1]Results!O1377</f>
        <v>-9.1116552064625066E-3</v>
      </c>
      <c r="M17" s="1">
        <f>[1]Results!P1377</f>
        <v>-1.0838582755275536E-2</v>
      </c>
      <c r="N17" s="1">
        <f>[1]Results!Q1377</f>
        <v>-1.1383066093501822E-2</v>
      </c>
      <c r="O17" s="1">
        <f>[1]Results!R1377</f>
        <v>-1.1051609368976718E-2</v>
      </c>
      <c r="P17" s="1">
        <f>[1]Results!S1377</f>
        <v>-1.0079839362585247E-2</v>
      </c>
      <c r="Q17" s="1">
        <f>[1]Results!T1377</f>
        <v>-8.581620815596722E-3</v>
      </c>
      <c r="R17" s="1">
        <f>[1]Results!U1377</f>
        <v>-6.6268419618386041E-3</v>
      </c>
      <c r="S17" s="1">
        <f>[1]Results!V1377</f>
        <v>-4.7939588549089727E-3</v>
      </c>
      <c r="T17" s="1">
        <f>[1]Results!W1377</f>
        <v>-3.0588275342708438E-3</v>
      </c>
      <c r="U17" s="1">
        <f>[1]Results!X1377</f>
        <v>-1.2754762129171195E-3</v>
      </c>
      <c r="V17" s="1">
        <f>[1]Results!Y1377</f>
        <v>6.9751388601332193E-4</v>
      </c>
      <c r="W17" s="1">
        <f>[1]Results!Z1377</f>
        <v>2.9572268292228543E-3</v>
      </c>
      <c r="X17" s="1">
        <f>[1]Results!AA1377</f>
        <v>5.5179807412370982E-3</v>
      </c>
      <c r="Y17" s="1">
        <f>[1]Results!AB1377</f>
        <v>8.3675905818948303E-3</v>
      </c>
      <c r="Z17" s="1">
        <f>[1]Results!AC1377</f>
        <v>1.1508836819914678E-2</v>
      </c>
      <c r="AA17" s="1">
        <f>[1]Results!AD1377</f>
        <v>1.4929326312944049E-2</v>
      </c>
      <c r="AB17" s="1">
        <f>[1]Results!AE1377</f>
        <v>1.8576730570283116E-2</v>
      </c>
      <c r="AC17" s="1">
        <f>[1]Results!AF1377</f>
        <v>2.227432601391224E-2</v>
      </c>
      <c r="AD17" s="1">
        <f>[1]Results!AG1377</f>
        <v>2.5814101249114211E-2</v>
      </c>
      <c r="AE17" s="1">
        <f>[1]Results!AH1377</f>
        <v>2.9125918873265176E-2</v>
      </c>
      <c r="AF17" s="1">
        <f>[1]Results!AI1377</f>
        <v>3.2180071180735181E-2</v>
      </c>
      <c r="AG17" s="1">
        <f>[1]Results!AJ1377</f>
        <v>3.4954072954460305E-2</v>
      </c>
      <c r="AH17" s="1">
        <f>[1]Results!AK1377</f>
        <v>3.7385728376435431E-2</v>
      </c>
      <c r="AI17" s="1">
        <f>[1]Results!AL1377</f>
        <v>3.9410046999870559E-2</v>
      </c>
      <c r="AJ17" s="1">
        <f>[1]Results!AM1377</f>
        <v>4.1031170983958011E-2</v>
      </c>
      <c r="AK17" s="1">
        <f>[1]Results!AN1377</f>
        <v>4.228200869589667E-2</v>
      </c>
      <c r="AL17" s="1">
        <f>[1]Results!AO1377</f>
        <v>4.3202226536919498E-2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7.8511130929825867E-8</v>
      </c>
      <c r="G18" s="1">
        <f>[1]Results!J1378</f>
        <v>7.6664341541743397E-8</v>
      </c>
      <c r="H18" s="1">
        <f>[1]Results!K1378</f>
        <v>0</v>
      </c>
      <c r="I18" s="1">
        <f>[1]Results!L1378</f>
        <v>0</v>
      </c>
      <c r="J18" s="1">
        <f>[1]Results!M1378</f>
        <v>-4.3223877463294258E-2</v>
      </c>
      <c r="K18" s="1">
        <f>[1]Results!N1378</f>
        <v>-0.12587604463116797</v>
      </c>
      <c r="L18" s="1">
        <f>[1]Results!O1378</f>
        <v>-6.7733782941548082E-2</v>
      </c>
      <c r="M18" s="1">
        <f>[1]Results!P1378</f>
        <v>0.14841582676041742</v>
      </c>
      <c r="N18" s="1">
        <f>[1]Results!Q1378</f>
        <v>0.47136776175047412</v>
      </c>
      <c r="O18" s="1">
        <f>[1]Results!R1378</f>
        <v>0.87148308927311735</v>
      </c>
      <c r="P18" s="1">
        <f>[1]Results!S1378</f>
        <v>1.2925659021584712</v>
      </c>
      <c r="Q18" s="1">
        <f>[1]Results!T1378</f>
        <v>1.7014149441034743</v>
      </c>
      <c r="R18" s="1">
        <f>[1]Results!U1378</f>
        <v>2.0835702352254737</v>
      </c>
      <c r="S18" s="1">
        <f>[1]Results!V1378</f>
        <v>2.4200897885167771</v>
      </c>
      <c r="T18" s="1">
        <f>[1]Results!W1378</f>
        <v>2.6957705901825113</v>
      </c>
      <c r="U18" s="1">
        <f>[1]Results!X1378</f>
        <v>2.9228082736020733</v>
      </c>
      <c r="V18" s="1">
        <f>[1]Results!Y1378</f>
        <v>3.1124510853284271</v>
      </c>
      <c r="W18" s="1">
        <f>[1]Results!Z1378</f>
        <v>3.2709583203652137</v>
      </c>
      <c r="X18" s="1">
        <f>[1]Results!AA1378</f>
        <v>3.3966355890360678</v>
      </c>
      <c r="Y18" s="1">
        <f>[1]Results!AB1378</f>
        <v>3.4894921082832431</v>
      </c>
      <c r="Z18" s="1">
        <f>[1]Results!AC1378</f>
        <v>3.5535848113213531</v>
      </c>
      <c r="AA18" s="1">
        <f>[1]Results!AD1378</f>
        <v>3.5927378378341146</v>
      </c>
      <c r="AB18" s="1">
        <f>[1]Results!AE1378</f>
        <v>3.61007219606444</v>
      </c>
      <c r="AC18" s="1">
        <f>[1]Results!AF1378</f>
        <v>3.5973162172094897</v>
      </c>
      <c r="AD18" s="1">
        <f>[1]Results!AG1378</f>
        <v>3.5502551659134074</v>
      </c>
      <c r="AE18" s="1">
        <f>[1]Results!AH1378</f>
        <v>3.4791179474871647</v>
      </c>
      <c r="AF18" s="1">
        <f>[1]Results!AI1378</f>
        <v>3.3940777484272822</v>
      </c>
      <c r="AG18" s="1">
        <f>[1]Results!AJ1378</f>
        <v>3.3022715612635478</v>
      </c>
      <c r="AH18" s="1">
        <f>[1]Results!AK1378</f>
        <v>3.2051639872743953</v>
      </c>
      <c r="AI18" s="1">
        <f>[1]Results!AL1378</f>
        <v>3.1039000053298293</v>
      </c>
      <c r="AJ18" s="1">
        <f>[1]Results!AM1378</f>
        <v>3.0060809740190653</v>
      </c>
      <c r="AK18" s="1">
        <f>[1]Results!AN1378</f>
        <v>2.9200055677185643</v>
      </c>
      <c r="AL18" s="1">
        <f>[1]Results!AO1378</f>
        <v>2.8521296181172051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2.815641053643958E-8</v>
      </c>
      <c r="F19" s="1">
        <f>[1]Results!I1379</f>
        <v>5.2941206973855515E-8</v>
      </c>
      <c r="G19" s="1">
        <f>[1]Results!J1379</f>
        <v>5.0245585470065635E-8</v>
      </c>
      <c r="H19" s="1">
        <f>[1]Results!K1379</f>
        <v>7.2307582144048865E-8</v>
      </c>
      <c r="I19" s="1">
        <f>[1]Results!L1379</f>
        <v>8.1963635878423702E-8</v>
      </c>
      <c r="J19" s="1">
        <f>[1]Results!M1379</f>
        <v>-1.9455675944431428</v>
      </c>
      <c r="K19" s="1">
        <f>[1]Results!N1379</f>
        <v>-3.3716323275033933</v>
      </c>
      <c r="L19" s="1">
        <f>[1]Results!O1379</f>
        <v>-3.8852596202478717</v>
      </c>
      <c r="M19" s="1">
        <f>[1]Results!P1379</f>
        <v>-3.7931205754577091</v>
      </c>
      <c r="N19" s="1">
        <f>[1]Results!Q1379</f>
        <v>-2.7963832346012962</v>
      </c>
      <c r="O19" s="1">
        <f>[1]Results!R1379</f>
        <v>-1.6185996910003331</v>
      </c>
      <c r="P19" s="1">
        <f>[1]Results!S1379</f>
        <v>-0.63381316445982883</v>
      </c>
      <c r="Q19" s="1">
        <f>[1]Results!T1379</f>
        <v>8.6169206736230741E-2</v>
      </c>
      <c r="R19" s="1">
        <f>[1]Results!U1379</f>
        <v>0.58688346225945764</v>
      </c>
      <c r="S19" s="1">
        <f>[1]Results!V1379</f>
        <v>0.48572166638247705</v>
      </c>
      <c r="T19" s="1">
        <f>[1]Results!W1379</f>
        <v>0.1528069677595667</v>
      </c>
      <c r="U19" s="1">
        <f>[1]Results!X1379</f>
        <v>-0.17283540621025884</v>
      </c>
      <c r="V19" s="1">
        <f>[1]Results!Y1379</f>
        <v>-0.40610735436165113</v>
      </c>
      <c r="W19" s="1">
        <f>[1]Results!Z1379</f>
        <v>-0.54367597706735937</v>
      </c>
      <c r="X19" s="1">
        <f>[1]Results!AA1379</f>
        <v>-0.60565831047691976</v>
      </c>
      <c r="Y19" s="1">
        <f>[1]Results!AB1379</f>
        <v>-0.62064571041621219</v>
      </c>
      <c r="Z19" s="1">
        <f>[1]Results!AC1379</f>
        <v>-0.60213118345703309</v>
      </c>
      <c r="AA19" s="1">
        <f>[1]Results!AD1379</f>
        <v>-0.5587040127982501</v>
      </c>
      <c r="AB19" s="1">
        <f>[1]Results!AE1379</f>
        <v>-0.50689060596916802</v>
      </c>
      <c r="AC19" s="1">
        <f>[1]Results!AF1379</f>
        <v>-0.45570842160347347</v>
      </c>
      <c r="AD19" s="1">
        <f>[1]Results!AG1379</f>
        <v>-0.41761372956768961</v>
      </c>
      <c r="AE19" s="1">
        <f>[1]Results!AH1379</f>
        <v>-0.37293265998605829</v>
      </c>
      <c r="AF19" s="1">
        <f>[1]Results!AI1379</f>
        <v>-0.30443983046749556</v>
      </c>
      <c r="AG19" s="1">
        <f>[1]Results!AJ1379</f>
        <v>-0.2051571619638648</v>
      </c>
      <c r="AH19" s="1">
        <f>[1]Results!AK1379</f>
        <v>-7.6903003075434739E-2</v>
      </c>
      <c r="AI19" s="1">
        <f>[1]Results!AL1379</f>
        <v>8.1845326859153467E-2</v>
      </c>
      <c r="AJ19" s="1">
        <f>[1]Results!AM1379</f>
        <v>0.28721742355386493</v>
      </c>
      <c r="AK19" s="1">
        <f>[1]Results!AN1379</f>
        <v>0.5566125682102907</v>
      </c>
      <c r="AL19" s="1">
        <f>[1]Results!AO1379</f>
        <v>0.90121990697527021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2.0359447461260061E-8</v>
      </c>
      <c r="F21" s="1">
        <f>[1]Results!I1381</f>
        <v>0</v>
      </c>
      <c r="G21" s="1">
        <f>[1]Results!J1381</f>
        <v>1.9386559024781036E-8</v>
      </c>
      <c r="H21" s="1">
        <f>[1]Results!K1381</f>
        <v>1.8872303719774663E-8</v>
      </c>
      <c r="I21" s="1">
        <f>[1]Results!L1381</f>
        <v>1.8359536113621289E-8</v>
      </c>
      <c r="J21" s="1">
        <f>[1]Results!M1381</f>
        <v>-0.24639261326813156</v>
      </c>
      <c r="K21" s="1">
        <f>[1]Results!N1381</f>
        <v>-0.56039235069299531</v>
      </c>
      <c r="L21" s="1">
        <f>[1]Results!O1381</f>
        <v>-0.62450491734400426</v>
      </c>
      <c r="M21" s="1">
        <f>[1]Results!P1381</f>
        <v>-0.55487822657860342</v>
      </c>
      <c r="N21" s="1">
        <f>[1]Results!Q1381</f>
        <v>-0.41506051238668906</v>
      </c>
      <c r="O21" s="1">
        <f>[1]Results!R1381</f>
        <v>-0.25106858702049761</v>
      </c>
      <c r="P21" s="1">
        <f>[1]Results!S1381</f>
        <v>-7.2505532164079955E-2</v>
      </c>
      <c r="Q21" s="1">
        <f>[1]Results!T1381</f>
        <v>0.13372920631680163</v>
      </c>
      <c r="R21" s="1">
        <f>[1]Results!U1381</f>
        <v>0.37383321552391102</v>
      </c>
      <c r="S21" s="1">
        <f>[1]Results!V1381</f>
        <v>0.60742294394748875</v>
      </c>
      <c r="T21" s="1">
        <f>[1]Results!W1381</f>
        <v>0.83280594028463106</v>
      </c>
      <c r="U21" s="1">
        <f>[1]Results!X1381</f>
        <v>1.0573680425674858</v>
      </c>
      <c r="V21" s="1">
        <f>[1]Results!Y1381</f>
        <v>1.2911986336348935</v>
      </c>
      <c r="W21" s="1">
        <f>[1]Results!Z1381</f>
        <v>1.543795141960902</v>
      </c>
      <c r="X21" s="1">
        <f>[1]Results!AA1381</f>
        <v>1.8217861650045686</v>
      </c>
      <c r="Y21" s="1">
        <f>[1]Results!AB1381</f>
        <v>2.1304579647748678</v>
      </c>
      <c r="Z21" s="1">
        <f>[1]Results!AC1381</f>
        <v>2.4754885011046168</v>
      </c>
      <c r="AA21" s="1">
        <f>[1]Results!AD1381</f>
        <v>2.8623726340438527</v>
      </c>
      <c r="AB21" s="1">
        <f>[1]Results!AE1381</f>
        <v>3.2954473901510628</v>
      </c>
      <c r="AC21" s="1">
        <f>[1]Results!AF1381</f>
        <v>3.7781108619682424</v>
      </c>
      <c r="AD21" s="1">
        <f>[1]Results!AG1381</f>
        <v>4.3059914049258019</v>
      </c>
      <c r="AE21" s="1">
        <f>[1]Results!AH1381</f>
        <v>4.8805192133639652</v>
      </c>
      <c r="AF21" s="1">
        <f>[1]Results!AI1381</f>
        <v>5.5059792974982091</v>
      </c>
      <c r="AG21" s="1">
        <f>[1]Results!AJ1381</f>
        <v>6.1878493138212143</v>
      </c>
      <c r="AH21" s="1">
        <f>[1]Results!AK1381</f>
        <v>6.9308078589207289</v>
      </c>
      <c r="AI21" s="1">
        <f>[1]Results!AL1381</f>
        <v>7.7401623641370376</v>
      </c>
      <c r="AJ21" s="1">
        <f>[1]Results!AM1381</f>
        <v>8.625113385495542</v>
      </c>
      <c r="AK21" s="1">
        <f>[1]Results!AN1381</f>
        <v>9.5987157859937167</v>
      </c>
      <c r="AL21" s="1">
        <f>[1]Results!AO1381</f>
        <v>10.678234469208592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1.9980972432165345E-8</v>
      </c>
      <c r="F22" s="1">
        <f>[1]Results!I1382</f>
        <v>0</v>
      </c>
      <c r="G22" s="1">
        <f>[1]Results!J1382</f>
        <v>2.1113466530664482E-8</v>
      </c>
      <c r="H22" s="1">
        <f>[1]Results!K1382</f>
        <v>1.8484191954826201E-8</v>
      </c>
      <c r="I22" s="1">
        <f>[1]Results!L1382</f>
        <v>1.7967005661034818E-8</v>
      </c>
      <c r="J22" s="1">
        <f>[1]Results!M1382</f>
        <v>-0.2516847522370802</v>
      </c>
      <c r="K22" s="1">
        <f>[1]Results!N1382</f>
        <v>-0.57533594543396349</v>
      </c>
      <c r="L22" s="1">
        <f>[1]Results!O1382</f>
        <v>-0.63245495193502421</v>
      </c>
      <c r="M22" s="1">
        <f>[1]Results!P1382</f>
        <v>-0.54830606977742669</v>
      </c>
      <c r="N22" s="1">
        <f>[1]Results!Q1382</f>
        <v>-0.39424757325530191</v>
      </c>
      <c r="O22" s="1">
        <f>[1]Results!R1382</f>
        <v>-0.2185445257202101</v>
      </c>
      <c r="P22" s="1">
        <f>[1]Results!S1382</f>
        <v>-3.0327016857889522E-2</v>
      </c>
      <c r="Q22" s="1">
        <f>[1]Results!T1382</f>
        <v>0.18523438324291597</v>
      </c>
      <c r="R22" s="1">
        <f>[1]Results!U1382</f>
        <v>0.4352520868343035</v>
      </c>
      <c r="S22" s="1">
        <f>[1]Results!V1382</f>
        <v>0.67882882112177967</v>
      </c>
      <c r="T22" s="1">
        <f>[1]Results!W1382</f>
        <v>0.91401199175560333</v>
      </c>
      <c r="U22" s="1">
        <f>[1]Results!X1382</f>
        <v>1.1480792694539055</v>
      </c>
      <c r="V22" s="1">
        <f>[1]Results!Y1382</f>
        <v>1.3912498414238694</v>
      </c>
      <c r="W22" s="1">
        <f>[1]Results!Z1382</f>
        <v>1.6532517238399214</v>
      </c>
      <c r="X22" s="1">
        <f>[1]Results!AA1382</f>
        <v>1.9412008797442315</v>
      </c>
      <c r="Y22" s="1">
        <f>[1]Results!AB1382</f>
        <v>2.2607549799627202</v>
      </c>
      <c r="Z22" s="1">
        <f>[1]Results!AC1382</f>
        <v>2.617909634330462</v>
      </c>
      <c r="AA22" s="1">
        <f>[1]Results!AD1382</f>
        <v>3.018515712532599</v>
      </c>
      <c r="AB22" s="1">
        <f>[1]Results!AE1382</f>
        <v>3.4670875034731763</v>
      </c>
      <c r="AC22" s="1">
        <f>[1]Results!AF1382</f>
        <v>3.9681238378713957</v>
      </c>
      <c r="AD22" s="1">
        <f>[1]Results!AG1382</f>
        <v>4.5175895281598377</v>
      </c>
      <c r="AE22" s="1">
        <f>[1]Results!AH1382</f>
        <v>5.1170969112236175</v>
      </c>
      <c r="AF22" s="1">
        <f>[1]Results!AI1382</f>
        <v>5.7712110655105064</v>
      </c>
      <c r="AG22" s="1">
        <f>[1]Results!AJ1382</f>
        <v>6.4857914817820772</v>
      </c>
      <c r="AH22" s="1">
        <f>[1]Results!AK1382</f>
        <v>7.2660251601842196</v>
      </c>
      <c r="AI22" s="1">
        <f>[1]Results!AL1382</f>
        <v>8.1177894705041442</v>
      </c>
      <c r="AJ22" s="1">
        <f>[1]Results!AM1382</f>
        <v>9.0508466063328861</v>
      </c>
      <c r="AK22" s="1">
        <f>[1]Results!AN1382</f>
        <v>10.078963039413269</v>
      </c>
      <c r="AL22" s="1">
        <f>[1]Results!AO1382</f>
        <v>11.220372684251467</v>
      </c>
    </row>
    <row r="23" spans="1:38" x14ac:dyDescent="0.35">
      <c r="A23" s="3" t="str">
        <f>[1]Results!E1383</f>
        <v>100*(X_2/X_0-1)</v>
      </c>
      <c r="B23" t="s">
        <v>22</v>
      </c>
      <c r="C23" s="1">
        <f>[1]Results!F1383</f>
        <v>0</v>
      </c>
      <c r="D23" s="1">
        <f>[1]Results!G1383</f>
        <v>0</v>
      </c>
      <c r="E23" s="1">
        <f>[1]Results!H1383</f>
        <v>0</v>
      </c>
      <c r="F23" s="1">
        <f>[1]Results!I1383</f>
        <v>-1.4246626101055426E-8</v>
      </c>
      <c r="G23" s="1">
        <f>[1]Results!J1383</f>
        <v>-2.7557067738825936E-8</v>
      </c>
      <c r="H23" s="1">
        <f>[1]Results!K1383</f>
        <v>-4.0001391088395621E-8</v>
      </c>
      <c r="I23" s="1">
        <f>[1]Results!L1383</f>
        <v>-3.8735814555934667E-8</v>
      </c>
      <c r="J23" s="1">
        <f>[1]Results!M1383</f>
        <v>-0.98418253390650801</v>
      </c>
      <c r="K23" s="1">
        <f>[1]Results!N1383</f>
        <v>-1.835111025092262</v>
      </c>
      <c r="L23" s="1">
        <f>[1]Results!O1383</f>
        <v>-1.4496340283887355</v>
      </c>
      <c r="M23" s="1">
        <f>[1]Results!P1383</f>
        <v>-1.232985331392622</v>
      </c>
      <c r="N23" s="1">
        <f>[1]Results!Q1383</f>
        <v>-1.2573992312412186</v>
      </c>
      <c r="O23" s="1">
        <f>[1]Results!R1383</f>
        <v>-1.5261180277424513</v>
      </c>
      <c r="P23" s="1">
        <f>[1]Results!S1383</f>
        <v>-1.9052132388367005</v>
      </c>
      <c r="Q23" s="1">
        <f>[1]Results!T1383</f>
        <v>-2.2607274122804943</v>
      </c>
      <c r="R23" s="1">
        <f>[1]Results!U1383</f>
        <v>-2.5731454281153088</v>
      </c>
      <c r="S23" s="1">
        <f>[1]Results!V1383</f>
        <v>-2.9570479243253955</v>
      </c>
      <c r="T23" s="1">
        <f>[1]Results!W1383</f>
        <v>-3.346463018738155</v>
      </c>
      <c r="U23" s="1">
        <f>[1]Results!X1383</f>
        <v>-3.7340263078369573</v>
      </c>
      <c r="V23" s="1">
        <f>[1]Results!Y1383</f>
        <v>-4.1144465552469427</v>
      </c>
      <c r="W23" s="1">
        <f>[1]Results!Z1383</f>
        <v>-4.4822231579369038</v>
      </c>
      <c r="X23" s="1">
        <f>[1]Results!AA1383</f>
        <v>-4.8286433407448204</v>
      </c>
      <c r="Y23" s="1">
        <f>[1]Results!AB1383</f>
        <v>-5.1471700425634648</v>
      </c>
      <c r="Z23" s="1">
        <f>[1]Results!AC1383</f>
        <v>-5.4370828727639324</v>
      </c>
      <c r="AA23" s="1">
        <f>[1]Results!AD1383</f>
        <v>-5.6981350730363705</v>
      </c>
      <c r="AB23" s="1">
        <f>[1]Results!AE1383</f>
        <v>-5.9298506770167014</v>
      </c>
      <c r="AC23" s="1">
        <f>[1]Results!AF1383</f>
        <v>-6.1098229864365301</v>
      </c>
      <c r="AD23" s="1">
        <f>[1]Results!AG1383</f>
        <v>-6.2366136929149052</v>
      </c>
      <c r="AE23" s="1">
        <f>[1]Results!AH1383</f>
        <v>-6.3152400799293629</v>
      </c>
      <c r="AF23" s="1">
        <f>[1]Results!AI1383</f>
        <v>-6.3522028301386317</v>
      </c>
      <c r="AG23" s="1">
        <f>[1]Results!AJ1383</f>
        <v>-6.3532831230664444</v>
      </c>
      <c r="AH23" s="1">
        <f>[1]Results!AK1383</f>
        <v>-6.3189062380420431</v>
      </c>
      <c r="AI23" s="1">
        <f>[1]Results!AL1383</f>
        <v>-6.2483475762650009</v>
      </c>
      <c r="AJ23" s="1">
        <f>[1]Results!AM1383</f>
        <v>-6.1475957596187509</v>
      </c>
      <c r="AK23" s="1">
        <f>[1]Results!AN1383</f>
        <v>-6.0238828777119284</v>
      </c>
      <c r="AL23" s="1">
        <f>[1]Results!AO1383</f>
        <v>-5.8842749065420747</v>
      </c>
    </row>
    <row r="24" spans="1:38" x14ac:dyDescent="0.35">
      <c r="A24" s="3" t="str">
        <f>[1]Results!E1384</f>
        <v>100*(M_2/M_0-1)</v>
      </c>
      <c r="B24" t="s">
        <v>23</v>
      </c>
      <c r="C24" s="1">
        <f>[1]Results!F1384</f>
        <v>0</v>
      </c>
      <c r="D24" s="1">
        <f>[1]Results!G1384</f>
        <v>0</v>
      </c>
      <c r="E24" s="1">
        <f>[1]Results!H1384</f>
        <v>1.4631362788009028E-8</v>
      </c>
      <c r="F24" s="1">
        <f>[1]Results!I1384</f>
        <v>1.4261836156492791E-8</v>
      </c>
      <c r="G24" s="1">
        <f>[1]Results!J1384</f>
        <v>1.3879364324509424E-8</v>
      </c>
      <c r="H24" s="1">
        <f>[1]Results!K1384</f>
        <v>1.3493695050215138E-8</v>
      </c>
      <c r="I24" s="1">
        <f>[1]Results!L1384</f>
        <v>1.311981634444237E-8</v>
      </c>
      <c r="J24" s="1">
        <f>[1]Results!M1384</f>
        <v>-0.51796868810111141</v>
      </c>
      <c r="K24" s="1">
        <f>[1]Results!N1384</f>
        <v>-1.0263875926948107</v>
      </c>
      <c r="L24" s="1">
        <f>[1]Results!O1384</f>
        <v>-1.028406882027888</v>
      </c>
      <c r="M24" s="1">
        <f>[1]Results!P1384</f>
        <v>-0.88371504328941253</v>
      </c>
      <c r="N24" s="1">
        <f>[1]Results!Q1384</f>
        <v>-0.65612236417363912</v>
      </c>
      <c r="O24" s="1">
        <f>[1]Results!R1384</f>
        <v>-0.40880789072523793</v>
      </c>
      <c r="P24" s="1">
        <f>[1]Results!S1384</f>
        <v>-0.15586891792717106</v>
      </c>
      <c r="Q24" s="1">
        <f>[1]Results!T1384</f>
        <v>0.11801684390169154</v>
      </c>
      <c r="R24" s="1">
        <f>[1]Results!U1384</f>
        <v>0.40910219609264775</v>
      </c>
      <c r="S24" s="1">
        <f>[1]Results!V1384</f>
        <v>0.64517827636250136</v>
      </c>
      <c r="T24" s="1">
        <f>[1]Results!W1384</f>
        <v>0.83936043448400444</v>
      </c>
      <c r="U24" s="1">
        <f>[1]Results!X1384</f>
        <v>1.0077171550557651</v>
      </c>
      <c r="V24" s="1">
        <f>[1]Results!Y1384</f>
        <v>1.160104550513763</v>
      </c>
      <c r="W24" s="1">
        <f>[1]Results!Z1384</f>
        <v>1.3004941501583378</v>
      </c>
      <c r="X24" s="1">
        <f>[1]Results!AA1384</f>
        <v>1.4294118930433308</v>
      </c>
      <c r="Y24" s="1">
        <f>[1]Results!AB1384</f>
        <v>1.5467106991613466</v>
      </c>
      <c r="Z24" s="1">
        <f>[1]Results!AC1384</f>
        <v>1.6548350906873566</v>
      </c>
      <c r="AA24" s="1">
        <f>[1]Results!AD1384</f>
        <v>1.7565290652103549</v>
      </c>
      <c r="AB24" s="1">
        <f>[1]Results!AE1384</f>
        <v>1.8520203293463045</v>
      </c>
      <c r="AC24" s="1">
        <f>[1]Results!AF1384</f>
        <v>1.944680754031225</v>
      </c>
      <c r="AD24" s="1">
        <f>[1]Results!AG1384</f>
        <v>2.0298751341112142</v>
      </c>
      <c r="AE24" s="1">
        <f>[1]Results!AH1384</f>
        <v>2.1147120843078682</v>
      </c>
      <c r="AF24" s="1">
        <f>[1]Results!AI1384</f>
        <v>2.2078419225526336</v>
      </c>
      <c r="AG24" s="1">
        <f>[1]Results!AJ1384</f>
        <v>2.3167679954001263</v>
      </c>
      <c r="AH24" s="1">
        <f>[1]Results!AK1384</f>
        <v>2.4460674039080921</v>
      </c>
      <c r="AI24" s="1">
        <f>[1]Results!AL1384</f>
        <v>2.6006068964911977</v>
      </c>
      <c r="AJ24" s="1">
        <f>[1]Results!AM1384</f>
        <v>2.7893085819744368</v>
      </c>
      <c r="AK24" s="1">
        <f>[1]Results!AN1384</f>
        <v>3.0226845837031613</v>
      </c>
      <c r="AL24" s="1">
        <f>[1]Results!AO1384</f>
        <v>3.3125042707910612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7.9689410625860546E-8</v>
      </c>
      <c r="G25" s="1">
        <f>[1]Results!J1385</f>
        <v>7.7812778442876152E-8</v>
      </c>
      <c r="H25" s="1">
        <f>[1]Results!K1385</f>
        <v>-7.5893735740351076E-10</v>
      </c>
      <c r="I25" s="1">
        <f>[1]Results!L1385</f>
        <v>0</v>
      </c>
      <c r="J25" s="1">
        <f>[1]Results!M1385</f>
        <v>-4.1458515374281912E-2</v>
      </c>
      <c r="K25" s="1">
        <f>[1]Results!N1385</f>
        <v>-0.1205013149699119</v>
      </c>
      <c r="L25" s="1">
        <f>[1]Results!O1385</f>
        <v>-5.8182123888494974E-2</v>
      </c>
      <c r="M25" s="1">
        <f>[1]Results!P1385</f>
        <v>0.16201330556742111</v>
      </c>
      <c r="N25" s="1">
        <f>[1]Results!Q1385</f>
        <v>0.48822883184505006</v>
      </c>
      <c r="O25" s="1">
        <f>[1]Results!R1385</f>
        <v>0.89036333955008207</v>
      </c>
      <c r="P25" s="1">
        <f>[1]Results!S1385</f>
        <v>1.3123893633486317</v>
      </c>
      <c r="Q25" s="1">
        <f>[1]Results!T1385</f>
        <v>1.7214893497077943</v>
      </c>
      <c r="R25" s="1">
        <f>[1]Results!U1385</f>
        <v>2.1035297616609938</v>
      </c>
      <c r="S25" s="1">
        <f>[1]Results!V1385</f>
        <v>2.4399774540636354</v>
      </c>
      <c r="T25" s="1">
        <f>[1]Results!W1385</f>
        <v>2.7159894931633843</v>
      </c>
      <c r="U25" s="1">
        <f>[1]Results!X1385</f>
        <v>2.9436854815827918</v>
      </c>
      <c r="V25" s="1">
        <f>[1]Results!Y1385</f>
        <v>3.134070433748759</v>
      </c>
      <c r="W25" s="1">
        <f>[1]Results!Z1385</f>
        <v>3.2931864377833575</v>
      </c>
      <c r="X25" s="1">
        <f>[1]Results!AA1385</f>
        <v>3.4192346310464528</v>
      </c>
      <c r="Y25" s="1">
        <f>[1]Results!AB1385</f>
        <v>3.5122095033199185</v>
      </c>
      <c r="Z25" s="1">
        <f>[1]Results!AC1385</f>
        <v>3.576191885490787</v>
      </c>
      <c r="AA25" s="1">
        <f>[1]Results!AD1385</f>
        <v>3.6150432255095843</v>
      </c>
      <c r="AB25" s="1">
        <f>[1]Results!AE1385</f>
        <v>3.6319359664425122</v>
      </c>
      <c r="AC25" s="1">
        <f>[1]Results!AF1385</f>
        <v>3.61873138227784</v>
      </c>
      <c r="AD25" s="1">
        <f>[1]Results!AG1385</f>
        <v>3.5713960887247875</v>
      </c>
      <c r="AE25" s="1">
        <f>[1]Results!AH1385</f>
        <v>3.5002746339818369</v>
      </c>
      <c r="AF25" s="1">
        <f>[1]Results!AI1385</f>
        <v>3.4155740057970396</v>
      </c>
      <c r="AG25" s="1">
        <f>[1]Results!AJ1385</f>
        <v>3.3244350417942492</v>
      </c>
      <c r="AH25" s="1">
        <f>[1]Results!AK1385</f>
        <v>3.2283467592985504</v>
      </c>
      <c r="AI25" s="1">
        <f>[1]Results!AL1385</f>
        <v>3.1285034697531522</v>
      </c>
      <c r="AJ25" s="1">
        <f>[1]Results!AM1385</f>
        <v>3.0325335502947803</v>
      </c>
      <c r="AK25" s="1">
        <f>[1]Results!AN1385</f>
        <v>2.9487293461674335</v>
      </c>
      <c r="AL25" s="1">
        <f>[1]Results!AO1385</f>
        <v>2.8835297301763818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1.9621904101541077E-8</v>
      </c>
      <c r="F26" s="1">
        <f>[1]Results!I1386</f>
        <v>0</v>
      </c>
      <c r="G26" s="1">
        <f>[1]Results!J1386</f>
        <v>1.8689028102869543E-8</v>
      </c>
      <c r="H26" s="1">
        <f>[1]Results!K1386</f>
        <v>2.001498966563986E-8</v>
      </c>
      <c r="I26" s="1">
        <f>[1]Results!L1386</f>
        <v>1.7703638555133239E-8</v>
      </c>
      <c r="J26" s="1">
        <f>[1]Results!M1386</f>
        <v>-0.24337543722351418</v>
      </c>
      <c r="K26" s="1">
        <f>[1]Results!N1386</f>
        <v>-0.55778335558562819</v>
      </c>
      <c r="L26" s="1">
        <f>[1]Results!O1386</f>
        <v>-0.62750498982003799</v>
      </c>
      <c r="M26" s="1">
        <f>[1]Results!P1386</f>
        <v>-0.56229285678147667</v>
      </c>
      <c r="N26" s="1">
        <f>[1]Results!Q1386</f>
        <v>-0.4237481052197789</v>
      </c>
      <c r="O26" s="1">
        <f>[1]Results!R1386</f>
        <v>-0.25626084619493339</v>
      </c>
      <c r="P26" s="1">
        <f>[1]Results!S1386</f>
        <v>-7.1471826242663905E-2</v>
      </c>
      <c r="Q26" s="1">
        <f>[1]Results!T1386</f>
        <v>0.14120751833139877</v>
      </c>
      <c r="R26" s="1">
        <f>[1]Results!U1386</f>
        <v>0.38649520650628766</v>
      </c>
      <c r="S26" s="1">
        <f>[1]Results!V1386</f>
        <v>0.62380537729769259</v>
      </c>
      <c r="T26" s="1">
        <f>[1]Results!W1386</f>
        <v>0.85018518963064782</v>
      </c>
      <c r="U26" s="1">
        <f>[1]Results!X1386</f>
        <v>1.0733927384247499</v>
      </c>
      <c r="V26" s="1">
        <f>[1]Results!Y1386</f>
        <v>1.3041363866419076</v>
      </c>
      <c r="W26" s="1">
        <f>[1]Results!Z1386</f>
        <v>1.5523168659955289</v>
      </c>
      <c r="X26" s="1">
        <f>[1]Results!AA1386</f>
        <v>1.8245529533082117</v>
      </c>
      <c r="Y26" s="1">
        <f>[1]Results!AB1386</f>
        <v>2.1260355302554323</v>
      </c>
      <c r="Z26" s="1">
        <f>[1]Results!AC1386</f>
        <v>2.4623954175922558</v>
      </c>
      <c r="AA26" s="1">
        <f>[1]Results!AD1386</f>
        <v>2.8390577685179608</v>
      </c>
      <c r="AB26" s="1">
        <f>[1]Results!AE1386</f>
        <v>3.2602965127979111</v>
      </c>
      <c r="AC26" s="1">
        <f>[1]Results!AF1386</f>
        <v>3.7289338523044391</v>
      </c>
      <c r="AD26" s="1">
        <f>[1]Results!AG1386</f>
        <v>4.2403178712086431</v>
      </c>
      <c r="AE26" s="1">
        <f>[1]Results!AH1386</f>
        <v>4.7959866112825322</v>
      </c>
      <c r="AF26" s="1">
        <f>[1]Results!AI1386</f>
        <v>5.4003750525689398</v>
      </c>
      <c r="AG26" s="1">
        <f>[1]Results!AJ1386</f>
        <v>6.0590120314606422</v>
      </c>
      <c r="AH26" s="1">
        <f>[1]Results!AK1386</f>
        <v>6.7764263987608597</v>
      </c>
      <c r="AI26" s="1">
        <f>[1]Results!AL1386</f>
        <v>7.5576987803291917</v>
      </c>
      <c r="AJ26" s="1">
        <f>[1]Results!AM1386</f>
        <v>8.411925617543293</v>
      </c>
      <c r="AK26" s="1">
        <f>[1]Results!AN1386</f>
        <v>9.3520362140279811</v>
      </c>
      <c r="AL26" s="1">
        <f>[1]Results!AO1386</f>
        <v>10.395025765509146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5.0733572898309376E-8</v>
      </c>
      <c r="I27" s="1">
        <f>[1]Results!L1387</f>
        <v>0</v>
      </c>
      <c r="J27" s="1">
        <f>[1]Results!M1387</f>
        <v>-0.16154133119997693</v>
      </c>
      <c r="K27" s="1">
        <f>[1]Results!N1387</f>
        <v>-0.48663253153560238</v>
      </c>
      <c r="L27" s="1">
        <f>[1]Results!O1387</f>
        <v>-0.70980449813762281</v>
      </c>
      <c r="M27" s="1">
        <f>[1]Results!P1387</f>
        <v>-0.76684739843424499</v>
      </c>
      <c r="N27" s="1">
        <f>[1]Results!Q1387</f>
        <v>-0.66460043225093912</v>
      </c>
      <c r="O27" s="1">
        <f>[1]Results!R1387</f>
        <v>-0.4008357926381878</v>
      </c>
      <c r="P27" s="1">
        <f>[1]Results!S1387</f>
        <v>-4.2568622535332779E-2</v>
      </c>
      <c r="Q27" s="1">
        <f>[1]Results!T1387</f>
        <v>0.35123394691953802</v>
      </c>
      <c r="R27" s="1">
        <f>[1]Results!U1387</f>
        <v>0.74388603088517691</v>
      </c>
      <c r="S27" s="1">
        <f>[1]Results!V1387</f>
        <v>1.0887230499782685</v>
      </c>
      <c r="T27" s="1">
        <f>[1]Results!W1387</f>
        <v>1.3463707185472629</v>
      </c>
      <c r="U27" s="1">
        <f>[1]Results!X1387</f>
        <v>1.5340474260826298</v>
      </c>
      <c r="V27" s="1">
        <f>[1]Results!Y1387</f>
        <v>1.6789702193830136</v>
      </c>
      <c r="W27" s="1">
        <f>[1]Results!Z1387</f>
        <v>1.8014435691389163</v>
      </c>
      <c r="X27" s="1">
        <f>[1]Results!AA1387</f>
        <v>1.9062406400755183</v>
      </c>
      <c r="Y27" s="1">
        <f>[1]Results!AB1387</f>
        <v>1.9940660852707293</v>
      </c>
      <c r="Z27" s="1">
        <f>[1]Results!AC1387</f>
        <v>2.0672481709398172</v>
      </c>
      <c r="AA27" s="1">
        <f>[1]Results!AD1387</f>
        <v>2.1271139315607757</v>
      </c>
      <c r="AB27" s="1">
        <f>[1]Results!AE1387</f>
        <v>2.1734889947294889</v>
      </c>
      <c r="AC27" s="1">
        <f>[1]Results!AF1387</f>
        <v>2.1894084509578526</v>
      </c>
      <c r="AD27" s="1">
        <f>[1]Results!AG1387</f>
        <v>2.1589283179556329</v>
      </c>
      <c r="AE27" s="1">
        <f>[1]Results!AH1387</f>
        <v>2.0848097522126574</v>
      </c>
      <c r="AF27" s="1">
        <f>[1]Results!AI1387</f>
        <v>1.9751064777120186</v>
      </c>
      <c r="AG27" s="1">
        <f>[1]Results!AJ1387</f>
        <v>1.8368028770590961</v>
      </c>
      <c r="AH27" s="1">
        <f>[1]Results!AK1387</f>
        <v>1.6698513423928363</v>
      </c>
      <c r="AI27" s="1">
        <f>[1]Results!AL1387</f>
        <v>1.4722338596580009</v>
      </c>
      <c r="AJ27" s="1">
        <f>[1]Results!AM1387</f>
        <v>1.2498760422565258</v>
      </c>
      <c r="AK27" s="1">
        <f>[1]Results!AN1387</f>
        <v>1.0116479918977905</v>
      </c>
      <c r="AL27" s="1">
        <f>[1]Results!AO1387</f>
        <v>0.76533524908273254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2.4543589383085873E-8</v>
      </c>
      <c r="F28" s="1">
        <f>[1]Results!I1388</f>
        <v>0</v>
      </c>
      <c r="G28" s="1">
        <f>[1]Results!J1388</f>
        <v>0</v>
      </c>
      <c r="H28" s="1">
        <f>[1]Results!K1388</f>
        <v>2.3269519644486536E-8</v>
      </c>
      <c r="I28" s="1">
        <f>[1]Results!L1388</f>
        <v>2.2853186010252102E-8</v>
      </c>
      <c r="J28" s="1">
        <f>[1]Results!M1388</f>
        <v>-0.185147831434751</v>
      </c>
      <c r="K28" s="1">
        <f>[1]Results!N1388</f>
        <v>-0.38551037296248314</v>
      </c>
      <c r="L28" s="1">
        <f>[1]Results!O1388</f>
        <v>-0.53040310675692703</v>
      </c>
      <c r="M28" s="1">
        <f>[1]Results!P1388</f>
        <v>-0.63348804040647133</v>
      </c>
      <c r="N28" s="1">
        <f>[1]Results!Q1388</f>
        <v>-0.66632669559163471</v>
      </c>
      <c r="O28" s="1">
        <f>[1]Results!R1388</f>
        <v>-0.64670158815088863</v>
      </c>
      <c r="P28" s="1">
        <f>[1]Results!S1388</f>
        <v>-0.58862596595258276</v>
      </c>
      <c r="Q28" s="1">
        <f>[1]Results!T1388</f>
        <v>-0.49942795702724307</v>
      </c>
      <c r="R28" s="1">
        <f>[1]Results!U1388</f>
        <v>-0.38398061709863374</v>
      </c>
      <c r="S28" s="1">
        <f>[1]Results!V1388</f>
        <v>-0.27642424064463489</v>
      </c>
      <c r="T28" s="1">
        <f>[1]Results!W1388</f>
        <v>-0.17549341968713383</v>
      </c>
      <c r="U28" s="1">
        <f>[1]Results!X1388</f>
        <v>-7.2827174515455173E-2</v>
      </c>
      <c r="V28" s="1">
        <f>[1]Results!Y1388</f>
        <v>3.9654593171123409E-2</v>
      </c>
      <c r="W28" s="1">
        <f>[1]Results!Z1388</f>
        <v>0.16754909523506445</v>
      </c>
      <c r="X28" s="1">
        <f>[1]Results!AA1388</f>
        <v>0.31182986648403688</v>
      </c>
      <c r="Y28" s="1">
        <f>[1]Results!AB1388</f>
        <v>0.47213195990134516</v>
      </c>
      <c r="Z28" s="1">
        <f>[1]Results!AC1388</f>
        <v>0.64914948193595112</v>
      </c>
      <c r="AA28" s="1">
        <f>[1]Results!AD1388</f>
        <v>0.84283873745130133</v>
      </c>
      <c r="AB28" s="1">
        <f>[1]Results!AE1388</f>
        <v>1.051585525288945</v>
      </c>
      <c r="AC28" s="1">
        <f>[1]Results!AF1388</f>
        <v>1.2659079467947976</v>
      </c>
      <c r="AD28" s="1">
        <f>[1]Results!AG1388</f>
        <v>1.4745947485594213</v>
      </c>
      <c r="AE28" s="1">
        <f>[1]Results!AH1388</f>
        <v>1.6741606105182161</v>
      </c>
      <c r="AF28" s="1">
        <f>[1]Results!AI1388</f>
        <v>1.8628368255438232</v>
      </c>
      <c r="AG28" s="1">
        <f>[1]Results!AJ1388</f>
        <v>2.0388093895116643</v>
      </c>
      <c r="AH28" s="1">
        <f>[1]Results!AK1388</f>
        <v>2.1976795060949073</v>
      </c>
      <c r="AI28" s="1">
        <f>[1]Results!AL1388</f>
        <v>2.334654060932051</v>
      </c>
      <c r="AJ28" s="1">
        <f>[1]Results!AM1388</f>
        <v>2.4488620880568801</v>
      </c>
      <c r="AK28" s="1">
        <f>[1]Results!AN1388</f>
        <v>2.541146296634289</v>
      </c>
      <c r="AL28" s="1">
        <f>[1]Results!AO1388</f>
        <v>2.6128490839436802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0</v>
      </c>
      <c r="F29" s="1">
        <f>[1]Results!I1389</f>
        <v>1.3032166457094263E-7</v>
      </c>
      <c r="G29" s="1">
        <f>[1]Results!J1389</f>
        <v>6.2364602371189903E-8</v>
      </c>
      <c r="H29" s="1">
        <f>[1]Results!K1389</f>
        <v>1.1920417986033272E-7</v>
      </c>
      <c r="I29" s="1">
        <f>[1]Results!L1389</f>
        <v>1.1385556941689856E-7</v>
      </c>
      <c r="J29" s="1">
        <f>[1]Results!M1389</f>
        <v>0.83072291190611214</v>
      </c>
      <c r="K29" s="1">
        <f>[1]Results!N1389</f>
        <v>1.5116070395428949</v>
      </c>
      <c r="L29" s="1">
        <f>[1]Results!O1389</f>
        <v>2.5527117283479006</v>
      </c>
      <c r="M29" s="1">
        <f>[1]Results!P1389</f>
        <v>3.8888473556547343</v>
      </c>
      <c r="N29" s="1">
        <f>[1]Results!Q1389</f>
        <v>5.1493495059680594</v>
      </c>
      <c r="O29" s="1">
        <f>[1]Results!R1389</f>
        <v>6.4376033902841856</v>
      </c>
      <c r="P29" s="1">
        <f>[1]Results!S1389</f>
        <v>7.6865894431998649</v>
      </c>
      <c r="Q29" s="1">
        <f>[1]Results!T1389</f>
        <v>8.8710629798367524</v>
      </c>
      <c r="R29" s="1">
        <f>[1]Results!U1389</f>
        <v>9.9751930843954728</v>
      </c>
      <c r="S29" s="1">
        <f>[1]Results!V1389</f>
        <v>11.115496277417215</v>
      </c>
      <c r="T29" s="1">
        <f>[1]Results!W1389</f>
        <v>12.189727364254965</v>
      </c>
      <c r="U29" s="1">
        <f>[1]Results!X1389</f>
        <v>13.191841548548823</v>
      </c>
      <c r="V29" s="1">
        <f>[1]Results!Y1389</f>
        <v>14.107984371429483</v>
      </c>
      <c r="W29" s="1">
        <f>[1]Results!Z1389</f>
        <v>14.923941024270926</v>
      </c>
      <c r="X29" s="1">
        <f>[1]Results!AA1389</f>
        <v>15.625108240043883</v>
      </c>
      <c r="Y29" s="1">
        <f>[1]Results!AB1389</f>
        <v>16.205150271591727</v>
      </c>
      <c r="Z29" s="1">
        <f>[1]Results!AC1389</f>
        <v>16.657501839266196</v>
      </c>
      <c r="AA29" s="1">
        <f>[1]Results!AD1389</f>
        <v>16.976756465801369</v>
      </c>
      <c r="AB29" s="1">
        <f>[1]Results!AE1389</f>
        <v>17.161575356641535</v>
      </c>
      <c r="AC29" s="1">
        <f>[1]Results!AF1389</f>
        <v>17.216634410107211</v>
      </c>
      <c r="AD29" s="1">
        <f>[1]Results!AG1389</f>
        <v>17.161465987724323</v>
      </c>
      <c r="AE29" s="1">
        <f>[1]Results!AH1389</f>
        <v>17.012809039592725</v>
      </c>
      <c r="AF29" s="1">
        <f>[1]Results!AI1389</f>
        <v>16.78528773457888</v>
      </c>
      <c r="AG29" s="1">
        <f>[1]Results!AJ1389</f>
        <v>16.492727822761388</v>
      </c>
      <c r="AH29" s="1">
        <f>[1]Results!AK1389</f>
        <v>16.152268027587713</v>
      </c>
      <c r="AI29" s="1">
        <f>[1]Results!AL1389</f>
        <v>15.785107724647274</v>
      </c>
      <c r="AJ29" s="1">
        <f>[1]Results!AM1389</f>
        <v>15.411619606282944</v>
      </c>
      <c r="AK29" s="1">
        <f>[1]Results!AN1389</f>
        <v>15.04944804022208</v>
      </c>
      <c r="AL29" s="1">
        <f>[1]Results!AO1389</f>
        <v>14.713437954388308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-9.7895647144241593E-8</v>
      </c>
      <c r="E30" s="1">
        <f>[1]Results!H1390</f>
        <v>0</v>
      </c>
      <c r="F30" s="1">
        <f>[1]Results!I1390</f>
        <v>3.6357405974740686E-8</v>
      </c>
      <c r="G30" s="1">
        <f>[1]Results!J1390</f>
        <v>-2.9717273086760088E-8</v>
      </c>
      <c r="H30" s="1">
        <f>[1]Results!K1390</f>
        <v>2.900968354424549E-8</v>
      </c>
      <c r="I30" s="1">
        <f>[1]Results!L1390</f>
        <v>2.5634361300319597E-8</v>
      </c>
      <c r="J30" s="1">
        <f>[1]Results!M1390</f>
        <v>-6.48384818304093E-2</v>
      </c>
      <c r="K30" s="1">
        <f>[1]Results!N1390</f>
        <v>-0.16417144233222825</v>
      </c>
      <c r="L30" s="1">
        <f>[1]Results!O1390</f>
        <v>-3.1160888964576472E-2</v>
      </c>
      <c r="M30" s="1">
        <f>[1]Results!P1390</f>
        <v>0.25752332766302288</v>
      </c>
      <c r="N30" s="1">
        <f>[1]Results!Q1390</f>
        <v>0.62315052685433248</v>
      </c>
      <c r="O30" s="1">
        <f>[1]Results!R1390</f>
        <v>1.0553355480054538</v>
      </c>
      <c r="P30" s="1">
        <f>[1]Results!S1390</f>
        <v>1.4870971571731895</v>
      </c>
      <c r="Q30" s="1">
        <f>[1]Results!T1390</f>
        <v>1.9007950068417934</v>
      </c>
      <c r="R30" s="1">
        <f>[1]Results!U1390</f>
        <v>2.2915671661110304</v>
      </c>
      <c r="S30" s="1">
        <f>[1]Results!V1390</f>
        <v>2.6389619745394128</v>
      </c>
      <c r="T30" s="1">
        <f>[1]Results!W1390</f>
        <v>2.9247896235062409</v>
      </c>
      <c r="U30" s="1">
        <f>[1]Results!X1390</f>
        <v>3.1746459707342698</v>
      </c>
      <c r="V30" s="1">
        <f>[1]Results!Y1390</f>
        <v>3.3954809241036212</v>
      </c>
      <c r="W30" s="1">
        <f>[1]Results!Z1390</f>
        <v>3.5877124446880515</v>
      </c>
      <c r="X30" s="1">
        <f>[1]Results!AA1390</f>
        <v>3.7425687682309139</v>
      </c>
      <c r="Y30" s="1">
        <f>[1]Results!AB1390</f>
        <v>3.8599334046624616</v>
      </c>
      <c r="Z30" s="1">
        <f>[1]Results!AC1390</f>
        <v>3.9451030888896881</v>
      </c>
      <c r="AA30" s="1">
        <f>[1]Results!AD1390</f>
        <v>4.0008678279127583</v>
      </c>
      <c r="AB30" s="1">
        <f>[1]Results!AE1390</f>
        <v>4.0296440382726626</v>
      </c>
      <c r="AC30" s="1">
        <f>[1]Results!AF1390</f>
        <v>4.0160167411656058</v>
      </c>
      <c r="AD30" s="1">
        <f>[1]Results!AG1390</f>
        <v>3.959467094710245</v>
      </c>
      <c r="AE30" s="1">
        <f>[1]Results!AH1390</f>
        <v>3.8794201840957498</v>
      </c>
      <c r="AF30" s="1">
        <f>[1]Results!AI1390</f>
        <v>3.7861242341819423</v>
      </c>
      <c r="AG30" s="1">
        <f>[1]Results!AJ1390</f>
        <v>3.6854401812504314</v>
      </c>
      <c r="AH30" s="1">
        <f>[1]Results!AK1390</f>
        <v>3.5763853561886716</v>
      </c>
      <c r="AI30" s="1">
        <f>[1]Results!AL1390</f>
        <v>3.4611795140428114</v>
      </c>
      <c r="AJ30" s="1">
        <f>[1]Results!AM1390</f>
        <v>3.3522743864125886</v>
      </c>
      <c r="AK30" s="1">
        <f>[1]Results!AN1390</f>
        <v>3.2588884213793126</v>
      </c>
      <c r="AL30" s="1">
        <f>[1]Results!AO1390</f>
        <v>3.1868644887308886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0</v>
      </c>
      <c r="E31" s="1">
        <f>[1]Results!H1391</f>
        <v>-3.6044101037191467E-8</v>
      </c>
      <c r="F31" s="1">
        <f>[1]Results!I1391</f>
        <v>9.464939942915862E-8</v>
      </c>
      <c r="G31" s="1">
        <f>[1]Results!J1391</f>
        <v>6.2364602371189903E-8</v>
      </c>
      <c r="H31" s="1">
        <f>[1]Results!K1391</f>
        <v>1.1920417986033272E-7</v>
      </c>
      <c r="I31" s="1">
        <f>[1]Results!L1391</f>
        <v>7.9513173822931549E-8</v>
      </c>
      <c r="J31" s="1">
        <f>[1]Results!M1391</f>
        <v>0.90527539784126532</v>
      </c>
      <c r="K31" s="1">
        <f>[1]Results!N1391</f>
        <v>1.7095039038884319</v>
      </c>
      <c r="L31" s="1">
        <f>[1]Results!O1391</f>
        <v>2.7052427246681443</v>
      </c>
      <c r="M31" s="1">
        <f>[1]Results!P1391</f>
        <v>3.8819726453926284</v>
      </c>
      <c r="N31" s="1">
        <f>[1]Results!Q1391</f>
        <v>4.957386345824677</v>
      </c>
      <c r="O31" s="1">
        <f>[1]Results!R1391</f>
        <v>6.0868389505477349</v>
      </c>
      <c r="P31" s="1">
        <f>[1]Results!S1391</f>
        <v>7.2174128296443429</v>
      </c>
      <c r="Q31" s="1">
        <f>[1]Results!T1391</f>
        <v>8.3128056562799646</v>
      </c>
      <c r="R31" s="1">
        <f>[1]Results!U1391</f>
        <v>9.3461883869745179</v>
      </c>
      <c r="S31" s="1">
        <f>[1]Results!V1391</f>
        <v>10.435111861908066</v>
      </c>
      <c r="T31" s="1">
        <f>[1]Results!W1391</f>
        <v>11.478385948834813</v>
      </c>
      <c r="U31" s="1">
        <f>[1]Results!X1391</f>
        <v>12.469883936583948</v>
      </c>
      <c r="V31" s="1">
        <f>[1]Results!Y1391</f>
        <v>13.393147427489982</v>
      </c>
      <c r="W31" s="1">
        <f>[1]Results!Z1391</f>
        <v>14.229758462325904</v>
      </c>
      <c r="X31" s="1">
        <f>[1]Results!AA1391</f>
        <v>14.960207203414665</v>
      </c>
      <c r="Y31" s="1">
        <f>[1]Results!AB1391</f>
        <v>15.572865594677342</v>
      </c>
      <c r="Z31" s="1">
        <f>[1]Results!AC1391</f>
        <v>16.056053578879823</v>
      </c>
      <c r="AA31" s="1">
        <f>[1]Results!AD1391</f>
        <v>16.399329955361374</v>
      </c>
      <c r="AB31" s="1">
        <f>[1]Results!AE1391</f>
        <v>16.596868697049327</v>
      </c>
      <c r="AC31" s="1">
        <f>[1]Results!AF1391</f>
        <v>16.647384408112796</v>
      </c>
      <c r="AD31" s="1">
        <f>[1]Results!AG1391</f>
        <v>16.564748082996552</v>
      </c>
      <c r="AE31" s="1">
        <f>[1]Results!AH1391</f>
        <v>16.360456966562609</v>
      </c>
      <c r="AF31" s="1">
        <f>[1]Results!AI1391</f>
        <v>16.043864112511553</v>
      </c>
      <c r="AG31" s="1">
        <f>[1]Results!AJ1391</f>
        <v>15.623791173996571</v>
      </c>
      <c r="AH31" s="1">
        <f>[1]Results!AK1391</f>
        <v>15.112595053055312</v>
      </c>
      <c r="AI31" s="1">
        <f>[1]Results!AL1391</f>
        <v>14.526678656851356</v>
      </c>
      <c r="AJ31" s="1">
        <f>[1]Results!AM1391</f>
        <v>13.881673811915695</v>
      </c>
      <c r="AK31" s="1">
        <f>[1]Results!AN1391</f>
        <v>13.190029422176419</v>
      </c>
      <c r="AL31" s="1">
        <f>[1]Results!AO1391</f>
        <v>12.460390496702422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-9.7895647144241593E-8</v>
      </c>
      <c r="E32" s="1">
        <f>[1]Results!H1392</f>
        <v>-3.6044101037191467E-8</v>
      </c>
      <c r="F32" s="1">
        <f>[1]Results!I1392</f>
        <v>6.851408329566766E-10</v>
      </c>
      <c r="G32" s="1">
        <f>[1]Results!J1392</f>
        <v>-2.9717273086760088E-8</v>
      </c>
      <c r="H32" s="1">
        <f>[1]Results!K1392</f>
        <v>2.900968354424549E-8</v>
      </c>
      <c r="I32" s="1">
        <f>[1]Results!L1392</f>
        <v>-8.7080342936474153E-9</v>
      </c>
      <c r="J32" s="1">
        <f>[1]Results!M1392</f>
        <v>9.7140041047438785E-3</v>
      </c>
      <c r="K32" s="1">
        <f>[1]Results!N1392</f>
        <v>3.3725422013308748E-2</v>
      </c>
      <c r="L32" s="1">
        <f>[1]Results!O1392</f>
        <v>0.12137010735566722</v>
      </c>
      <c r="M32" s="1">
        <f>[1]Results!P1392</f>
        <v>0.25064861740091704</v>
      </c>
      <c r="N32" s="1">
        <f>[1]Results!Q1392</f>
        <v>0.43118736671095004</v>
      </c>
      <c r="O32" s="1">
        <f>[1]Results!R1392</f>
        <v>0.70457110826900315</v>
      </c>
      <c r="P32" s="1">
        <f>[1]Results!S1392</f>
        <v>1.0179205436176675</v>
      </c>
      <c r="Q32" s="1">
        <f>[1]Results!T1392</f>
        <v>1.3425376832850056</v>
      </c>
      <c r="R32" s="1">
        <f>[1]Results!U1392</f>
        <v>1.6625624686900755</v>
      </c>
      <c r="S32" s="1">
        <f>[1]Results!V1392</f>
        <v>1.9585775590302639</v>
      </c>
      <c r="T32" s="1">
        <f>[1]Results!W1392</f>
        <v>2.2134482080860884</v>
      </c>
      <c r="U32" s="1">
        <f>[1]Results!X1392</f>
        <v>2.4526883587693948</v>
      </c>
      <c r="V32" s="1">
        <f>[1]Results!Y1392</f>
        <v>2.6806439801641204</v>
      </c>
      <c r="W32" s="1">
        <f>[1]Results!Z1392</f>
        <v>2.8935298827430298</v>
      </c>
      <c r="X32" s="1">
        <f>[1]Results!AA1392</f>
        <v>3.0776677316016965</v>
      </c>
      <c r="Y32" s="1">
        <f>[1]Results!AB1392</f>
        <v>3.2276487277480772</v>
      </c>
      <c r="Z32" s="1">
        <f>[1]Results!AC1392</f>
        <v>3.3436548285033147</v>
      </c>
      <c r="AA32" s="1">
        <f>[1]Results!AD1392</f>
        <v>3.4234413174727631</v>
      </c>
      <c r="AB32" s="1">
        <f>[1]Results!AE1392</f>
        <v>3.4649373786804549</v>
      </c>
      <c r="AC32" s="1">
        <f>[1]Results!AF1392</f>
        <v>3.4467667391711903</v>
      </c>
      <c r="AD32" s="1">
        <f>[1]Results!AG1392</f>
        <v>3.3627491899824733</v>
      </c>
      <c r="AE32" s="1">
        <f>[1]Results!AH1392</f>
        <v>3.2270681110656341</v>
      </c>
      <c r="AF32" s="1">
        <f>[1]Results!AI1392</f>
        <v>3.0447006121146156</v>
      </c>
      <c r="AG32" s="1">
        <f>[1]Results!AJ1392</f>
        <v>2.8165035324856138</v>
      </c>
      <c r="AH32" s="1">
        <f>[1]Results!AK1392</f>
        <v>2.5367123816562707</v>
      </c>
      <c r="AI32" s="1">
        <f>[1]Results!AL1392</f>
        <v>2.2027504462468936</v>
      </c>
      <c r="AJ32" s="1">
        <f>[1]Results!AM1392</f>
        <v>1.8223285920453396</v>
      </c>
      <c r="AK32" s="1">
        <f>[1]Results!AN1392</f>
        <v>1.3994698033336519</v>
      </c>
      <c r="AL32" s="1">
        <f>[1]Results!AO1392</f>
        <v>0.93381703104500247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-9.7895647144241593E-8</v>
      </c>
      <c r="E34" s="1">
        <f>[1]Results!H1394</f>
        <v>0</v>
      </c>
      <c r="F34" s="1">
        <f>[1]Results!I1394</f>
        <v>3.6357405974740686E-8</v>
      </c>
      <c r="G34" s="1">
        <f>[1]Results!J1394</f>
        <v>-2.9717273086760088E-8</v>
      </c>
      <c r="H34" s="1">
        <f>[1]Results!K1394</f>
        <v>2.900968354424549E-8</v>
      </c>
      <c r="I34" s="1">
        <f>[1]Results!L1394</f>
        <v>2.5634361300319597E-8</v>
      </c>
      <c r="J34" s="1">
        <f>[1]Results!M1394</f>
        <v>-6.48384818304093E-2</v>
      </c>
      <c r="K34" s="1">
        <f>[1]Results!N1394</f>
        <v>-0.16417144233222825</v>
      </c>
      <c r="L34" s="1">
        <f>[1]Results!O1394</f>
        <v>-3.1160888964576472E-2</v>
      </c>
      <c r="M34" s="1">
        <f>[1]Results!P1394</f>
        <v>0.25752332766302288</v>
      </c>
      <c r="N34" s="1">
        <f>[1]Results!Q1394</f>
        <v>0.62315052685433248</v>
      </c>
      <c r="O34" s="1">
        <f>[1]Results!R1394</f>
        <v>1.0553355480054538</v>
      </c>
      <c r="P34" s="1">
        <f>[1]Results!S1394</f>
        <v>1.4870971571731895</v>
      </c>
      <c r="Q34" s="1">
        <f>[1]Results!T1394</f>
        <v>1.9007950068417934</v>
      </c>
      <c r="R34" s="1">
        <f>[1]Results!U1394</f>
        <v>2.2915671661110304</v>
      </c>
      <c r="S34" s="1">
        <f>[1]Results!V1394</f>
        <v>2.6389619745394128</v>
      </c>
      <c r="T34" s="1">
        <f>[1]Results!W1394</f>
        <v>2.9247896235062409</v>
      </c>
      <c r="U34" s="1">
        <f>[1]Results!X1394</f>
        <v>3.1746459707342698</v>
      </c>
      <c r="V34" s="1">
        <f>[1]Results!Y1394</f>
        <v>3.3954809241036212</v>
      </c>
      <c r="W34" s="1">
        <f>[1]Results!Z1394</f>
        <v>3.5877124446880515</v>
      </c>
      <c r="X34" s="1">
        <f>[1]Results!AA1394</f>
        <v>3.7425687682309139</v>
      </c>
      <c r="Y34" s="1">
        <f>[1]Results!AB1394</f>
        <v>3.8599334046624616</v>
      </c>
      <c r="Z34" s="1">
        <f>[1]Results!AC1394</f>
        <v>3.9451030888896881</v>
      </c>
      <c r="AA34" s="1">
        <f>[1]Results!AD1394</f>
        <v>4.0008678279127583</v>
      </c>
      <c r="AB34" s="1">
        <f>[1]Results!AE1394</f>
        <v>4.0296440382726626</v>
      </c>
      <c r="AC34" s="1">
        <f>[1]Results!AF1394</f>
        <v>4.0160167411656058</v>
      </c>
      <c r="AD34" s="1">
        <f>[1]Results!AG1394</f>
        <v>3.959467094710245</v>
      </c>
      <c r="AE34" s="1">
        <f>[1]Results!AH1394</f>
        <v>3.8794201840957498</v>
      </c>
      <c r="AF34" s="1">
        <f>[1]Results!AI1394</f>
        <v>3.7861242341819423</v>
      </c>
      <c r="AG34" s="1">
        <f>[1]Results!AJ1394</f>
        <v>3.6854401812504314</v>
      </c>
      <c r="AH34" s="1">
        <f>[1]Results!AK1394</f>
        <v>3.5763853561886716</v>
      </c>
      <c r="AI34" s="1">
        <f>[1]Results!AL1394</f>
        <v>3.4611795140428114</v>
      </c>
      <c r="AJ34" s="1">
        <f>[1]Results!AM1394</f>
        <v>3.3522743864125886</v>
      </c>
      <c r="AK34" s="1">
        <f>[1]Results!AN1394</f>
        <v>3.2588884213793126</v>
      </c>
      <c r="AL34" s="1">
        <f>[1]Results!AO1394</f>
        <v>3.1868644887308886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9.9932395691837428E-8</v>
      </c>
      <c r="D35" s="1">
        <f>[1]Results!G1395</f>
        <v>0</v>
      </c>
      <c r="E35" s="1">
        <f>[1]Results!H1395</f>
        <v>9.5977226166610308E-8</v>
      </c>
      <c r="F35" s="1">
        <f>[1]Results!I1395</f>
        <v>9.3908725240510194E-8</v>
      </c>
      <c r="G35" s="1">
        <f>[1]Results!J1395</f>
        <v>0</v>
      </c>
      <c r="H35" s="1">
        <f>[1]Results!K1395</f>
        <v>0</v>
      </c>
      <c r="I35" s="1">
        <f>[1]Results!L1395</f>
        <v>8.7671603310468527E-8</v>
      </c>
      <c r="J35" s="1">
        <f>[1]Results!M1395</f>
        <v>0.47076731663984184</v>
      </c>
      <c r="K35" s="1">
        <f>[1]Results!N1395</f>
        <v>1.0665887011236164</v>
      </c>
      <c r="L35" s="1">
        <f>[1]Results!O1395</f>
        <v>1.8365998540600614</v>
      </c>
      <c r="M35" s="1">
        <f>[1]Results!P1395</f>
        <v>2.7909162974595336</v>
      </c>
      <c r="N35" s="1">
        <f>[1]Results!Q1395</f>
        <v>3.7562095807747387</v>
      </c>
      <c r="O35" s="1">
        <f>[1]Results!R1395</f>
        <v>4.7066117838039823</v>
      </c>
      <c r="P35" s="1">
        <f>[1]Results!S1395</f>
        <v>5.6274976937038756</v>
      </c>
      <c r="Q35" s="1">
        <f>[1]Results!T1395</f>
        <v>6.5079454522096958</v>
      </c>
      <c r="R35" s="1">
        <f>[1]Results!U1395</f>
        <v>7.3359784312570397</v>
      </c>
      <c r="S35" s="1">
        <f>[1]Results!V1395</f>
        <v>8.1862479698671322</v>
      </c>
      <c r="T35" s="1">
        <f>[1]Results!W1395</f>
        <v>9.0384903278221138</v>
      </c>
      <c r="U35" s="1">
        <f>[1]Results!X1395</f>
        <v>9.8654177458102907</v>
      </c>
      <c r="V35" s="1">
        <f>[1]Results!Y1395</f>
        <v>10.644363393939592</v>
      </c>
      <c r="W35" s="1">
        <f>[1]Results!Z1395</f>
        <v>11.358321414719107</v>
      </c>
      <c r="X35" s="1">
        <f>[1]Results!AA1395</f>
        <v>11.997889091803348</v>
      </c>
      <c r="Y35" s="1">
        <f>[1]Results!AB1395</f>
        <v>12.556492595294767</v>
      </c>
      <c r="Z35" s="1">
        <f>[1]Results!AC1395</f>
        <v>13.024466827007132</v>
      </c>
      <c r="AA35" s="1">
        <f>[1]Results!AD1395</f>
        <v>13.393553052018902</v>
      </c>
      <c r="AB35" s="1">
        <f>[1]Results!AE1395</f>
        <v>13.659123392646077</v>
      </c>
      <c r="AC35" s="1">
        <f>[1]Results!AF1395</f>
        <v>13.834044861398631</v>
      </c>
      <c r="AD35" s="1">
        <f>[1]Results!AG1395</f>
        <v>13.938097625851009</v>
      </c>
      <c r="AE35" s="1">
        <f>[1]Results!AH1395</f>
        <v>13.977006225040389</v>
      </c>
      <c r="AF35" s="1">
        <f>[1]Results!AI1395</f>
        <v>13.956619525169312</v>
      </c>
      <c r="AG35" s="1">
        <f>[1]Results!AJ1395</f>
        <v>13.885078043332499</v>
      </c>
      <c r="AH35" s="1">
        <f>[1]Results!AK1395</f>
        <v>13.778104122648305</v>
      </c>
      <c r="AI35" s="1">
        <f>[1]Results!AL1395</f>
        <v>13.654413429200506</v>
      </c>
      <c r="AJ35" s="1">
        <f>[1]Results!AM1395</f>
        <v>13.525972875548597</v>
      </c>
      <c r="AK35" s="1">
        <f>[1]Results!AN1395</f>
        <v>13.402996923296296</v>
      </c>
      <c r="AL35" s="1">
        <f>[1]Results!AO1395</f>
        <v>13.295996329626924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9.6026142593075292E-8</v>
      </c>
      <c r="F36" s="1">
        <f>[1]Results!I1396</f>
        <v>9.4013308249429883E-8</v>
      </c>
      <c r="G36" s="1">
        <f>[1]Results!J1396</f>
        <v>0</v>
      </c>
      <c r="H36" s="1">
        <f>[1]Results!K1396</f>
        <v>0</v>
      </c>
      <c r="I36" s="1">
        <f>[1]Results!L1396</f>
        <v>8.8102503070786042E-8</v>
      </c>
      <c r="J36" s="1">
        <f>[1]Results!M1396</f>
        <v>0.61089838153443043</v>
      </c>
      <c r="K36" s="1">
        <f>[1]Results!N1396</f>
        <v>1.3525607998042144</v>
      </c>
      <c r="L36" s="1">
        <f>[1]Results!O1396</f>
        <v>2.2764681319071389</v>
      </c>
      <c r="M36" s="1">
        <f>[1]Results!P1396</f>
        <v>3.3742756999002754</v>
      </c>
      <c r="N36" s="1">
        <f>[1]Results!Q1396</f>
        <v>4.4084058831706407</v>
      </c>
      <c r="O36" s="1">
        <f>[1]Results!R1396</f>
        <v>5.3462021867975107</v>
      </c>
      <c r="P36" s="1">
        <f>[1]Results!S1396</f>
        <v>6.1953559084611864</v>
      </c>
      <c r="Q36" s="1">
        <f>[1]Results!T1396</f>
        <v>6.9638666327745069</v>
      </c>
      <c r="R36" s="1">
        <f>[1]Results!U1396</f>
        <v>7.6545747875648162</v>
      </c>
      <c r="S36" s="1">
        <f>[1]Results!V1396</f>
        <v>8.379618473915972</v>
      </c>
      <c r="T36" s="1">
        <f>[1]Results!W1396</f>
        <v>9.1254378663438995</v>
      </c>
      <c r="U36" s="1">
        <f>[1]Results!X1396</f>
        <v>9.8563460706604822</v>
      </c>
      <c r="V36" s="1">
        <f>[1]Results!Y1396</f>
        <v>10.545473363713187</v>
      </c>
      <c r="W36" s="1">
        <f>[1]Results!Z1396</f>
        <v>11.173426579993029</v>
      </c>
      <c r="X36" s="1">
        <f>[1]Results!AA1396</f>
        <v>11.732751404209774</v>
      </c>
      <c r="Y36" s="1">
        <f>[1]Results!AB1396</f>
        <v>12.217036900917755</v>
      </c>
      <c r="Z36" s="1">
        <f>[1]Results!AC1396</f>
        <v>12.613302868381338</v>
      </c>
      <c r="AA36" s="1">
        <f>[1]Results!AD1396</f>
        <v>12.911598278834635</v>
      </c>
      <c r="AB36" s="1">
        <f>[1]Results!AE1396</f>
        <v>13.106317804899415</v>
      </c>
      <c r="AC36" s="1">
        <f>[1]Results!AF1396</f>
        <v>13.22049997753596</v>
      </c>
      <c r="AD36" s="1">
        <f>[1]Results!AG1396</f>
        <v>13.279827401219912</v>
      </c>
      <c r="AE36" s="1">
        <f>[1]Results!AH1396</f>
        <v>13.282065794127362</v>
      </c>
      <c r="AF36" s="1">
        <f>[1]Results!AI1396</f>
        <v>13.228622511392496</v>
      </c>
      <c r="AG36" s="1">
        <f>[1]Results!AJ1396</f>
        <v>13.124218286769395</v>
      </c>
      <c r="AH36" s="1">
        <f>[1]Results!AK1396</f>
        <v>12.985500225812551</v>
      </c>
      <c r="AI36" s="1">
        <f>[1]Results!AL1396</f>
        <v>12.831457333009123</v>
      </c>
      <c r="AJ36" s="1">
        <f>[1]Results!AM1396</f>
        <v>12.668568389510583</v>
      </c>
      <c r="AK36" s="1">
        <f>[1]Results!AN1396</f>
        <v>12.502397793965159</v>
      </c>
      <c r="AL36" s="1">
        <f>[1]Results!AO1396</f>
        <v>12.338949179801162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0.58289208955235594</v>
      </c>
      <c r="K37" s="1">
        <f>[1]Results!N1397</f>
        <v>1.1515058908091458</v>
      </c>
      <c r="L37" s="1">
        <f>[1]Results!O1397</f>
        <v>1.7824486394387495</v>
      </c>
      <c r="M37" s="1">
        <f>[1]Results!P1397</f>
        <v>2.4660106074775312</v>
      </c>
      <c r="N37" s="1">
        <f>[1]Results!Q1397</f>
        <v>2.9946090492825927</v>
      </c>
      <c r="O37" s="1">
        <f>[1]Results!R1397</f>
        <v>3.2842467678833254</v>
      </c>
      <c r="P37" s="1">
        <f>[1]Results!S1397</f>
        <v>3.4354687081195268</v>
      </c>
      <c r="Q37" s="1">
        <f>[1]Results!T1397</f>
        <v>3.4907700642626383</v>
      </c>
      <c r="R37" s="1">
        <f>[1]Results!U1397</f>
        <v>3.4707023145346794</v>
      </c>
      <c r="S37" s="1">
        <f>[1]Results!V1397</f>
        <v>3.5171604427378433</v>
      </c>
      <c r="T37" s="1">
        <f>[1]Results!W1397</f>
        <v>3.6237500921996402</v>
      </c>
      <c r="U37" s="1">
        <f>[1]Results!X1397</f>
        <v>3.7322955088718635</v>
      </c>
      <c r="V37" s="1">
        <f>[1]Results!Y1397</f>
        <v>3.8264884797775567</v>
      </c>
      <c r="W37" s="1">
        <f>[1]Results!Z1397</f>
        <v>3.900940676404252</v>
      </c>
      <c r="X37" s="1">
        <f>[1]Results!AA1397</f>
        <v>3.9716282848016649</v>
      </c>
      <c r="Y37" s="1">
        <f>[1]Results!AB1397</f>
        <v>4.0381822782077359</v>
      </c>
      <c r="Z37" s="1">
        <f>[1]Results!AC1397</f>
        <v>4.0746579300797725</v>
      </c>
      <c r="AA37" s="1">
        <f>[1]Results!AD1397</f>
        <v>4.0715194858254256</v>
      </c>
      <c r="AB37" s="1">
        <f>[1]Results!AE1397</f>
        <v>4.0263812819106626</v>
      </c>
      <c r="AC37" s="1">
        <f>[1]Results!AF1397</f>
        <v>4.0097679306430489</v>
      </c>
      <c r="AD37" s="1">
        <f>[1]Results!AG1397</f>
        <v>4.0551129612979242</v>
      </c>
      <c r="AE37" s="1">
        <f>[1]Results!AH1397</f>
        <v>4.1045349568992862</v>
      </c>
      <c r="AF37" s="1">
        <f>[1]Results!AI1397</f>
        <v>4.1440073665569566</v>
      </c>
      <c r="AG37" s="1">
        <f>[1]Results!AJ1397</f>
        <v>4.1710309243725652</v>
      </c>
      <c r="AH37" s="1">
        <f>[1]Results!AK1397</f>
        <v>4.2150228294132175</v>
      </c>
      <c r="AI37" s="1">
        <f>[1]Results!AL1397</f>
        <v>4.2966985571003979</v>
      </c>
      <c r="AJ37" s="1">
        <f>[1]Results!AM1397</f>
        <v>4.3942363918901606</v>
      </c>
      <c r="AK37" s="1">
        <f>[1]Results!AN1397</f>
        <v>4.5000542531680177</v>
      </c>
      <c r="AL37" s="1">
        <f>[1]Results!AO1397</f>
        <v>4.6118344688178547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0</v>
      </c>
      <c r="E38" s="1">
        <f>[1]Results!H1398</f>
        <v>2.280455824177352E-8</v>
      </c>
      <c r="F38" s="1">
        <f>[1]Results!I1398</f>
        <v>2.2081092510006783E-8</v>
      </c>
      <c r="G38" s="1">
        <f>[1]Results!J1398</f>
        <v>4.2712544612300007E-8</v>
      </c>
      <c r="H38" s="1">
        <f>[1]Results!K1398</f>
        <v>6.1919380733854723E-8</v>
      </c>
      <c r="I38" s="1">
        <f>[1]Results!L1398</f>
        <v>7.9724871149267074E-8</v>
      </c>
      <c r="J38" s="1">
        <f>[1]Results!M1398</f>
        <v>-1.1643816551576425E-2</v>
      </c>
      <c r="K38" s="1">
        <f>[1]Results!N1398</f>
        <v>0.21325190189689369</v>
      </c>
      <c r="L38" s="1">
        <f>[1]Results!O1398</f>
        <v>0.67939703122987805</v>
      </c>
      <c r="M38" s="1">
        <f>[1]Results!P1398</f>
        <v>1.371686130936145</v>
      </c>
      <c r="N38" s="1">
        <f>[1]Results!Q1398</f>
        <v>2.2674555795796358</v>
      </c>
      <c r="O38" s="1">
        <f>[1]Results!R1398</f>
        <v>3.2623195549885242</v>
      </c>
      <c r="P38" s="1">
        <f>[1]Results!S1398</f>
        <v>4.2911837182069146</v>
      </c>
      <c r="Q38" s="1">
        <f>[1]Results!T1398</f>
        <v>5.3155259115006182</v>
      </c>
      <c r="R38" s="1">
        <f>[1]Results!U1398</f>
        <v>6.3103820058231008</v>
      </c>
      <c r="S38" s="1">
        <f>[1]Results!V1398</f>
        <v>7.2544878482006858</v>
      </c>
      <c r="T38" s="1">
        <f>[1]Results!W1398</f>
        <v>8.1724600622585584</v>
      </c>
      <c r="U38" s="1">
        <f>[1]Results!X1398</f>
        <v>9.0699789445839016</v>
      </c>
      <c r="V38" s="1">
        <f>[1]Results!Y1398</f>
        <v>9.9394790289354162</v>
      </c>
      <c r="W38" s="1">
        <f>[1]Results!Z1398</f>
        <v>10.767555506060077</v>
      </c>
      <c r="X38" s="1">
        <f>[1]Results!AA1398</f>
        <v>11.539354436980087</v>
      </c>
      <c r="Y38" s="1">
        <f>[1]Results!AB1398</f>
        <v>12.24278509056429</v>
      </c>
      <c r="Z38" s="1">
        <f>[1]Results!AC1398</f>
        <v>12.868316321576835</v>
      </c>
      <c r="AA38" s="1">
        <f>[1]Results!AD1398</f>
        <v>13.406921691767536</v>
      </c>
      <c r="AB38" s="1">
        <f>[1]Results!AE1398</f>
        <v>13.850812988071093</v>
      </c>
      <c r="AC38" s="1">
        <f>[1]Results!AF1398</f>
        <v>14.194915553475074</v>
      </c>
      <c r="AD38" s="1">
        <f>[1]Results!AG1398</f>
        <v>14.442828365008609</v>
      </c>
      <c r="AE38" s="1">
        <f>[1]Results!AH1398</f>
        <v>14.606017544369765</v>
      </c>
      <c r="AF38" s="1">
        <f>[1]Results!AI1398</f>
        <v>14.695430974007362</v>
      </c>
      <c r="AG38" s="1">
        <f>[1]Results!AJ1398</f>
        <v>14.721780121321348</v>
      </c>
      <c r="AH38" s="1">
        <f>[1]Results!AK1398</f>
        <v>14.696741917281319</v>
      </c>
      <c r="AI38" s="1">
        <f>[1]Results!AL1398</f>
        <v>14.635866128061048</v>
      </c>
      <c r="AJ38" s="1">
        <f>[1]Results!AM1398</f>
        <v>14.558331865135621</v>
      </c>
      <c r="AK38" s="1">
        <f>[1]Results!AN1398</f>
        <v>14.483079689520139</v>
      </c>
      <c r="AL38" s="1">
        <f>[1]Results!AO1398</f>
        <v>14.428515321056224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-9.7895669348702086E-8</v>
      </c>
      <c r="E39" s="1">
        <f>[1]Results!H1399</f>
        <v>2.280455824177352E-8</v>
      </c>
      <c r="F39" s="1">
        <f>[1]Results!I1399</f>
        <v>-7.188316608619516E-8</v>
      </c>
      <c r="G39" s="1">
        <f>[1]Results!J1399</f>
        <v>-4.9369319743419737E-8</v>
      </c>
      <c r="H39" s="1">
        <f>[1]Results!K1399</f>
        <v>-2.8275126684462748E-8</v>
      </c>
      <c r="I39" s="1">
        <f>[1]Results!L1399</f>
        <v>-8.4963369673118905E-9</v>
      </c>
      <c r="J39" s="1">
        <f>[1]Results!M1399</f>
        <v>-0.89915274542929913</v>
      </c>
      <c r="K39" s="1">
        <f>[1]Results!N1399</f>
        <v>-1.4384218166954343</v>
      </c>
      <c r="L39" s="1">
        <f>[1]Results!O1399</f>
        <v>-1.8565058400429213</v>
      </c>
      <c r="M39" s="1">
        <f>[1]Results!P1399</f>
        <v>-2.1804583877025663</v>
      </c>
      <c r="N39" s="1">
        <f>[1]Results!Q1399</f>
        <v>-2.1609351737600591</v>
      </c>
      <c r="O39" s="1">
        <f>[1]Results!R1399</f>
        <v>-2.0116745736228014</v>
      </c>
      <c r="P39" s="1">
        <f>[1]Results!S1399</f>
        <v>-1.7969093135399516</v>
      </c>
      <c r="Q39" s="1">
        <f>[1]Results!T1399</f>
        <v>-1.5469177490628483</v>
      </c>
      <c r="R39" s="1">
        <f>[1]Results!U1399</f>
        <v>-1.2752578683628557</v>
      </c>
      <c r="S39" s="1">
        <f>[1]Results!V1399</f>
        <v>-1.1265537404292592</v>
      </c>
      <c r="T39" s="1">
        <f>[1]Results!W1399</f>
        <v>-0.99984286000535105</v>
      </c>
      <c r="U39" s="1">
        <f>[1]Results!X1399</f>
        <v>-0.86097144019700034</v>
      </c>
      <c r="V39" s="1">
        <f>[1]Results!Y1399</f>
        <v>-0.69822684368999743</v>
      </c>
      <c r="W39" s="1">
        <f>[1]Results!Z1399</f>
        <v>-0.51077091507218952</v>
      </c>
      <c r="X39" s="1">
        <f>[1]Results!AA1399</f>
        <v>-0.3067369014441601</v>
      </c>
      <c r="Y39" s="1">
        <f>[1]Results!AB1399</f>
        <v>-9.1175912265406556E-2</v>
      </c>
      <c r="Z39" s="1">
        <f>[1]Results!AC1399</f>
        <v>0.1383322269146614</v>
      </c>
      <c r="AA39" s="1">
        <f>[1]Results!AD1399</f>
        <v>0.38152658861616562</v>
      </c>
      <c r="AB39" s="1">
        <f>[1]Results!AE1399</f>
        <v>0.63543657508964291</v>
      </c>
      <c r="AC39" s="1">
        <f>[1]Results!AF1399</f>
        <v>0.87835022900786264</v>
      </c>
      <c r="AD39" s="1">
        <f>[1]Results!AG1399</f>
        <v>1.0961197541814016</v>
      </c>
      <c r="AE39" s="1">
        <f>[1]Results!AH1399</f>
        <v>1.3016746901781007</v>
      </c>
      <c r="AF39" s="1">
        <f>[1]Results!AI1399</f>
        <v>1.5011327704248734</v>
      </c>
      <c r="AG39" s="1">
        <f>[1]Results!AJ1399</f>
        <v>1.6971354598068533</v>
      </c>
      <c r="AH39" s="1">
        <f>[1]Results!AK1399</f>
        <v>1.8839374789295871</v>
      </c>
      <c r="AI39" s="1">
        <f>[1]Results!AL1399</f>
        <v>2.0582773005603627</v>
      </c>
      <c r="AJ39" s="1">
        <f>[1]Results!AM1399</f>
        <v>2.2300564405066226</v>
      </c>
      <c r="AK39" s="1">
        <f>[1]Results!AN1399</f>
        <v>2.40853975492894</v>
      </c>
      <c r="AL39" s="1">
        <f>[1]Results!AO1399</f>
        <v>2.6020183039985545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0</v>
      </c>
      <c r="E40" s="1">
        <f>[1]Results!H1400</f>
        <v>1.7905876781298957E-8</v>
      </c>
      <c r="F40" s="1">
        <f>[1]Results!I1400</f>
        <v>1.733782006851925E-8</v>
      </c>
      <c r="G40" s="1">
        <f>[1]Results!J1400</f>
        <v>3.3537372878811311E-8</v>
      </c>
      <c r="H40" s="1">
        <f>[1]Results!K1400</f>
        <v>4.8618353787333035E-8</v>
      </c>
      <c r="I40" s="1">
        <f>[1]Results!L1400</f>
        <v>7.8248785229106943E-8</v>
      </c>
      <c r="J40" s="1">
        <f>[1]Results!M1400</f>
        <v>-1.1643817193340844E-2</v>
      </c>
      <c r="K40" s="1">
        <f>[1]Results!N1400</f>
        <v>0.21325191574654845</v>
      </c>
      <c r="L40" s="1">
        <f>[1]Results!O1400</f>
        <v>0.67939703552932773</v>
      </c>
      <c r="M40" s="1">
        <f>[1]Results!P1400</f>
        <v>1.3716861470151276</v>
      </c>
      <c r="N40" s="1">
        <f>[1]Results!Q1400</f>
        <v>2.2674555857093548</v>
      </c>
      <c r="O40" s="1">
        <f>[1]Results!R1400</f>
        <v>3.2623195614931655</v>
      </c>
      <c r="P40" s="1">
        <f>[1]Results!S1400</f>
        <v>4.2911837053662305</v>
      </c>
      <c r="Q40" s="1">
        <f>[1]Results!T1400</f>
        <v>5.3155259132651178</v>
      </c>
      <c r="R40" s="1">
        <f>[1]Results!U1400</f>
        <v>6.3103820078051154</v>
      </c>
      <c r="S40" s="1">
        <f>[1]Results!V1400</f>
        <v>7.2544878500747645</v>
      </c>
      <c r="T40" s="1">
        <f>[1]Results!W1400</f>
        <v>8.1724601124810938</v>
      </c>
      <c r="U40" s="1">
        <f>[1]Results!X1400</f>
        <v>9.0699788923928502</v>
      </c>
      <c r="V40" s="1">
        <f>[1]Results!Y1400</f>
        <v>9.9394790149011314</v>
      </c>
      <c r="W40" s="1">
        <f>[1]Results!Z1400</f>
        <v>10.767555437497901</v>
      </c>
      <c r="X40" s="1">
        <f>[1]Results!AA1400</f>
        <v>11.539354500390097</v>
      </c>
      <c r="Y40" s="1">
        <f>[1]Results!AB1400</f>
        <v>12.242785136327171</v>
      </c>
      <c r="Z40" s="1">
        <f>[1]Results!AC1400</f>
        <v>12.868316310162564</v>
      </c>
      <c r="AA40" s="1">
        <f>[1]Results!AD1400</f>
        <v>13.406921631829928</v>
      </c>
      <c r="AB40" s="1">
        <f>[1]Results!AE1400</f>
        <v>13.85081298878459</v>
      </c>
      <c r="AC40" s="1">
        <f>[1]Results!AF1400</f>
        <v>14.194915446892264</v>
      </c>
      <c r="AD40" s="1">
        <f>[1]Results!AG1400</f>
        <v>14.442828351421323</v>
      </c>
      <c r="AE40" s="1">
        <f>[1]Results!AH1400</f>
        <v>14.606017510243685</v>
      </c>
      <c r="AF40" s="1">
        <f>[1]Results!AI1400</f>
        <v>14.695430978893963</v>
      </c>
      <c r="AG40" s="1">
        <f>[1]Results!AJ1400</f>
        <v>14.72178015297918</v>
      </c>
      <c r="AH40" s="1">
        <f>[1]Results!AK1400</f>
        <v>14.696741947889702</v>
      </c>
      <c r="AI40" s="1">
        <f>[1]Results!AL1400</f>
        <v>14.635866060041035</v>
      </c>
      <c r="AJ40" s="1">
        <f>[1]Results!AM1400</f>
        <v>14.558331859764561</v>
      </c>
      <c r="AK40" s="1">
        <f>[1]Results!AN1400</f>
        <v>14.483079615352068</v>
      </c>
      <c r="AL40" s="1">
        <f>[1]Results!AO1400</f>
        <v>14.428515331080384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0</v>
      </c>
      <c r="E41" s="1">
        <f>[1]Results!H1401</f>
        <v>1.7905876781298957E-8</v>
      </c>
      <c r="F41" s="1">
        <f>[1]Results!I1401</f>
        <v>1.7337797864058757E-8</v>
      </c>
      <c r="G41" s="1">
        <f>[1]Results!J1401</f>
        <v>-5.8169458139190056E-8</v>
      </c>
      <c r="H41" s="1">
        <f>[1]Results!K1401</f>
        <v>-4.0865644201915075E-8</v>
      </c>
      <c r="I41" s="1">
        <f>[1]Results!L1401</f>
        <v>7.8248785229106943E-8</v>
      </c>
      <c r="J41" s="1">
        <f>[1]Results!M1401</f>
        <v>8.1943785789606594E-2</v>
      </c>
      <c r="K41" s="1">
        <f>[1]Results!N1401</f>
        <v>5.3296514579415089E-4</v>
      </c>
      <c r="L41" s="1">
        <f>[1]Results!O1401</f>
        <v>-5.9361886013908904E-2</v>
      </c>
      <c r="M41" s="1">
        <f>[1]Results!P1401</f>
        <v>-0.12061747646128218</v>
      </c>
      <c r="N41" s="1">
        <f>[1]Results!Q1401</f>
        <v>-0.20263548076407956</v>
      </c>
      <c r="O41" s="1">
        <f>[1]Results!R1401</f>
        <v>-0.21456640963463114</v>
      </c>
      <c r="P41" s="1">
        <f>[1]Results!S1401</f>
        <v>-0.18647753858836991</v>
      </c>
      <c r="Q41" s="1">
        <f>[1]Results!T1401</f>
        <v>-0.13761913373194767</v>
      </c>
      <c r="R41" s="1">
        <f>[1]Results!U1401</f>
        <v>-7.6205264222450886E-2</v>
      </c>
      <c r="S41" s="1">
        <f>[1]Results!V1401</f>
        <v>9.9814990295987727E-3</v>
      </c>
      <c r="T41" s="1">
        <f>[1]Results!W1401</f>
        <v>7.094011015169599E-2</v>
      </c>
      <c r="U41" s="1">
        <f>[1]Results!X1401</f>
        <v>0.13120390590215525</v>
      </c>
      <c r="V41" s="1">
        <f>[1]Results!Y1401</f>
        <v>0.20472333148600086</v>
      </c>
      <c r="W41" s="1">
        <f>[1]Results!Z1401</f>
        <v>0.29581423356916936</v>
      </c>
      <c r="X41" s="1">
        <f>[1]Results!AA1401</f>
        <v>0.40223055121488827</v>
      </c>
      <c r="Y41" s="1">
        <f>[1]Results!AB1401</f>
        <v>0.51957325474254468</v>
      </c>
      <c r="Z41" s="1">
        <f>[1]Results!AC1401</f>
        <v>0.64541704946889933</v>
      </c>
      <c r="AA41" s="1">
        <f>[1]Results!AD1401</f>
        <v>0.778333233116979</v>
      </c>
      <c r="AB41" s="1">
        <f>[1]Results!AE1401</f>
        <v>0.91588706657130814</v>
      </c>
      <c r="AC41" s="1">
        <f>[1]Results!AF1401</f>
        <v>1.0488574498014547</v>
      </c>
      <c r="AD41" s="1">
        <f>[1]Results!AG1401</f>
        <v>1.1645376840587973</v>
      </c>
      <c r="AE41" s="1">
        <f>[1]Results!AH1401</f>
        <v>1.2587852826819734</v>
      </c>
      <c r="AF41" s="1">
        <f>[1]Results!AI1401</f>
        <v>1.3326220384238141</v>
      </c>
      <c r="AG41" s="1">
        <f>[1]Results!AJ1401</f>
        <v>1.3853806824725368</v>
      </c>
      <c r="AH41" s="1">
        <f>[1]Results!AK1401</f>
        <v>1.4133957839417732</v>
      </c>
      <c r="AI41" s="1">
        <f>[1]Results!AL1401</f>
        <v>1.4117966187408237</v>
      </c>
      <c r="AJ41" s="1">
        <f>[1]Results!AM1401</f>
        <v>1.3796869756534047</v>
      </c>
      <c r="AK41" s="1">
        <f>[1]Results!AN1401</f>
        <v>1.3191199977690138</v>
      </c>
      <c r="AL41" s="1">
        <f>[1]Results!AO1401</f>
        <v>1.2311395997733454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0</v>
      </c>
      <c r="E42" s="1">
        <f>[1]Results!H1402</f>
        <v>3.6044101037191467E-8</v>
      </c>
      <c r="F42" s="1">
        <f>[1]Results!I1402</f>
        <v>3.567226514178401E-8</v>
      </c>
      <c r="G42" s="1">
        <f>[1]Results!J1402</f>
        <v>0</v>
      </c>
      <c r="H42" s="1">
        <f>[1]Results!K1402</f>
        <v>0</v>
      </c>
      <c r="I42" s="1">
        <f>[1]Results!L1402</f>
        <v>3.4342395593967012E-8</v>
      </c>
      <c r="J42" s="1">
        <f>[1]Results!M1402</f>
        <v>-7.4552485935153179E-2</v>
      </c>
      <c r="K42" s="1">
        <f>[1]Results!N1402</f>
        <v>-0.19789686434553699</v>
      </c>
      <c r="L42" s="1">
        <f>[1]Results!O1402</f>
        <v>-0.15253099632024369</v>
      </c>
      <c r="M42" s="1">
        <f>[1]Results!P1402</f>
        <v>6.8747102621058431E-3</v>
      </c>
      <c r="N42" s="1">
        <f>[1]Results!Q1402</f>
        <v>0.19196316014338244</v>
      </c>
      <c r="O42" s="1">
        <f>[1]Results!R1402</f>
        <v>0.35076443973645066</v>
      </c>
      <c r="P42" s="1">
        <f>[1]Results!S1402</f>
        <v>0.46917661355552198</v>
      </c>
      <c r="Q42" s="1">
        <f>[1]Results!T1402</f>
        <v>0.55825732355678781</v>
      </c>
      <c r="R42" s="1">
        <f>[1]Results!U1402</f>
        <v>0.629004697420954</v>
      </c>
      <c r="S42" s="1">
        <f>[1]Results!V1402</f>
        <v>0.68038441550914985</v>
      </c>
      <c r="T42" s="1">
        <f>[1]Results!W1402</f>
        <v>0.7113414154201525</v>
      </c>
      <c r="U42" s="1">
        <f>[1]Results!X1402</f>
        <v>0.72195761196487407</v>
      </c>
      <c r="V42" s="1">
        <f>[1]Results!Y1402</f>
        <v>0.71483694393950081</v>
      </c>
      <c r="W42" s="1">
        <f>[1]Results!Z1402</f>
        <v>0.69418256194502259</v>
      </c>
      <c r="X42" s="1">
        <f>[1]Results!AA1402</f>
        <v>0.6649010366292174</v>
      </c>
      <c r="Y42" s="1">
        <f>[1]Results!AB1402</f>
        <v>0.63228467691438528</v>
      </c>
      <c r="Z42" s="1">
        <f>[1]Results!AC1402</f>
        <v>0.60144826038637245</v>
      </c>
      <c r="AA42" s="1">
        <f>[1]Results!AD1402</f>
        <v>0.57742651043999338</v>
      </c>
      <c r="AB42" s="1">
        <f>[1]Results!AE1402</f>
        <v>0.56470665959220678</v>
      </c>
      <c r="AC42" s="1">
        <f>[1]Results!AF1402</f>
        <v>0.56925000199441467</v>
      </c>
      <c r="AD42" s="1">
        <f>[1]Results!AG1402</f>
        <v>0.59671790472777264</v>
      </c>
      <c r="AE42" s="1">
        <f>[1]Results!AH1402</f>
        <v>0.65235207303011578</v>
      </c>
      <c r="AF42" s="1">
        <f>[1]Results!AI1402</f>
        <v>0.74142362206732759</v>
      </c>
      <c r="AG42" s="1">
        <f>[1]Results!AJ1402</f>
        <v>0.86893664876481758</v>
      </c>
      <c r="AH42" s="1">
        <f>[1]Results!AK1402</f>
        <v>1.0396729745324018</v>
      </c>
      <c r="AI42" s="1">
        <f>[1]Results!AL1402</f>
        <v>1.2584290677959187</v>
      </c>
      <c r="AJ42" s="1">
        <f>[1]Results!AM1402</f>
        <v>1.529945794367249</v>
      </c>
      <c r="AK42" s="1">
        <f>[1]Results!AN1402</f>
        <v>1.8594186180456607</v>
      </c>
      <c r="AL42" s="1">
        <f>[1]Results!AO1402</f>
        <v>2.2530474576858861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</v>
      </c>
      <c r="E43" s="1">
        <f>[1]Results!H1403</f>
        <v>9.9999997473787516E-6</v>
      </c>
      <c r="F43" s="1">
        <f>[1]Results!I1403</f>
        <v>9.9999997473787516E-6</v>
      </c>
      <c r="G43" s="1">
        <f>[1]Results!J1403</f>
        <v>0</v>
      </c>
      <c r="H43" s="1">
        <f>[1]Results!K1403</f>
        <v>0</v>
      </c>
      <c r="I43" s="1">
        <f>[1]Results!L1403</f>
        <v>9.9999997473787516E-6</v>
      </c>
      <c r="J43" s="1">
        <f>[1]Results!M1403</f>
        <v>-21.9952200000007</v>
      </c>
      <c r="K43" s="1">
        <f>[1]Results!N1403</f>
        <v>-59.141459999998915</v>
      </c>
      <c r="L43" s="1">
        <f>[1]Results!O1403</f>
        <v>-46.158879999999044</v>
      </c>
      <c r="M43" s="1">
        <f>[1]Results!P1403</f>
        <v>2.1059499999973923</v>
      </c>
      <c r="N43" s="1">
        <f>[1]Results!Q1403</f>
        <v>59.40538000000015</v>
      </c>
      <c r="O43" s="1">
        <f>[1]Results!R1403</f>
        <v>109.39463999999862</v>
      </c>
      <c r="P43" s="1">
        <f>[1]Results!S1403</f>
        <v>147.12855000000127</v>
      </c>
      <c r="Q43" s="1">
        <f>[1]Results!T1403</f>
        <v>175.69436999999743</v>
      </c>
      <c r="R43" s="1">
        <f>[1]Results!U1403</f>
        <v>198.40473000000202</v>
      </c>
      <c r="S43" s="1">
        <f>[1]Results!V1403</f>
        <v>214.9400999999998</v>
      </c>
      <c r="T43" s="1">
        <f>[1]Results!W1403</f>
        <v>225.04067000000214</v>
      </c>
      <c r="U43" s="1">
        <f>[1]Results!X1403</f>
        <v>228.8145399999994</v>
      </c>
      <c r="V43" s="1">
        <f>[1]Results!Y1403</f>
        <v>227.13525999999911</v>
      </c>
      <c r="W43" s="1">
        <f>[1]Results!Z1403</f>
        <v>221.2941299999984</v>
      </c>
      <c r="X43" s="1">
        <f>[1]Results!AA1403</f>
        <v>212.89530999999988</v>
      </c>
      <c r="Y43" s="1">
        <f>[1]Results!AB1403</f>
        <v>203.60143000000244</v>
      </c>
      <c r="Z43" s="1">
        <f>[1]Results!AC1403</f>
        <v>195.02637999999934</v>
      </c>
      <c r="AA43" s="1">
        <f>[1]Results!AD1403</f>
        <v>188.78631999999925</v>
      </c>
      <c r="AB43" s="1">
        <f>[1]Results!AE1403</f>
        <v>186.26120999999694</v>
      </c>
      <c r="AC43" s="1">
        <f>[1]Results!AF1403</f>
        <v>189.59387000000424</v>
      </c>
      <c r="AD43" s="1">
        <f>[1]Results!AG1403</f>
        <v>200.86906999999337</v>
      </c>
      <c r="AE43" s="1">
        <f>[1]Results!AH1403</f>
        <v>222.14403999999922</v>
      </c>
      <c r="AF43" s="1">
        <f>[1]Results!AI1403</f>
        <v>255.59074999999575</v>
      </c>
      <c r="AG43" s="1">
        <f>[1]Results!AJ1403</f>
        <v>303.38616999999795</v>
      </c>
      <c r="AH43" s="1">
        <f>[1]Results!AK1403</f>
        <v>367.71214999999938</v>
      </c>
      <c r="AI43" s="1">
        <f>[1]Results!AL1403</f>
        <v>450.81558000000223</v>
      </c>
      <c r="AJ43" s="1">
        <f>[1]Results!AM1403</f>
        <v>554.95203999999649</v>
      </c>
      <c r="AK43" s="1">
        <f>[1]Results!AN1403</f>
        <v>682.53494999999384</v>
      </c>
      <c r="AL43" s="1">
        <f>[1]Results!AO1403</f>
        <v>836.30943000000116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0</v>
      </c>
      <c r="F44" s="1">
        <f>[1]Results!I1404</f>
        <v>0</v>
      </c>
      <c r="G44" s="1">
        <f>[1]Results!J1404</f>
        <v>0</v>
      </c>
      <c r="H44" s="1">
        <f>[1]Results!K1404</f>
        <v>0</v>
      </c>
      <c r="I44" s="1">
        <f>[1]Results!L1404</f>
        <v>-1.000000082740371E-8</v>
      </c>
      <c r="J44" s="1">
        <f>[1]Results!M1404</f>
        <v>5.6247819999999393E-2</v>
      </c>
      <c r="K44" s="1">
        <f>[1]Results!N1404</f>
        <v>0.1459891599999999</v>
      </c>
      <c r="L44" s="1">
        <f>[1]Results!O1404</f>
        <v>0.1032026200000008</v>
      </c>
      <c r="M44" s="1">
        <f>[1]Results!P1404</f>
        <v>-1.98775499999998E-2</v>
      </c>
      <c r="N44" s="1">
        <f>[1]Results!Q1404</f>
        <v>-0.15369853999999961</v>
      </c>
      <c r="O44" s="1">
        <f>[1]Results!R1404</f>
        <v>-0.26196100999999888</v>
      </c>
      <c r="P44" s="1">
        <f>[1]Results!S1404</f>
        <v>-0.33800657000000039</v>
      </c>
      <c r="Q44" s="1">
        <f>[1]Results!T1404</f>
        <v>-0.39302600000000049</v>
      </c>
      <c r="R44" s="1">
        <f>[1]Results!U1404</f>
        <v>-0.43609638000000062</v>
      </c>
      <c r="S44" s="1">
        <f>[1]Results!V1404</f>
        <v>-0.4661729200000006</v>
      </c>
      <c r="T44" s="1">
        <f>[1]Results!W1404</f>
        <v>-0.48256002999999964</v>
      </c>
      <c r="U44" s="1">
        <f>[1]Results!X1404</f>
        <v>-0.48554612999999885</v>
      </c>
      <c r="V44" s="1">
        <f>[1]Results!Y1404</f>
        <v>-0.47726515000000025</v>
      </c>
      <c r="W44" s="1">
        <f>[1]Results!Z1404</f>
        <v>-0.4611114999999999</v>
      </c>
      <c r="X44" s="1">
        <f>[1]Results!AA1404</f>
        <v>-0.43987937000000005</v>
      </c>
      <c r="Y44" s="1">
        <f>[1]Results!AB1404</f>
        <v>-0.41760745000000016</v>
      </c>
      <c r="Z44" s="1">
        <f>[1]Results!AC1404</f>
        <v>-0.39767269000000049</v>
      </c>
      <c r="AA44" s="1">
        <f>[1]Results!AD1404</f>
        <v>-0.38340263999999957</v>
      </c>
      <c r="AB44" s="1">
        <f>[1]Results!AE1404</f>
        <v>-0.37835907000000057</v>
      </c>
      <c r="AC44" s="1">
        <f>[1]Results!AF1404</f>
        <v>-0.38565340999999892</v>
      </c>
      <c r="AD44" s="1">
        <f>[1]Results!AG1404</f>
        <v>-0.40990119000000047</v>
      </c>
      <c r="AE44" s="1">
        <f>[1]Results!AH1404</f>
        <v>-0.45495601000000024</v>
      </c>
      <c r="AF44" s="1">
        <f>[1]Results!AI1404</f>
        <v>-0.52481149999999976</v>
      </c>
      <c r="AG44" s="1">
        <f>[1]Results!AJ1404</f>
        <v>-0.62332810000000005</v>
      </c>
      <c r="AH44" s="1">
        <f>[1]Results!AK1404</f>
        <v>-0.75425235999999996</v>
      </c>
      <c r="AI44" s="1">
        <f>[1]Results!AL1404</f>
        <v>-0.92137334000000004</v>
      </c>
      <c r="AJ44" s="1">
        <f>[1]Results!AM1404</f>
        <v>-1.12840444</v>
      </c>
      <c r="AK44" s="1">
        <f>[1]Results!AN1404</f>
        <v>-1.3793484978999999</v>
      </c>
      <c r="AL44" s="1">
        <f>[1]Results!AO1404</f>
        <v>-1.6788733180000002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-9.0850677675335945E-10</v>
      </c>
      <c r="D45" s="1">
        <f>[1]Results!G1405</f>
        <v>1.5277789016526766E-9</v>
      </c>
      <c r="E45" s="1">
        <f>[1]Results!H1405</f>
        <v>3.5842477857234156E-9</v>
      </c>
      <c r="F45" s="1">
        <f>[1]Results!I1405</f>
        <v>5.7020258306672567E-9</v>
      </c>
      <c r="G45" s="1">
        <f>[1]Results!J1405</f>
        <v>6.176295239135321E-9</v>
      </c>
      <c r="H45" s="1">
        <f>[1]Results!K1405</f>
        <v>5.877652531349753E-9</v>
      </c>
      <c r="I45" s="1">
        <f>[1]Results!L1405</f>
        <v>5.289800888985674E-9</v>
      </c>
      <c r="J45" s="1">
        <f>[1]Results!M1405</f>
        <v>-0.14391501655413863</v>
      </c>
      <c r="K45" s="1">
        <f>[1]Results!N1405</f>
        <v>-0.21136812638074232</v>
      </c>
      <c r="L45" s="1">
        <f>[1]Results!O1405</f>
        <v>-1.8856605045505098E-2</v>
      </c>
      <c r="M45" s="1">
        <f>[1]Results!P1405</f>
        <v>0.10936890428188892</v>
      </c>
      <c r="N45" s="1">
        <f>[1]Results!Q1405</f>
        <v>0.16298517078520078</v>
      </c>
      <c r="O45" s="1">
        <f>[1]Results!R1405</f>
        <v>0.16929055991484268</v>
      </c>
      <c r="P45" s="1">
        <f>[1]Results!S1405</f>
        <v>0.15090106433003417</v>
      </c>
      <c r="Q45" s="1">
        <f>[1]Results!T1405</f>
        <v>0.1364951080683241</v>
      </c>
      <c r="R45" s="1">
        <f>[1]Results!U1405</f>
        <v>0.12908359023816179</v>
      </c>
      <c r="S45" s="1">
        <f>[1]Results!V1405</f>
        <v>0.10348705619514509</v>
      </c>
      <c r="T45" s="1">
        <f>[1]Results!W1405</f>
        <v>7.7586195956552695E-2</v>
      </c>
      <c r="U45" s="1">
        <f>[1]Results!X1405</f>
        <v>5.3998600429038673E-2</v>
      </c>
      <c r="V45" s="1">
        <f>[1]Results!Y1405</f>
        <v>2.8817097491200261E-2</v>
      </c>
      <c r="W45" s="1">
        <f>[1]Results!Z1405</f>
        <v>-1.5435796037577276E-3</v>
      </c>
      <c r="X45" s="1">
        <f>[1]Results!AA1405</f>
        <v>-3.9514890413025472E-2</v>
      </c>
      <c r="Y45" s="1">
        <f>[1]Results!AB1405</f>
        <v>-8.4906949029991269E-2</v>
      </c>
      <c r="Z45" s="1">
        <f>[1]Results!AC1405</f>
        <v>-0.13502612603663935</v>
      </c>
      <c r="AA45" s="1">
        <f>[1]Results!AD1405</f>
        <v>-0.18990798383621277</v>
      </c>
      <c r="AB45" s="1">
        <f>[1]Results!AE1405</f>
        <v>-0.25190659192082104</v>
      </c>
      <c r="AC45" s="1">
        <f>[1]Results!AF1405</f>
        <v>-0.3241115801358857</v>
      </c>
      <c r="AD45" s="1">
        <f>[1]Results!AG1405</f>
        <v>-0.40703685124764133</v>
      </c>
      <c r="AE45" s="1">
        <f>[1]Results!AH1405</f>
        <v>-0.49082084489057293</v>
      </c>
      <c r="AF45" s="1">
        <f>[1]Results!AI1405</f>
        <v>-0.57484958677191944</v>
      </c>
      <c r="AG45" s="1">
        <f>[1]Results!AJ1405</f>
        <v>-0.6596447495032951</v>
      </c>
      <c r="AH45" s="1">
        <f>[1]Results!AK1405</f>
        <v>-0.7485362597004358</v>
      </c>
      <c r="AI45" s="1">
        <f>[1]Results!AL1405</f>
        <v>-0.84259895556701092</v>
      </c>
      <c r="AJ45" s="1">
        <f>[1]Results!AM1405</f>
        <v>-0.93953198197095977</v>
      </c>
      <c r="AK45" s="1">
        <f>[1]Results!AN1405</f>
        <v>-1.0414010282446171</v>
      </c>
      <c r="AL45" s="1">
        <f>[1]Results!AO1405</f>
        <v>-1.151665943467143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1.8170137269790665E-9</v>
      </c>
      <c r="D46" s="1">
        <f>[1]Results!G1406</f>
        <v>0</v>
      </c>
      <c r="E46" s="1">
        <f>[1]Results!H1406</f>
        <v>-2.854326670853613E-9</v>
      </c>
      <c r="F46" s="1">
        <f>[1]Results!I1406</f>
        <v>-4.7139493697390122E-9</v>
      </c>
      <c r="G46" s="1">
        <f>[1]Results!J1406</f>
        <v>-5.6434490761092526E-9</v>
      </c>
      <c r="H46" s="1">
        <f>[1]Results!K1406</f>
        <v>-6.4756781534280883E-9</v>
      </c>
      <c r="I46" s="1">
        <f>[1]Results!L1406</f>
        <v>-6.939596466914999E-9</v>
      </c>
      <c r="J46" s="1">
        <f>[1]Results!M1406</f>
        <v>-5.4317614237770449E-2</v>
      </c>
      <c r="K46" s="1">
        <f>[1]Results!N1406</f>
        <v>-0.1186418555617236</v>
      </c>
      <c r="L46" s="1">
        <f>[1]Results!O1406</f>
        <v>-0.19157151684904059</v>
      </c>
      <c r="M46" s="1">
        <f>[1]Results!P1406</f>
        <v>-0.26358639222518832</v>
      </c>
      <c r="N46" s="1">
        <f>[1]Results!Q1406</f>
        <v>-0.32448136806528338</v>
      </c>
      <c r="O46" s="1">
        <f>[1]Results!R1406</f>
        <v>-0.37881753150797709</v>
      </c>
      <c r="P46" s="1">
        <f>[1]Results!S1406</f>
        <v>-0.42833803476565352</v>
      </c>
      <c r="Q46" s="1">
        <f>[1]Results!T1406</f>
        <v>-0.47491949659047833</v>
      </c>
      <c r="R46" s="1">
        <f>[1]Results!U1406</f>
        <v>-0.51961629074186633</v>
      </c>
      <c r="S46" s="1">
        <f>[1]Results!V1406</f>
        <v>-0.5486110466769063</v>
      </c>
      <c r="T46" s="1">
        <f>[1]Results!W1406</f>
        <v>-0.58001797448105497</v>
      </c>
      <c r="U46" s="1">
        <f>[1]Results!X1406</f>
        <v>-0.61267287763519396</v>
      </c>
      <c r="V46" s="1">
        <f>[1]Results!Y1406</f>
        <v>-0.64544024999521887</v>
      </c>
      <c r="W46" s="1">
        <f>[1]Results!Z1406</f>
        <v>-0.67759843210554982</v>
      </c>
      <c r="X46" s="1">
        <f>[1]Results!AA1406</f>
        <v>-0.70810583468449839</v>
      </c>
      <c r="Y46" s="1">
        <f>[1]Results!AB1406</f>
        <v>-0.73670525653987784</v>
      </c>
      <c r="Z46" s="1">
        <f>[1]Results!AC1406</f>
        <v>-0.76326491503445826</v>
      </c>
      <c r="AA46" s="1">
        <f>[1]Results!AD1406</f>
        <v>-0.78762609390886917</v>
      </c>
      <c r="AB46" s="1">
        <f>[1]Results!AE1406</f>
        <v>-0.80999686567869889</v>
      </c>
      <c r="AC46" s="1">
        <f>[1]Results!AF1406</f>
        <v>-0.83039501710813179</v>
      </c>
      <c r="AD46" s="1">
        <f>[1]Results!AG1406</f>
        <v>-0.84734378128597176</v>
      </c>
      <c r="AE46" s="1">
        <f>[1]Results!AH1406</f>
        <v>-0.86109953287564789</v>
      </c>
      <c r="AF46" s="1">
        <f>[1]Results!AI1406</f>
        <v>-0.87135236513215863</v>
      </c>
      <c r="AG46" s="1">
        <f>[1]Results!AJ1406</f>
        <v>-0.87787929700802247</v>
      </c>
      <c r="AH46" s="1">
        <f>[1]Results!AK1406</f>
        <v>-0.88031910864172835</v>
      </c>
      <c r="AI46" s="1">
        <f>[1]Results!AL1406</f>
        <v>-0.87841160423447606</v>
      </c>
      <c r="AJ46" s="1">
        <f>[1]Results!AM1406</f>
        <v>-0.87211946481663871</v>
      </c>
      <c r="AK46" s="1">
        <f>[1]Results!AN1406</f>
        <v>-0.86112081358685333</v>
      </c>
      <c r="AL46" s="1">
        <f>[1]Results!AO1406</f>
        <v>-0.84482621109414535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1.362760251866213E-9</v>
      </c>
      <c r="D47" s="1">
        <f>[1]Results!G1407</f>
        <v>8.7301650283921894E-10</v>
      </c>
      <c r="E47" s="1">
        <f>[1]Results!H1407</f>
        <v>-1.2457958276090864E-9</v>
      </c>
      <c r="F47" s="1">
        <f>[1]Results!I1407</f>
        <v>-2.7890273640931995E-9</v>
      </c>
      <c r="G47" s="1">
        <f>[1]Results!J1407</f>
        <v>-5.952371408268764E-9</v>
      </c>
      <c r="H47" s="1">
        <f>[1]Results!K1407</f>
        <v>-9.1261742954373837E-9</v>
      </c>
      <c r="I47" s="1">
        <f>[1]Results!L1407</f>
        <v>-1.1568659225025257E-8</v>
      </c>
      <c r="J47" s="1">
        <f>[1]Results!M1407</f>
        <v>0.15184485437355275</v>
      </c>
      <c r="K47" s="1">
        <f>[1]Results!N1407</f>
        <v>0.2420499675014478</v>
      </c>
      <c r="L47" s="1">
        <f>[1]Results!O1407</f>
        <v>0.19312962170958611</v>
      </c>
      <c r="M47" s="1">
        <f>[1]Results!P1407</f>
        <v>6.4109268602257491E-2</v>
      </c>
      <c r="N47" s="1">
        <f>[1]Results!Q1407</f>
        <v>-0.12280825535721587</v>
      </c>
      <c r="O47" s="1">
        <f>[1]Results!R1407</f>
        <v>-0.30141781423950742</v>
      </c>
      <c r="P47" s="1">
        <f>[1]Results!S1407</f>
        <v>-0.45537930570620777</v>
      </c>
      <c r="Q47" s="1">
        <f>[1]Results!T1407</f>
        <v>-0.58733677548668961</v>
      </c>
      <c r="R47" s="1">
        <f>[1]Results!U1407</f>
        <v>-0.70184115596636021</v>
      </c>
      <c r="S47" s="1">
        <f>[1]Results!V1407</f>
        <v>-0.78114118993686321</v>
      </c>
      <c r="T47" s="1">
        <f>[1]Results!W1407</f>
        <v>-0.84375729567196101</v>
      </c>
      <c r="U47" s="1">
        <f>[1]Results!X1407</f>
        <v>-0.89340991968131289</v>
      </c>
      <c r="V47" s="1">
        <f>[1]Results!Y1407</f>
        <v>-0.93074524862502139</v>
      </c>
      <c r="W47" s="1">
        <f>[1]Results!Z1407</f>
        <v>-0.95488547702321935</v>
      </c>
      <c r="X47" s="1">
        <f>[1]Results!AA1407</f>
        <v>-0.96682410003330466</v>
      </c>
      <c r="Y47" s="1">
        <f>[1]Results!AB1407</f>
        <v>-0.96662354482554902</v>
      </c>
      <c r="Z47" s="1">
        <f>[1]Results!AC1407</f>
        <v>-0.95678912137709127</v>
      </c>
      <c r="AA47" s="1">
        <f>[1]Results!AD1407</f>
        <v>-0.9397428722625043</v>
      </c>
      <c r="AB47" s="1">
        <f>[1]Results!AE1407</f>
        <v>-0.9153532745600379</v>
      </c>
      <c r="AC47" s="1">
        <f>[1]Results!AF1407</f>
        <v>-0.88802087387707607</v>
      </c>
      <c r="AD47" s="1">
        <f>[1]Results!AG1407</f>
        <v>-0.85820510299056685</v>
      </c>
      <c r="AE47" s="1">
        <f>[1]Results!AH1407</f>
        <v>-0.83110117535920702</v>
      </c>
      <c r="AF47" s="1">
        <f>[1]Results!AI1407</f>
        <v>-0.81070923718001153</v>
      </c>
      <c r="AG47" s="1">
        <f>[1]Results!AJ1407</f>
        <v>-0.79982915723373904</v>
      </c>
      <c r="AH47" s="1">
        <f>[1]Results!AK1407</f>
        <v>-0.8000584775283357</v>
      </c>
      <c r="AI47" s="1">
        <f>[1]Results!AL1407</f>
        <v>-0.81350305274240231</v>
      </c>
      <c r="AJ47" s="1">
        <f>[1]Results!AM1407</f>
        <v>-0.84384839002373391</v>
      </c>
      <c r="AK47" s="1">
        <f>[1]Results!AN1407</f>
        <v>-0.89474892493788127</v>
      </c>
      <c r="AL47" s="1">
        <f>[1]Results!AO1407</f>
        <v>-0.96975268737973797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1.8170135535067189E-9</v>
      </c>
      <c r="D48" s="1">
        <f>[1]Results!G1408</f>
        <v>7.8571489592338395E-9</v>
      </c>
      <c r="E48" s="1">
        <f>[1]Results!H1408</f>
        <v>6.0479121710699246E-9</v>
      </c>
      <c r="F48" s="1">
        <f>[1]Results!I1408</f>
        <v>6.2016742435888617E-9</v>
      </c>
      <c r="G48" s="1">
        <f>[1]Results!J1408</f>
        <v>6.3846330999872691E-9</v>
      </c>
      <c r="H48" s="1">
        <f>[1]Results!K1408</f>
        <v>1.2077383364228478E-9</v>
      </c>
      <c r="I48" s="1">
        <f>[1]Results!L1408</f>
        <v>-3.3505127166634507E-9</v>
      </c>
      <c r="J48" s="1">
        <f>[1]Results!M1408</f>
        <v>0.14326978082340119</v>
      </c>
      <c r="K48" s="1">
        <f>[1]Results!N1408</f>
        <v>0.55755131694328486</v>
      </c>
      <c r="L48" s="1">
        <f>[1]Results!O1408</f>
        <v>0.59321981735679741</v>
      </c>
      <c r="M48" s="1">
        <f>[1]Results!P1408</f>
        <v>0.51442164905744281</v>
      </c>
      <c r="N48" s="1">
        <f>[1]Results!Q1408</f>
        <v>0.35873316367467656</v>
      </c>
      <c r="O48" s="1">
        <f>[1]Results!R1408</f>
        <v>0.11758563366223301</v>
      </c>
      <c r="P48" s="1">
        <f>[1]Results!S1408</f>
        <v>-0.10991647820131831</v>
      </c>
      <c r="Q48" s="1">
        <f>[1]Results!T1408</f>
        <v>-0.31828427217142696</v>
      </c>
      <c r="R48" s="1">
        <f>[1]Results!U1408</f>
        <v>-0.50839693241096073</v>
      </c>
      <c r="S48" s="1">
        <f>[1]Results!V1408</f>
        <v>-0.66055716929251518</v>
      </c>
      <c r="T48" s="1">
        <f>[1]Results!W1408</f>
        <v>-0.77476479682048183</v>
      </c>
      <c r="U48" s="1">
        <f>[1]Results!X1408</f>
        <v>-0.87502796922215165</v>
      </c>
      <c r="V48" s="1">
        <f>[1]Results!Y1408</f>
        <v>-0.96163040755017426</v>
      </c>
      <c r="W48" s="1">
        <f>[1]Results!Z1408</f>
        <v>-1.0312341133261855</v>
      </c>
      <c r="X48" s="1">
        <f>[1]Results!AA1408</f>
        <v>-1.0829564232976583</v>
      </c>
      <c r="Y48" s="1">
        <f>[1]Results!AB1408</f>
        <v>-1.11535240019408</v>
      </c>
      <c r="Z48" s="1">
        <f>[1]Results!AC1408</f>
        <v>-1.1307500732561384</v>
      </c>
      <c r="AA48" s="1">
        <f>[1]Results!AD1408</f>
        <v>-1.1312223730807451</v>
      </c>
      <c r="AB48" s="1">
        <f>[1]Results!AE1408</f>
        <v>-1.116769883788902</v>
      </c>
      <c r="AC48" s="1">
        <f>[1]Results!AF1408</f>
        <v>-1.0921467248591541</v>
      </c>
      <c r="AD48" s="1">
        <f>[1]Results!AG1408</f>
        <v>-1.0609109034754163</v>
      </c>
      <c r="AE48" s="1">
        <f>[1]Results!AH1408</f>
        <v>-1.0315030931167493</v>
      </c>
      <c r="AF48" s="1">
        <f>[1]Results!AI1408</f>
        <v>-1.0058625153221354</v>
      </c>
      <c r="AG48" s="1">
        <f>[1]Results!AJ1408</f>
        <v>-0.98594729076641596</v>
      </c>
      <c r="AH48" s="1">
        <f>[1]Results!AK1408</f>
        <v>-0.97352151839668055</v>
      </c>
      <c r="AI48" s="1">
        <f>[1]Results!AL1408</f>
        <v>-0.97387165327121605</v>
      </c>
      <c r="AJ48" s="1">
        <f>[1]Results!AM1408</f>
        <v>-0.99387960463110936</v>
      </c>
      <c r="AK48" s="1">
        <f>[1]Results!AN1408</f>
        <v>-1.0362893864515124</v>
      </c>
      <c r="AL48" s="1">
        <f>[1]Results!AO1408</f>
        <v>-1.1049059237231165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-8.9175866690993644E-8</v>
      </c>
      <c r="F49" s="1">
        <f>[1]Results!I1409</f>
        <v>-8.5006579553237316E-8</v>
      </c>
      <c r="G49" s="1">
        <f>[1]Results!J1409</f>
        <v>-4.2375669639937996E-8</v>
      </c>
      <c r="H49" s="1">
        <f>[1]Results!K1409</f>
        <v>-3.9198944090657051E-8</v>
      </c>
      <c r="I49" s="1">
        <f>[1]Results!L1409</f>
        <v>-3.5563851863429363E-8</v>
      </c>
      <c r="J49" s="1">
        <f>[1]Results!M1409</f>
        <v>-0.22443453657122747</v>
      </c>
      <c r="K49" s="1">
        <f>[1]Results!N1409</f>
        <v>-1.0823214105371015E-2</v>
      </c>
      <c r="L49" s="1">
        <f>[1]Results!O1409</f>
        <v>-0.10214348037067555</v>
      </c>
      <c r="M49" s="1">
        <f>[1]Results!P1409</f>
        <v>-0.33234998787194936</v>
      </c>
      <c r="N49" s="1">
        <f>[1]Results!Q1409</f>
        <v>-0.5922389842818454</v>
      </c>
      <c r="O49" s="1">
        <f>[1]Results!R1409</f>
        <v>-1.0004499565018921</v>
      </c>
      <c r="P49" s="1">
        <f>[1]Results!S1409</f>
        <v>-1.5350301150760914</v>
      </c>
      <c r="Q49" s="1">
        <f>[1]Results!T1409</f>
        <v>-2.1809292062187513</v>
      </c>
      <c r="R49" s="1">
        <f>[1]Results!U1409</f>
        <v>-2.9183979660375838</v>
      </c>
      <c r="S49" s="1">
        <f>[1]Results!V1409</f>
        <v>-3.7287417070281244</v>
      </c>
      <c r="T49" s="1">
        <f>[1]Results!W1409</f>
        <v>-4.5679602833507662</v>
      </c>
      <c r="U49" s="1">
        <f>[1]Results!X1409</f>
        <v>-5.4253801826285004</v>
      </c>
      <c r="V49" s="1">
        <f>[1]Results!Y1409</f>
        <v>-6.2930838657171098</v>
      </c>
      <c r="W49" s="1">
        <f>[1]Results!Z1409</f>
        <v>-7.1632332421269762</v>
      </c>
      <c r="X49" s="1">
        <f>[1]Results!AA1409</f>
        <v>-8.021372748019802</v>
      </c>
      <c r="Y49" s="1">
        <f>[1]Results!AB1409</f>
        <v>-8.8561459537622795</v>
      </c>
      <c r="Z49" s="1">
        <f>[1]Results!AC1409</f>
        <v>-9.6568385423647154</v>
      </c>
      <c r="AA49" s="1">
        <f>[1]Results!AD1409</f>
        <v>-10.415177992177139</v>
      </c>
      <c r="AB49" s="1">
        <f>[1]Results!AE1409</f>
        <v>-11.131701820109324</v>
      </c>
      <c r="AC49" s="1">
        <f>[1]Results!AF1409</f>
        <v>-11.787039247357868</v>
      </c>
      <c r="AD49" s="1">
        <f>[1]Results!AG1409</f>
        <v>-12.376026082376935</v>
      </c>
      <c r="AE49" s="1">
        <f>[1]Results!AH1409</f>
        <v>-12.89859200580557</v>
      </c>
      <c r="AF49" s="1">
        <f>[1]Results!AI1409</f>
        <v>-13.36002828571935</v>
      </c>
      <c r="AG49" s="1">
        <f>[1]Results!AJ1409</f>
        <v>-13.768474584904434</v>
      </c>
      <c r="AH49" s="1">
        <f>[1]Results!AK1409</f>
        <v>-14.131007290369757</v>
      </c>
      <c r="AI49" s="1">
        <f>[1]Results!AL1409</f>
        <v>-14.455243489428081</v>
      </c>
      <c r="AJ49" s="1">
        <f>[1]Results!AM1409</f>
        <v>-14.754023100553093</v>
      </c>
      <c r="AK49" s="1">
        <f>[1]Results!AN1409</f>
        <v>-15.042142476527321</v>
      </c>
      <c r="AL49" s="1">
        <f>[1]Results!AO1409</f>
        <v>-15.33540947770452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2197953.023</v>
      </c>
      <c r="D50" s="1">
        <f>[1]Results!G1410</f>
        <v>2239235.8280000002</v>
      </c>
      <c r="E50" s="1">
        <f>[1]Results!H1410</f>
        <v>2285523.7209999999</v>
      </c>
      <c r="F50" s="1">
        <f>[1]Results!I1410</f>
        <v>2336256.3029999998</v>
      </c>
      <c r="G50" s="1">
        <f>[1]Results!J1410</f>
        <v>2390453.9909999999</v>
      </c>
      <c r="H50" s="1">
        <f>[1]Results!K1410</f>
        <v>2447753.173</v>
      </c>
      <c r="I50" s="1">
        <f>[1]Results!L1410</f>
        <v>2506089.193</v>
      </c>
      <c r="J50" s="1">
        <f>[1]Results!M1410</f>
        <v>2559887.35</v>
      </c>
      <c r="K50" s="1">
        <f>[1]Results!N1410</f>
        <v>2614586.605</v>
      </c>
      <c r="L50" s="1">
        <f>[1]Results!O1410</f>
        <v>2680079.7250000001</v>
      </c>
      <c r="M50" s="1">
        <f>[1]Results!P1410</f>
        <v>2747443.5389999999</v>
      </c>
      <c r="N50" s="1">
        <f>[1]Results!Q1410</f>
        <v>2807288.844</v>
      </c>
      <c r="O50" s="1">
        <f>[1]Results!R1410</f>
        <v>2861881.13</v>
      </c>
      <c r="P50" s="1">
        <f>[1]Results!S1410</f>
        <v>2912410.727</v>
      </c>
      <c r="Q50" s="1">
        <f>[1]Results!T1410</f>
        <v>2960622.2069999999</v>
      </c>
      <c r="R50" s="1">
        <f>[1]Results!U1410</f>
        <v>3007666.0040000002</v>
      </c>
      <c r="S50" s="1">
        <f>[1]Results!V1410</f>
        <v>3054501.1269999999</v>
      </c>
      <c r="T50" s="1">
        <f>[1]Results!W1410</f>
        <v>3102619.2829999998</v>
      </c>
      <c r="U50" s="1">
        <f>[1]Results!X1410</f>
        <v>3153044.1570000001</v>
      </c>
      <c r="V50" s="1">
        <f>[1]Results!Y1410</f>
        <v>3206493.5720000002</v>
      </c>
      <c r="W50" s="1">
        <f>[1]Results!Z1410</f>
        <v>3262375.946</v>
      </c>
      <c r="X50" s="1">
        <f>[1]Results!AA1410</f>
        <v>3323307.625</v>
      </c>
      <c r="Y50" s="1">
        <f>[1]Results!AB1410</f>
        <v>3389267.4470000002</v>
      </c>
      <c r="Z50" s="1">
        <f>[1]Results!AC1410</f>
        <v>3460723.7409999999</v>
      </c>
      <c r="AA50" s="1">
        <f>[1]Results!AD1410</f>
        <v>3537841.0860000001</v>
      </c>
      <c r="AB50" s="1">
        <f>[1]Results!AE1410</f>
        <v>3617109.5869999998</v>
      </c>
      <c r="AC50" s="1">
        <f>[1]Results!AF1410</f>
        <v>3703094.7760000001</v>
      </c>
      <c r="AD50" s="1">
        <f>[1]Results!AG1410</f>
        <v>3795217.0320000001</v>
      </c>
      <c r="AE50" s="1">
        <f>[1]Results!AH1410</f>
        <v>3893826.2549999999</v>
      </c>
      <c r="AF50" s="1">
        <f>[1]Results!AI1410</f>
        <v>3998649.9980000001</v>
      </c>
      <c r="AG50" s="1">
        <f>[1]Results!AJ1410</f>
        <v>4109058.8190000001</v>
      </c>
      <c r="AH50" s="1">
        <f>[1]Results!AK1410</f>
        <v>4224433.5959999999</v>
      </c>
      <c r="AI50" s="1">
        <f>[1]Results!AL1410</f>
        <v>4344240.8380000005</v>
      </c>
      <c r="AJ50" s="1">
        <f>[1]Results!AM1410</f>
        <v>4467965.7089999998</v>
      </c>
      <c r="AK50" s="1">
        <f>[1]Results!AN1410</f>
        <v>4595088.9740000004</v>
      </c>
      <c r="AL50" s="1">
        <f>[1]Results!AO1410</f>
        <v>4725056.7630000003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3.7312308798220784E-8</v>
      </c>
      <c r="M51" s="1">
        <f>[1]Results!P1411</f>
        <v>3.6397485025929655E-8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-3.1715385873098967E-8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-2.7004443126088518E-8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2.3671820059689708E-8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1178854.173</v>
      </c>
      <c r="D52" s="1">
        <f>[1]Results!G1412</f>
        <v>1219276.612</v>
      </c>
      <c r="E52" s="1">
        <f>[1]Results!H1412</f>
        <v>1258357.8740000001</v>
      </c>
      <c r="F52" s="1">
        <f>[1]Results!I1412</f>
        <v>1300097.331</v>
      </c>
      <c r="G52" s="1">
        <f>[1]Results!J1412</f>
        <v>1343880.602</v>
      </c>
      <c r="H52" s="1">
        <f>[1]Results!K1412</f>
        <v>1386767.0430000001</v>
      </c>
      <c r="I52" s="1">
        <f>[1]Results!L1412</f>
        <v>1430567.4809999999</v>
      </c>
      <c r="J52" s="1">
        <f>[1]Results!M1412</f>
        <v>1484447.6850000001</v>
      </c>
      <c r="K52" s="1">
        <f>[1]Results!N1412</f>
        <v>1551984.5759999999</v>
      </c>
      <c r="L52" s="1">
        <f>[1]Results!O1412</f>
        <v>1616622.828</v>
      </c>
      <c r="M52" s="1">
        <f>[1]Results!P1412</f>
        <v>1686813.0589999999</v>
      </c>
      <c r="N52" s="1">
        <f>[1]Results!Q1412</f>
        <v>1754302.3740000001</v>
      </c>
      <c r="O52" s="1">
        <f>[1]Results!R1412</f>
        <v>1818039.831</v>
      </c>
      <c r="P52" s="1">
        <f>[1]Results!S1412</f>
        <v>1879819.541</v>
      </c>
      <c r="Q52" s="1">
        <f>[1]Results!T1412</f>
        <v>1939332.4569999999</v>
      </c>
      <c r="R52" s="1">
        <f>[1]Results!U1412</f>
        <v>1996445.328</v>
      </c>
      <c r="S52" s="1">
        <f>[1]Results!V1412</f>
        <v>2051665.7039999999</v>
      </c>
      <c r="T52" s="1">
        <f>[1]Results!W1412</f>
        <v>2104971.0580000002</v>
      </c>
      <c r="U52" s="1">
        <f>[1]Results!X1412</f>
        <v>2155802.5430000001</v>
      </c>
      <c r="V52" s="1">
        <f>[1]Results!Y1412</f>
        <v>2204354.0419999999</v>
      </c>
      <c r="W52" s="1">
        <f>[1]Results!Z1412</f>
        <v>2248133.4569999999</v>
      </c>
      <c r="X52" s="1">
        <f>[1]Results!AA1412</f>
        <v>2292916.767</v>
      </c>
      <c r="Y52" s="1">
        <f>[1]Results!AB1412</f>
        <v>2336124.679</v>
      </c>
      <c r="Z52" s="1">
        <f>[1]Results!AC1412</f>
        <v>2377854.1009999998</v>
      </c>
      <c r="AA52" s="1">
        <f>[1]Results!AD1412</f>
        <v>2418320.3539999998</v>
      </c>
      <c r="AB52" s="1">
        <f>[1]Results!AE1412</f>
        <v>2449179.8509999998</v>
      </c>
      <c r="AC52" s="1">
        <f>[1]Results!AF1412</f>
        <v>2483926.7310000001</v>
      </c>
      <c r="AD52" s="1">
        <f>[1]Results!AG1412</f>
        <v>2517996.9580000001</v>
      </c>
      <c r="AE52" s="1">
        <f>[1]Results!AH1412</f>
        <v>2550947.1469999999</v>
      </c>
      <c r="AF52" s="1">
        <f>[1]Results!AI1412</f>
        <v>2582493.2689999999</v>
      </c>
      <c r="AG52" s="1">
        <f>[1]Results!AJ1412</f>
        <v>2612352.41</v>
      </c>
      <c r="AH52" s="1">
        <f>[1]Results!AK1412</f>
        <v>2640221.818</v>
      </c>
      <c r="AI52" s="1">
        <f>[1]Results!AL1412</f>
        <v>2665476.2220000001</v>
      </c>
      <c r="AJ52" s="1">
        <f>[1]Results!AM1412</f>
        <v>2687166.5070000002</v>
      </c>
      <c r="AK52" s="1">
        <f>[1]Results!AN1412</f>
        <v>2704637.426</v>
      </c>
      <c r="AL52" s="1">
        <f>[1]Results!AO1412</f>
        <v>2717129.9219999998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1011152.647</v>
      </c>
      <c r="D53" s="1">
        <f>[1]Results!G1413</f>
        <v>1048702.554</v>
      </c>
      <c r="E53" s="1">
        <f>[1]Results!H1413</f>
        <v>1091835.8400000001</v>
      </c>
      <c r="F53" s="1">
        <f>[1]Results!I1413</f>
        <v>1140624.4909999999</v>
      </c>
      <c r="G53" s="1">
        <f>[1]Results!J1413</f>
        <v>1194168.9450000001</v>
      </c>
      <c r="H53" s="1">
        <f>[1]Results!K1413</f>
        <v>1252265.6629999999</v>
      </c>
      <c r="I53" s="1">
        <f>[1]Results!L1413</f>
        <v>1314907.2039999999</v>
      </c>
      <c r="J53" s="1">
        <f>[1]Results!M1413</f>
        <v>1384976.517</v>
      </c>
      <c r="K53" s="1">
        <f>[1]Results!N1413</f>
        <v>1462311.544</v>
      </c>
      <c r="L53" s="1">
        <f>[1]Results!O1413</f>
        <v>1551646.8970000001</v>
      </c>
      <c r="M53" s="1">
        <f>[1]Results!P1413</f>
        <v>1652412.2009999999</v>
      </c>
      <c r="N53" s="1">
        <f>[1]Results!Q1413</f>
        <v>1757211.5630000001</v>
      </c>
      <c r="O53" s="1">
        <f>[1]Results!R1413</f>
        <v>1862430.949</v>
      </c>
      <c r="P53" s="1">
        <f>[1]Results!S1413</f>
        <v>1965299.047</v>
      </c>
      <c r="Q53" s="1">
        <f>[1]Results!T1413</f>
        <v>2064432.5160000001</v>
      </c>
      <c r="R53" s="1">
        <f>[1]Results!U1413</f>
        <v>2159213.7990000001</v>
      </c>
      <c r="S53" s="1">
        <f>[1]Results!V1413</f>
        <v>2249606.699</v>
      </c>
      <c r="T53" s="1">
        <f>[1]Results!W1413</f>
        <v>2336438.7140000002</v>
      </c>
      <c r="U53" s="1">
        <f>[1]Results!X1413</f>
        <v>2420474.7930000001</v>
      </c>
      <c r="V53" s="1">
        <f>[1]Results!Y1413</f>
        <v>2502584.193</v>
      </c>
      <c r="W53" s="1">
        <f>[1]Results!Z1413</f>
        <v>2582894.253</v>
      </c>
      <c r="X53" s="1">
        <f>[1]Results!AA1413</f>
        <v>2663987.6170000001</v>
      </c>
      <c r="Y53" s="1">
        <f>[1]Results!AB1413</f>
        <v>2746991.1159999999</v>
      </c>
      <c r="Z53" s="1">
        <f>[1]Results!AC1413</f>
        <v>2833431.9369999999</v>
      </c>
      <c r="AA53" s="1">
        <f>[1]Results!AD1413</f>
        <v>2924762.75</v>
      </c>
      <c r="AB53" s="1">
        <f>[1]Results!AE1413</f>
        <v>3019667.827</v>
      </c>
      <c r="AC53" s="1">
        <f>[1]Results!AF1413</f>
        <v>3122879.2820000001</v>
      </c>
      <c r="AD53" s="1">
        <f>[1]Results!AG1413</f>
        <v>3236148.17</v>
      </c>
      <c r="AE53" s="1">
        <f>[1]Results!AH1413</f>
        <v>3361750.9169999999</v>
      </c>
      <c r="AF53" s="1">
        <f>[1]Results!AI1413</f>
        <v>3501350.2209999999</v>
      </c>
      <c r="AG53" s="1">
        <f>[1]Results!AJ1413</f>
        <v>3655964.3679999998</v>
      </c>
      <c r="AH53" s="1">
        <f>[1]Results!AK1413</f>
        <v>3826321.7</v>
      </c>
      <c r="AI53" s="1">
        <f>[1]Results!AL1413</f>
        <v>4013052.554</v>
      </c>
      <c r="AJ53" s="1">
        <f>[1]Results!AM1413</f>
        <v>4216568.1550000003</v>
      </c>
      <c r="AK53" s="1">
        <f>[1]Results!AN1413</f>
        <v>4437091.4879999999</v>
      </c>
      <c r="AL53" s="1">
        <f>[1]Results!AO1413</f>
        <v>4674653.3849999998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-65724.458440000002</v>
      </c>
      <c r="D54" s="1">
        <f>[1]Results!G1414</f>
        <v>-65310.767570000004</v>
      </c>
      <c r="E54" s="1">
        <f>[1]Results!H1414</f>
        <v>-57993.205040000001</v>
      </c>
      <c r="F54" s="1">
        <f>[1]Results!I1414</f>
        <v>-48044.35082</v>
      </c>
      <c r="G54" s="1">
        <f>[1]Results!J1414</f>
        <v>-35880.949999999997</v>
      </c>
      <c r="H54" s="1">
        <f>[1]Results!K1414</f>
        <v>-18876.62543</v>
      </c>
      <c r="I54" s="1">
        <f>[1]Results!L1414</f>
        <v>908.30906619999996</v>
      </c>
      <c r="J54" s="1">
        <f>[1]Results!M1414</f>
        <v>17052.001960000001</v>
      </c>
      <c r="K54" s="1">
        <f>[1]Results!N1414</f>
        <v>25997.537199999999</v>
      </c>
      <c r="L54" s="1">
        <f>[1]Results!O1414</f>
        <v>49394.761599999998</v>
      </c>
      <c r="M54" s="1">
        <f>[1]Results!P1414</f>
        <v>77500.097320000001</v>
      </c>
      <c r="N54" s="1">
        <f>[1]Results!Q1414</f>
        <v>110935.1398</v>
      </c>
      <c r="O54" s="1">
        <f>[1]Results!R1414</f>
        <v>146870.3119</v>
      </c>
      <c r="P54" s="1">
        <f>[1]Results!S1414</f>
        <v>180615.18410000001</v>
      </c>
      <c r="Q54" s="1">
        <f>[1]Results!T1414</f>
        <v>211204.97719999999</v>
      </c>
      <c r="R54" s="1">
        <f>[1]Results!U1414</f>
        <v>238313.14009999999</v>
      </c>
      <c r="S54" s="1">
        <f>[1]Results!V1414</f>
        <v>261570.0079</v>
      </c>
      <c r="T54" s="1">
        <f>[1]Results!W1414</f>
        <v>282018.1679</v>
      </c>
      <c r="U54" s="1">
        <f>[1]Results!X1414</f>
        <v>301121.8541</v>
      </c>
      <c r="V54" s="1">
        <f>[1]Results!Y1414</f>
        <v>319623.66210000002</v>
      </c>
      <c r="W54" s="1">
        <f>[1]Results!Z1414</f>
        <v>340173.12459999998</v>
      </c>
      <c r="X54" s="1">
        <f>[1]Results!AA1414</f>
        <v>359474.522</v>
      </c>
      <c r="Y54" s="1">
        <f>[1]Results!AB1414</f>
        <v>381296.38179999997</v>
      </c>
      <c r="Z54" s="1">
        <f>[1]Results!AC1414</f>
        <v>406942.9621</v>
      </c>
      <c r="AA54" s="1">
        <f>[1]Results!AD1414</f>
        <v>437460.37439999997</v>
      </c>
      <c r="AB54" s="1">
        <f>[1]Results!AE1414</f>
        <v>479632.93599999999</v>
      </c>
      <c r="AC54" s="1">
        <f>[1]Results!AF1414</f>
        <v>524115.86330000003</v>
      </c>
      <c r="AD54" s="1">
        <f>[1]Results!AG1414</f>
        <v>577108.73219999997</v>
      </c>
      <c r="AE54" s="1">
        <f>[1]Results!AH1414</f>
        <v>640905.853</v>
      </c>
      <c r="AF54" s="1">
        <f>[1]Results!AI1414</f>
        <v>716913.74219999998</v>
      </c>
      <c r="AG54" s="1">
        <f>[1]Results!AJ1414</f>
        <v>805823.06090000004</v>
      </c>
      <c r="AH54" s="1">
        <f>[1]Results!AK1414</f>
        <v>908019.83239999996</v>
      </c>
      <c r="AI54" s="1">
        <f>[1]Results!AL1414</f>
        <v>1024095.29</v>
      </c>
      <c r="AJ54" s="1">
        <f>[1]Results!AM1414</f>
        <v>1154715.8419999999</v>
      </c>
      <c r="AK54" s="1">
        <f>[1]Results!AN1414</f>
        <v>1300032.4650000001</v>
      </c>
      <c r="AL54" s="1">
        <f>[1]Results!AO1414</f>
        <v>1460100.2420000001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2105265.8119999999</v>
      </c>
      <c r="D55" s="1">
        <f>[1]Results!G1415</f>
        <v>2170576.5789999999</v>
      </c>
      <c r="E55" s="1">
        <f>[1]Results!H1415</f>
        <v>2228569.784</v>
      </c>
      <c r="F55" s="1">
        <f>[1]Results!I1415</f>
        <v>2276614.1349999998</v>
      </c>
      <c r="G55" s="1">
        <f>[1]Results!J1415</f>
        <v>2312495.085</v>
      </c>
      <c r="H55" s="1">
        <f>[1]Results!K1415</f>
        <v>2331371.7110000001</v>
      </c>
      <c r="I55" s="1">
        <f>[1]Results!L1415</f>
        <v>2330463.4019999998</v>
      </c>
      <c r="J55" s="1">
        <f>[1]Results!M1415</f>
        <v>2313411.4</v>
      </c>
      <c r="K55" s="1">
        <f>[1]Results!N1415</f>
        <v>2287413.8629999999</v>
      </c>
      <c r="L55" s="1">
        <f>[1]Results!O1415</f>
        <v>2238019.1009999998</v>
      </c>
      <c r="M55" s="1">
        <f>[1]Results!P1415</f>
        <v>2160519.0040000002</v>
      </c>
      <c r="N55" s="1">
        <f>[1]Results!Q1415</f>
        <v>2049583.8640000001</v>
      </c>
      <c r="O55" s="1">
        <f>[1]Results!R1415</f>
        <v>1902713.5519999999</v>
      </c>
      <c r="P55" s="1">
        <f>[1]Results!S1415</f>
        <v>1722098.368</v>
      </c>
      <c r="Q55" s="1">
        <f>[1]Results!T1415</f>
        <v>1510893.3910000001</v>
      </c>
      <c r="R55" s="1">
        <f>[1]Results!U1415</f>
        <v>1272580.25</v>
      </c>
      <c r="S55" s="1">
        <f>[1]Results!V1415</f>
        <v>1011010.242</v>
      </c>
      <c r="T55" s="1">
        <f>[1]Results!W1415</f>
        <v>728992.07460000005</v>
      </c>
      <c r="U55" s="1">
        <f>[1]Results!X1415</f>
        <v>427870.22039999999</v>
      </c>
      <c r="V55" s="1">
        <f>[1]Results!Y1415</f>
        <v>108246.55839999999</v>
      </c>
      <c r="W55" s="1">
        <f>[1]Results!Z1415</f>
        <v>-231926.56630000001</v>
      </c>
      <c r="X55" s="1">
        <f>[1]Results!AA1415</f>
        <v>-591401.08829999994</v>
      </c>
      <c r="Y55" s="1">
        <f>[1]Results!AB1415</f>
        <v>-972697.47</v>
      </c>
      <c r="Z55" s="1">
        <f>[1]Results!AC1415</f>
        <v>-1379640.432</v>
      </c>
      <c r="AA55" s="1">
        <f>[1]Results!AD1415</f>
        <v>-1817100.807</v>
      </c>
      <c r="AB55" s="1">
        <f>[1]Results!AE1415</f>
        <v>-2296733.7420000001</v>
      </c>
      <c r="AC55" s="1">
        <f>[1]Results!AF1415</f>
        <v>-2820849.6060000001</v>
      </c>
      <c r="AD55" s="1">
        <f>[1]Results!AG1415</f>
        <v>-3397958.338</v>
      </c>
      <c r="AE55" s="1">
        <f>[1]Results!AH1415</f>
        <v>-4038864.1910000001</v>
      </c>
      <c r="AF55" s="1">
        <f>[1]Results!AI1415</f>
        <v>-4755777.9330000002</v>
      </c>
      <c r="AG55" s="1">
        <f>[1]Results!AJ1415</f>
        <v>-5561600.9939999999</v>
      </c>
      <c r="AH55" s="1">
        <f>[1]Results!AK1415</f>
        <v>-6469620.8260000004</v>
      </c>
      <c r="AI55" s="1">
        <f>[1]Results!AL1415</f>
        <v>-7493716.1169999996</v>
      </c>
      <c r="AJ55" s="1">
        <f>[1]Results!AM1415</f>
        <v>-8648431.9590000007</v>
      </c>
      <c r="AK55" s="1">
        <f>[1]Results!AN1415</f>
        <v>-9948464.4240000006</v>
      </c>
      <c r="AL55" s="1">
        <f>[1]Results!AO1415</f>
        <v>-11408564.67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49</v>
      </c>
      <c r="B58" t="s">
        <v>4</v>
      </c>
      <c r="C58" s="1">
        <f>[1]Results!F1731</f>
        <v>1202789.014</v>
      </c>
      <c r="D58" s="1">
        <f>[1]Results!G1731</f>
        <v>1221917.1100000001</v>
      </c>
      <c r="E58" s="1">
        <f>[1]Results!H1731</f>
        <v>1245829.2919999999</v>
      </c>
      <c r="F58" s="1">
        <f>[1]Results!I1731</f>
        <v>1273704.781</v>
      </c>
      <c r="G58" s="1">
        <f>[1]Results!J1731</f>
        <v>1304387.317</v>
      </c>
      <c r="H58" s="1">
        <f>[1]Results!K1731</f>
        <v>1337354.892</v>
      </c>
      <c r="I58" s="1">
        <f>[1]Results!L1731</f>
        <v>1370805.483</v>
      </c>
      <c r="J58" s="1">
        <f>[1]Results!M1731</f>
        <v>1404691.193</v>
      </c>
      <c r="K58" s="1">
        <f>[1]Results!N1731</f>
        <v>1439167.4010000001</v>
      </c>
      <c r="L58" s="1">
        <f>[1]Results!O1731</f>
        <v>1474400.1540000001</v>
      </c>
      <c r="M58" s="1">
        <f>[1]Results!P1731</f>
        <v>1511003.273</v>
      </c>
      <c r="N58" s="1">
        <f>[1]Results!Q1731</f>
        <v>1546561.855</v>
      </c>
      <c r="O58" s="1">
        <f>[1]Results!R1731</f>
        <v>1580195.321</v>
      </c>
      <c r="P58" s="1">
        <f>[1]Results!S1731</f>
        <v>1611336.487</v>
      </c>
      <c r="Q58" s="1">
        <f>[1]Results!T1731</f>
        <v>1639789.5819999999</v>
      </c>
      <c r="R58" s="1">
        <f>[1]Results!U1731</f>
        <v>1665729.977</v>
      </c>
      <c r="S58" s="1">
        <f>[1]Results!V1731</f>
        <v>1690529.095</v>
      </c>
      <c r="T58" s="1">
        <f>[1]Results!W1731</f>
        <v>1714806.2290000001</v>
      </c>
      <c r="U58" s="1">
        <f>[1]Results!X1731</f>
        <v>1738974.0360000001</v>
      </c>
      <c r="V58" s="1">
        <f>[1]Results!Y1731</f>
        <v>1763405.737</v>
      </c>
      <c r="W58" s="1">
        <f>[1]Results!Z1731</f>
        <v>1787834.9790000001</v>
      </c>
      <c r="X58" s="1">
        <f>[1]Results!AA1731</f>
        <v>1813600.6170000001</v>
      </c>
      <c r="Y58" s="1">
        <f>[1]Results!AB1731</f>
        <v>1841087.872</v>
      </c>
      <c r="Z58" s="1">
        <f>[1]Results!AC1731</f>
        <v>1870703.7690000001</v>
      </c>
      <c r="AA58" s="1">
        <f>[1]Results!AD1731</f>
        <v>1902734.101</v>
      </c>
      <c r="AB58" s="1">
        <f>[1]Results!AE1731</f>
        <v>1935502.871</v>
      </c>
      <c r="AC58" s="1">
        <f>[1]Results!AF1731</f>
        <v>1970880.81</v>
      </c>
      <c r="AD58" s="1">
        <f>[1]Results!AG1731</f>
        <v>2009201.5549999999</v>
      </c>
      <c r="AE58" s="1">
        <f>[1]Results!AH1731</f>
        <v>2050858.122</v>
      </c>
      <c r="AF58" s="1">
        <f>[1]Results!AI1731</f>
        <v>2096160.497</v>
      </c>
      <c r="AG58" s="1">
        <f>[1]Results!AJ1731</f>
        <v>2145151.1690000002</v>
      </c>
      <c r="AH58" s="1">
        <f>[1]Results!AK1731</f>
        <v>2197629.4279999998</v>
      </c>
      <c r="AI58" s="1">
        <f>[1]Results!AL1731</f>
        <v>2253227.6129999999</v>
      </c>
      <c r="AJ58" s="1">
        <f>[1]Results!AM1731</f>
        <v>2311466.5440000002</v>
      </c>
      <c r="AK58" s="1">
        <f>[1]Results!AN1731</f>
        <v>2371793.7310000001</v>
      </c>
      <c r="AL58" s="1">
        <f>[1]Results!AO1731</f>
        <v>2433604.86</v>
      </c>
    </row>
    <row r="59" spans="1:38" x14ac:dyDescent="0.35">
      <c r="A59" s="14"/>
      <c r="B59" t="s">
        <v>6</v>
      </c>
      <c r="C59" s="1">
        <f>[1]Results!F1702</f>
        <v>1202789.014</v>
      </c>
      <c r="D59" s="1">
        <f>[1]Results!G1702</f>
        <v>1221917.1100000001</v>
      </c>
      <c r="E59" s="1">
        <f>[1]Results!H1702</f>
        <v>1245829.2919999999</v>
      </c>
      <c r="F59" s="1">
        <f>[1]Results!I1702</f>
        <v>1273704.7819999999</v>
      </c>
      <c r="G59" s="1">
        <f>[1]Results!J1702</f>
        <v>1304387.318</v>
      </c>
      <c r="H59" s="1">
        <f>[1]Results!K1702</f>
        <v>1337354.892</v>
      </c>
      <c r="I59" s="1">
        <f>[1]Results!L1702</f>
        <v>1370805.483</v>
      </c>
      <c r="J59" s="1">
        <f>[1]Results!M1702</f>
        <v>1404084.031</v>
      </c>
      <c r="K59" s="1">
        <f>[1]Results!N1702</f>
        <v>1437355.834</v>
      </c>
      <c r="L59" s="1">
        <f>[1]Results!O1702</f>
        <v>1473401.487</v>
      </c>
      <c r="M59" s="1">
        <f>[1]Results!P1702</f>
        <v>1513245.841</v>
      </c>
      <c r="N59" s="1">
        <f>[1]Results!Q1702</f>
        <v>1553851.8489999999</v>
      </c>
      <c r="O59" s="1">
        <f>[1]Results!R1702</f>
        <v>1593966.456</v>
      </c>
      <c r="P59" s="1">
        <f>[1]Results!S1702</f>
        <v>1632164.0730000001</v>
      </c>
      <c r="Q59" s="1">
        <f>[1]Results!T1702</f>
        <v>1667689.2069999999</v>
      </c>
      <c r="R59" s="1">
        <f>[1]Results!U1702</f>
        <v>1700436.6310000001</v>
      </c>
      <c r="S59" s="1">
        <f>[1]Results!V1702</f>
        <v>1731441.4169999999</v>
      </c>
      <c r="T59" s="1">
        <f>[1]Results!W1702</f>
        <v>1761033.4709999999</v>
      </c>
      <c r="U59" s="1">
        <f>[1]Results!X1702</f>
        <v>1789800.9129999999</v>
      </c>
      <c r="V59" s="1">
        <f>[1]Results!Y1702</f>
        <v>1818290.878</v>
      </c>
      <c r="W59" s="1">
        <f>[1]Results!Z1702</f>
        <v>1846314.3160000001</v>
      </c>
      <c r="X59" s="1">
        <f>[1]Results!AA1702</f>
        <v>1875202.0209999999</v>
      </c>
      <c r="Y59" s="1">
        <f>[1]Results!AB1702</f>
        <v>1905332.4879999999</v>
      </c>
      <c r="Z59" s="1">
        <f>[1]Results!AC1702</f>
        <v>1937180.814</v>
      </c>
      <c r="AA59" s="1">
        <f>[1]Results!AD1702</f>
        <v>1971094.3489999999</v>
      </c>
      <c r="AB59" s="1">
        <f>[1]Results!AE1702</f>
        <v>2005375.922</v>
      </c>
      <c r="AC59" s="1">
        <f>[1]Results!AF1702</f>
        <v>2041779.625</v>
      </c>
      <c r="AD59" s="1">
        <f>[1]Results!AG1702</f>
        <v>2080533.3370000001</v>
      </c>
      <c r="AE59" s="1">
        <f>[1]Results!AH1702</f>
        <v>2122209.895</v>
      </c>
      <c r="AF59" s="1">
        <f>[1]Results!AI1702</f>
        <v>2167305.8139999998</v>
      </c>
      <c r="AG59" s="1">
        <f>[1]Results!AJ1702</f>
        <v>2215989.8859999999</v>
      </c>
      <c r="AH59" s="1">
        <f>[1]Results!AK1702</f>
        <v>2268067.0550000002</v>
      </c>
      <c r="AI59" s="1">
        <f>[1]Results!AL1702</f>
        <v>2323165.5449999999</v>
      </c>
      <c r="AJ59" s="1">
        <f>[1]Results!AM1702</f>
        <v>2380951.1</v>
      </c>
      <c r="AK59" s="1">
        <f>[1]Results!AN1702</f>
        <v>2441050.2400000002</v>
      </c>
      <c r="AL59" s="1">
        <f>[1]Results!AO1702</f>
        <v>2503014.4249999998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2.5274375617069911E-2</v>
      </c>
      <c r="I60" s="4">
        <f t="shared" si="0"/>
        <v>2.501250131890953E-2</v>
      </c>
      <c r="J60" s="4">
        <f t="shared" si="0"/>
        <v>2.4719561177885874E-2</v>
      </c>
      <c r="K60" s="4">
        <f t="shared" si="0"/>
        <v>2.4543620812748967E-2</v>
      </c>
      <c r="L60" s="4">
        <f t="shared" si="0"/>
        <v>2.448134454374018E-2</v>
      </c>
      <c r="M60" s="4">
        <f t="shared" si="0"/>
        <v>2.4825769924600838E-2</v>
      </c>
      <c r="N60" s="4">
        <f t="shared" si="0"/>
        <v>2.3533093961736196E-2</v>
      </c>
      <c r="O60" s="4">
        <f t="shared" si="0"/>
        <v>2.174724915868298E-2</v>
      </c>
      <c r="P60" s="4">
        <f t="shared" si="0"/>
        <v>1.970716251728466E-2</v>
      </c>
      <c r="Q60" s="4">
        <f t="shared" si="0"/>
        <v>1.7658071563298572E-2</v>
      </c>
      <c r="R60" s="4">
        <f t="shared" si="0"/>
        <v>1.5819343704063238E-2</v>
      </c>
      <c r="S60" s="4">
        <f t="shared" si="0"/>
        <v>1.4887837970391615E-2</v>
      </c>
      <c r="T60" s="4">
        <f t="shared" si="0"/>
        <v>1.4360672094791749E-2</v>
      </c>
      <c r="U60" s="4">
        <f t="shared" si="0"/>
        <v>1.4093608123930013E-2</v>
      </c>
      <c r="V60" s="4">
        <f>V58/U58-1</f>
        <v>1.404949153593904E-2</v>
      </c>
      <c r="W60" s="4">
        <f t="shared" ref="W60:AL60" si="1">W58/V58-1</f>
        <v>1.385344364454677E-2</v>
      </c>
      <c r="X60" s="4">
        <f t="shared" si="1"/>
        <v>1.4411642183224105E-2</v>
      </c>
      <c r="Y60" s="4">
        <f t="shared" si="1"/>
        <v>1.5156178677016685E-2</v>
      </c>
      <c r="Z60" s="4">
        <f t="shared" si="1"/>
        <v>1.6086085542363682E-2</v>
      </c>
      <c r="AA60" s="4">
        <f t="shared" si="1"/>
        <v>1.7122075943174053E-2</v>
      </c>
      <c r="AB60" s="4">
        <f t="shared" si="1"/>
        <v>1.7221938673815718E-2</v>
      </c>
      <c r="AC60" s="4">
        <f t="shared" si="1"/>
        <v>1.8278422383182225E-2</v>
      </c>
      <c r="AD60" s="4">
        <f t="shared" si="1"/>
        <v>1.9443461423727548E-2</v>
      </c>
      <c r="AE60" s="4">
        <f t="shared" si="1"/>
        <v>2.0732896058305084E-2</v>
      </c>
      <c r="AF60" s="4">
        <f t="shared" si="1"/>
        <v>2.208947294502317E-2</v>
      </c>
      <c r="AG60" s="4">
        <f t="shared" si="1"/>
        <v>2.3371622578574058E-2</v>
      </c>
      <c r="AH60" s="4">
        <f t="shared" si="1"/>
        <v>2.4463664732990997E-2</v>
      </c>
      <c r="AI60" s="4">
        <f t="shared" si="1"/>
        <v>2.5299162948777321E-2</v>
      </c>
      <c r="AJ60" s="4">
        <f t="shared" si="1"/>
        <v>2.5846892104459673E-2</v>
      </c>
      <c r="AK60" s="4">
        <f t="shared" si="1"/>
        <v>2.6099095899352109E-2</v>
      </c>
      <c r="AL60" s="4">
        <f t="shared" si="1"/>
        <v>2.6060920978123514E-2</v>
      </c>
    </row>
    <row r="61" spans="1:38" x14ac:dyDescent="0.35">
      <c r="A61" s="16" t="s">
        <v>3</v>
      </c>
      <c r="B61" t="s">
        <v>4</v>
      </c>
      <c r="C61" s="1">
        <f>[1]Results!F1789</f>
        <v>1.0019287059999999</v>
      </c>
      <c r="D61" s="1">
        <f>[1]Results!G1789</f>
        <v>1.021495877</v>
      </c>
      <c r="E61" s="1">
        <f>[1]Results!H1789</f>
        <v>1.0418904229999999</v>
      </c>
      <c r="F61" s="1">
        <f>[1]Results!I1789</f>
        <v>1.0642342490000001</v>
      </c>
      <c r="G61" s="1">
        <f>[1]Results!J1789</f>
        <v>1.0859901569999999</v>
      </c>
      <c r="H61" s="1">
        <f>[1]Results!K1789</f>
        <v>1.1087151559999999</v>
      </c>
      <c r="I61" s="1">
        <f>[1]Results!L1789</f>
        <v>1.1335140370000001</v>
      </c>
      <c r="J61" s="1">
        <f>[1]Results!M1789</f>
        <v>1.1601985159999999</v>
      </c>
      <c r="K61" s="1">
        <f>[1]Results!N1789</f>
        <v>1.188418709</v>
      </c>
      <c r="L61" s="1">
        <f>[1]Results!O1789</f>
        <v>1.2179983560000001</v>
      </c>
      <c r="M61" s="1">
        <f>[1]Results!P1789</f>
        <v>1.24861975</v>
      </c>
      <c r="N61" s="1">
        <f>[1]Results!Q1789</f>
        <v>1.2794647400000001</v>
      </c>
      <c r="O61" s="1">
        <f>[1]Results!R1789</f>
        <v>1.309724229</v>
      </c>
      <c r="P61" s="1">
        <f>[1]Results!S1789</f>
        <v>1.3387648080000001</v>
      </c>
      <c r="Q61" s="1">
        <f>[1]Results!T1789</f>
        <v>1.3662283770000001</v>
      </c>
      <c r="R61" s="1">
        <f>[1]Results!U1789</f>
        <v>1.3919381310000001</v>
      </c>
      <c r="S61" s="1">
        <f>[1]Results!V1789</f>
        <v>1.4147526420000001</v>
      </c>
      <c r="T61" s="1">
        <f>[1]Results!W1789</f>
        <v>1.434952287</v>
      </c>
      <c r="U61" s="1">
        <f>[1]Results!X1789</f>
        <v>1.452914829</v>
      </c>
      <c r="V61" s="1">
        <f>[1]Results!Y1789</f>
        <v>1.469106113</v>
      </c>
      <c r="W61" s="1">
        <f>[1]Results!Z1789</f>
        <v>1.4840621359999999</v>
      </c>
      <c r="X61" s="1">
        <f>[1]Results!AA1789</f>
        <v>1.498246864</v>
      </c>
      <c r="Y61" s="1">
        <f>[1]Results!AB1789</f>
        <v>1.5121850349999999</v>
      </c>
      <c r="Z61" s="1">
        <f>[1]Results!AC1789</f>
        <v>1.526436417</v>
      </c>
      <c r="AA61" s="1">
        <f>[1]Results!AD1789</f>
        <v>1.541619334</v>
      </c>
      <c r="AB61" s="1">
        <f>[1]Results!AE1789</f>
        <v>1.5584050970000001</v>
      </c>
      <c r="AC61" s="1">
        <f>[1]Results!AF1789</f>
        <v>1.577269528</v>
      </c>
      <c r="AD61" s="1">
        <f>[1]Results!AG1789</f>
        <v>1.5986544439999999</v>
      </c>
      <c r="AE61" s="1">
        <f>[1]Results!AH1789</f>
        <v>1.6229506819999999</v>
      </c>
      <c r="AF61" s="1">
        <f>[1]Results!AI1789</f>
        <v>1.650340293</v>
      </c>
      <c r="AG61" s="1">
        <f>[1]Results!AJ1789</f>
        <v>1.680927469</v>
      </c>
      <c r="AH61" s="1">
        <f>[1]Results!AK1789</f>
        <v>1.7147267960000001</v>
      </c>
      <c r="AI61" s="1">
        <f>[1]Results!AL1789</f>
        <v>1.7516796050000001</v>
      </c>
      <c r="AJ61" s="1">
        <f>[1]Results!AM1789</f>
        <v>1.7916619439999999</v>
      </c>
      <c r="AK61" s="1">
        <f>[1]Results!AN1789</f>
        <v>1.8344828150000001</v>
      </c>
      <c r="AL61" s="1">
        <f>[1]Results!AO1789</f>
        <v>1.8798851510000001</v>
      </c>
    </row>
    <row r="62" spans="1:38" x14ac:dyDescent="0.35">
      <c r="A62" s="16"/>
      <c r="B62" t="s">
        <v>6</v>
      </c>
      <c r="C62" s="1">
        <f>[1]Results!F1760</f>
        <v>1.0019287059999999</v>
      </c>
      <c r="D62" s="1">
        <f>[1]Results!G1760</f>
        <v>1.0214958780000001</v>
      </c>
      <c r="E62" s="1">
        <f>[1]Results!H1760</f>
        <v>1.0418904229999999</v>
      </c>
      <c r="F62" s="1">
        <f>[1]Results!I1760</f>
        <v>1.0642342499999999</v>
      </c>
      <c r="G62" s="1">
        <f>[1]Results!J1760</f>
        <v>1.085990158</v>
      </c>
      <c r="H62" s="1">
        <f>[1]Results!K1760</f>
        <v>1.108715157</v>
      </c>
      <c r="I62" s="1">
        <f>[1]Results!L1760</f>
        <v>1.1335140379999999</v>
      </c>
      <c r="J62" s="1">
        <f>[1]Results!M1760</f>
        <v>1.170588806</v>
      </c>
      <c r="K62" s="1">
        <f>[1]Results!N1760</f>
        <v>1.2083339740000001</v>
      </c>
      <c r="L62" s="1">
        <f>[1]Results!O1760</f>
        <v>1.2494698820000001</v>
      </c>
      <c r="M62" s="1">
        <f>[1]Results!P1760</f>
        <v>1.2939611790000001</v>
      </c>
      <c r="N62" s="1">
        <f>[1]Results!Q1760</f>
        <v>1.3373758600000001</v>
      </c>
      <c r="O62" s="1">
        <f>[1]Results!R1760</f>
        <v>1.3802170949999999</v>
      </c>
      <c r="P62" s="1">
        <f>[1]Results!S1760</f>
        <v>1.421761429</v>
      </c>
      <c r="Q62" s="1">
        <f>[1]Results!T1760</f>
        <v>1.461458156</v>
      </c>
      <c r="R62" s="1">
        <f>[1]Results!U1760</f>
        <v>1.4988894500000001</v>
      </c>
      <c r="S62" s="1">
        <f>[1]Results!V1760</f>
        <v>1.534674635</v>
      </c>
      <c r="T62" s="1">
        <f>[1]Results!W1760</f>
        <v>1.567899723</v>
      </c>
      <c r="U62" s="1">
        <f>[1]Results!X1760</f>
        <v>1.598456149</v>
      </c>
      <c r="V62" s="1">
        <f>[1]Results!Y1760</f>
        <v>1.6264841560000001</v>
      </c>
      <c r="W62" s="1">
        <f>[1]Results!Z1760</f>
        <v>1.652298812</v>
      </c>
      <c r="X62" s="1">
        <f>[1]Results!AA1760</f>
        <v>1.6762766389999999</v>
      </c>
      <c r="Y62" s="1">
        <f>[1]Results!AB1760</f>
        <v>1.698867557</v>
      </c>
      <c r="Z62" s="1">
        <f>[1]Results!AC1760</f>
        <v>1.7204831009999999</v>
      </c>
      <c r="AA62" s="1">
        <f>[1]Results!AD1760</f>
        <v>1.7416581419999999</v>
      </c>
      <c r="AB62" s="1">
        <f>[1]Results!AE1760</f>
        <v>1.763053784</v>
      </c>
      <c r="AC62" s="1">
        <f>[1]Results!AF1760</f>
        <v>1.7854788479999999</v>
      </c>
      <c r="AD62" s="1">
        <f>[1]Results!AG1760</f>
        <v>1.8097087860000001</v>
      </c>
      <c r="AE62" s="1">
        <f>[1]Results!AH1760</f>
        <v>1.836099106</v>
      </c>
      <c r="AF62" s="1">
        <f>[1]Results!AI1760</f>
        <v>1.8648707259999999</v>
      </c>
      <c r="AG62" s="1">
        <f>[1]Results!AJ1760</f>
        <v>1.8962086849999999</v>
      </c>
      <c r="AH62" s="1">
        <f>[1]Results!AK1760</f>
        <v>1.930368826</v>
      </c>
      <c r="AI62" s="1">
        <f>[1]Results!AL1760</f>
        <v>1.967555342</v>
      </c>
      <c r="AJ62" s="1">
        <f>[1]Results!AM1760</f>
        <v>2.007724643</v>
      </c>
      <c r="AK62" s="1">
        <f>[1]Results!AN1760</f>
        <v>2.0507786050000001</v>
      </c>
      <c r="AL62" s="1">
        <f>[1]Results!AO1760</f>
        <v>2.096571494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1.9529504327825853</v>
      </c>
      <c r="E64" s="1">
        <f t="shared" si="2"/>
        <v>1.996537280198929</v>
      </c>
      <c r="F64" s="1">
        <f t="shared" si="2"/>
        <v>2.1445466343441133</v>
      </c>
      <c r="G64" s="1">
        <f t="shared" si="2"/>
        <v>2.0442781295981316</v>
      </c>
      <c r="H64" s="1">
        <f t="shared" si="2"/>
        <v>2.0925603103785884</v>
      </c>
      <c r="I64" s="1">
        <f t="shared" si="2"/>
        <v>2.2367224679663567</v>
      </c>
      <c r="J64" s="1">
        <f t="shared" si="2"/>
        <v>2.3541374988724328</v>
      </c>
      <c r="K64" s="1">
        <f t="shared" si="2"/>
        <v>2.4323589981216642</v>
      </c>
      <c r="L64" s="1">
        <f t="shared" si="2"/>
        <v>2.4889920342040073</v>
      </c>
      <c r="M64" s="1">
        <f t="shared" si="2"/>
        <v>2.5140751503608838</v>
      </c>
      <c r="N64" s="1">
        <f t="shared" si="2"/>
        <v>2.4703269350016432</v>
      </c>
      <c r="O64" s="1">
        <f t="shared" si="2"/>
        <v>2.3650115594431975</v>
      </c>
      <c r="P64" s="1">
        <f t="shared" si="2"/>
        <v>2.2173048613579605</v>
      </c>
      <c r="Q64" s="1">
        <f t="shared" si="2"/>
        <v>2.0514110347005898</v>
      </c>
      <c r="R64" s="1">
        <f t="shared" si="2"/>
        <v>1.8818050066017555</v>
      </c>
      <c r="S64" s="1">
        <f t="shared" si="2"/>
        <v>1.6390463406307898</v>
      </c>
      <c r="T64" s="1">
        <f t="shared" si="2"/>
        <v>1.4277863423138193</v>
      </c>
      <c r="U64" s="1">
        <f t="shared" si="2"/>
        <v>1.251786708361835</v>
      </c>
      <c r="V64" s="1">
        <f t="shared" si="2"/>
        <v>1.1144000788500419</v>
      </c>
      <c r="W64" s="1">
        <f t="shared" si="2"/>
        <v>1.018035584200172</v>
      </c>
      <c r="X64" s="1">
        <f t="shared" si="2"/>
        <v>0.95580418473799611</v>
      </c>
      <c r="Y64" s="1">
        <f t="shared" si="2"/>
        <v>0.9302986934201174</v>
      </c>
      <c r="Z64" s="1">
        <f t="shared" si="2"/>
        <v>0.94243638643072281</v>
      </c>
      <c r="AA64" s="1">
        <f t="shared" si="2"/>
        <v>0.9946642277992801</v>
      </c>
      <c r="AB64" s="1">
        <f t="shared" si="2"/>
        <v>1.0888396784987542</v>
      </c>
      <c r="AC64" s="1">
        <f t="shared" si="2"/>
        <v>1.2104959767081702</v>
      </c>
      <c r="AD64" s="1">
        <f t="shared" si="2"/>
        <v>1.355818750084925</v>
      </c>
      <c r="AE64" s="1">
        <f t="shared" si="2"/>
        <v>1.51979297910112</v>
      </c>
      <c r="AF64" s="1">
        <f t="shared" si="2"/>
        <v>1.6876428411396471</v>
      </c>
      <c r="AG64" s="1">
        <f t="shared" si="2"/>
        <v>1.8533860034646743</v>
      </c>
      <c r="AH64" s="1">
        <f t="shared" si="2"/>
        <v>2.0107546353625549</v>
      </c>
      <c r="AI64" s="1">
        <f t="shared" si="2"/>
        <v>2.1550260418278233</v>
      </c>
      <c r="AJ64" s="1">
        <f t="shared" si="2"/>
        <v>2.2825143870987663</v>
      </c>
      <c r="AK64" s="1">
        <f t="shared" si="2"/>
        <v>2.3900084021654111</v>
      </c>
      <c r="AL64" s="1">
        <f t="shared" si="2"/>
        <v>2.4749392923585356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1.9529505325901031</v>
      </c>
      <c r="E65" s="1">
        <f t="shared" si="3"/>
        <v>1.9965371803487342</v>
      </c>
      <c r="F65" s="1">
        <f t="shared" si="3"/>
        <v>2.1445467303234933</v>
      </c>
      <c r="G65" s="1">
        <f t="shared" si="3"/>
        <v>2.0442781276772459</v>
      </c>
      <c r="H65" s="1">
        <f t="shared" si="3"/>
        <v>2.0925603084517075</v>
      </c>
      <c r="I65" s="1">
        <f t="shared" si="3"/>
        <v>2.236722465948926</v>
      </c>
      <c r="J65" s="1">
        <f t="shared" si="3"/>
        <v>3.2707815480976121</v>
      </c>
      <c r="K65" s="1">
        <f t="shared" si="3"/>
        <v>3.2244600158939152</v>
      </c>
      <c r="L65" s="1">
        <f t="shared" si="3"/>
        <v>3.4043492018871246</v>
      </c>
      <c r="M65" s="1">
        <f t="shared" si="3"/>
        <v>3.5608138812264656</v>
      </c>
      <c r="N65" s="1">
        <f t="shared" si="3"/>
        <v>3.3551764693243502</v>
      </c>
      <c r="O65" s="1">
        <f t="shared" si="3"/>
        <v>3.203380312248183</v>
      </c>
      <c r="P65" s="1">
        <f t="shared" si="3"/>
        <v>3.0099854689888517</v>
      </c>
      <c r="Q65" s="1">
        <f t="shared" si="3"/>
        <v>2.7920807380406032</v>
      </c>
      <c r="R65" s="1">
        <f t="shared" si="3"/>
        <v>2.5612292658757418</v>
      </c>
      <c r="S65" s="1">
        <f t="shared" si="3"/>
        <v>2.3874465858706229</v>
      </c>
      <c r="T65" s="1">
        <f t="shared" si="3"/>
        <v>2.1649597407987331</v>
      </c>
      <c r="U65" s="1">
        <f t="shared" si="3"/>
        <v>1.9488762930280901</v>
      </c>
      <c r="V65" s="1">
        <f t="shared" si="3"/>
        <v>1.7534423460746407</v>
      </c>
      <c r="W65" s="1">
        <f t="shared" si="3"/>
        <v>1.5871446337039963</v>
      </c>
      <c r="X65" s="1">
        <f t="shared" si="3"/>
        <v>1.451179824488058</v>
      </c>
      <c r="Y65" s="1">
        <f t="shared" si="3"/>
        <v>1.3476843543841932</v>
      </c>
      <c r="Z65" s="1">
        <f t="shared" si="3"/>
        <v>1.2723501553099537</v>
      </c>
      <c r="AA65" s="1">
        <f t="shared" si="3"/>
        <v>1.2307613476524315</v>
      </c>
      <c r="AB65" s="1">
        <f t="shared" si="3"/>
        <v>1.2284639266481268</v>
      </c>
      <c r="AC65" s="1">
        <f t="shared" si="3"/>
        <v>1.2719444071140007</v>
      </c>
      <c r="AD65" s="1">
        <f t="shared" si="3"/>
        <v>1.3570554491385556</v>
      </c>
      <c r="AE65" s="1">
        <f t="shared" si="3"/>
        <v>1.4582633517700172</v>
      </c>
      <c r="AF65" s="1">
        <f t="shared" si="3"/>
        <v>1.5669971139346428</v>
      </c>
      <c r="AG65" s="1">
        <f t="shared" si="3"/>
        <v>1.6804359982215855</v>
      </c>
      <c r="AH65" s="1">
        <f t="shared" si="3"/>
        <v>1.8014969169914963</v>
      </c>
      <c r="AI65" s="1">
        <f t="shared" si="3"/>
        <v>1.9263943500919423</v>
      </c>
      <c r="AJ65" s="1">
        <f t="shared" si="3"/>
        <v>2.0415843022320468</v>
      </c>
      <c r="AK65" s="1">
        <f t="shared" si="3"/>
        <v>2.1444156772249201</v>
      </c>
      <c r="AL65" s="1">
        <f t="shared" si="3"/>
        <v>2.2329513721448091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348.0186405</v>
      </c>
      <c r="D67" s="6">
        <f>[1]Emissions!C820</f>
        <v>348.35285049999999</v>
      </c>
      <c r="E67" s="6">
        <f>[1]Emissions!D820</f>
        <v>348.87126719999998</v>
      </c>
      <c r="F67" s="6">
        <f>[1]Emissions!E820</f>
        <v>349.23256609999999</v>
      </c>
      <c r="G67" s="6">
        <f>[1]Emissions!F820</f>
        <v>351.64635620000001</v>
      </c>
      <c r="H67" s="6">
        <f>[1]Emissions!G820</f>
        <v>355.6287653</v>
      </c>
      <c r="I67" s="6">
        <f>[1]Emissions!H820</f>
        <v>359.931557</v>
      </c>
      <c r="J67" s="6">
        <f>[1]Emissions!I820</f>
        <v>364.30333150000001</v>
      </c>
      <c r="K67" s="6">
        <f>[1]Emissions!J820</f>
        <v>368.74156310000001</v>
      </c>
      <c r="L67" s="6">
        <f>[1]Emissions!K820</f>
        <v>373.2481573</v>
      </c>
      <c r="M67" s="6">
        <f>[1]Emissions!L820</f>
        <v>377.74482389999997</v>
      </c>
      <c r="N67" s="6">
        <f>[1]Emissions!M820</f>
        <v>381.34644789999999</v>
      </c>
      <c r="O67" s="6">
        <f>[1]Emissions!N820</f>
        <v>384.18301209999998</v>
      </c>
      <c r="P67" s="6">
        <f>[1]Emissions!O820</f>
        <v>386.41100640000002</v>
      </c>
      <c r="Q67" s="6">
        <f>[1]Emissions!P820</f>
        <v>388.21673449999997</v>
      </c>
      <c r="R67" s="6">
        <f>[1]Emissions!Q820</f>
        <v>389.78175210000001</v>
      </c>
      <c r="S67" s="6">
        <f>[1]Emissions!R820</f>
        <v>391.81933029999999</v>
      </c>
      <c r="T67" s="6">
        <f>[1]Emissions!S820</f>
        <v>394.41579610000002</v>
      </c>
      <c r="U67" s="6">
        <f>[1]Emissions!T820</f>
        <v>397.62809190000002</v>
      </c>
      <c r="V67" s="6">
        <f>[1]Emissions!U820</f>
        <v>401.46470870000002</v>
      </c>
      <c r="W67" s="6">
        <f>[1]Emissions!V820</f>
        <v>405.84357340000003</v>
      </c>
      <c r="X67" s="6">
        <f>[1]Emissions!W820</f>
        <v>410.90891379999999</v>
      </c>
      <c r="Y67" s="6">
        <f>[1]Emissions!X820</f>
        <v>416.67950300000001</v>
      </c>
      <c r="Z67" s="6">
        <f>[1]Emissions!Y820</f>
        <v>423.18010600000002</v>
      </c>
      <c r="AA67" s="6">
        <f>[1]Emissions!Z820</f>
        <v>430.41459400000002</v>
      </c>
      <c r="AB67" s="6">
        <f>[1]Emissions!AA820</f>
        <v>438.13591750000001</v>
      </c>
      <c r="AC67" s="6">
        <f>[1]Emissions!AB820</f>
        <v>446.61146880000001</v>
      </c>
      <c r="AD67" s="6">
        <f>[1]Emissions!AC820</f>
        <v>455.8775488</v>
      </c>
      <c r="AE67" s="6">
        <f>[1]Emissions!AD820</f>
        <v>465.94793490000001</v>
      </c>
      <c r="AF67" s="6">
        <f>[1]Emissions!AE820</f>
        <v>476.74890900000003</v>
      </c>
      <c r="AG67" s="6">
        <f>[1]Emissions!AF820</f>
        <v>488.15475609999999</v>
      </c>
      <c r="AH67" s="6">
        <f>[1]Emissions!AG820</f>
        <v>500.03976349999999</v>
      </c>
      <c r="AI67" s="6">
        <f>[1]Emissions!AH820</f>
        <v>512.28764309999997</v>
      </c>
      <c r="AJ67" s="6">
        <f>[1]Emissions!AI820</f>
        <v>524.78560119999997</v>
      </c>
      <c r="AK67" s="6">
        <f>[1]Emissions!AJ820</f>
        <v>537.41967209999996</v>
      </c>
      <c r="AL67" s="6">
        <f>[1]Emissions!AK820</f>
        <v>550.07246269999996</v>
      </c>
    </row>
    <row r="68" spans="1:38" x14ac:dyDescent="0.35">
      <c r="A68" s="11"/>
      <c r="B68" t="s">
        <v>25</v>
      </c>
      <c r="C68" s="6">
        <f>[1]Emissions!B824</f>
        <v>119.490486</v>
      </c>
      <c r="D68" s="6">
        <f>[1]Emissions!C824</f>
        <v>118.45195080000001</v>
      </c>
      <c r="E68" s="6">
        <f>[1]Emissions!D824</f>
        <v>117.35122</v>
      </c>
      <c r="F68" s="6">
        <f>[1]Emissions!E824</f>
        <v>116.33409760000001</v>
      </c>
      <c r="G68" s="6">
        <f>[1]Emissions!F824</f>
        <v>115.9943998</v>
      </c>
      <c r="H68" s="6">
        <f>[1]Emissions!G824</f>
        <v>116.0714986</v>
      </c>
      <c r="I68" s="6">
        <f>[1]Emissions!H824</f>
        <v>116.12847669999999</v>
      </c>
      <c r="J68" s="6">
        <f>[1]Emissions!I824</f>
        <v>116.1788088</v>
      </c>
      <c r="K68" s="6">
        <f>[1]Emissions!J824</f>
        <v>116.2619744</v>
      </c>
      <c r="L68" s="6">
        <f>[1]Emissions!K824</f>
        <v>116.3897166</v>
      </c>
      <c r="M68" s="6">
        <f>[1]Emissions!L824</f>
        <v>116.60278529999999</v>
      </c>
      <c r="N68" s="6">
        <f>[1]Emissions!M824</f>
        <v>116.8259934</v>
      </c>
      <c r="O68" s="6">
        <f>[1]Emissions!N824</f>
        <v>117.0502884</v>
      </c>
      <c r="P68" s="6">
        <f>[1]Emissions!O824</f>
        <v>117.2625829</v>
      </c>
      <c r="Q68" s="6">
        <f>[1]Emissions!P824</f>
        <v>117.4482617</v>
      </c>
      <c r="R68" s="6">
        <f>[1]Emissions!Q824</f>
        <v>117.5955475</v>
      </c>
      <c r="S68" s="6">
        <f>[1]Emissions!R824</f>
        <v>117.8667864</v>
      </c>
      <c r="T68" s="6">
        <f>[1]Emissions!S824</f>
        <v>118.1910748</v>
      </c>
      <c r="U68" s="6">
        <f>[1]Emissions!T824</f>
        <v>118.5395511</v>
      </c>
      <c r="V68" s="6">
        <f>[1]Emissions!U824</f>
        <v>118.88957929999999</v>
      </c>
      <c r="W68" s="6">
        <f>[1]Emissions!V824</f>
        <v>119.20052010000001</v>
      </c>
      <c r="X68" s="6">
        <f>[1]Emissions!W824</f>
        <v>119.5077005</v>
      </c>
      <c r="Y68" s="6">
        <f>[1]Emissions!X824</f>
        <v>119.805497</v>
      </c>
      <c r="Z68" s="6">
        <f>[1]Emissions!Y824</f>
        <v>120.0965566</v>
      </c>
      <c r="AA68" s="6">
        <f>[1]Emissions!Z824</f>
        <v>120.3852997</v>
      </c>
      <c r="AB68" s="6">
        <f>[1]Emissions!AA824</f>
        <v>120.6065837</v>
      </c>
      <c r="AC68" s="6">
        <f>[1]Emissions!AB824</f>
        <v>120.8420737</v>
      </c>
      <c r="AD68" s="6">
        <f>[1]Emissions!AC824</f>
        <v>121.0985542</v>
      </c>
      <c r="AE68" s="6">
        <f>[1]Emissions!AD824</f>
        <v>121.3834717</v>
      </c>
      <c r="AF68" s="6">
        <f>[1]Emissions!AE824</f>
        <v>121.7043458</v>
      </c>
      <c r="AG68" s="6">
        <f>[1]Emissions!AF824</f>
        <v>122.0655764</v>
      </c>
      <c r="AH68" s="6">
        <f>[1]Emissions!AG824</f>
        <v>122.46740680000001</v>
      </c>
      <c r="AI68" s="6">
        <f>[1]Emissions!AH824</f>
        <v>122.90283460000001</v>
      </c>
      <c r="AJ68" s="6">
        <f>[1]Emissions!AI824</f>
        <v>123.3631616</v>
      </c>
      <c r="AK68" s="6">
        <f>[1]Emissions!AJ824</f>
        <v>123.8388846</v>
      </c>
      <c r="AL68" s="6">
        <f>[1]Emissions!AK824</f>
        <v>124.3195857</v>
      </c>
    </row>
    <row r="69" spans="1:38" x14ac:dyDescent="0.35">
      <c r="A69" s="11"/>
      <c r="B69" t="s">
        <v>26</v>
      </c>
      <c r="C69" s="6">
        <f>SUM(C70:C72)</f>
        <v>228.52815449439998</v>
      </c>
      <c r="D69" s="6">
        <f t="shared" ref="D69:AL69" si="4">SUM(D70:D72)</f>
        <v>229.9008996474</v>
      </c>
      <c r="E69" s="6">
        <f t="shared" si="4"/>
        <v>231.52004722949999</v>
      </c>
      <c r="F69" s="6">
        <f t="shared" si="4"/>
        <v>232.89846852560001</v>
      </c>
      <c r="G69" s="6">
        <f t="shared" si="4"/>
        <v>235.65195638430001</v>
      </c>
      <c r="H69" s="6">
        <f t="shared" si="4"/>
        <v>239.55726670890002</v>
      </c>
      <c r="I69" s="6">
        <f t="shared" si="4"/>
        <v>243.80308034639998</v>
      </c>
      <c r="J69" s="6">
        <f t="shared" si="4"/>
        <v>248.1245226584</v>
      </c>
      <c r="K69" s="6">
        <f t="shared" si="4"/>
        <v>252.47958868130002</v>
      </c>
      <c r="L69" s="6">
        <f t="shared" si="4"/>
        <v>256.85844066370004</v>
      </c>
      <c r="M69" s="6">
        <f t="shared" si="4"/>
        <v>261.14203856210003</v>
      </c>
      <c r="N69" s="6">
        <f t="shared" si="4"/>
        <v>264.52045444890001</v>
      </c>
      <c r="O69" s="6">
        <f t="shared" si="4"/>
        <v>267.13272361529999</v>
      </c>
      <c r="P69" s="6">
        <f t="shared" si="4"/>
        <v>269.14842348629998</v>
      </c>
      <c r="Q69" s="6">
        <f t="shared" si="4"/>
        <v>270.76847275989996</v>
      </c>
      <c r="R69" s="6">
        <f t="shared" si="4"/>
        <v>272.18620450399999</v>
      </c>
      <c r="S69" s="6">
        <f t="shared" si="4"/>
        <v>273.95254390049996</v>
      </c>
      <c r="T69" s="6">
        <f t="shared" si="4"/>
        <v>276.22472128819999</v>
      </c>
      <c r="U69" s="6">
        <f t="shared" si="4"/>
        <v>279.08854075669996</v>
      </c>
      <c r="V69" s="6">
        <f t="shared" si="4"/>
        <v>282.57512938540003</v>
      </c>
      <c r="W69" s="6">
        <f t="shared" si="4"/>
        <v>286.64305334490001</v>
      </c>
      <c r="X69" s="6">
        <f t="shared" si="4"/>
        <v>291.40121333339999</v>
      </c>
      <c r="Y69" s="6">
        <f t="shared" si="4"/>
        <v>296.87400600149999</v>
      </c>
      <c r="Z69" s="6">
        <f t="shared" si="4"/>
        <v>303.08354941489995</v>
      </c>
      <c r="AA69" s="6">
        <f t="shared" si="4"/>
        <v>310.02929424410002</v>
      </c>
      <c r="AB69" s="6">
        <f t="shared" si="4"/>
        <v>317.52933376319999</v>
      </c>
      <c r="AC69" s="6">
        <f t="shared" si="4"/>
        <v>325.76939507290001</v>
      </c>
      <c r="AD69" s="6">
        <f t="shared" si="4"/>
        <v>334.77899460210006</v>
      </c>
      <c r="AE69" s="6">
        <f t="shared" si="4"/>
        <v>344.56446323590001</v>
      </c>
      <c r="AF69" s="6">
        <f t="shared" si="4"/>
        <v>355.04456324699999</v>
      </c>
      <c r="AG69" s="6">
        <f t="shared" si="4"/>
        <v>366.08917972450001</v>
      </c>
      <c r="AH69" s="6">
        <f t="shared" si="4"/>
        <v>377.57235659600002</v>
      </c>
      <c r="AI69" s="6">
        <f t="shared" si="4"/>
        <v>389.38480854530002</v>
      </c>
      <c r="AJ69" s="6">
        <f t="shared" si="4"/>
        <v>401.42243964269994</v>
      </c>
      <c r="AK69" s="6">
        <f t="shared" si="4"/>
        <v>413.58078750990001</v>
      </c>
      <c r="AL69" s="6">
        <f t="shared" si="4"/>
        <v>425.75287698690005</v>
      </c>
    </row>
    <row r="70" spans="1:38" x14ac:dyDescent="0.35">
      <c r="A70" s="11"/>
      <c r="B70" t="s">
        <v>50</v>
      </c>
      <c r="C70" s="6">
        <f>[1]Emissions!B821</f>
        <v>213.27374029999999</v>
      </c>
      <c r="D70" s="6">
        <f>[1]Emissions!C821</f>
        <v>214.38920479999999</v>
      </c>
      <c r="E70" s="6">
        <f>[1]Emissions!D821</f>
        <v>215.71137830000001</v>
      </c>
      <c r="F70" s="6">
        <f>[1]Emissions!E821</f>
        <v>216.76898410000001</v>
      </c>
      <c r="G70" s="6">
        <f>[1]Emissions!F821</f>
        <v>219.17682260000001</v>
      </c>
      <c r="H70" s="6">
        <f>[1]Emissions!G821</f>
        <v>222.7112309</v>
      </c>
      <c r="I70" s="6">
        <f>[1]Emissions!H821</f>
        <v>226.57209649999999</v>
      </c>
      <c r="J70" s="6">
        <f>[1]Emissions!I821</f>
        <v>230.49642879999999</v>
      </c>
      <c r="K70" s="6">
        <f>[1]Emissions!J821</f>
        <v>234.4438945</v>
      </c>
      <c r="L70" s="6">
        <f>[1]Emissions!K821</f>
        <v>238.40479590000001</v>
      </c>
      <c r="M70" s="6">
        <f>[1]Emissions!L821</f>
        <v>242.2604297</v>
      </c>
      <c r="N70" s="6">
        <f>[1]Emissions!M821</f>
        <v>245.24891640000001</v>
      </c>
      <c r="O70" s="6">
        <f>[1]Emissions!N821</f>
        <v>247.50044439999999</v>
      </c>
      <c r="P70" s="6">
        <f>[1]Emissions!O821</f>
        <v>249.17580469999999</v>
      </c>
      <c r="Q70" s="6">
        <f>[1]Emissions!P821</f>
        <v>250.4657704</v>
      </c>
      <c r="R70" s="6">
        <f>[1]Emissions!Q821</f>
        <v>251.55408539999999</v>
      </c>
      <c r="S70" s="6">
        <f>[1]Emissions!R821</f>
        <v>252.97854849999999</v>
      </c>
      <c r="T70" s="6">
        <f>[1]Emissions!S821</f>
        <v>254.8858032</v>
      </c>
      <c r="U70" s="6">
        <f>[1]Emissions!T821</f>
        <v>257.35451949999998</v>
      </c>
      <c r="V70" s="6">
        <f>[1]Emissions!U821</f>
        <v>260.4121336</v>
      </c>
      <c r="W70" s="6">
        <f>[1]Emissions!V821</f>
        <v>264.02217949999999</v>
      </c>
      <c r="X70" s="6">
        <f>[1]Emissions!W821</f>
        <v>268.2806367</v>
      </c>
      <c r="Y70" s="6">
        <f>[1]Emissions!X821</f>
        <v>273.21264029999998</v>
      </c>
      <c r="Z70" s="6">
        <f>[1]Emissions!Y821</f>
        <v>278.83947019999999</v>
      </c>
      <c r="AA70" s="6">
        <f>[1]Emissions!Z821</f>
        <v>285.1611992</v>
      </c>
      <c r="AB70" s="6">
        <f>[1]Emissions!AA821</f>
        <v>292.0185085</v>
      </c>
      <c r="AC70" s="6">
        <f>[1]Emissions!AB821</f>
        <v>299.5748461</v>
      </c>
      <c r="AD70" s="6">
        <f>[1]Emissions!AC821</f>
        <v>307.86198050000002</v>
      </c>
      <c r="AE70" s="6">
        <f>[1]Emissions!AD821</f>
        <v>316.88628169999998</v>
      </c>
      <c r="AF70" s="6">
        <f>[1]Emissions!AE821</f>
        <v>326.5701368</v>
      </c>
      <c r="AG70" s="6">
        <f>[1]Emissions!AF821</f>
        <v>336.78928380000002</v>
      </c>
      <c r="AH70" s="6">
        <f>[1]Emissions!AG821</f>
        <v>347.42322969999998</v>
      </c>
      <c r="AI70" s="6">
        <f>[1]Emissions!AH821</f>
        <v>358.36706750000002</v>
      </c>
      <c r="AJ70" s="6">
        <f>[1]Emissions!AI821</f>
        <v>369.52058019999998</v>
      </c>
      <c r="AK70" s="6">
        <f>[1]Emissions!AJ821</f>
        <v>380.78303649999998</v>
      </c>
      <c r="AL70" s="6">
        <f>[1]Emissions!AK821</f>
        <v>392.05124640000003</v>
      </c>
    </row>
    <row r="71" spans="1:38" x14ac:dyDescent="0.35">
      <c r="A71" s="11"/>
      <c r="B71" t="s">
        <v>51</v>
      </c>
      <c r="C71" s="6">
        <f>[1]Emissions!B822</f>
        <v>2.7534944400000001E-2</v>
      </c>
      <c r="D71" s="6">
        <f>[1]Emissions!C822</f>
        <v>2.8000047399999999E-2</v>
      </c>
      <c r="E71" s="6">
        <f>[1]Emissions!D822</f>
        <v>2.85510195E-2</v>
      </c>
      <c r="F71" s="6">
        <f>[1]Emissions!E822</f>
        <v>2.9183565599999999E-2</v>
      </c>
      <c r="G71" s="6">
        <f>[1]Emissions!F822</f>
        <v>2.98817943E-2</v>
      </c>
      <c r="H71" s="6">
        <f>[1]Emissions!G822</f>
        <v>3.0639678900000002E-2</v>
      </c>
      <c r="I71" s="6">
        <f>[1]Emissions!H822</f>
        <v>3.1430106399999998E-2</v>
      </c>
      <c r="J71" s="6">
        <f>[1]Emissions!I822</f>
        <v>3.22420884E-2</v>
      </c>
      <c r="K71" s="6">
        <f>[1]Emissions!J822</f>
        <v>3.3069271300000001E-2</v>
      </c>
      <c r="L71" s="6">
        <f>[1]Emissions!K822</f>
        <v>3.3909353699999999E-2</v>
      </c>
      <c r="M71" s="6">
        <f>[1]Emissions!L822</f>
        <v>3.4742482099999999E-2</v>
      </c>
      <c r="N71" s="6">
        <f>[1]Emissions!M822</f>
        <v>3.5460348900000001E-2</v>
      </c>
      <c r="O71" s="6">
        <f>[1]Emissions!N822</f>
        <v>3.6085115299999998E-2</v>
      </c>
      <c r="P71" s="6">
        <f>[1]Emissions!O822</f>
        <v>3.6633936300000003E-2</v>
      </c>
      <c r="Q71" s="6">
        <f>[1]Emissions!P822</f>
        <v>3.7128939899999998E-2</v>
      </c>
      <c r="R71" s="6">
        <f>[1]Emissions!Q822</f>
        <v>3.7592493999999997E-2</v>
      </c>
      <c r="S71" s="6">
        <f>[1]Emissions!R822</f>
        <v>3.80582005E-2</v>
      </c>
      <c r="T71" s="6">
        <f>[1]Emissions!S822</f>
        <v>3.8551938199999997E-2</v>
      </c>
      <c r="U71" s="6">
        <f>[1]Emissions!T822</f>
        <v>3.9091826699999999E-2</v>
      </c>
      <c r="V71" s="6">
        <f>[1]Emissions!U822</f>
        <v>3.96883554E-2</v>
      </c>
      <c r="W71" s="6">
        <f>[1]Emissions!V822</f>
        <v>4.0341204899999997E-2</v>
      </c>
      <c r="X71" s="6">
        <f>[1]Emissions!W822</f>
        <v>4.1068403400000002E-2</v>
      </c>
      <c r="Y71" s="6">
        <f>[1]Emissions!X822</f>
        <v>4.1878391500000001E-2</v>
      </c>
      <c r="Z71" s="6">
        <f>[1]Emissions!Y822</f>
        <v>4.2776244900000003E-2</v>
      </c>
      <c r="AA71" s="6">
        <f>[1]Emissions!Z822</f>
        <v>4.3761974100000003E-2</v>
      </c>
      <c r="AB71" s="6">
        <f>[1]Emissions!AA822</f>
        <v>4.4809723199999998E-2</v>
      </c>
      <c r="AC71" s="6">
        <f>[1]Emissions!AB822</f>
        <v>4.59407529E-2</v>
      </c>
      <c r="AD71" s="6">
        <f>[1]Emissions!AC822</f>
        <v>4.7162272099999999E-2</v>
      </c>
      <c r="AE71" s="6">
        <f>[1]Emissions!AD822</f>
        <v>4.8476595900000002E-2</v>
      </c>
      <c r="AF71" s="6">
        <f>[1]Emissions!AE822</f>
        <v>4.9874456999999997E-2</v>
      </c>
      <c r="AG71" s="6">
        <f>[1]Emissions!AF822</f>
        <v>5.1340324499999999E-2</v>
      </c>
      <c r="AH71" s="6">
        <f>[1]Emissions!AG822</f>
        <v>5.2859376E-2</v>
      </c>
      <c r="AI71" s="6">
        <f>[1]Emissions!AH822</f>
        <v>5.44186953E-2</v>
      </c>
      <c r="AJ71" s="6">
        <f>[1]Emissions!AI822</f>
        <v>5.6005642699999997E-2</v>
      </c>
      <c r="AK71" s="6">
        <f>[1]Emissions!AJ822</f>
        <v>5.7607459899999998E-2</v>
      </c>
      <c r="AL71" s="6">
        <f>[1]Emissions!AK822</f>
        <v>5.9211176900000002E-2</v>
      </c>
    </row>
    <row r="72" spans="1:38" x14ac:dyDescent="0.35">
      <c r="A72" s="11"/>
      <c r="B72" t="s">
        <v>52</v>
      </c>
      <c r="C72" s="6">
        <f>[1]Emissions!B823</f>
        <v>15.22687925</v>
      </c>
      <c r="D72" s="6">
        <f>[1]Emissions!C823</f>
        <v>15.4836948</v>
      </c>
      <c r="E72" s="6">
        <f>[1]Emissions!D823</f>
        <v>15.78011791</v>
      </c>
      <c r="F72" s="6">
        <f>[1]Emissions!E823</f>
        <v>16.100300860000001</v>
      </c>
      <c r="G72" s="6">
        <f>[1]Emissions!F823</f>
        <v>16.445251989999999</v>
      </c>
      <c r="H72" s="6">
        <f>[1]Emissions!G823</f>
        <v>16.81539613</v>
      </c>
      <c r="I72" s="6">
        <f>[1]Emissions!H823</f>
        <v>17.199553739999999</v>
      </c>
      <c r="J72" s="6">
        <f>[1]Emissions!I823</f>
        <v>17.595851769999999</v>
      </c>
      <c r="K72" s="6">
        <f>[1]Emissions!J823</f>
        <v>18.002624910000002</v>
      </c>
      <c r="L72" s="6">
        <f>[1]Emissions!K823</f>
        <v>18.419735410000001</v>
      </c>
      <c r="M72" s="6">
        <f>[1]Emissions!L823</f>
        <v>18.846866380000002</v>
      </c>
      <c r="N72" s="6">
        <f>[1]Emissions!M823</f>
        <v>19.236077699999999</v>
      </c>
      <c r="O72" s="6">
        <f>[1]Emissions!N823</f>
        <v>19.596194100000002</v>
      </c>
      <c r="P72" s="6">
        <f>[1]Emissions!O823</f>
        <v>19.935984850000001</v>
      </c>
      <c r="Q72" s="6">
        <f>[1]Emissions!P823</f>
        <v>20.265573419999999</v>
      </c>
      <c r="R72" s="6">
        <f>[1]Emissions!Q823</f>
        <v>20.594526609999999</v>
      </c>
      <c r="S72" s="6">
        <f>[1]Emissions!R823</f>
        <v>20.935937200000001</v>
      </c>
      <c r="T72" s="6">
        <f>[1]Emissions!S823</f>
        <v>21.300366149999999</v>
      </c>
      <c r="U72" s="6">
        <f>[1]Emissions!T823</f>
        <v>21.694929429999998</v>
      </c>
      <c r="V72" s="6">
        <f>[1]Emissions!U823</f>
        <v>22.123307430000001</v>
      </c>
      <c r="W72" s="6">
        <f>[1]Emissions!V823</f>
        <v>22.580532640000001</v>
      </c>
      <c r="X72" s="6">
        <f>[1]Emissions!W823</f>
        <v>23.079508229999998</v>
      </c>
      <c r="Y72" s="6">
        <f>[1]Emissions!X823</f>
        <v>23.61948731</v>
      </c>
      <c r="Z72" s="6">
        <f>[1]Emissions!Y823</f>
        <v>24.20130297</v>
      </c>
      <c r="AA72" s="6">
        <f>[1]Emissions!Z823</f>
        <v>24.824333070000002</v>
      </c>
      <c r="AB72" s="6">
        <f>[1]Emissions!AA823</f>
        <v>25.466015540000001</v>
      </c>
      <c r="AC72" s="6">
        <f>[1]Emissions!AB823</f>
        <v>26.14860822</v>
      </c>
      <c r="AD72" s="6">
        <f>[1]Emissions!AC823</f>
        <v>26.869851830000002</v>
      </c>
      <c r="AE72" s="6">
        <f>[1]Emissions!AD823</f>
        <v>27.62970494</v>
      </c>
      <c r="AF72" s="6">
        <f>[1]Emissions!AE823</f>
        <v>28.424551990000001</v>
      </c>
      <c r="AG72" s="6">
        <f>[1]Emissions!AF823</f>
        <v>29.2485556</v>
      </c>
      <c r="AH72" s="6">
        <f>[1]Emissions!AG823</f>
        <v>30.096267520000001</v>
      </c>
      <c r="AI72" s="6">
        <f>[1]Emissions!AH823</f>
        <v>30.963322349999999</v>
      </c>
      <c r="AJ72" s="6">
        <f>[1]Emissions!AI823</f>
        <v>31.8458538</v>
      </c>
      <c r="AK72" s="6">
        <f>[1]Emissions!AJ823</f>
        <v>32.740143549999999</v>
      </c>
      <c r="AL72" s="6">
        <f>[1]Emissions!AK823</f>
        <v>33.642419410000002</v>
      </c>
    </row>
    <row r="73" spans="1:38" x14ac:dyDescent="0.35">
      <c r="A73" s="11"/>
      <c r="B73" t="str">
        <f>B65</f>
        <v>NZ50</v>
      </c>
      <c r="C73" s="6">
        <f>[1]Emissions!B825</f>
        <v>348.01866310000003</v>
      </c>
      <c r="D73" s="6">
        <f>[1]Emissions!C825</f>
        <v>348.35287260000001</v>
      </c>
      <c r="E73" s="6">
        <f>[1]Emissions!D825</f>
        <v>348.8712888</v>
      </c>
      <c r="F73" s="6">
        <f>[1]Emissions!E825</f>
        <v>349.23258709999999</v>
      </c>
      <c r="G73" s="6">
        <f>[1]Emissions!F825</f>
        <v>351.64637699999997</v>
      </c>
      <c r="H73" s="6">
        <f>[1]Emissions!G825</f>
        <v>355.62878610000001</v>
      </c>
      <c r="I73" s="6">
        <f>[1]Emissions!H825</f>
        <v>359.93157789999998</v>
      </c>
      <c r="J73" s="6">
        <f>[1]Emissions!I825</f>
        <v>349.44579499999998</v>
      </c>
      <c r="K73" s="6">
        <f>[1]Emissions!J825</f>
        <v>338.66438319999997</v>
      </c>
      <c r="L73" s="6">
        <f>[1]Emissions!K825</f>
        <v>329.38501050000002</v>
      </c>
      <c r="M73" s="6">
        <f>[1]Emissions!L825</f>
        <v>320.89442539999999</v>
      </c>
      <c r="N73" s="6">
        <f>[1]Emissions!M825</f>
        <v>313.16250100000002</v>
      </c>
      <c r="O73" s="6">
        <f>[1]Emissions!N825</f>
        <v>305.70664290000002</v>
      </c>
      <c r="P73" s="6">
        <f>[1]Emissions!O825</f>
        <v>298.35844059999999</v>
      </c>
      <c r="Q73" s="6">
        <f>[1]Emissions!P825</f>
        <v>291.11928760000001</v>
      </c>
      <c r="R73" s="6">
        <f>[1]Emissions!Q825</f>
        <v>283.98630120000001</v>
      </c>
      <c r="S73" s="6">
        <f>[1]Emissions!R825</f>
        <v>276.752343</v>
      </c>
      <c r="T73" s="6">
        <f>[1]Emissions!S825</f>
        <v>269.57847049999998</v>
      </c>
      <c r="U73" s="6">
        <f>[1]Emissions!T825</f>
        <v>262.56395379999998</v>
      </c>
      <c r="V73" s="6">
        <f>[1]Emissions!U825</f>
        <v>255.75262760000001</v>
      </c>
      <c r="W73" s="6">
        <f>[1]Emissions!V825</f>
        <v>249.1098891</v>
      </c>
      <c r="X73" s="6">
        <f>[1]Emissions!W825</f>
        <v>242.72161389999999</v>
      </c>
      <c r="Y73" s="6">
        <f>[1]Emissions!X825</f>
        <v>236.57125020000001</v>
      </c>
      <c r="Z73" s="6">
        <f>[1]Emissions!Y825</f>
        <v>230.6236877</v>
      </c>
      <c r="AA73" s="6">
        <f>[1]Emissions!Z825</f>
        <v>224.8242626</v>
      </c>
      <c r="AB73" s="6">
        <f>[1]Emissions!AA825</f>
        <v>218.98875530000001</v>
      </c>
      <c r="AC73" s="6">
        <f>[1]Emissions!AB825</f>
        <v>213.21404229999999</v>
      </c>
      <c r="AD73" s="6">
        <f>[1]Emissions!AC825</f>
        <v>207.47235359999999</v>
      </c>
      <c r="AE73" s="6">
        <f>[1]Emissions!AD825</f>
        <v>201.69351689999999</v>
      </c>
      <c r="AF73" s="6">
        <f>[1]Emissions!AE825</f>
        <v>195.7588767</v>
      </c>
      <c r="AG73" s="6">
        <f>[1]Emissions!AF825</f>
        <v>189.5287175</v>
      </c>
      <c r="AH73" s="6">
        <f>[1]Emissions!AG825</f>
        <v>182.8718064</v>
      </c>
      <c r="AI73" s="6">
        <f>[1]Emissions!AH825</f>
        <v>175.6601703</v>
      </c>
      <c r="AJ73" s="6">
        <f>[1]Emissions!AI825</f>
        <v>167.7455148</v>
      </c>
      <c r="AK73" s="6">
        <f>[1]Emissions!AJ825</f>
        <v>158.95146550000001</v>
      </c>
      <c r="AL73" s="6">
        <f>[1]Emissions!AK825</f>
        <v>149.05299840000001</v>
      </c>
    </row>
    <row r="74" spans="1:38" x14ac:dyDescent="0.35">
      <c r="A74" s="8"/>
      <c r="B74" t="s">
        <v>25</v>
      </c>
      <c r="C74" s="6">
        <f>[1]Emissions!B829</f>
        <v>119.49049309999999</v>
      </c>
      <c r="D74" s="6">
        <f>[1]Emissions!C829</f>
        <v>118.4519576</v>
      </c>
      <c r="E74" s="6">
        <f>[1]Emissions!D829</f>
        <v>117.3512265</v>
      </c>
      <c r="F74" s="6">
        <f>[1]Emissions!E829</f>
        <v>116.3341039</v>
      </c>
      <c r="G74" s="6">
        <f>[1]Emissions!F829</f>
        <v>115.99440610000001</v>
      </c>
      <c r="H74" s="6">
        <f>[1]Emissions!G829</f>
        <v>116.0715048</v>
      </c>
      <c r="I74" s="6">
        <f>[1]Emissions!H829</f>
        <v>116.12848289999999</v>
      </c>
      <c r="J74" s="6">
        <f>[1]Emissions!I829</f>
        <v>111.603441</v>
      </c>
      <c r="K74" s="6">
        <f>[1]Emissions!J829</f>
        <v>107.36560830000001</v>
      </c>
      <c r="L74" s="6">
        <f>[1]Emissions!K829</f>
        <v>103.45767530000001</v>
      </c>
      <c r="M74" s="6">
        <f>[1]Emissions!L829</f>
        <v>99.867946079999996</v>
      </c>
      <c r="N74" s="6">
        <f>[1]Emissions!M829</f>
        <v>96.750789109999999</v>
      </c>
      <c r="O74" s="6">
        <f>[1]Emissions!N829</f>
        <v>93.846578190000002</v>
      </c>
      <c r="P74" s="6">
        <f>[1]Emissions!O829</f>
        <v>91.013437170000003</v>
      </c>
      <c r="Q74" s="6">
        <f>[1]Emissions!P829</f>
        <v>88.177059619999994</v>
      </c>
      <c r="R74" s="6">
        <f>[1]Emissions!Q829</f>
        <v>85.302044589999994</v>
      </c>
      <c r="S74" s="6">
        <f>[1]Emissions!R829</f>
        <v>82.334784229999997</v>
      </c>
      <c r="T74" s="6">
        <f>[1]Emissions!S829</f>
        <v>79.31148967</v>
      </c>
      <c r="U74" s="6">
        <f>[1]Emissions!T829</f>
        <v>76.252333059999998</v>
      </c>
      <c r="V74" s="6">
        <f>[1]Emissions!U829</f>
        <v>73.168887119999994</v>
      </c>
      <c r="W74" s="6">
        <f>[1]Emissions!V829</f>
        <v>70.052141320000004</v>
      </c>
      <c r="X74" s="6">
        <f>[1]Emissions!W829</f>
        <v>66.933272279999997</v>
      </c>
      <c r="Y74" s="6">
        <f>[1]Emissions!X829</f>
        <v>63.807804509999997</v>
      </c>
      <c r="Z74" s="6">
        <f>[1]Emissions!Y829</f>
        <v>60.675115439999999</v>
      </c>
      <c r="AA74" s="6">
        <f>[1]Emissions!Z829</f>
        <v>57.5366724</v>
      </c>
      <c r="AB74" s="6">
        <f>[1]Emissions!AA829</f>
        <v>54.357293609999999</v>
      </c>
      <c r="AC74" s="6">
        <f>[1]Emissions!AB829</f>
        <v>51.180065429999999</v>
      </c>
      <c r="AD74" s="6">
        <f>[1]Emissions!AC829</f>
        <v>48.00454019</v>
      </c>
      <c r="AE74" s="6">
        <f>[1]Emissions!AD829</f>
        <v>44.830241360000002</v>
      </c>
      <c r="AF74" s="6">
        <f>[1]Emissions!AE829</f>
        <v>41.656148639999998</v>
      </c>
      <c r="AG74" s="6">
        <f>[1]Emissions!AF829</f>
        <v>38.479937909999997</v>
      </c>
      <c r="AH74" s="6">
        <f>[1]Emissions!AG829</f>
        <v>35.297952070000001</v>
      </c>
      <c r="AI74" s="6">
        <f>[1]Emissions!AH829</f>
        <v>32.10551615</v>
      </c>
      <c r="AJ74" s="6">
        <f>[1]Emissions!AI829</f>
        <v>28.897223489999998</v>
      </c>
      <c r="AK74" s="6">
        <f>[1]Emissions!AJ829</f>
        <v>25.6670804</v>
      </c>
      <c r="AL74" s="6">
        <f>[1]Emissions!AK829</f>
        <v>22.408116010000001</v>
      </c>
    </row>
    <row r="75" spans="1:38" x14ac:dyDescent="0.35">
      <c r="A75" s="8"/>
      <c r="B75" t="s">
        <v>26</v>
      </c>
      <c r="C75" s="6">
        <f>SUM(C76:C78)</f>
        <v>228.5281699944</v>
      </c>
      <c r="D75" s="6">
        <f t="shared" ref="D75:AL75" si="5">SUM(D76:D78)</f>
        <v>229.9009149474</v>
      </c>
      <c r="E75" s="6">
        <f t="shared" si="5"/>
        <v>231.52006232949998</v>
      </c>
      <c r="F75" s="6">
        <f t="shared" si="5"/>
        <v>232.89848312559999</v>
      </c>
      <c r="G75" s="6">
        <f t="shared" si="5"/>
        <v>235.65197087429999</v>
      </c>
      <c r="H75" s="6">
        <f t="shared" si="5"/>
        <v>239.5572811989</v>
      </c>
      <c r="I75" s="6">
        <f t="shared" si="5"/>
        <v>243.80309494639999</v>
      </c>
      <c r="J75" s="6">
        <f t="shared" si="5"/>
        <v>237.84235397340001</v>
      </c>
      <c r="K75" s="6">
        <f t="shared" si="5"/>
        <v>231.29877484259998</v>
      </c>
      <c r="L75" s="6">
        <f t="shared" si="5"/>
        <v>225.92733515740002</v>
      </c>
      <c r="M75" s="6">
        <f t="shared" si="5"/>
        <v>221.02647931640001</v>
      </c>
      <c r="N75" s="6">
        <f t="shared" si="5"/>
        <v>216.41171189700003</v>
      </c>
      <c r="O75" s="6">
        <f t="shared" si="5"/>
        <v>211.86006470339998</v>
      </c>
      <c r="P75" s="6">
        <f t="shared" si="5"/>
        <v>207.34500349699999</v>
      </c>
      <c r="Q75" s="6">
        <f t="shared" si="5"/>
        <v>202.94222797419999</v>
      </c>
      <c r="R75" s="6">
        <f t="shared" si="5"/>
        <v>198.68425661110001</v>
      </c>
      <c r="S75" s="6">
        <f t="shared" si="5"/>
        <v>194.41755870270001</v>
      </c>
      <c r="T75" s="6">
        <f t="shared" si="5"/>
        <v>190.26698076930001</v>
      </c>
      <c r="U75" s="6">
        <f t="shared" si="5"/>
        <v>186.31162078060001</v>
      </c>
      <c r="V75" s="6">
        <f t="shared" si="5"/>
        <v>182.58374054079999</v>
      </c>
      <c r="W75" s="6">
        <f t="shared" si="5"/>
        <v>179.05774783110002</v>
      </c>
      <c r="X75" s="6">
        <f t="shared" si="5"/>
        <v>175.7883416528</v>
      </c>
      <c r="Y75" s="6">
        <f t="shared" si="5"/>
        <v>172.7634456429</v>
      </c>
      <c r="Z75" s="6">
        <f t="shared" si="5"/>
        <v>169.9485722503</v>
      </c>
      <c r="AA75" s="6">
        <f t="shared" si="5"/>
        <v>167.28759025140002</v>
      </c>
      <c r="AB75" s="6">
        <f t="shared" si="5"/>
        <v>164.63146163330001</v>
      </c>
      <c r="AC75" s="6">
        <f t="shared" si="5"/>
        <v>162.03397691470002</v>
      </c>
      <c r="AD75" s="6">
        <f t="shared" si="5"/>
        <v>159.46781338629998</v>
      </c>
      <c r="AE75" s="6">
        <f t="shared" si="5"/>
        <v>156.86327555170001</v>
      </c>
      <c r="AF75" s="6">
        <f t="shared" si="5"/>
        <v>154.1027281584</v>
      </c>
      <c r="AG75" s="6">
        <f t="shared" si="5"/>
        <v>151.0487795953</v>
      </c>
      <c r="AH75" s="6">
        <f t="shared" si="5"/>
        <v>147.57385428340001</v>
      </c>
      <c r="AI75" s="6">
        <f t="shared" si="5"/>
        <v>143.55465423530001</v>
      </c>
      <c r="AJ75" s="6">
        <f t="shared" si="5"/>
        <v>138.8482912863</v>
      </c>
      <c r="AK75" s="6">
        <f t="shared" si="5"/>
        <v>133.28438502980001</v>
      </c>
      <c r="AL75" s="6">
        <f t="shared" si="5"/>
        <v>126.64488237820001</v>
      </c>
    </row>
    <row r="76" spans="1:38" x14ac:dyDescent="0.35">
      <c r="A76" s="8"/>
      <c r="B76" t="s">
        <v>50</v>
      </c>
      <c r="C76" s="5">
        <f>[1]Emissions!B826</f>
        <v>213.2737558</v>
      </c>
      <c r="D76" s="5">
        <f>[1]Emissions!C826</f>
        <v>214.38922009999999</v>
      </c>
      <c r="E76" s="5">
        <f>[1]Emissions!D826</f>
        <v>215.71139339999999</v>
      </c>
      <c r="F76" s="5">
        <f>[1]Emissions!E826</f>
        <v>216.7689987</v>
      </c>
      <c r="G76" s="5">
        <f>[1]Emissions!F826</f>
        <v>219.1768371</v>
      </c>
      <c r="H76" s="5">
        <f>[1]Emissions!G826</f>
        <v>222.7112454</v>
      </c>
      <c r="I76" s="5">
        <f>[1]Emissions!H826</f>
        <v>226.5721111</v>
      </c>
      <c r="J76" s="5">
        <f>[1]Emissions!I826</f>
        <v>220.2904035</v>
      </c>
      <c r="K76" s="5">
        <f>[1]Emissions!J826</f>
        <v>213.45038349999999</v>
      </c>
      <c r="L76" s="5">
        <f>[1]Emissions!K826</f>
        <v>207.74391410000001</v>
      </c>
      <c r="M76" s="5">
        <f>[1]Emissions!L826</f>
        <v>202.49657479999999</v>
      </c>
      <c r="N76" s="5">
        <f>[1]Emissions!M826</f>
        <v>197.56751070000001</v>
      </c>
      <c r="O76" s="5">
        <f>[1]Emissions!N826</f>
        <v>192.72569709999999</v>
      </c>
      <c r="P76" s="5">
        <f>[1]Emissions!O826</f>
        <v>187.93399919999999</v>
      </c>
      <c r="Q76" s="5">
        <f>[1]Emissions!P826</f>
        <v>183.25557789999999</v>
      </c>
      <c r="R76" s="5">
        <f>[1]Emissions!Q826</f>
        <v>178.71440240000001</v>
      </c>
      <c r="S76" s="5">
        <f>[1]Emissions!R826</f>
        <v>174.1513033</v>
      </c>
      <c r="T76" s="5">
        <f>[1]Emissions!S826</f>
        <v>169.68893499999999</v>
      </c>
      <c r="U76" s="5">
        <f>[1]Emissions!T826</f>
        <v>165.40016170000001</v>
      </c>
      <c r="V76" s="5">
        <f>[1]Emissions!U826</f>
        <v>161.3119112</v>
      </c>
      <c r="W76" s="5">
        <f>[1]Emissions!V826</f>
        <v>157.40110630000001</v>
      </c>
      <c r="X76" s="5">
        <f>[1]Emissions!W826</f>
        <v>153.7070841</v>
      </c>
      <c r="Y76" s="5">
        <f>[1]Emissions!X826</f>
        <v>150.2163587</v>
      </c>
      <c r="Z76" s="5">
        <f>[1]Emissions!Y826</f>
        <v>146.89190590000001</v>
      </c>
      <c r="AA76" s="5">
        <f>[1]Emissions!Z826</f>
        <v>143.67644150000001</v>
      </c>
      <c r="AB76" s="5">
        <f>[1]Emissions!AA826</f>
        <v>140.441439</v>
      </c>
      <c r="AC76" s="5">
        <f>[1]Emissions!AB826</f>
        <v>137.2194528</v>
      </c>
      <c r="AD76" s="5">
        <f>[1]Emissions!AC826</f>
        <v>133.98010199999999</v>
      </c>
      <c r="AE76" s="5">
        <f>[1]Emissions!AD826</f>
        <v>130.65171309999999</v>
      </c>
      <c r="AF76" s="5">
        <f>[1]Emissions!AE826</f>
        <v>127.1177788</v>
      </c>
      <c r="AG76" s="5">
        <f>[1]Emissions!AF826</f>
        <v>123.2436426</v>
      </c>
      <c r="AH76" s="5">
        <f>[1]Emissions!AG826</f>
        <v>118.9034458</v>
      </c>
      <c r="AI76" s="5">
        <f>[1]Emissions!AH826</f>
        <v>113.97408230000001</v>
      </c>
      <c r="AJ76" s="5">
        <f>[1]Emissions!AI826</f>
        <v>108.3123435</v>
      </c>
      <c r="AK76" s="5">
        <f>[1]Emissions!AJ826</f>
        <v>101.7466313</v>
      </c>
      <c r="AL76" s="5">
        <f>[1]Emissions!AK826</f>
        <v>94.056473780000005</v>
      </c>
    </row>
    <row r="77" spans="1:38" x14ac:dyDescent="0.35">
      <c r="A77" s="8"/>
      <c r="B77" t="s">
        <v>51</v>
      </c>
      <c r="C77" s="5">
        <f>[1]Emissions!B827</f>
        <v>2.7534944400000001E-2</v>
      </c>
      <c r="D77" s="5">
        <f>[1]Emissions!C827</f>
        <v>2.8000047399999999E-2</v>
      </c>
      <c r="E77" s="5">
        <f>[1]Emissions!D827</f>
        <v>2.85510195E-2</v>
      </c>
      <c r="F77" s="5">
        <f>[1]Emissions!E827</f>
        <v>2.9183565599999999E-2</v>
      </c>
      <c r="G77" s="5">
        <f>[1]Emissions!F827</f>
        <v>2.98817943E-2</v>
      </c>
      <c r="H77" s="5">
        <f>[1]Emissions!G827</f>
        <v>3.0639678900000002E-2</v>
      </c>
      <c r="I77" s="5">
        <f>[1]Emissions!H827</f>
        <v>3.1430106399999998E-2</v>
      </c>
      <c r="J77" s="5">
        <f>[1]Emissions!I827</f>
        <v>3.2117533400000002E-2</v>
      </c>
      <c r="K77" s="5">
        <f>[1]Emissions!J827</f>
        <v>3.2787262599999999E-2</v>
      </c>
      <c r="L77" s="5">
        <f>[1]Emissions!K827</f>
        <v>3.3600017400000001E-2</v>
      </c>
      <c r="M77" s="5">
        <f>[1]Emissions!L827</f>
        <v>3.4414126400000002E-2</v>
      </c>
      <c r="N77" s="5">
        <f>[1]Emissions!M827</f>
        <v>3.5103977000000001E-2</v>
      </c>
      <c r="O77" s="5">
        <f>[1]Emissions!N827</f>
        <v>3.5692293399999998E-2</v>
      </c>
      <c r="P77" s="5">
        <f>[1]Emissions!O827</f>
        <v>3.6205466999999998E-2</v>
      </c>
      <c r="Q77" s="5">
        <f>[1]Emissions!P827</f>
        <v>3.6675594200000002E-2</v>
      </c>
      <c r="R77" s="5">
        <f>[1]Emissions!Q827</f>
        <v>3.7123631099999999E-2</v>
      </c>
      <c r="S77" s="5">
        <f>[1]Emissions!R827</f>
        <v>3.7575972700000002E-2</v>
      </c>
      <c r="T77" s="5">
        <f>[1]Emissions!S827</f>
        <v>3.8044819299999998E-2</v>
      </c>
      <c r="U77" s="5">
        <f>[1]Emissions!T827</f>
        <v>3.8546480600000002E-2</v>
      </c>
      <c r="V77" s="5">
        <f>[1]Emissions!U827</f>
        <v>3.9092970800000001E-2</v>
      </c>
      <c r="W77" s="5">
        <f>[1]Emissions!V827</f>
        <v>3.96862511E-2</v>
      </c>
      <c r="X77" s="5">
        <f>[1]Emissions!W827</f>
        <v>4.03465228E-2</v>
      </c>
      <c r="Y77" s="5">
        <f>[1]Emissions!X827</f>
        <v>4.1084352900000003E-2</v>
      </c>
      <c r="Z77" s="5">
        <f>[1]Emissions!Y827</f>
        <v>4.1907000299999997E-2</v>
      </c>
      <c r="AA77" s="5">
        <f>[1]Emissions!Z827</f>
        <v>4.2816821400000003E-2</v>
      </c>
      <c r="AB77" s="5">
        <f>[1]Emissions!AA827</f>
        <v>4.3789883299999999E-2</v>
      </c>
      <c r="AC77" s="5">
        <f>[1]Emissions!AB827</f>
        <v>4.4841264700000001E-2</v>
      </c>
      <c r="AD77" s="5">
        <f>[1]Emissions!AC827</f>
        <v>4.5987926300000002E-2</v>
      </c>
      <c r="AE77" s="5">
        <f>[1]Emissions!AD827</f>
        <v>4.7235711700000002E-2</v>
      </c>
      <c r="AF77" s="5">
        <f>[1]Emissions!AE827</f>
        <v>4.8579488400000002E-2</v>
      </c>
      <c r="AG77" s="5">
        <f>[1]Emissions!AF827</f>
        <v>5.0007705299999997E-2</v>
      </c>
      <c r="AH77" s="5">
        <f>[1]Emissions!AG827</f>
        <v>5.15089034E-2</v>
      </c>
      <c r="AI77" s="5">
        <f>[1]Emissions!AH827</f>
        <v>5.3073265299999998E-2</v>
      </c>
      <c r="AJ77" s="5">
        <f>[1]Emissions!AI827</f>
        <v>5.4691216299999998E-2</v>
      </c>
      <c r="AK77" s="5">
        <f>[1]Emissions!AJ827</f>
        <v>5.6353069800000002E-2</v>
      </c>
      <c r="AL77" s="5">
        <f>[1]Emissions!AK827</f>
        <v>5.80487082E-2</v>
      </c>
    </row>
    <row r="78" spans="1:38" x14ac:dyDescent="0.35">
      <c r="B78" t="s">
        <v>52</v>
      </c>
      <c r="C78" s="5">
        <f>[1]Emissions!B828</f>
        <v>15.22687925</v>
      </c>
      <c r="D78" s="5">
        <f>[1]Emissions!C828</f>
        <v>15.4836948</v>
      </c>
      <c r="E78" s="5">
        <f>[1]Emissions!D828</f>
        <v>15.78011791</v>
      </c>
      <c r="F78" s="5">
        <f>[1]Emissions!E828</f>
        <v>16.100300860000001</v>
      </c>
      <c r="G78" s="5">
        <f>[1]Emissions!F828</f>
        <v>16.445251979999998</v>
      </c>
      <c r="H78" s="5">
        <f>[1]Emissions!G828</f>
        <v>16.815396119999999</v>
      </c>
      <c r="I78" s="5">
        <f>[1]Emissions!H828</f>
        <v>17.199553739999999</v>
      </c>
      <c r="J78" s="5">
        <f>[1]Emissions!I828</f>
        <v>17.519832940000001</v>
      </c>
      <c r="K78" s="5">
        <f>[1]Emissions!J828</f>
        <v>17.81560408</v>
      </c>
      <c r="L78" s="5">
        <f>[1]Emissions!K828</f>
        <v>18.149821039999999</v>
      </c>
      <c r="M78" s="5">
        <f>[1]Emissions!L828</f>
        <v>18.495490390000001</v>
      </c>
      <c r="N78" s="5">
        <f>[1]Emissions!M828</f>
        <v>18.809097220000002</v>
      </c>
      <c r="O78" s="5">
        <f>[1]Emissions!N828</f>
        <v>19.098675310000001</v>
      </c>
      <c r="P78" s="5">
        <f>[1]Emissions!O828</f>
        <v>19.37479883</v>
      </c>
      <c r="Q78" s="5">
        <f>[1]Emissions!P828</f>
        <v>19.649974480000001</v>
      </c>
      <c r="R78" s="5">
        <f>[1]Emissions!Q828</f>
        <v>19.932730580000001</v>
      </c>
      <c r="S78" s="5">
        <f>[1]Emissions!R828</f>
        <v>20.22867943</v>
      </c>
      <c r="T78" s="5">
        <f>[1]Emissions!S828</f>
        <v>20.54000095</v>
      </c>
      <c r="U78" s="5">
        <f>[1]Emissions!T828</f>
        <v>20.872912599999999</v>
      </c>
      <c r="V78" s="5">
        <f>[1]Emissions!U828</f>
        <v>21.232736370000001</v>
      </c>
      <c r="W78" s="5">
        <f>[1]Emissions!V828</f>
        <v>21.616955279999999</v>
      </c>
      <c r="X78" s="5">
        <f>[1]Emissions!W828</f>
        <v>22.04091103</v>
      </c>
      <c r="Y78" s="5">
        <f>[1]Emissions!X828</f>
        <v>22.506002590000001</v>
      </c>
      <c r="Z78" s="5">
        <f>[1]Emissions!Y828</f>
        <v>23.014759349999999</v>
      </c>
      <c r="AA78" s="5">
        <f>[1]Emissions!Z828</f>
        <v>23.568331929999999</v>
      </c>
      <c r="AB78" s="5">
        <f>[1]Emissions!AA828</f>
        <v>24.146232749999999</v>
      </c>
      <c r="AC78" s="5">
        <f>[1]Emissions!AB828</f>
        <v>24.769682849999999</v>
      </c>
      <c r="AD78" s="5">
        <f>[1]Emissions!AC828</f>
        <v>25.441723459999999</v>
      </c>
      <c r="AE78" s="5">
        <f>[1]Emissions!AD828</f>
        <v>26.16432674</v>
      </c>
      <c r="AF78" s="5">
        <f>[1]Emissions!AE828</f>
        <v>26.93636987</v>
      </c>
      <c r="AG78" s="5">
        <f>[1]Emissions!AF828</f>
        <v>27.755129289999999</v>
      </c>
      <c r="AH78" s="5">
        <f>[1]Emissions!AG828</f>
        <v>28.618899580000001</v>
      </c>
      <c r="AI78" s="5">
        <f>[1]Emissions!AH828</f>
        <v>29.52749867</v>
      </c>
      <c r="AJ78" s="5">
        <f>[1]Emissions!AI828</f>
        <v>30.481256569999999</v>
      </c>
      <c r="AK78" s="5">
        <f>[1]Emissions!AJ828</f>
        <v>31.481400659999998</v>
      </c>
      <c r="AL78" s="5">
        <f>[1]Emissions!AK828</f>
        <v>32.53035989</v>
      </c>
    </row>
    <row r="79" spans="1:38" x14ac:dyDescent="0.35">
      <c r="B79" t="s">
        <v>13</v>
      </c>
      <c r="C79" s="6">
        <f>[1]Results!F1551</f>
        <v>1966951.8470000001</v>
      </c>
      <c r="D79" s="6">
        <f>[1]Results!G1551</f>
        <v>2004514.4350000001</v>
      </c>
      <c r="E79" s="6">
        <f>[1]Results!H1551</f>
        <v>2046262.166</v>
      </c>
      <c r="F79" s="6">
        <f>[1]Results!I1551</f>
        <v>2091802.0889999999</v>
      </c>
      <c r="G79" s="6">
        <f>[1]Results!J1551</f>
        <v>2140261.7549999999</v>
      </c>
      <c r="H79" s="6">
        <f>[1]Results!K1551</f>
        <v>2191369.5550000002</v>
      </c>
      <c r="I79" s="6">
        <f>[1]Results!L1551</f>
        <v>2243375.0550000002</v>
      </c>
      <c r="J79" s="6">
        <f>[1]Results!M1551</f>
        <v>2296530.6310000001</v>
      </c>
      <c r="K79" s="6">
        <f>[1]Results!N1551</f>
        <v>2350765.7140000002</v>
      </c>
      <c r="L79" s="6">
        <f>[1]Results!O1551</f>
        <v>2406137.2319999998</v>
      </c>
      <c r="M79" s="6">
        <f>[1]Results!P1551</f>
        <v>2462473.236</v>
      </c>
      <c r="N79" s="6">
        <f>[1]Results!Q1551</f>
        <v>2512152.7400000002</v>
      </c>
      <c r="O79" s="6">
        <f>[1]Results!R1551</f>
        <v>2557808.378</v>
      </c>
      <c r="P79" s="6">
        <f>[1]Results!S1551</f>
        <v>2600315.91</v>
      </c>
      <c r="Q79" s="6">
        <f>[1]Results!T1551</f>
        <v>2640805.9339999999</v>
      </c>
      <c r="R79" s="6">
        <f>[1]Results!U1551</f>
        <v>2680385.86</v>
      </c>
      <c r="S79" s="6">
        <f>[1]Results!V1551</f>
        <v>2720763.4580000001</v>
      </c>
      <c r="T79" s="6">
        <f>[1]Results!W1551</f>
        <v>2763135.3670000001</v>
      </c>
      <c r="U79" s="6">
        <f>[1]Results!X1551</f>
        <v>2808325.7940000002</v>
      </c>
      <c r="V79" s="6">
        <f>[1]Results!Y1551</f>
        <v>2856807.4029999999</v>
      </c>
      <c r="W79" s="6">
        <f>[1]Results!Z1551</f>
        <v>2907879.91</v>
      </c>
      <c r="X79" s="6">
        <f>[1]Results!AA1551</f>
        <v>2963834.9479999999</v>
      </c>
      <c r="Y79" s="6">
        <f>[1]Results!AB1551</f>
        <v>3024475.3629999999</v>
      </c>
      <c r="Z79" s="6">
        <f>[1]Results!AC1551</f>
        <v>3090084.9449999998</v>
      </c>
      <c r="AA79" s="6">
        <f>[1]Results!AD1551</f>
        <v>3160659.2540000002</v>
      </c>
      <c r="AB79" s="6">
        <f>[1]Results!AE1551</f>
        <v>3232877.9190000002</v>
      </c>
      <c r="AC79" s="6">
        <f>[1]Results!AF1551</f>
        <v>3310824.798</v>
      </c>
      <c r="AD79" s="6">
        <f>[1]Results!AG1551</f>
        <v>3393839.415</v>
      </c>
      <c r="AE79" s="6">
        <f>[1]Results!AH1551</f>
        <v>3482046.3309999998</v>
      </c>
      <c r="AF79" s="6">
        <f>[1]Results!AI1551</f>
        <v>3574944.0389999999</v>
      </c>
      <c r="AG79" s="6">
        <f>[1]Results!AJ1551</f>
        <v>3671745.4360000002</v>
      </c>
      <c r="AH79" s="6">
        <f>[1]Results!AK1551</f>
        <v>3771746.591</v>
      </c>
      <c r="AI79" s="6">
        <f>[1]Results!AL1551</f>
        <v>3874354.176</v>
      </c>
      <c r="AJ79" s="6">
        <f>[1]Results!AM1551</f>
        <v>3978981.7</v>
      </c>
      <c r="AK79" s="6">
        <f>[1]Results!AN1551</f>
        <v>4085030.5989999999</v>
      </c>
      <c r="AL79" s="6">
        <f>[1]Results!AO1551</f>
        <v>4191881.8590000002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78</v>
      </c>
      <c r="B81" t="s">
        <v>13</v>
      </c>
      <c r="C81" s="6">
        <f>[1]Results!F1551</f>
        <v>1966951.8470000001</v>
      </c>
      <c r="D81" s="6">
        <f>[1]Results!G1551</f>
        <v>2004514.4350000001</v>
      </c>
      <c r="E81" s="6">
        <f>[1]Results!H1551</f>
        <v>2046262.166</v>
      </c>
      <c r="F81" s="6">
        <f>[1]Results!I1551</f>
        <v>2091802.0889999999</v>
      </c>
      <c r="G81" s="6">
        <f>[1]Results!J1551</f>
        <v>2140261.7549999999</v>
      </c>
      <c r="H81" s="6">
        <f>[1]Results!K1551</f>
        <v>2191369.5550000002</v>
      </c>
      <c r="I81" s="6">
        <f>[1]Results!L1551</f>
        <v>2243375.0550000002</v>
      </c>
      <c r="J81" s="6">
        <f>[1]Results!M1551</f>
        <v>2296530.6310000001</v>
      </c>
      <c r="K81" s="6">
        <f>[1]Results!N1551</f>
        <v>2350765.7140000002</v>
      </c>
      <c r="L81" s="6">
        <f>[1]Results!O1551</f>
        <v>2406137.2319999998</v>
      </c>
      <c r="M81" s="6">
        <f>[1]Results!P1551</f>
        <v>2462473.236</v>
      </c>
      <c r="N81" s="6">
        <f>[1]Results!Q1551</f>
        <v>2512152.7400000002</v>
      </c>
      <c r="O81" s="6">
        <f>[1]Results!R1551</f>
        <v>2557808.378</v>
      </c>
      <c r="P81" s="6">
        <f>[1]Results!S1551</f>
        <v>2600315.91</v>
      </c>
      <c r="Q81" s="6">
        <f>[1]Results!T1551</f>
        <v>2640805.9339999999</v>
      </c>
      <c r="R81" s="6">
        <f>[1]Results!U1551</f>
        <v>2680385.86</v>
      </c>
      <c r="S81" s="6">
        <f>[1]Results!V1551</f>
        <v>2720763.4580000001</v>
      </c>
      <c r="T81" s="6">
        <f>[1]Results!W1551</f>
        <v>2763135.3670000001</v>
      </c>
      <c r="U81" s="6">
        <f>[1]Results!X1551</f>
        <v>2808325.7940000002</v>
      </c>
      <c r="V81" s="6">
        <f>[1]Results!Y1551</f>
        <v>2856807.4029999999</v>
      </c>
      <c r="W81" s="6">
        <f>[1]Results!Z1551</f>
        <v>2907879.91</v>
      </c>
      <c r="X81" s="6">
        <f>[1]Results!AA1551</f>
        <v>2963834.9479999999</v>
      </c>
      <c r="Y81" s="6">
        <f>[1]Results!AB1551</f>
        <v>3024475.3629999999</v>
      </c>
      <c r="Z81" s="6">
        <f>[1]Results!AC1551</f>
        <v>3090084.9449999998</v>
      </c>
      <c r="AA81" s="6">
        <f>[1]Results!AD1551</f>
        <v>3160659.2540000002</v>
      </c>
      <c r="AB81" s="6">
        <f>[1]Results!AE1551</f>
        <v>3232877.9190000002</v>
      </c>
      <c r="AC81" s="6">
        <f>[1]Results!AF1551</f>
        <v>3310824.798</v>
      </c>
      <c r="AD81" s="6">
        <f>[1]Results!AG1551</f>
        <v>3393839.415</v>
      </c>
      <c r="AE81" s="6">
        <f>[1]Results!AH1551</f>
        <v>3482046.3309999998</v>
      </c>
      <c r="AF81" s="6">
        <f>[1]Results!AI1551</f>
        <v>3574944.0389999999</v>
      </c>
      <c r="AG81" s="6">
        <f>[1]Results!AJ1551</f>
        <v>3671745.4360000002</v>
      </c>
      <c r="AH81" s="6">
        <f>[1]Results!AK1551</f>
        <v>3771746.591</v>
      </c>
      <c r="AI81" s="6">
        <f>[1]Results!AL1551</f>
        <v>3874354.176</v>
      </c>
      <c r="AJ81" s="6">
        <f>[1]Results!AM1551</f>
        <v>3978981.7</v>
      </c>
      <c r="AK81" s="6">
        <f>[1]Results!AN1551</f>
        <v>4085030.5989999999</v>
      </c>
      <c r="AL81" s="6">
        <f>[1]Results!AO1551</f>
        <v>4191881.8590000002</v>
      </c>
    </row>
    <row r="82" spans="1:38" x14ac:dyDescent="0.35">
      <c r="A82" t="s">
        <v>38</v>
      </c>
      <c r="B82" t="s">
        <v>7</v>
      </c>
      <c r="C82" s="6">
        <f>[1]Results!F1552</f>
        <v>36098.159420000004</v>
      </c>
      <c r="D82" s="6">
        <f>[1]Results!G1552</f>
        <v>36623.371090000001</v>
      </c>
      <c r="E82" s="6">
        <f>[1]Results!H1552</f>
        <v>37244.642789999998</v>
      </c>
      <c r="F82" s="6">
        <f>[1]Results!I1552</f>
        <v>37959.58309</v>
      </c>
      <c r="G82" s="6">
        <f>[1]Results!J1552</f>
        <v>38764.855029999999</v>
      </c>
      <c r="H82" s="6">
        <f>[1]Results!K1552</f>
        <v>39643.25217</v>
      </c>
      <c r="I82" s="6">
        <f>[1]Results!L1552</f>
        <v>40558.290159999997</v>
      </c>
      <c r="J82" s="6">
        <f>[1]Results!M1552</f>
        <v>41500.479099999997</v>
      </c>
      <c r="K82" s="6">
        <f>[1]Results!N1552</f>
        <v>42464.269930000002</v>
      </c>
      <c r="L82" s="6">
        <f>[1]Results!O1552</f>
        <v>43447.51281</v>
      </c>
      <c r="M82" s="6">
        <f>[1]Results!P1552</f>
        <v>44425.097099999999</v>
      </c>
      <c r="N82" s="6">
        <f>[1]Results!Q1552</f>
        <v>45252.256410000002</v>
      </c>
      <c r="O82" s="6">
        <f>[1]Results!R1552</f>
        <v>45980.553440000003</v>
      </c>
      <c r="P82" s="6">
        <f>[1]Results!S1552</f>
        <v>46630.451509999999</v>
      </c>
      <c r="Q82" s="6">
        <f>[1]Results!T1552</f>
        <v>47227.261079999997</v>
      </c>
      <c r="R82" s="6">
        <f>[1]Results!U1552</f>
        <v>47795.48906</v>
      </c>
      <c r="S82" s="6">
        <f>[1]Results!V1552</f>
        <v>48372.087619999998</v>
      </c>
      <c r="T82" s="6">
        <f>[1]Results!W1552</f>
        <v>48983.859900000003</v>
      </c>
      <c r="U82" s="6">
        <f>[1]Results!X1552</f>
        <v>49649.785860000004</v>
      </c>
      <c r="V82" s="6">
        <f>[1]Results!Y1552</f>
        <v>50380.265720000003</v>
      </c>
      <c r="W82" s="6">
        <f>[1]Results!Z1552</f>
        <v>51171.842409999997</v>
      </c>
      <c r="X82" s="6">
        <f>[1]Results!AA1552</f>
        <v>52050.765780000002</v>
      </c>
      <c r="Y82" s="6">
        <f>[1]Results!AB1552</f>
        <v>53024.94111</v>
      </c>
      <c r="Z82" s="6">
        <f>[1]Results!AC1552</f>
        <v>54099.355430000003</v>
      </c>
      <c r="AA82" s="6">
        <f>[1]Results!AD1552</f>
        <v>55272.826580000001</v>
      </c>
      <c r="AB82" s="6">
        <f>[1]Results!AE1552</f>
        <v>56507.61191</v>
      </c>
      <c r="AC82" s="6">
        <f>[1]Results!AF1552</f>
        <v>57840.707369999996</v>
      </c>
      <c r="AD82" s="6">
        <f>[1]Results!AG1552</f>
        <v>59278.16203</v>
      </c>
      <c r="AE82" s="6">
        <f>[1]Results!AH1552</f>
        <v>60821.453730000001</v>
      </c>
      <c r="AF82" s="6">
        <f>[1]Results!AI1552</f>
        <v>62457.837930000002</v>
      </c>
      <c r="AG82" s="6">
        <f>[1]Results!AJ1552</f>
        <v>64168.651160000001</v>
      </c>
      <c r="AH82" s="6">
        <f>[1]Results!AK1552</f>
        <v>65937.758950000003</v>
      </c>
      <c r="AI82" s="6">
        <f>[1]Results!AL1552</f>
        <v>67751.531059999994</v>
      </c>
      <c r="AJ82" s="6">
        <f>[1]Results!AM1552</f>
        <v>69596.323359999995</v>
      </c>
      <c r="AK82" s="6">
        <f>[1]Results!AN1552</f>
        <v>71458.193780000001</v>
      </c>
      <c r="AL82" s="6">
        <f>[1]Results!AO1552</f>
        <v>73322.857189999995</v>
      </c>
    </row>
    <row r="83" spans="1:38" x14ac:dyDescent="0.35">
      <c r="B83" t="s">
        <v>30</v>
      </c>
      <c r="C83" s="6">
        <f>[1]Results!F1555</f>
        <v>331692.73849999998</v>
      </c>
      <c r="D83" s="6">
        <f>[1]Results!G1555</f>
        <v>339801.6813</v>
      </c>
      <c r="E83" s="6">
        <f>[1]Results!H1555</f>
        <v>348255.64260000002</v>
      </c>
      <c r="F83" s="6">
        <f>[1]Results!I1555</f>
        <v>357287.6286</v>
      </c>
      <c r="G83" s="6">
        <f>[1]Results!J1555</f>
        <v>366840.92259999999</v>
      </c>
      <c r="H83" s="6">
        <f>[1]Results!K1555</f>
        <v>376870.55239999999</v>
      </c>
      <c r="I83" s="6">
        <f>[1]Results!L1555</f>
        <v>387150.05339999998</v>
      </c>
      <c r="J83" s="6">
        <f>[1]Results!M1555</f>
        <v>397675.06569999998</v>
      </c>
      <c r="K83" s="6">
        <f>[1]Results!N1555</f>
        <v>408462.82880000002</v>
      </c>
      <c r="L83" s="6">
        <f>[1]Results!O1555</f>
        <v>419547.01939999999</v>
      </c>
      <c r="M83" s="6">
        <f>[1]Results!P1555</f>
        <v>430592.1715</v>
      </c>
      <c r="N83" s="6">
        <f>[1]Results!Q1555</f>
        <v>440045.86900000001</v>
      </c>
      <c r="O83" s="6">
        <f>[1]Results!R1555</f>
        <v>448736.51620000001</v>
      </c>
      <c r="P83" s="6">
        <f>[1]Results!S1555</f>
        <v>456937.41090000002</v>
      </c>
      <c r="Q83" s="6">
        <f>[1]Results!T1555</f>
        <v>464951.78149999998</v>
      </c>
      <c r="R83" s="6">
        <f>[1]Results!U1555</f>
        <v>473031.788</v>
      </c>
      <c r="S83" s="6">
        <f>[1]Results!V1555</f>
        <v>481533.23499999999</v>
      </c>
      <c r="T83" s="6">
        <f>[1]Results!W1555</f>
        <v>490695.60159999999</v>
      </c>
      <c r="U83" s="6">
        <f>[1]Results!X1555</f>
        <v>500669.68689999997</v>
      </c>
      <c r="V83" s="6">
        <f>[1]Results!Y1555</f>
        <v>511517.65100000001</v>
      </c>
      <c r="W83" s="6">
        <f>[1]Results!Z1555</f>
        <v>523200.7157</v>
      </c>
      <c r="X83" s="6">
        <f>[1]Results!AA1555</f>
        <v>535914.17760000005</v>
      </c>
      <c r="Y83" s="6">
        <f>[1]Results!AB1555</f>
        <v>549719.7084</v>
      </c>
      <c r="Z83" s="6">
        <f>[1]Results!AC1555</f>
        <v>564645.73459999997</v>
      </c>
      <c r="AA83" s="6">
        <f>[1]Results!AD1555</f>
        <v>580651.31510000001</v>
      </c>
      <c r="AB83" s="6">
        <f>[1]Results!AE1555</f>
        <v>597404.64500000002</v>
      </c>
      <c r="AC83" s="6">
        <f>[1]Results!AF1555</f>
        <v>615193.53650000005</v>
      </c>
      <c r="AD83" s="6">
        <f>[1]Results!AG1555</f>
        <v>634058.61789999995</v>
      </c>
      <c r="AE83" s="6">
        <f>[1]Results!AH1555</f>
        <v>653993.67890000006</v>
      </c>
      <c r="AF83" s="6">
        <f>[1]Results!AI1555</f>
        <v>674828.92319999996</v>
      </c>
      <c r="AG83" s="6">
        <f>[1]Results!AJ1555</f>
        <v>696358.17920000001</v>
      </c>
      <c r="AH83" s="6">
        <f>[1]Results!AK1555</f>
        <v>718435.4584</v>
      </c>
      <c r="AI83" s="6">
        <f>[1]Results!AL1555</f>
        <v>740960.02049999998</v>
      </c>
      <c r="AJ83" s="6">
        <f>[1]Results!AM1555</f>
        <v>763835.1433</v>
      </c>
      <c r="AK83" s="6">
        <f>[1]Results!AN1555</f>
        <v>786961.68709999998</v>
      </c>
      <c r="AL83" s="6">
        <f>[1]Results!AO1555</f>
        <v>810234.85620000004</v>
      </c>
    </row>
    <row r="84" spans="1:38" x14ac:dyDescent="0.35">
      <c r="B84" t="s">
        <v>9</v>
      </c>
      <c r="C84" s="6">
        <f>[1]Results!F1567</f>
        <v>48475.55906</v>
      </c>
      <c r="D84" s="6">
        <f>[1]Results!G1567</f>
        <v>49503.006139999998</v>
      </c>
      <c r="E84" s="6">
        <f>[1]Results!H1567</f>
        <v>50548.41532</v>
      </c>
      <c r="F84" s="6">
        <f>[1]Results!I1567</f>
        <v>51647.667459999997</v>
      </c>
      <c r="G84" s="6">
        <f>[1]Results!J1567</f>
        <v>52820.992859999998</v>
      </c>
      <c r="H84" s="6">
        <f>[1]Results!K1567</f>
        <v>54067.156620000002</v>
      </c>
      <c r="I84" s="6">
        <f>[1]Results!L1567</f>
        <v>55342.471550000002</v>
      </c>
      <c r="J84" s="6">
        <f>[1]Results!M1567</f>
        <v>56639.826999999997</v>
      </c>
      <c r="K84" s="6">
        <f>[1]Results!N1567</f>
        <v>57955.319640000002</v>
      </c>
      <c r="L84" s="6">
        <f>[1]Results!O1567</f>
        <v>59289.089200000002</v>
      </c>
      <c r="M84" s="6">
        <f>[1]Results!P1567</f>
        <v>60599.964699999997</v>
      </c>
      <c r="N84" s="6">
        <f>[1]Results!Q1567</f>
        <v>61665.508229999999</v>
      </c>
      <c r="O84" s="6">
        <f>[1]Results!R1567</f>
        <v>62594.950559999997</v>
      </c>
      <c r="P84" s="6">
        <f>[1]Results!S1567</f>
        <v>63422.94212</v>
      </c>
      <c r="Q84" s="6">
        <f>[1]Results!T1567</f>
        <v>64190.475599999998</v>
      </c>
      <c r="R84" s="6">
        <f>[1]Results!U1567</f>
        <v>64934.236069999999</v>
      </c>
      <c r="S84" s="6">
        <f>[1]Results!V1567</f>
        <v>65709.074040000007</v>
      </c>
      <c r="T84" s="6">
        <f>[1]Results!W1567</f>
        <v>66551.488159999994</v>
      </c>
      <c r="U84" s="6">
        <f>[1]Results!X1567</f>
        <v>67484.688080000007</v>
      </c>
      <c r="V84" s="6">
        <f>[1]Results!Y1567</f>
        <v>68519.959749999995</v>
      </c>
      <c r="W84" s="6">
        <f>[1]Results!Z1567</f>
        <v>69650.719150000004</v>
      </c>
      <c r="X84" s="6">
        <f>[1]Results!AA1567</f>
        <v>70915.283500000005</v>
      </c>
      <c r="Y84" s="6">
        <f>[1]Results!AB1567</f>
        <v>72319.279479999997</v>
      </c>
      <c r="Z84" s="6">
        <f>[1]Results!AC1567</f>
        <v>73868.431909999999</v>
      </c>
      <c r="AA84" s="6">
        <f>[1]Results!AD1567</f>
        <v>75559.340609999999</v>
      </c>
      <c r="AB84" s="6">
        <f>[1]Results!AE1567</f>
        <v>77337.509980000003</v>
      </c>
      <c r="AC84" s="6">
        <f>[1]Results!AF1567</f>
        <v>79263.913719999997</v>
      </c>
      <c r="AD84" s="6">
        <f>[1]Results!AG1567</f>
        <v>81337.151459999994</v>
      </c>
      <c r="AE84" s="6">
        <f>[1]Results!AH1567</f>
        <v>83556.040399999998</v>
      </c>
      <c r="AF84" s="6">
        <f>[1]Results!AI1567</f>
        <v>85896.436629999997</v>
      </c>
      <c r="AG84" s="6">
        <f>[1]Results!AJ1567</f>
        <v>88327.731060000006</v>
      </c>
      <c r="AH84" s="6">
        <f>[1]Results!AK1567</f>
        <v>90825.908599999995</v>
      </c>
      <c r="AI84" s="6">
        <f>[1]Results!AL1567</f>
        <v>93372.295370000007</v>
      </c>
      <c r="AJ84" s="6">
        <f>[1]Results!AM1567</f>
        <v>95948.775290000005</v>
      </c>
      <c r="AK84" s="6">
        <f>[1]Results!AN1567</f>
        <v>98537.301250000004</v>
      </c>
      <c r="AL84" s="6">
        <f>[1]Results!AO1567</f>
        <v>101119.7409</v>
      </c>
    </row>
    <row r="85" spans="1:38" x14ac:dyDescent="0.35">
      <c r="B85" t="s">
        <v>10</v>
      </c>
      <c r="C85" s="6">
        <f>[1]Results!F1572</f>
        <v>1512067.868</v>
      </c>
      <c r="D85" s="6">
        <f>[1]Results!G1572</f>
        <v>1539354.192</v>
      </c>
      <c r="E85" s="6">
        <f>[1]Results!H1572</f>
        <v>1570380.5970000001</v>
      </c>
      <c r="F85" s="6">
        <f>[1]Results!I1572</f>
        <v>1604412.807</v>
      </c>
      <c r="G85" s="6">
        <f>[1]Results!J1572</f>
        <v>1640728.7350000001</v>
      </c>
      <c r="H85" s="6">
        <f>[1]Results!K1572</f>
        <v>1679062.155</v>
      </c>
      <c r="I85" s="6">
        <f>[1]Results!L1572</f>
        <v>1717958.0319999999</v>
      </c>
      <c r="J85" s="6">
        <f>[1]Results!M1572</f>
        <v>1757684.102</v>
      </c>
      <c r="K85" s="6">
        <f>[1]Results!N1572</f>
        <v>1798172.9680000001</v>
      </c>
      <c r="L85" s="6">
        <f>[1]Results!O1572</f>
        <v>1839455.338</v>
      </c>
      <c r="M85" s="6">
        <f>[1]Results!P1572</f>
        <v>1881776.9469999999</v>
      </c>
      <c r="N85" s="6">
        <f>[1]Results!Q1572</f>
        <v>1919570.666</v>
      </c>
      <c r="O85" s="6">
        <f>[1]Results!R1572</f>
        <v>1954437.4569999999</v>
      </c>
      <c r="P85" s="6">
        <f>[1]Results!S1572</f>
        <v>1986901.14</v>
      </c>
      <c r="Q85" s="6">
        <f>[1]Results!T1572</f>
        <v>2017694.5719999999</v>
      </c>
      <c r="R85" s="6">
        <f>[1]Results!U1572</f>
        <v>2047584.571</v>
      </c>
      <c r="S85" s="6">
        <f>[1]Results!V1572</f>
        <v>2077812.767</v>
      </c>
      <c r="T85" s="6">
        <f>[1]Results!W1572</f>
        <v>2109243.3509999998</v>
      </c>
      <c r="U85" s="6">
        <f>[1]Results!X1572</f>
        <v>2142483.8080000002</v>
      </c>
      <c r="V85" s="6">
        <f>[1]Results!Y1572</f>
        <v>2177909.4070000001</v>
      </c>
      <c r="W85" s="6">
        <f>[1]Results!Z1572</f>
        <v>2214871.4190000002</v>
      </c>
      <c r="X85" s="6">
        <f>[1]Results!AA1572</f>
        <v>2255369.963</v>
      </c>
      <c r="Y85" s="6">
        <f>[1]Results!AB1572</f>
        <v>2299129.0010000002</v>
      </c>
      <c r="Z85" s="6">
        <f>[1]Results!AC1572</f>
        <v>2346389.6320000002</v>
      </c>
      <c r="AA85" s="6">
        <f>[1]Results!AD1572</f>
        <v>2397193.0959999999</v>
      </c>
      <c r="AB85" s="6">
        <f>[1]Results!AE1572</f>
        <v>2448683.202</v>
      </c>
      <c r="AC85" s="6">
        <f>[1]Results!AF1572</f>
        <v>2504511.5410000002</v>
      </c>
      <c r="AD85" s="6">
        <f>[1]Results!AG1572</f>
        <v>2563975.102</v>
      </c>
      <c r="AE85" s="6">
        <f>[1]Results!AH1572</f>
        <v>2627208.3289999999</v>
      </c>
      <c r="AF85" s="6">
        <f>[1]Results!AI1572</f>
        <v>2693933.787</v>
      </c>
      <c r="AG85" s="6">
        <f>[1]Results!AJ1572</f>
        <v>2763641.9569999999</v>
      </c>
      <c r="AH85" s="6">
        <f>[1]Results!AK1572</f>
        <v>2835834.338</v>
      </c>
      <c r="AI85" s="6">
        <f>[1]Results!AL1572</f>
        <v>2910066.5440000002</v>
      </c>
      <c r="AJ85" s="6">
        <f>[1]Results!AM1572</f>
        <v>2985895.1090000002</v>
      </c>
      <c r="AK85" s="6">
        <f>[1]Results!AN1572</f>
        <v>3062866.2459999998</v>
      </c>
      <c r="AL85" s="6">
        <f>[1]Results!AO1572</f>
        <v>3140511.0159999998</v>
      </c>
    </row>
    <row r="86" spans="1:38" x14ac:dyDescent="0.35">
      <c r="B86" t="s">
        <v>29</v>
      </c>
      <c r="C86" s="6">
        <f>C91-C87</f>
        <v>-1916.1346972000001</v>
      </c>
      <c r="D86" s="6">
        <f t="shared" ref="D86:AL86" si="6">D91-D87</f>
        <v>-1930.0840965</v>
      </c>
      <c r="E86" s="6">
        <f t="shared" si="6"/>
        <v>-1942.3260502999997</v>
      </c>
      <c r="F86" s="6">
        <f t="shared" si="6"/>
        <v>-1955.8193484000003</v>
      </c>
      <c r="G86" s="6">
        <f t="shared" si="6"/>
        <v>-1966.1782037999999</v>
      </c>
      <c r="H86" s="6">
        <f t="shared" si="6"/>
        <v>-1983.4945604999998</v>
      </c>
      <c r="I86" s="6">
        <f t="shared" si="6"/>
        <v>-2012.0680270000003</v>
      </c>
      <c r="J86" s="6">
        <f t="shared" si="6"/>
        <v>-2046.8247916999999</v>
      </c>
      <c r="K86" s="6">
        <f t="shared" si="6"/>
        <v>-2083.5659967000001</v>
      </c>
      <c r="L86" s="6">
        <f t="shared" si="6"/>
        <v>-2120.7321039999997</v>
      </c>
      <c r="M86" s="6">
        <f t="shared" si="6"/>
        <v>-2158.7141915000002</v>
      </c>
      <c r="N86" s="6">
        <f t="shared" si="6"/>
        <v>-2199.8759779000002</v>
      </c>
      <c r="O86" s="6">
        <f t="shared" si="6"/>
        <v>-2233.3934079999999</v>
      </c>
      <c r="P86" s="6">
        <f t="shared" si="6"/>
        <v>-2260.5827316</v>
      </c>
      <c r="Q86" s="6">
        <f t="shared" si="6"/>
        <v>-2283.3181182999997</v>
      </c>
      <c r="R86" s="6">
        <f t="shared" si="6"/>
        <v>-2303.4744212999999</v>
      </c>
      <c r="S86" s="6">
        <f t="shared" si="6"/>
        <v>-2318.1047196999998</v>
      </c>
      <c r="T86" s="6">
        <f t="shared" si="6"/>
        <v>-2332.1010382999998</v>
      </c>
      <c r="U86" s="6">
        <f t="shared" si="6"/>
        <v>-2348.2518614000001</v>
      </c>
      <c r="V86" s="6">
        <f t="shared" si="6"/>
        <v>-2367.7810595000001</v>
      </c>
      <c r="W86" s="6">
        <f t="shared" si="6"/>
        <v>-2391.0488213999997</v>
      </c>
      <c r="X86" s="6">
        <f t="shared" si="6"/>
        <v>-2416.9532337999999</v>
      </c>
      <c r="Y86" s="6">
        <f t="shared" si="6"/>
        <v>-2445.9128376999997</v>
      </c>
      <c r="Z86" s="6">
        <f t="shared" si="6"/>
        <v>-2478.0536526999999</v>
      </c>
      <c r="AA86" s="6">
        <f t="shared" si="6"/>
        <v>-2513.5183472999997</v>
      </c>
      <c r="AB86" s="6">
        <f t="shared" si="6"/>
        <v>-2552.9201399000003</v>
      </c>
      <c r="AC86" s="6">
        <f t="shared" si="6"/>
        <v>-2593.8123021000001</v>
      </c>
      <c r="AD86" s="6">
        <f t="shared" si="6"/>
        <v>-2637.307656</v>
      </c>
      <c r="AE86" s="6">
        <f t="shared" si="6"/>
        <v>-2684.0243793</v>
      </c>
      <c r="AF86" s="6">
        <f t="shared" si="6"/>
        <v>-2734.5092829</v>
      </c>
      <c r="AG86" s="6">
        <f t="shared" si="6"/>
        <v>-2788.3687015</v>
      </c>
      <c r="AH86" s="6">
        <f t="shared" si="6"/>
        <v>-2844.5757057999999</v>
      </c>
      <c r="AI86" s="6">
        <f t="shared" si="6"/>
        <v>-2902.2238449000001</v>
      </c>
      <c r="AJ86" s="6">
        <f t="shared" si="6"/>
        <v>-2960.714156</v>
      </c>
      <c r="AK86" s="6">
        <f t="shared" si="6"/>
        <v>-3019.5757000000003</v>
      </c>
      <c r="AL86" s="6">
        <f t="shared" si="6"/>
        <v>-3078.3709819000001</v>
      </c>
    </row>
    <row r="87" spans="1:38" x14ac:dyDescent="0.35">
      <c r="B87" t="s">
        <v>36</v>
      </c>
      <c r="C87" s="6">
        <f>C89+C90</f>
        <v>-119.34647280000002</v>
      </c>
      <c r="D87" s="6">
        <f t="shared" ref="D87:AL87" si="7">D89+D90</f>
        <v>-123.73688749999997</v>
      </c>
      <c r="E87" s="6">
        <f t="shared" si="7"/>
        <v>-125.81340269999998</v>
      </c>
      <c r="F87" s="6">
        <f t="shared" si="7"/>
        <v>-128.02722159999996</v>
      </c>
      <c r="G87" s="6">
        <f t="shared" si="7"/>
        <v>-131.74442320000003</v>
      </c>
      <c r="H87" s="6">
        <f t="shared" si="7"/>
        <v>-137.81693849999999</v>
      </c>
      <c r="I87" s="6">
        <f t="shared" si="7"/>
        <v>-145.81602699999996</v>
      </c>
      <c r="J87" s="6">
        <f t="shared" si="7"/>
        <v>-154.93329630000005</v>
      </c>
      <c r="K87" s="6">
        <f t="shared" si="7"/>
        <v>-164.52199029999997</v>
      </c>
      <c r="L87" s="6">
        <f t="shared" si="7"/>
        <v>-174.27661999999998</v>
      </c>
      <c r="M87" s="6">
        <f t="shared" si="7"/>
        <v>-184.02150549999999</v>
      </c>
      <c r="N87" s="6">
        <f t="shared" si="7"/>
        <v>-193.27816510000002</v>
      </c>
      <c r="O87" s="6">
        <f t="shared" si="7"/>
        <v>-201.45457199999998</v>
      </c>
      <c r="P87" s="6">
        <f t="shared" si="7"/>
        <v>-208.62890340000001</v>
      </c>
      <c r="Q87" s="6">
        <f t="shared" si="7"/>
        <v>-214.98839870000006</v>
      </c>
      <c r="R87" s="6">
        <f t="shared" si="7"/>
        <v>-220.74984570000004</v>
      </c>
      <c r="S87" s="6">
        <f t="shared" si="7"/>
        <v>-226.21478530000002</v>
      </c>
      <c r="T87" s="6">
        <f t="shared" si="7"/>
        <v>-231.81254569999999</v>
      </c>
      <c r="U87" s="6">
        <f t="shared" si="7"/>
        <v>-237.87177259999999</v>
      </c>
      <c r="V87" s="6">
        <f t="shared" si="7"/>
        <v>-244.54234550000001</v>
      </c>
      <c r="W87" s="6">
        <f t="shared" si="7"/>
        <v>-251.84063760000004</v>
      </c>
      <c r="X87" s="6">
        <f t="shared" si="7"/>
        <v>-259.7658232</v>
      </c>
      <c r="Y87" s="6">
        <f t="shared" si="7"/>
        <v>-268.39665430000002</v>
      </c>
      <c r="Z87" s="6">
        <f t="shared" si="7"/>
        <v>-277.78087030000006</v>
      </c>
      <c r="AA87" s="6">
        <f t="shared" si="7"/>
        <v>-287.95066570000006</v>
      </c>
      <c r="AB87" s="6">
        <f t="shared" si="7"/>
        <v>-298.84424309999997</v>
      </c>
      <c r="AC87" s="6">
        <f t="shared" si="7"/>
        <v>-310.40280989999997</v>
      </c>
      <c r="AD87" s="6">
        <f t="shared" si="7"/>
        <v>-322.76680499999998</v>
      </c>
      <c r="AE87" s="6">
        <f t="shared" si="7"/>
        <v>-336.0071107</v>
      </c>
      <c r="AF87" s="6">
        <f t="shared" si="7"/>
        <v>-350.12280610000005</v>
      </c>
      <c r="AG87" s="6">
        <f t="shared" si="7"/>
        <v>-365.01644150000004</v>
      </c>
      <c r="AH87" s="6">
        <f t="shared" si="7"/>
        <v>-380.54097920000004</v>
      </c>
      <c r="AI87" s="6">
        <f t="shared" si="7"/>
        <v>-396.54668909999998</v>
      </c>
      <c r="AJ87" s="6">
        <f t="shared" si="7"/>
        <v>-412.88958700000001</v>
      </c>
      <c r="AK87" s="6">
        <f t="shared" si="7"/>
        <v>-429.42263500000001</v>
      </c>
      <c r="AL87" s="6">
        <f t="shared" si="7"/>
        <v>-445.99209510000003</v>
      </c>
    </row>
    <row r="88" spans="1:38" x14ac:dyDescent="0.35">
      <c r="B88" t="s">
        <v>33</v>
      </c>
      <c r="C88" s="6">
        <f>[1]Results!F1580</f>
        <v>40653.00333</v>
      </c>
      <c r="D88" s="6">
        <f>[1]Results!G1580</f>
        <v>41286.005490000003</v>
      </c>
      <c r="E88" s="6">
        <f>[1]Results!H1580</f>
        <v>41901.007559999998</v>
      </c>
      <c r="F88" s="6">
        <f>[1]Results!I1580</f>
        <v>42578.249069999998</v>
      </c>
      <c r="G88" s="6">
        <f>[1]Results!J1580</f>
        <v>43204.172019999998</v>
      </c>
      <c r="H88" s="6">
        <f>[1]Results!K1580</f>
        <v>43847.750099999997</v>
      </c>
      <c r="I88" s="6">
        <f>[1]Results!L1580</f>
        <v>44524.091919999999</v>
      </c>
      <c r="J88" s="6">
        <f>[1]Results!M1580</f>
        <v>45232.914599999996</v>
      </c>
      <c r="K88" s="6">
        <f>[1]Results!N1580</f>
        <v>45958.415849999998</v>
      </c>
      <c r="L88" s="6">
        <f>[1]Results!O1580</f>
        <v>46693.28213</v>
      </c>
      <c r="M88" s="6">
        <f>[1]Results!P1580</f>
        <v>47421.79178</v>
      </c>
      <c r="N88" s="6">
        <f>[1]Results!Q1580</f>
        <v>48011.594429999997</v>
      </c>
      <c r="O88" s="6">
        <f>[1]Results!R1580</f>
        <v>48493.748099999997</v>
      </c>
      <c r="P88" s="6">
        <f>[1]Results!S1580</f>
        <v>48893.177329999999</v>
      </c>
      <c r="Q88" s="6">
        <f>[1]Results!T1580</f>
        <v>49240.150280000002</v>
      </c>
      <c r="R88" s="6">
        <f>[1]Results!U1580</f>
        <v>49563.999739999999</v>
      </c>
      <c r="S88" s="6">
        <f>[1]Results!V1580</f>
        <v>49880.614509999999</v>
      </c>
      <c r="T88" s="6">
        <f>[1]Results!W1580</f>
        <v>50224.980159999999</v>
      </c>
      <c r="U88" s="6">
        <f>[1]Results!X1580</f>
        <v>50623.948219999998</v>
      </c>
      <c r="V88" s="6">
        <f>[1]Results!Y1580</f>
        <v>51092.442510000001</v>
      </c>
      <c r="W88" s="6">
        <f>[1]Results!Z1580</f>
        <v>51628.102480000001</v>
      </c>
      <c r="X88" s="6">
        <f>[1]Results!AA1580</f>
        <v>52261.477099999996</v>
      </c>
      <c r="Y88" s="6">
        <f>[1]Results!AB1580</f>
        <v>52996.742480000001</v>
      </c>
      <c r="Z88" s="6">
        <f>[1]Results!AC1580</f>
        <v>53837.625489999999</v>
      </c>
      <c r="AA88" s="6">
        <f>[1]Results!AD1580</f>
        <v>54784.144549999997</v>
      </c>
      <c r="AB88" s="6">
        <f>[1]Results!AE1580</f>
        <v>55796.714740000003</v>
      </c>
      <c r="AC88" s="6">
        <f>[1]Results!AF1580</f>
        <v>56919.315199999997</v>
      </c>
      <c r="AD88" s="6">
        <f>[1]Results!AG1580</f>
        <v>58150.456400000003</v>
      </c>
      <c r="AE88" s="6">
        <f>[1]Results!AH1580</f>
        <v>59486.86017</v>
      </c>
      <c r="AF88" s="6">
        <f>[1]Results!AI1580</f>
        <v>60911.685870000001</v>
      </c>
      <c r="AG88" s="6">
        <f>[1]Results!AJ1580</f>
        <v>62402.302479999998</v>
      </c>
      <c r="AH88" s="6">
        <f>[1]Results!AK1580</f>
        <v>63938.244070000001</v>
      </c>
      <c r="AI88" s="6">
        <f>[1]Results!AL1580</f>
        <v>65502.555710000001</v>
      </c>
      <c r="AJ88" s="6">
        <f>[1]Results!AM1580</f>
        <v>67079.95306</v>
      </c>
      <c r="AK88" s="6">
        <f>[1]Results!AN1580</f>
        <v>68656.169450000001</v>
      </c>
      <c r="AL88" s="6">
        <f>[1]Results!AO1580</f>
        <v>70217.751919999995</v>
      </c>
    </row>
    <row r="89" spans="1:38" x14ac:dyDescent="0.35">
      <c r="B89" t="s">
        <v>35</v>
      </c>
      <c r="C89" s="6">
        <f>[1]Results!F1577</f>
        <v>-612.37312850000001</v>
      </c>
      <c r="D89" s="6">
        <f>[1]Results!G1577</f>
        <v>-616.76354319999996</v>
      </c>
      <c r="E89" s="6">
        <f>[1]Results!H1577</f>
        <v>-618.84005839999998</v>
      </c>
      <c r="F89" s="6">
        <f>[1]Results!I1577</f>
        <v>-621.05387729999995</v>
      </c>
      <c r="G89" s="6">
        <f>[1]Results!J1577</f>
        <v>-624.77107890000002</v>
      </c>
      <c r="H89" s="6">
        <f>[1]Results!K1577</f>
        <v>-630.84359419999998</v>
      </c>
      <c r="I89" s="6">
        <f>[1]Results!L1577</f>
        <v>-638.84268269999995</v>
      </c>
      <c r="J89" s="6">
        <f>[1]Results!M1577</f>
        <v>-647.95995200000004</v>
      </c>
      <c r="K89" s="6">
        <f>[1]Results!N1577</f>
        <v>-657.54864599999996</v>
      </c>
      <c r="L89" s="6">
        <f>[1]Results!O1577</f>
        <v>-667.30327569999997</v>
      </c>
      <c r="M89" s="6">
        <f>[1]Results!P1577</f>
        <v>-677.04816119999998</v>
      </c>
      <c r="N89" s="6">
        <f>[1]Results!Q1577</f>
        <v>-686.30482080000002</v>
      </c>
      <c r="O89" s="6">
        <f>[1]Results!R1577</f>
        <v>-694.48122769999998</v>
      </c>
      <c r="P89" s="6">
        <f>[1]Results!S1577</f>
        <v>-701.6555591</v>
      </c>
      <c r="Q89" s="6">
        <f>[1]Results!T1577</f>
        <v>-708.01505440000005</v>
      </c>
      <c r="R89" s="6">
        <f>[1]Results!U1577</f>
        <v>-713.77650140000003</v>
      </c>
      <c r="S89" s="6">
        <f>[1]Results!V1577</f>
        <v>-719.24144100000001</v>
      </c>
      <c r="T89" s="6">
        <f>[1]Results!W1577</f>
        <v>-724.83920139999998</v>
      </c>
      <c r="U89" s="6">
        <f>[1]Results!X1577</f>
        <v>-730.89842829999998</v>
      </c>
      <c r="V89" s="6">
        <f>[1]Results!Y1577</f>
        <v>-737.5690012</v>
      </c>
      <c r="W89" s="6">
        <f>[1]Results!Z1577</f>
        <v>-744.86729330000003</v>
      </c>
      <c r="X89" s="6">
        <f>[1]Results!AA1577</f>
        <v>-752.79247889999999</v>
      </c>
      <c r="Y89" s="6">
        <f>[1]Results!AB1577</f>
        <v>-761.42331000000001</v>
      </c>
      <c r="Z89" s="6">
        <f>[1]Results!AC1577</f>
        <v>-770.80752600000005</v>
      </c>
      <c r="AA89" s="6">
        <f>[1]Results!AD1577</f>
        <v>-780.97732140000005</v>
      </c>
      <c r="AB89" s="6">
        <f>[1]Results!AE1577</f>
        <v>-791.87089879999996</v>
      </c>
      <c r="AC89" s="6">
        <f>[1]Results!AF1577</f>
        <v>-803.42946559999996</v>
      </c>
      <c r="AD89" s="6">
        <f>[1]Results!AG1577</f>
        <v>-815.79346069999997</v>
      </c>
      <c r="AE89" s="6">
        <f>[1]Results!AH1577</f>
        <v>-829.03376639999999</v>
      </c>
      <c r="AF89" s="6">
        <f>[1]Results!AI1577</f>
        <v>-843.14946180000004</v>
      </c>
      <c r="AG89" s="6">
        <f>[1]Results!AJ1577</f>
        <v>-858.04309720000003</v>
      </c>
      <c r="AH89" s="6">
        <f>[1]Results!AK1577</f>
        <v>-873.56763490000003</v>
      </c>
      <c r="AI89" s="6">
        <f>[1]Results!AL1577</f>
        <v>-889.57334479999997</v>
      </c>
      <c r="AJ89" s="6">
        <f>[1]Results!AM1577</f>
        <v>-905.9162427</v>
      </c>
      <c r="AK89" s="6">
        <f>[1]Results!AN1577</f>
        <v>-922.44929070000001</v>
      </c>
      <c r="AL89" s="6">
        <f>[1]Results!AO1577</f>
        <v>-939.01875080000002</v>
      </c>
    </row>
    <row r="90" spans="1:38" x14ac:dyDescent="0.35">
      <c r="B90" t="s">
        <v>34</v>
      </c>
      <c r="C90" s="6">
        <f>[1]Results!$F1579</f>
        <v>493.02665569999999</v>
      </c>
      <c r="D90" s="6">
        <f>[1]Results!$F1579</f>
        <v>493.02665569999999</v>
      </c>
      <c r="E90" s="6">
        <f>[1]Results!$F1579</f>
        <v>493.02665569999999</v>
      </c>
      <c r="F90" s="6">
        <f>[1]Results!$F1579</f>
        <v>493.02665569999999</v>
      </c>
      <c r="G90" s="6">
        <f>[1]Results!$F1579</f>
        <v>493.02665569999999</v>
      </c>
      <c r="H90" s="6">
        <f>[1]Results!$F1579</f>
        <v>493.02665569999999</v>
      </c>
      <c r="I90" s="6">
        <f>[1]Results!$F1579</f>
        <v>493.02665569999999</v>
      </c>
      <c r="J90" s="6">
        <f>[1]Results!$F1579</f>
        <v>493.02665569999999</v>
      </c>
      <c r="K90" s="6">
        <f>[1]Results!$F1579</f>
        <v>493.02665569999999</v>
      </c>
      <c r="L90" s="6">
        <f>[1]Results!$F1579</f>
        <v>493.02665569999999</v>
      </c>
      <c r="M90" s="6">
        <f>[1]Results!$F1579</f>
        <v>493.02665569999999</v>
      </c>
      <c r="N90" s="6">
        <f>[1]Results!$F1579</f>
        <v>493.02665569999999</v>
      </c>
      <c r="O90" s="6">
        <f>[1]Results!$F1579</f>
        <v>493.02665569999999</v>
      </c>
      <c r="P90" s="6">
        <f>[1]Results!$F1579</f>
        <v>493.02665569999999</v>
      </c>
      <c r="Q90" s="6">
        <f>[1]Results!$F1579</f>
        <v>493.02665569999999</v>
      </c>
      <c r="R90" s="6">
        <f>[1]Results!$F1579</f>
        <v>493.02665569999999</v>
      </c>
      <c r="S90" s="6">
        <f>[1]Results!$F1579</f>
        <v>493.02665569999999</v>
      </c>
      <c r="T90" s="6">
        <f>[1]Results!$F1579</f>
        <v>493.02665569999999</v>
      </c>
      <c r="U90" s="6">
        <f>[1]Results!$F1579</f>
        <v>493.02665569999999</v>
      </c>
      <c r="V90" s="6">
        <f>[1]Results!$F1579</f>
        <v>493.02665569999999</v>
      </c>
      <c r="W90" s="6">
        <f>[1]Results!$F1579</f>
        <v>493.02665569999999</v>
      </c>
      <c r="X90" s="6">
        <f>[1]Results!$F1579</f>
        <v>493.02665569999999</v>
      </c>
      <c r="Y90" s="6">
        <f>[1]Results!$F1579</f>
        <v>493.02665569999999</v>
      </c>
      <c r="Z90" s="6">
        <f>[1]Results!$F1579</f>
        <v>493.02665569999999</v>
      </c>
      <c r="AA90" s="6">
        <f>[1]Results!$F1579</f>
        <v>493.02665569999999</v>
      </c>
      <c r="AB90" s="6">
        <f>[1]Results!$F1579</f>
        <v>493.02665569999999</v>
      </c>
      <c r="AC90" s="6">
        <f>[1]Results!$F1579</f>
        <v>493.02665569999999</v>
      </c>
      <c r="AD90" s="6">
        <f>[1]Results!$F1579</f>
        <v>493.02665569999999</v>
      </c>
      <c r="AE90" s="6">
        <f>[1]Results!$F1579</f>
        <v>493.02665569999999</v>
      </c>
      <c r="AF90" s="6">
        <f>[1]Results!$F1579</f>
        <v>493.02665569999999</v>
      </c>
      <c r="AG90" s="6">
        <f>[1]Results!$F1579</f>
        <v>493.02665569999999</v>
      </c>
      <c r="AH90" s="6">
        <f>[1]Results!$F1579</f>
        <v>493.02665569999999</v>
      </c>
      <c r="AI90" s="6">
        <f>[1]Results!$F1579</f>
        <v>493.02665569999999</v>
      </c>
      <c r="AJ90" s="6">
        <f>[1]Results!$F1579</f>
        <v>493.02665569999999</v>
      </c>
      <c r="AK90" s="6">
        <f>[1]Results!$F1579</f>
        <v>493.02665569999999</v>
      </c>
      <c r="AL90" s="6">
        <f>[1]Results!$F1579</f>
        <v>493.02665569999999</v>
      </c>
    </row>
    <row r="91" spans="1:38" x14ac:dyDescent="0.35">
      <c r="B91" t="s">
        <v>37</v>
      </c>
      <c r="C91" s="6">
        <f>[1]Results!F1575</f>
        <v>-2035.48117</v>
      </c>
      <c r="D91" s="6">
        <f>[1]Results!G1575</f>
        <v>-2053.820984</v>
      </c>
      <c r="E91" s="6">
        <f>[1]Results!H1575</f>
        <v>-2068.1394529999998</v>
      </c>
      <c r="F91" s="6">
        <f>[1]Results!I1575</f>
        <v>-2083.8465700000002</v>
      </c>
      <c r="G91" s="6">
        <f>[1]Results!J1575</f>
        <v>-2097.9226269999999</v>
      </c>
      <c r="H91" s="6">
        <f>[1]Results!K1575</f>
        <v>-2121.3114989999999</v>
      </c>
      <c r="I91" s="6">
        <f>[1]Results!L1575</f>
        <v>-2157.8840540000001</v>
      </c>
      <c r="J91" s="6">
        <f>[1]Results!M1575</f>
        <v>-2201.758088</v>
      </c>
      <c r="K91" s="6">
        <f>[1]Results!N1575</f>
        <v>-2248.0879869999999</v>
      </c>
      <c r="L91" s="6">
        <f>[1]Results!O1575</f>
        <v>-2295.0087239999998</v>
      </c>
      <c r="M91" s="6">
        <f>[1]Results!P1575</f>
        <v>-2342.7356970000001</v>
      </c>
      <c r="N91" s="6">
        <f>[1]Results!Q1575</f>
        <v>-2393.1541430000002</v>
      </c>
      <c r="O91" s="6">
        <f>[1]Results!R1575</f>
        <v>-2434.84798</v>
      </c>
      <c r="P91" s="6">
        <f>[1]Results!S1575</f>
        <v>-2469.2116350000001</v>
      </c>
      <c r="Q91" s="6">
        <f>[1]Results!T1575</f>
        <v>-2498.306517</v>
      </c>
      <c r="R91" s="6">
        <f>[1]Results!U1575</f>
        <v>-2524.2242670000001</v>
      </c>
      <c r="S91" s="6">
        <f>[1]Results!V1575</f>
        <v>-2544.3195049999999</v>
      </c>
      <c r="T91" s="6">
        <f>[1]Results!W1575</f>
        <v>-2563.9135839999999</v>
      </c>
      <c r="U91" s="6">
        <f>[1]Results!X1575</f>
        <v>-2586.123634</v>
      </c>
      <c r="V91" s="6">
        <f>[1]Results!Y1575</f>
        <v>-2612.3234050000001</v>
      </c>
      <c r="W91" s="6">
        <f>[1]Results!Z1575</f>
        <v>-2642.889459</v>
      </c>
      <c r="X91" s="6">
        <f>[1]Results!AA1575</f>
        <v>-2676.7190569999998</v>
      </c>
      <c r="Y91" s="6">
        <f>[1]Results!AB1575</f>
        <v>-2714.3094919999999</v>
      </c>
      <c r="Z91" s="6">
        <f>[1]Results!AC1575</f>
        <v>-2755.834523</v>
      </c>
      <c r="AA91" s="6">
        <f>[1]Results!AD1575</f>
        <v>-2801.4690129999999</v>
      </c>
      <c r="AB91" s="6">
        <f>[1]Results!AE1575</f>
        <v>-2851.7643830000002</v>
      </c>
      <c r="AC91" s="6">
        <f>[1]Results!AF1575</f>
        <v>-2904.2151119999999</v>
      </c>
      <c r="AD91" s="6">
        <f>[1]Results!AG1575</f>
        <v>-2960.0744610000002</v>
      </c>
      <c r="AE91" s="6">
        <f>[1]Results!AH1575</f>
        <v>-3020.0314899999998</v>
      </c>
      <c r="AF91" s="6">
        <f>[1]Results!AI1575</f>
        <v>-3084.6320890000002</v>
      </c>
      <c r="AG91" s="6">
        <f>[1]Results!AJ1575</f>
        <v>-3153.385143</v>
      </c>
      <c r="AH91" s="6">
        <f>[1]Results!AK1575</f>
        <v>-3225.116685</v>
      </c>
      <c r="AI91" s="6">
        <f>[1]Results!AL1575</f>
        <v>-3298.7705340000002</v>
      </c>
      <c r="AJ91" s="6">
        <f>[1]Results!AM1575</f>
        <v>-3373.6037430000001</v>
      </c>
      <c r="AK91" s="6">
        <f>[1]Results!AN1575</f>
        <v>-3448.9983350000002</v>
      </c>
      <c r="AL91" s="6">
        <f>[1]Results!AO1575</f>
        <v>-3524.363077</v>
      </c>
    </row>
    <row r="93" spans="1:38" x14ac:dyDescent="0.35">
      <c r="A93" t="s">
        <v>39</v>
      </c>
      <c r="B93" t="s">
        <v>13</v>
      </c>
      <c r="C93" s="6">
        <f>[1]Results!F1512</f>
        <v>1966951.8470000001</v>
      </c>
      <c r="D93" s="6">
        <f>[1]Results!G1512</f>
        <v>2004514.4350000001</v>
      </c>
      <c r="E93" s="6">
        <f>[1]Results!H1512</f>
        <v>2046262.166</v>
      </c>
      <c r="F93" s="6">
        <f>[1]Results!I1512</f>
        <v>2091802.0889999999</v>
      </c>
      <c r="G93" s="6">
        <f>[1]Results!J1512</f>
        <v>2140261.7549999999</v>
      </c>
      <c r="H93" s="6">
        <f>[1]Results!K1512</f>
        <v>2191369.5550000002</v>
      </c>
      <c r="I93" s="6">
        <f>[1]Results!L1512</f>
        <v>2243375.0550000002</v>
      </c>
      <c r="J93" s="6">
        <f>[1]Results!M1512</f>
        <v>2291070.324</v>
      </c>
      <c r="K93" s="6">
        <f>[1]Results!N1512</f>
        <v>2339630.1439999999</v>
      </c>
      <c r="L93" s="6">
        <f>[1]Results!O1512</f>
        <v>2398172.253</v>
      </c>
      <c r="M93" s="6">
        <f>[1]Results!P1512</f>
        <v>2457981.2209999999</v>
      </c>
      <c r="N93" s="6">
        <f>[1]Results!Q1512</f>
        <v>2510310.6749999998</v>
      </c>
      <c r="O93" s="6">
        <f>[1]Results!R1512</f>
        <v>2557587.0669999998</v>
      </c>
      <c r="P93" s="6">
        <f>[1]Results!S1512</f>
        <v>2601141.6919999998</v>
      </c>
      <c r="Q93" s="6">
        <f>[1]Results!T1512</f>
        <v>2642744.3709999998</v>
      </c>
      <c r="R93" s="6">
        <f>[1]Results!U1512</f>
        <v>2683511.284</v>
      </c>
      <c r="S93" s="6">
        <f>[1]Results!V1512</f>
        <v>2724278.5520000001</v>
      </c>
      <c r="T93" s="6">
        <f>[1]Results!W1512</f>
        <v>2766407.3139999998</v>
      </c>
      <c r="U93" s="6">
        <f>[1]Results!X1512</f>
        <v>2810802.105</v>
      </c>
      <c r="V93" s="6">
        <f>[1]Results!Y1512</f>
        <v>2858082.4380000001</v>
      </c>
      <c r="W93" s="6">
        <f>[1]Results!Z1512</f>
        <v>2907674.6269999999</v>
      </c>
      <c r="X93" s="6">
        <f>[1]Results!AA1512</f>
        <v>2961978.5649999999</v>
      </c>
      <c r="Y93" s="6">
        <f>[1]Results!AB1512</f>
        <v>3020892.3689999999</v>
      </c>
      <c r="Z93" s="6">
        <f>[1]Results!AC1512</f>
        <v>3084799.5359999998</v>
      </c>
      <c r="AA93" s="6">
        <f>[1]Results!AD1512</f>
        <v>3153805.8250000002</v>
      </c>
      <c r="AB93" s="6">
        <f>[1]Results!AE1512</f>
        <v>3224660.5630000001</v>
      </c>
      <c r="AC93" s="6">
        <f>[1]Results!AF1512</f>
        <v>3301633.9789999998</v>
      </c>
      <c r="AD93" s="6">
        <f>[1]Results!AG1512</f>
        <v>3384079.7480000001</v>
      </c>
      <c r="AE93" s="6">
        <f>[1]Results!AH1512</f>
        <v>3472239.7220000001</v>
      </c>
      <c r="AF93" s="6">
        <f>[1]Results!AI1512</f>
        <v>3565763.2560000001</v>
      </c>
      <c r="AG93" s="6">
        <f>[1]Results!AJ1512</f>
        <v>3663994.6839999999</v>
      </c>
      <c r="AH93" s="6">
        <f>[1]Results!AK1512</f>
        <v>3766326.5819999999</v>
      </c>
      <c r="AI93" s="6">
        <f>[1]Results!AL1512</f>
        <v>3872244.7030000002</v>
      </c>
      <c r="AJ93" s="6">
        <f>[1]Results!AM1512</f>
        <v>3981235.1239999998</v>
      </c>
      <c r="AK93" s="6">
        <f>[1]Results!AN1512</f>
        <v>4092766.4679999999</v>
      </c>
      <c r="AL93" s="6">
        <f>[1]Results!AO1512</f>
        <v>4206255.8269999996</v>
      </c>
    </row>
    <row r="94" spans="1:38" x14ac:dyDescent="0.35">
      <c r="B94" t="s">
        <v>7</v>
      </c>
      <c r="C94" s="6">
        <f>[1]Results!F1513</f>
        <v>36098.159420000004</v>
      </c>
      <c r="D94" s="6">
        <f>[1]Results!G1513</f>
        <v>36623.371090000001</v>
      </c>
      <c r="E94" s="6">
        <f>[1]Results!H1513</f>
        <v>37244.642789999998</v>
      </c>
      <c r="F94" s="6">
        <f>[1]Results!I1513</f>
        <v>37959.58309</v>
      </c>
      <c r="G94" s="6">
        <f>[1]Results!J1513</f>
        <v>38764.855040000002</v>
      </c>
      <c r="H94" s="6">
        <f>[1]Results!K1513</f>
        <v>39643.25217</v>
      </c>
      <c r="I94" s="6">
        <f>[1]Results!L1513</f>
        <v>40558.29017</v>
      </c>
      <c r="J94" s="6">
        <f>[1]Results!M1513</f>
        <v>41296.153489999997</v>
      </c>
      <c r="K94" s="6">
        <f>[1]Results!N1513</f>
        <v>42058.794300000001</v>
      </c>
      <c r="L94" s="6">
        <f>[1]Results!O1513</f>
        <v>43043.781139999999</v>
      </c>
      <c r="M94" s="6">
        <f>[1]Results!P1513</f>
        <v>44017.198239999998</v>
      </c>
      <c r="N94" s="6">
        <f>[1]Results!Q1513</f>
        <v>44837.764589999999</v>
      </c>
      <c r="O94" s="6">
        <f>[1]Results!R1513</f>
        <v>45549.12427</v>
      </c>
      <c r="P94" s="6">
        <f>[1]Results!S1513</f>
        <v>46180.748449999999</v>
      </c>
      <c r="Q94" s="6">
        <f>[1]Results!T1513</f>
        <v>46769.796609999998</v>
      </c>
      <c r="R94" s="6">
        <f>[1]Results!U1513</f>
        <v>47337.76986</v>
      </c>
      <c r="S94" s="6">
        <f>[1]Results!V1513</f>
        <v>47898.700879999997</v>
      </c>
      <c r="T94" s="6">
        <f>[1]Results!W1513</f>
        <v>48478.909650000001</v>
      </c>
      <c r="U94" s="6">
        <f>[1]Results!X1513</f>
        <v>49100.018750000003</v>
      </c>
      <c r="V94" s="6">
        <f>[1]Results!Y1513</f>
        <v>49775.698949999998</v>
      </c>
      <c r="W94" s="6">
        <f>[1]Results!Z1513</f>
        <v>50505.243520000004</v>
      </c>
      <c r="X94" s="6">
        <f>[1]Results!AA1513</f>
        <v>51316.760799999996</v>
      </c>
      <c r="Y94" s="6">
        <f>[1]Results!AB1513</f>
        <v>52220.21357</v>
      </c>
      <c r="Z94" s="6">
        <f>[1]Results!AC1513</f>
        <v>53222.820780000002</v>
      </c>
      <c r="AA94" s="6">
        <f>[1]Results!AD1513</f>
        <v>54325.934110000002</v>
      </c>
      <c r="AB94" s="6">
        <f>[1]Results!AE1513</f>
        <v>55493.865189999997</v>
      </c>
      <c r="AC94" s="6">
        <f>[1]Results!AF1513</f>
        <v>56757.671679999999</v>
      </c>
      <c r="AD94" s="6">
        <f>[1]Results!AG1513</f>
        <v>58133.544099999999</v>
      </c>
      <c r="AE94" s="6">
        <f>[1]Results!AH1513</f>
        <v>59625.482490000002</v>
      </c>
      <c r="AF94" s="6">
        <f>[1]Results!AI1513</f>
        <v>61224.701520000002</v>
      </c>
      <c r="AG94" s="6">
        <f>[1]Results!AJ1513</f>
        <v>62915.959560000003</v>
      </c>
      <c r="AH94" s="6">
        <f>[1]Results!AK1513</f>
        <v>64685.384209999997</v>
      </c>
      <c r="AI94" s="6">
        <f>[1]Results!AL1513</f>
        <v>66521.097710000002</v>
      </c>
      <c r="AJ94" s="6">
        <f>[1]Results!AM1513</f>
        <v>68410.837950000001</v>
      </c>
      <c r="AK94" s="6">
        <f>[1]Results!AN1513</f>
        <v>70341.347569999998</v>
      </c>
      <c r="AL94" s="6">
        <f>[1]Results!AO1513</f>
        <v>72297.495200000005</v>
      </c>
    </row>
    <row r="95" spans="1:38" x14ac:dyDescent="0.35">
      <c r="B95" t="s">
        <v>30</v>
      </c>
      <c r="C95" s="6">
        <f>[1]Results!F1516</f>
        <v>331692.73849999998</v>
      </c>
      <c r="D95" s="6">
        <f>[1]Results!G1516</f>
        <v>339801.6813</v>
      </c>
      <c r="E95" s="6">
        <f>[1]Results!H1516</f>
        <v>348255.64270000003</v>
      </c>
      <c r="F95" s="6">
        <f>[1]Results!I1516</f>
        <v>357287.6286</v>
      </c>
      <c r="G95" s="6">
        <f>[1]Results!J1516</f>
        <v>366840.9227</v>
      </c>
      <c r="H95" s="6">
        <f>[1]Results!K1516</f>
        <v>376870.55239999999</v>
      </c>
      <c r="I95" s="6">
        <f>[1]Results!L1516</f>
        <v>387150.05349999998</v>
      </c>
      <c r="J95" s="6">
        <f>[1]Results!M1516</f>
        <v>395760.3824</v>
      </c>
      <c r="K95" s="6">
        <f>[1]Results!N1516</f>
        <v>404968.31449999998</v>
      </c>
      <c r="L95" s="6">
        <f>[1]Results!O1516</f>
        <v>417049.95520000003</v>
      </c>
      <c r="M95" s="6">
        <f>[1]Results!P1516</f>
        <v>428736.93900000001</v>
      </c>
      <c r="N95" s="6">
        <f>[1]Results!Q1516</f>
        <v>438577.83159999998</v>
      </c>
      <c r="O95" s="6">
        <f>[1]Results!R1516</f>
        <v>447336.52970000001</v>
      </c>
      <c r="P95" s="6">
        <f>[1]Results!S1516</f>
        <v>455491.1471</v>
      </c>
      <c r="Q95" s="6">
        <f>[1]Results!T1516</f>
        <v>463564.3173</v>
      </c>
      <c r="R95" s="6">
        <f>[1]Results!U1516</f>
        <v>471810.33760000003</v>
      </c>
      <c r="S95" s="6">
        <f>[1]Results!V1516</f>
        <v>480305.34210000001</v>
      </c>
      <c r="T95" s="6">
        <f>[1]Results!W1516</f>
        <v>489408.94819999998</v>
      </c>
      <c r="U95" s="6">
        <f>[1]Results!X1516</f>
        <v>499301.81880000001</v>
      </c>
      <c r="V95" s="6">
        <f>[1]Results!Y1516</f>
        <v>510085.85840000003</v>
      </c>
      <c r="W95" s="6">
        <f>[1]Results!Z1516</f>
        <v>521761.1274</v>
      </c>
      <c r="X95" s="6">
        <f>[1]Results!AA1516</f>
        <v>534565.10309999995</v>
      </c>
      <c r="Y95" s="6">
        <f>[1]Results!AB1516</f>
        <v>548596.25120000006</v>
      </c>
      <c r="Z95" s="6">
        <f>[1]Results!AC1516</f>
        <v>563917.01839999994</v>
      </c>
      <c r="AA95" s="6">
        <f>[1]Results!AD1516</f>
        <v>580527.75939999998</v>
      </c>
      <c r="AB95" s="6">
        <f>[1]Results!AE1516</f>
        <v>598131.21409999998</v>
      </c>
      <c r="AC95" s="6">
        <f>[1]Results!AF1516</f>
        <v>617084.63379999995</v>
      </c>
      <c r="AD95" s="6">
        <f>[1]Results!AG1516</f>
        <v>637464.11690000002</v>
      </c>
      <c r="AE95" s="6">
        <f>[1]Results!AH1516</f>
        <v>659297.71440000006</v>
      </c>
      <c r="AF95" s="6">
        <f>[1]Results!AI1516</f>
        <v>682467.89009999996</v>
      </c>
      <c r="AG95" s="6">
        <f>[1]Results!AJ1516</f>
        <v>706824.46730000002</v>
      </c>
      <c r="AH95" s="6">
        <f>[1]Results!AK1516</f>
        <v>732282.39919999999</v>
      </c>
      <c r="AI95" s="6">
        <f>[1]Results!AL1516</f>
        <v>758803.09069999994</v>
      </c>
      <c r="AJ95" s="6">
        <f>[1]Results!AM1516</f>
        <v>786346.57039999997</v>
      </c>
      <c r="AK95" s="6">
        <f>[1]Results!AN1516</f>
        <v>814881.26459999999</v>
      </c>
      <c r="AL95" s="6">
        <f>[1]Results!AO1516</f>
        <v>844378.10049999994</v>
      </c>
    </row>
    <row r="96" spans="1:38" x14ac:dyDescent="0.35">
      <c r="B96" t="s">
        <v>9</v>
      </c>
      <c r="C96" s="6">
        <f>[1]Results!F1528</f>
        <v>48475.55906</v>
      </c>
      <c r="D96" s="6">
        <f>[1]Results!G1528</f>
        <v>49503.006150000001</v>
      </c>
      <c r="E96" s="6">
        <f>[1]Results!H1528</f>
        <v>50548.41532</v>
      </c>
      <c r="F96" s="6">
        <f>[1]Results!I1528</f>
        <v>51647.667459999997</v>
      </c>
      <c r="G96" s="6">
        <f>[1]Results!J1528</f>
        <v>52820.992859999998</v>
      </c>
      <c r="H96" s="6">
        <f>[1]Results!K1528</f>
        <v>54067.156620000002</v>
      </c>
      <c r="I96" s="6">
        <f>[1]Results!L1528</f>
        <v>55342.471550000002</v>
      </c>
      <c r="J96" s="6">
        <f>[1]Results!M1528</f>
        <v>56335.692490000001</v>
      </c>
      <c r="K96" s="6">
        <f>[1]Results!N1528</f>
        <v>57350.541270000002</v>
      </c>
      <c r="L96" s="6">
        <f>[1]Results!O1528</f>
        <v>58715.749499999998</v>
      </c>
      <c r="M96" s="6">
        <f>[1]Results!P1528</f>
        <v>60031.66949</v>
      </c>
      <c r="N96" s="6">
        <f>[1]Results!Q1528</f>
        <v>61103.848109999999</v>
      </c>
      <c r="O96" s="6">
        <f>[1]Results!R1528</f>
        <v>62018.43851</v>
      </c>
      <c r="P96" s="6">
        <f>[1]Results!S1528</f>
        <v>62826.096619999997</v>
      </c>
      <c r="Q96" s="6">
        <f>[1]Results!T1528</f>
        <v>63586.14488</v>
      </c>
      <c r="R96" s="6">
        <f>[1]Results!U1528</f>
        <v>64327.160060000002</v>
      </c>
      <c r="S96" s="6">
        <f>[1]Results!V1528</f>
        <v>65064.641869999999</v>
      </c>
      <c r="T96" s="6">
        <f>[1]Results!W1528</f>
        <v>65839.318429999999</v>
      </c>
      <c r="U96" s="6">
        <f>[1]Results!X1528</f>
        <v>66683.551170000006</v>
      </c>
      <c r="V96" s="6">
        <f>[1]Results!Y1528</f>
        <v>67617.049979999996</v>
      </c>
      <c r="W96" s="6">
        <f>[1]Results!Z1528</f>
        <v>68640.940449999995</v>
      </c>
      <c r="X96" s="6">
        <f>[1]Results!AA1528</f>
        <v>69801.593609999996</v>
      </c>
      <c r="Y96" s="6">
        <f>[1]Results!AB1528</f>
        <v>71111.371379999997</v>
      </c>
      <c r="Z96" s="6">
        <f>[1]Results!AC1528</f>
        <v>72577.848069999993</v>
      </c>
      <c r="AA96" s="6">
        <f>[1]Results!AD1528</f>
        <v>74199.648419999998</v>
      </c>
      <c r="AB96" s="6">
        <f>[1]Results!AE1528</f>
        <v>75925.433250000002</v>
      </c>
      <c r="AC96" s="6">
        <f>[1]Results!AF1528</f>
        <v>77832.085529999997</v>
      </c>
      <c r="AD96" s="6">
        <f>[1]Results!AG1528</f>
        <v>79932.873909999995</v>
      </c>
      <c r="AE96" s="6">
        <f>[1]Results!AH1528</f>
        <v>82229.274269999994</v>
      </c>
      <c r="AF96" s="6">
        <f>[1]Results!AI1528</f>
        <v>84701.188290000006</v>
      </c>
      <c r="AG96" s="6">
        <f>[1]Results!AJ1528</f>
        <v>87322.645510000002</v>
      </c>
      <c r="AH96" s="6">
        <f>[1]Results!AK1528</f>
        <v>90080.169009999998</v>
      </c>
      <c r="AI96" s="6">
        <f>[1]Results!AL1528</f>
        <v>92967.444180000006</v>
      </c>
      <c r="AJ96" s="6">
        <f>[1]Results!AM1528</f>
        <v>95971.320980000004</v>
      </c>
      <c r="AK96" s="6">
        <f>[1]Results!AN1528</f>
        <v>99077.731249999997</v>
      </c>
      <c r="AL96" s="6">
        <f>[1]Results!AO1528</f>
        <v>102271.1575</v>
      </c>
    </row>
    <row r="97" spans="1:38" x14ac:dyDescent="0.35">
      <c r="B97" t="s">
        <v>10</v>
      </c>
      <c r="C97" s="6">
        <f>[1]Results!F1533</f>
        <v>1512067.868</v>
      </c>
      <c r="D97" s="6">
        <f>[1]Results!G1533</f>
        <v>1539354.192</v>
      </c>
      <c r="E97" s="6">
        <f>[1]Results!H1533</f>
        <v>1570380.5970000001</v>
      </c>
      <c r="F97" s="6">
        <f>[1]Results!I1533</f>
        <v>1604412.808</v>
      </c>
      <c r="G97" s="6">
        <f>[1]Results!J1533</f>
        <v>1640728.736</v>
      </c>
      <c r="H97" s="6">
        <f>[1]Results!K1533</f>
        <v>1679062.156</v>
      </c>
      <c r="I97" s="6">
        <f>[1]Results!L1533</f>
        <v>1717958.0319999999</v>
      </c>
      <c r="J97" s="6">
        <f>[1]Results!M1533</f>
        <v>1754595.8459999999</v>
      </c>
      <c r="K97" s="6">
        <f>[1]Results!N1533</f>
        <v>1791651.817</v>
      </c>
      <c r="L97" s="6">
        <f>[1]Results!O1533</f>
        <v>1835161.324</v>
      </c>
      <c r="M97" s="6">
        <f>[1]Results!P1533</f>
        <v>1880485.0689999999</v>
      </c>
      <c r="N97" s="6">
        <f>[1]Results!Q1533</f>
        <v>1920915.9569999999</v>
      </c>
      <c r="O97" s="6">
        <f>[1]Results!R1533</f>
        <v>1957860.014</v>
      </c>
      <c r="P97" s="6">
        <f>[1]Results!S1533</f>
        <v>1992016.6880000001</v>
      </c>
      <c r="Q97" s="6">
        <f>[1]Results!T1533</f>
        <v>2024480.3810000001</v>
      </c>
      <c r="R97" s="6">
        <f>[1]Results!U1533</f>
        <v>2056036.0959999999</v>
      </c>
      <c r="S97" s="6">
        <f>[1]Results!V1533</f>
        <v>2087391.0630000001</v>
      </c>
      <c r="T97" s="6">
        <f>[1]Results!W1533</f>
        <v>2119451.4180000001</v>
      </c>
      <c r="U97" s="6">
        <f>[1]Results!X1533</f>
        <v>2152896.2379999999</v>
      </c>
      <c r="V97" s="6">
        <f>[1]Results!Y1533</f>
        <v>2188212.798</v>
      </c>
      <c r="W97" s="6">
        <f>[1]Results!Z1533</f>
        <v>2224841.7230000002</v>
      </c>
      <c r="X97" s="6">
        <f>[1]Results!AA1533</f>
        <v>2264851.591</v>
      </c>
      <c r="Y97" s="6">
        <f>[1]Results!AB1533</f>
        <v>2308031.264</v>
      </c>
      <c r="Z97" s="6">
        <f>[1]Results!AC1533</f>
        <v>2354703.7480000001</v>
      </c>
      <c r="AA97" s="6">
        <f>[1]Results!AD1533</f>
        <v>2404997.8739999998</v>
      </c>
      <c r="AB97" s="6">
        <f>[1]Results!AE1533</f>
        <v>2456109.469</v>
      </c>
      <c r="AC97" s="6">
        <f>[1]Results!AF1533</f>
        <v>2511811.7889999999</v>
      </c>
      <c r="AD97" s="6">
        <f>[1]Results!AG1533</f>
        <v>2571402.3470000001</v>
      </c>
      <c r="AE97" s="6">
        <f>[1]Results!AH1533</f>
        <v>2635140.5269999998</v>
      </c>
      <c r="AF97" s="6">
        <f>[1]Results!AI1533</f>
        <v>2702894.9389999998</v>
      </c>
      <c r="AG97" s="6">
        <f>[1]Results!AJ1533</f>
        <v>2774286.6940000001</v>
      </c>
      <c r="AH97" s="6">
        <f>[1]Results!AK1533</f>
        <v>2848913.531</v>
      </c>
      <c r="AI97" s="6">
        <f>[1]Results!AL1533</f>
        <v>2926427.6710000001</v>
      </c>
      <c r="AJ97" s="6">
        <f>[1]Results!AM1533</f>
        <v>3006521.6609999998</v>
      </c>
      <c r="AK97" s="6">
        <f>[1]Results!AN1533</f>
        <v>3088901.568</v>
      </c>
      <c r="AL97" s="6">
        <f>[1]Results!AO1533</f>
        <v>3173273.2960000001</v>
      </c>
    </row>
    <row r="98" spans="1:38" x14ac:dyDescent="0.35">
      <c r="B98" t="s">
        <v>29</v>
      </c>
      <c r="C98" s="6">
        <f>C103-C99</f>
        <v>-2005.8049440999998</v>
      </c>
      <c r="D98" s="6">
        <f t="shared" ref="D98:AL98" si="8">D103-D99</f>
        <v>-2023.1216601999997</v>
      </c>
      <c r="E98" s="6">
        <f t="shared" si="8"/>
        <v>-2042.5466464000001</v>
      </c>
      <c r="F98" s="6">
        <f t="shared" si="8"/>
        <v>-2062.3040953999998</v>
      </c>
      <c r="G98" s="6">
        <f t="shared" si="8"/>
        <v>-2083.0870917000002</v>
      </c>
      <c r="H98" s="6">
        <f t="shared" si="8"/>
        <v>-2112.2859109000001</v>
      </c>
      <c r="I98" s="6">
        <f t="shared" si="8"/>
        <v>-2147.5045641000002</v>
      </c>
      <c r="J98" s="6">
        <f t="shared" si="8"/>
        <v>-2231.1398378000004</v>
      </c>
      <c r="K98" s="6">
        <f t="shared" si="8"/>
        <v>-2107.5824616999998</v>
      </c>
      <c r="L98" s="6">
        <f t="shared" si="8"/>
        <v>-1961.4171277999999</v>
      </c>
      <c r="M98" s="6">
        <f t="shared" si="8"/>
        <v>-1830.901503</v>
      </c>
      <c r="N98" s="6">
        <f t="shared" si="8"/>
        <v>-1703.3195429000002</v>
      </c>
      <c r="O98" s="6">
        <f t="shared" si="8"/>
        <v>-1568.1214150999999</v>
      </c>
      <c r="P98" s="6">
        <f t="shared" si="8"/>
        <v>-1424.0203700000002</v>
      </c>
      <c r="Q98" s="6">
        <f t="shared" si="8"/>
        <v>-1272.1411450000001</v>
      </c>
      <c r="R98" s="6">
        <f t="shared" si="8"/>
        <v>-1114.4780680000001</v>
      </c>
      <c r="S98" s="6">
        <f t="shared" si="8"/>
        <v>-953.62961699999983</v>
      </c>
      <c r="T98" s="6">
        <f t="shared" si="8"/>
        <v>-784.69451600000048</v>
      </c>
      <c r="U98" s="6">
        <f t="shared" si="8"/>
        <v>-611.26394400000004</v>
      </c>
      <c r="V98" s="6">
        <f t="shared" si="8"/>
        <v>-433.60567100000003</v>
      </c>
      <c r="W98" s="6">
        <f t="shared" si="8"/>
        <v>-250.98553100000004</v>
      </c>
      <c r="X98" s="6">
        <f t="shared" si="8"/>
        <v>-62.693398000000116</v>
      </c>
      <c r="Y98" s="6">
        <f t="shared" si="8"/>
        <v>132.02456099999972</v>
      </c>
      <c r="Z98" s="6">
        <f t="shared" si="8"/>
        <v>334.14578600000027</v>
      </c>
      <c r="AA98" s="6">
        <f t="shared" si="8"/>
        <v>544.94289200000026</v>
      </c>
      <c r="AB98" s="6">
        <f t="shared" si="8"/>
        <v>766.43216800000005</v>
      </c>
      <c r="AC98" s="6">
        <f t="shared" si="8"/>
        <v>1000.0312609999996</v>
      </c>
      <c r="AD98" s="6">
        <f t="shared" si="8"/>
        <v>1245.2880579999996</v>
      </c>
      <c r="AE98" s="6">
        <f t="shared" si="8"/>
        <v>1505.1394110000003</v>
      </c>
      <c r="AF98" s="6">
        <f t="shared" si="8"/>
        <v>1782.1549989999999</v>
      </c>
      <c r="AG98" s="6">
        <f t="shared" si="8"/>
        <v>2079.5023310000006</v>
      </c>
      <c r="AH98" s="6">
        <f t="shared" si="8"/>
        <v>2400.5844219999999</v>
      </c>
      <c r="AI98" s="6">
        <f t="shared" si="8"/>
        <v>2748.9305900000004</v>
      </c>
      <c r="AJ98" s="6">
        <f t="shared" si="8"/>
        <v>3128.5627089999998</v>
      </c>
      <c r="AK98" s="6">
        <f t="shared" si="8"/>
        <v>3544.445772</v>
      </c>
      <c r="AL98" s="6">
        <f t="shared" si="8"/>
        <v>4003.3371200000006</v>
      </c>
    </row>
    <row r="99" spans="1:38" x14ac:dyDescent="0.35">
      <c r="B99" t="s">
        <v>36</v>
      </c>
      <c r="C99" s="6">
        <f>C101+C102</f>
        <v>-119.34658389999998</v>
      </c>
      <c r="D99" s="6">
        <f t="shared" ref="D99:AL99" si="9">D101+D102</f>
        <v>-120.53521380000007</v>
      </c>
      <c r="E99" s="6">
        <f t="shared" si="9"/>
        <v>-118.80391560000004</v>
      </c>
      <c r="F99" s="6">
        <f t="shared" si="9"/>
        <v>-117.52054460000005</v>
      </c>
      <c r="G99" s="6">
        <f t="shared" si="9"/>
        <v>-115.43113029999995</v>
      </c>
      <c r="H99" s="6">
        <f t="shared" si="9"/>
        <v>-114.11103509999998</v>
      </c>
      <c r="I99" s="6">
        <f t="shared" si="9"/>
        <v>-116.04678590000003</v>
      </c>
      <c r="J99" s="6">
        <f t="shared" si="9"/>
        <v>-96.665973200000053</v>
      </c>
      <c r="K99" s="6">
        <f t="shared" si="9"/>
        <v>-192.83086030000004</v>
      </c>
      <c r="L99" s="6">
        <f t="shared" si="9"/>
        <v>-301.90263519999996</v>
      </c>
      <c r="M99" s="6">
        <f t="shared" si="9"/>
        <v>-413.356088</v>
      </c>
      <c r="N99" s="6">
        <f t="shared" si="9"/>
        <v>-526.69820609999999</v>
      </c>
      <c r="O99" s="6">
        <f t="shared" si="9"/>
        <v>-643.27378090000013</v>
      </c>
      <c r="P99" s="6">
        <f t="shared" si="9"/>
        <v>-763.69939299999987</v>
      </c>
      <c r="Q99" s="6">
        <f t="shared" si="9"/>
        <v>-888.25226199999997</v>
      </c>
      <c r="R99" s="6">
        <f t="shared" si="9"/>
        <v>-1017.4369989999998</v>
      </c>
      <c r="S99" s="6">
        <f t="shared" si="9"/>
        <v>-1150.110633</v>
      </c>
      <c r="T99" s="6">
        <f t="shared" si="9"/>
        <v>-1286.2037769999997</v>
      </c>
      <c r="U99" s="6">
        <f t="shared" si="9"/>
        <v>-1426.6594250000001</v>
      </c>
      <c r="V99" s="6">
        <f t="shared" si="9"/>
        <v>-1572.539771</v>
      </c>
      <c r="W99" s="6">
        <f t="shared" si="9"/>
        <v>-1724.947488</v>
      </c>
      <c r="X99" s="6">
        <f t="shared" si="9"/>
        <v>-1884.1593579999999</v>
      </c>
      <c r="Y99" s="6">
        <f t="shared" si="9"/>
        <v>-2051.3565629999998</v>
      </c>
      <c r="Z99" s="6">
        <f t="shared" si="9"/>
        <v>-2227.6746400000002</v>
      </c>
      <c r="AA99" s="6">
        <f t="shared" si="9"/>
        <v>-2414.2820540000002</v>
      </c>
      <c r="AB99" s="6">
        <f t="shared" si="9"/>
        <v>-2612.986414</v>
      </c>
      <c r="AC99" s="6">
        <f t="shared" si="9"/>
        <v>-2823.3362319999997</v>
      </c>
      <c r="AD99" s="6">
        <f t="shared" si="9"/>
        <v>-3047.1208789999996</v>
      </c>
      <c r="AE99" s="6">
        <f t="shared" si="9"/>
        <v>-3286.5392020000004</v>
      </c>
      <c r="AF99" s="6">
        <f t="shared" si="9"/>
        <v>-3544.0277259999998</v>
      </c>
      <c r="AG99" s="6">
        <f t="shared" si="9"/>
        <v>-3821.9125410000006</v>
      </c>
      <c r="AH99" s="6">
        <f t="shared" si="9"/>
        <v>-4122.383761</v>
      </c>
      <c r="AI99" s="6">
        <f t="shared" si="9"/>
        <v>-4448.0336960000004</v>
      </c>
      <c r="AJ99" s="6">
        <f t="shared" si="9"/>
        <v>-4802.3141909999995</v>
      </c>
      <c r="AK99" s="6">
        <f t="shared" si="9"/>
        <v>-5189.6629929999999</v>
      </c>
      <c r="AL99" s="6">
        <f t="shared" si="9"/>
        <v>-5616.3099120000006</v>
      </c>
    </row>
    <row r="100" spans="1:38" x14ac:dyDescent="0.35">
      <c r="B100" t="s">
        <v>33</v>
      </c>
      <c r="C100" s="6">
        <f>[1]Results!F1541</f>
        <v>40653.00333</v>
      </c>
      <c r="D100" s="6">
        <f>[1]Results!G1541</f>
        <v>41286.005490000003</v>
      </c>
      <c r="E100" s="6">
        <f>[1]Results!H1541</f>
        <v>41901.007559999998</v>
      </c>
      <c r="F100" s="6">
        <f>[1]Results!I1541</f>
        <v>42578.249080000001</v>
      </c>
      <c r="G100" s="6">
        <f>[1]Results!J1541</f>
        <v>43204.172019999998</v>
      </c>
      <c r="H100" s="6">
        <f>[1]Results!K1541</f>
        <v>43847.750090000001</v>
      </c>
      <c r="I100" s="6">
        <f>[1]Results!L1541</f>
        <v>44524.091910000003</v>
      </c>
      <c r="J100" s="6">
        <f>[1]Results!M1541</f>
        <v>45296.037949999998</v>
      </c>
      <c r="K100" s="6">
        <f>[1]Results!N1541</f>
        <v>45893.011500000001</v>
      </c>
      <c r="L100" s="6">
        <f>[1]Results!O1541</f>
        <v>46574.172149999999</v>
      </c>
      <c r="M100" s="6">
        <f>[1]Results!P1541</f>
        <v>47183.481440000003</v>
      </c>
      <c r="N100" s="6">
        <f>[1]Results!Q1541</f>
        <v>47455.384830000003</v>
      </c>
      <c r="O100" s="6">
        <f>[1]Results!R1541</f>
        <v>47508.890249999997</v>
      </c>
      <c r="P100" s="6">
        <f>[1]Results!S1541</f>
        <v>47417.491170000001</v>
      </c>
      <c r="Q100" s="6">
        <f>[1]Results!T1541</f>
        <v>47239.067880000002</v>
      </c>
      <c r="R100" s="6">
        <f>[1]Results!U1541</f>
        <v>47003.385419999999</v>
      </c>
      <c r="S100" s="6">
        <f>[1]Results!V1541</f>
        <v>46733.830439999998</v>
      </c>
      <c r="T100" s="6">
        <f>[1]Results!W1541</f>
        <v>46453.753599999996</v>
      </c>
      <c r="U100" s="6">
        <f>[1]Results!X1541</f>
        <v>46159.47219</v>
      </c>
      <c r="V100" s="6">
        <f>[1]Results!Y1541</f>
        <v>45850.366609999997</v>
      </c>
      <c r="W100" s="6">
        <f>[1]Results!Z1541</f>
        <v>45513.174650000001</v>
      </c>
      <c r="X100" s="6">
        <f>[1]Results!AA1541</f>
        <v>45167.085249999996</v>
      </c>
      <c r="Y100" s="6">
        <f>[1]Results!AB1541</f>
        <v>44802.213660000001</v>
      </c>
      <c r="Z100" s="6">
        <f>[1]Results!AC1541</f>
        <v>44403.145759999999</v>
      </c>
      <c r="AA100" s="6">
        <f>[1]Results!AD1541</f>
        <v>43947.590730000004</v>
      </c>
      <c r="AB100" s="6">
        <f>[1]Results!AE1541</f>
        <v>43375.02332</v>
      </c>
      <c r="AC100" s="6">
        <f>[1]Results!AF1541</f>
        <v>42714.879180000004</v>
      </c>
      <c r="AD100" s="6">
        <f>[1]Results!AG1541</f>
        <v>41921.818189999998</v>
      </c>
      <c r="AE100" s="6">
        <f>[1]Results!AH1541</f>
        <v>40946.290410000001</v>
      </c>
      <c r="AF100" s="6">
        <f>[1]Results!AI1541</f>
        <v>39717.827599999997</v>
      </c>
      <c r="AG100" s="6">
        <f>[1]Results!AJ1541</f>
        <v>38152.584490000001</v>
      </c>
      <c r="AH100" s="6">
        <f>[1]Results!AK1541</f>
        <v>36158.823750000003</v>
      </c>
      <c r="AI100" s="6">
        <f>[1]Results!AL1541</f>
        <v>33628.563600000001</v>
      </c>
      <c r="AJ100" s="6">
        <f>[1]Results!AM1541</f>
        <v>30423.646000000001</v>
      </c>
      <c r="AK100" s="6">
        <f>[1]Results!AN1541</f>
        <v>26369.48531</v>
      </c>
      <c r="AL100" s="6">
        <f>[1]Results!AO1541</f>
        <v>21242.750960000001</v>
      </c>
    </row>
    <row r="101" spans="1:38" x14ac:dyDescent="0.35">
      <c r="B101" t="s">
        <v>35</v>
      </c>
      <c r="C101" s="6">
        <f>[1]Results!F1538</f>
        <v>-612.37312850000001</v>
      </c>
      <c r="D101" s="6">
        <f>[1]Results!G1538</f>
        <v>-616.76354330000004</v>
      </c>
      <c r="E101" s="6">
        <f>[1]Results!H1538</f>
        <v>-618.84005850000005</v>
      </c>
      <c r="F101" s="6">
        <f>[1]Results!I1538</f>
        <v>-621.05387740000003</v>
      </c>
      <c r="G101" s="6">
        <f>[1]Results!J1538</f>
        <v>-624.77107909999995</v>
      </c>
      <c r="H101" s="6">
        <f>[1]Results!K1538</f>
        <v>-630.84359440000003</v>
      </c>
      <c r="I101" s="6">
        <f>[1]Results!L1538</f>
        <v>-638.8426829</v>
      </c>
      <c r="J101" s="6">
        <f>[1]Results!M1538</f>
        <v>-695.65767300000005</v>
      </c>
      <c r="K101" s="6">
        <f>[1]Results!N1538</f>
        <v>-864.46210670000005</v>
      </c>
      <c r="L101" s="6">
        <f>[1]Results!O1538</f>
        <v>-1047.765126</v>
      </c>
      <c r="M101" s="6">
        <f>[1]Results!P1538</f>
        <v>-1233.632754</v>
      </c>
      <c r="N101" s="6">
        <f>[1]Results!Q1538</f>
        <v>-1420.76487</v>
      </c>
      <c r="O101" s="6">
        <f>[1]Results!R1538</f>
        <v>-1609.7550980000001</v>
      </c>
      <c r="P101" s="6">
        <f>[1]Results!S1538</f>
        <v>-1801.325889</v>
      </c>
      <c r="Q101" s="6">
        <f>[1]Results!T1538</f>
        <v>-1996.368477</v>
      </c>
      <c r="R101" s="6">
        <f>[1]Results!U1538</f>
        <v>-2195.8807139999999</v>
      </c>
      <c r="S101" s="6">
        <f>[1]Results!V1538</f>
        <v>-2400.357626</v>
      </c>
      <c r="T101" s="6">
        <f>[1]Results!W1538</f>
        <v>-2610.1261679999998</v>
      </c>
      <c r="U101" s="6">
        <f>[1]Results!X1538</f>
        <v>-2826.629602</v>
      </c>
      <c r="V101" s="6">
        <f>[1]Results!Y1538</f>
        <v>-3051.404055</v>
      </c>
      <c r="W101" s="6">
        <f>[1]Results!Z1538</f>
        <v>-3285.770579</v>
      </c>
      <c r="X101" s="6">
        <f>[1]Results!AA1538</f>
        <v>-3531.0729339999998</v>
      </c>
      <c r="Y101" s="6">
        <f>[1]Results!AB1538</f>
        <v>-3789.0692519999998</v>
      </c>
      <c r="Z101" s="6">
        <f>[1]Results!AC1538</f>
        <v>-4061.4595319999999</v>
      </c>
      <c r="AA101" s="6">
        <f>[1]Results!AD1538</f>
        <v>-4349.8877670000002</v>
      </c>
      <c r="AB101" s="6">
        <f>[1]Results!AE1538</f>
        <v>-4655.5849669999998</v>
      </c>
      <c r="AC101" s="6">
        <f>[1]Results!AF1538</f>
        <v>-4979.9710949999999</v>
      </c>
      <c r="AD101" s="6">
        <f>[1]Results!AG1538</f>
        <v>-5326.0550789999998</v>
      </c>
      <c r="AE101" s="6">
        <f>[1]Results!AH1538</f>
        <v>-5696.9454610000003</v>
      </c>
      <c r="AF101" s="6">
        <f>[1]Results!AI1538</f>
        <v>-6095.5117019999998</v>
      </c>
      <c r="AG101" s="6">
        <f>[1]Results!AJ1538</f>
        <v>-6524.3269710000004</v>
      </c>
      <c r="AH101" s="6">
        <f>[1]Results!AK1538</f>
        <v>-6986.1368000000002</v>
      </c>
      <c r="AI101" s="6">
        <f>[1]Results!AL1538</f>
        <v>-7484.5102100000004</v>
      </c>
      <c r="AJ101" s="6">
        <f>[1]Results!AM1538</f>
        <v>-8024.1322799999998</v>
      </c>
      <c r="AK101" s="6">
        <f>[1]Results!AN1538</f>
        <v>-8611.0957920000001</v>
      </c>
      <c r="AL101" s="6">
        <f>[1]Results!AO1538</f>
        <v>-9253.8900130000002</v>
      </c>
    </row>
    <row r="102" spans="1:38" x14ac:dyDescent="0.35">
      <c r="B102" t="s">
        <v>34</v>
      </c>
      <c r="C102" s="6">
        <f>[1]Results!F1540</f>
        <v>493.02654460000002</v>
      </c>
      <c r="D102" s="6">
        <f>[1]Results!G1540</f>
        <v>496.22832949999997</v>
      </c>
      <c r="E102" s="6">
        <f>[1]Results!H1540</f>
        <v>500.03614290000002</v>
      </c>
      <c r="F102" s="6">
        <f>[1]Results!I1540</f>
        <v>503.53333279999998</v>
      </c>
      <c r="G102" s="6">
        <f>[1]Results!J1540</f>
        <v>509.3399488</v>
      </c>
      <c r="H102" s="6">
        <f>[1]Results!K1540</f>
        <v>516.73255930000005</v>
      </c>
      <c r="I102" s="6">
        <f>[1]Results!L1540</f>
        <v>522.79589699999997</v>
      </c>
      <c r="J102" s="6">
        <f>[1]Results!M1540</f>
        <v>598.99169979999999</v>
      </c>
      <c r="K102" s="6">
        <f>[1]Results!N1540</f>
        <v>671.63124640000001</v>
      </c>
      <c r="L102" s="6">
        <f>[1]Results!O1540</f>
        <v>745.86249080000005</v>
      </c>
      <c r="M102" s="6">
        <f>[1]Results!P1540</f>
        <v>820.27666599999998</v>
      </c>
      <c r="N102" s="6">
        <f>[1]Results!Q1540</f>
        <v>894.06666389999998</v>
      </c>
      <c r="O102" s="6">
        <f>[1]Results!R1540</f>
        <v>966.48131709999996</v>
      </c>
      <c r="P102" s="6">
        <f>[1]Results!S1540</f>
        <v>1037.6264960000001</v>
      </c>
      <c r="Q102" s="6">
        <f>[1]Results!T1540</f>
        <v>1108.116215</v>
      </c>
      <c r="R102" s="6">
        <f>[1]Results!U1540</f>
        <v>1178.4437150000001</v>
      </c>
      <c r="S102" s="6">
        <f>[1]Results!V1540</f>
        <v>1250.246993</v>
      </c>
      <c r="T102" s="6">
        <f>[1]Results!W1540</f>
        <v>1323.9223910000001</v>
      </c>
      <c r="U102" s="6">
        <f>[1]Results!X1540</f>
        <v>1399.9701769999999</v>
      </c>
      <c r="V102" s="6">
        <f>[1]Results!Y1540</f>
        <v>1478.864284</v>
      </c>
      <c r="W102" s="6">
        <f>[1]Results!Z1540</f>
        <v>1560.823091</v>
      </c>
      <c r="X102" s="6">
        <f>[1]Results!AA1540</f>
        <v>1646.9135759999999</v>
      </c>
      <c r="Y102" s="6">
        <f>[1]Results!AB1540</f>
        <v>1737.712689</v>
      </c>
      <c r="Z102" s="6">
        <f>[1]Results!AC1540</f>
        <v>1833.7848919999999</v>
      </c>
      <c r="AA102" s="6">
        <f>[1]Results!AD1540</f>
        <v>1935.6057129999999</v>
      </c>
      <c r="AB102" s="6">
        <f>[1]Results!AE1540</f>
        <v>2042.598553</v>
      </c>
      <c r="AC102" s="6">
        <f>[1]Results!AF1540</f>
        <v>2156.6348630000002</v>
      </c>
      <c r="AD102" s="6">
        <f>[1]Results!AG1540</f>
        <v>2278.9342000000001</v>
      </c>
      <c r="AE102" s="6">
        <f>[1]Results!AH1540</f>
        <v>2410.4062589999999</v>
      </c>
      <c r="AF102" s="6">
        <f>[1]Results!AI1540</f>
        <v>2551.483976</v>
      </c>
      <c r="AG102" s="6">
        <f>[1]Results!AJ1540</f>
        <v>2702.4144299999998</v>
      </c>
      <c r="AH102" s="6">
        <f>[1]Results!AK1540</f>
        <v>2863.7530390000002</v>
      </c>
      <c r="AI102" s="6">
        <f>[1]Results!AL1540</f>
        <v>3036.476514</v>
      </c>
      <c r="AJ102" s="6">
        <f>[1]Results!AM1540</f>
        <v>3221.8180889999999</v>
      </c>
      <c r="AK102" s="6">
        <f>[1]Results!AN1540</f>
        <v>3421.4327990000002</v>
      </c>
      <c r="AL102" s="6">
        <f>[1]Results!AO1540</f>
        <v>3637.580101</v>
      </c>
    </row>
    <row r="103" spans="1:38" x14ac:dyDescent="0.35">
      <c r="B103" t="s">
        <v>37</v>
      </c>
      <c r="C103" s="6">
        <f>[1]Results!F1537</f>
        <v>-2125.1515279999999</v>
      </c>
      <c r="D103" s="6">
        <f>[1]Results!G1537</f>
        <v>-2143.6568739999998</v>
      </c>
      <c r="E103" s="6">
        <f>[1]Results!H1537</f>
        <v>-2161.3505620000001</v>
      </c>
      <c r="F103" s="6">
        <f>[1]Results!I1537</f>
        <v>-2179.8246399999998</v>
      </c>
      <c r="G103" s="6">
        <f>[1]Results!J1537</f>
        <v>-2198.5182220000002</v>
      </c>
      <c r="H103" s="6">
        <f>[1]Results!K1537</f>
        <v>-2226.3969459999998</v>
      </c>
      <c r="I103" s="6">
        <f>[1]Results!L1537</f>
        <v>-2263.5513500000002</v>
      </c>
      <c r="J103" s="6">
        <f>[1]Results!M1537</f>
        <v>-2327.8058110000002</v>
      </c>
      <c r="K103" s="6">
        <f>[1]Results!N1537</f>
        <v>-2300.4133219999999</v>
      </c>
      <c r="L103" s="6">
        <f>[1]Results!O1537</f>
        <v>-2263.319763</v>
      </c>
      <c r="M103" s="6">
        <f>[1]Results!P1537</f>
        <v>-2244.257591</v>
      </c>
      <c r="N103" s="6">
        <f>[1]Results!Q1537</f>
        <v>-2230.0177490000001</v>
      </c>
      <c r="O103" s="6">
        <f>[1]Results!R1537</f>
        <v>-2211.3951959999999</v>
      </c>
      <c r="P103" s="6">
        <f>[1]Results!S1537</f>
        <v>-2187.7197630000001</v>
      </c>
      <c r="Q103" s="6">
        <f>[1]Results!T1537</f>
        <v>-2160.393407</v>
      </c>
      <c r="R103" s="6">
        <f>[1]Results!U1537</f>
        <v>-2131.9150669999999</v>
      </c>
      <c r="S103" s="6">
        <f>[1]Results!V1537</f>
        <v>-2103.7402499999998</v>
      </c>
      <c r="T103" s="6">
        <f>[1]Results!W1537</f>
        <v>-2070.8982930000002</v>
      </c>
      <c r="U103" s="6">
        <f>[1]Results!X1537</f>
        <v>-2037.9233690000001</v>
      </c>
      <c r="V103" s="6">
        <f>[1]Results!Y1537</f>
        <v>-2006.145442</v>
      </c>
      <c r="W103" s="6">
        <f>[1]Results!Z1537</f>
        <v>-1975.9330190000001</v>
      </c>
      <c r="X103" s="6">
        <f>[1]Results!AA1537</f>
        <v>-1946.852756</v>
      </c>
      <c r="Y103" s="6">
        <f>[1]Results!AB1537</f>
        <v>-1919.3320020000001</v>
      </c>
      <c r="Z103" s="6">
        <f>[1]Results!AC1537</f>
        <v>-1893.5288539999999</v>
      </c>
      <c r="AA103" s="6">
        <f>[1]Results!AD1537</f>
        <v>-1869.339162</v>
      </c>
      <c r="AB103" s="6">
        <f>[1]Results!AE1537</f>
        <v>-1846.5542459999999</v>
      </c>
      <c r="AC103" s="6">
        <f>[1]Results!AF1537</f>
        <v>-1823.304971</v>
      </c>
      <c r="AD103" s="6">
        <f>[1]Results!AG1537</f>
        <v>-1801.832821</v>
      </c>
      <c r="AE103" s="6">
        <f>[1]Results!AH1537</f>
        <v>-1781.3997910000001</v>
      </c>
      <c r="AF103" s="6">
        <f>[1]Results!AI1537</f>
        <v>-1761.8727269999999</v>
      </c>
      <c r="AG103" s="6">
        <f>[1]Results!AJ1537</f>
        <v>-1742.41021</v>
      </c>
      <c r="AH103" s="6">
        <f>[1]Results!AK1537</f>
        <v>-1721.7993389999999</v>
      </c>
      <c r="AI103" s="6">
        <f>[1]Results!AL1537</f>
        <v>-1699.103106</v>
      </c>
      <c r="AJ103" s="6">
        <f>[1]Results!AM1537</f>
        <v>-1673.7514819999999</v>
      </c>
      <c r="AK103" s="6">
        <f>[1]Results!AN1537</f>
        <v>-1645.2172210000001</v>
      </c>
      <c r="AL103" s="6">
        <f>[1]Results!AO1537</f>
        <v>-1612.972792</v>
      </c>
    </row>
    <row r="104" spans="1:3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6" spans="1:3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38" x14ac:dyDescent="0.35">
      <c r="A107" t="s">
        <v>80</v>
      </c>
      <c r="B107" t="s">
        <v>27</v>
      </c>
      <c r="C107" s="4">
        <f>(R93-R79)/R79</f>
        <v>1.1660351021252275E-3</v>
      </c>
      <c r="D107" s="10">
        <f>(AB93-AB79)/AB79</f>
        <v>-2.5418083224565289E-3</v>
      </c>
      <c r="E107" s="10">
        <f>(AL93-AL79)/AL79</f>
        <v>3.4290012179466365E-3</v>
      </c>
    </row>
    <row r="108" spans="1:38" x14ac:dyDescent="0.35">
      <c r="B108" t="s">
        <v>7</v>
      </c>
      <c r="C108" s="4">
        <f t="shared" ref="C108:C114" si="10">(R94-R82)/R82</f>
        <v>-9.5766192375477607E-3</v>
      </c>
      <c r="D108" s="4">
        <f t="shared" ref="D108:D114" si="11">(AB94-AB82)/AB82</f>
        <v>-1.7940002872791776E-2</v>
      </c>
      <c r="E108" s="4">
        <f t="shared" ref="E108:E114" si="12">(AL94-AL82)/AL82</f>
        <v>-1.3984206689368244E-2</v>
      </c>
      <c r="Q108" s="5"/>
      <c r="U108" s="5"/>
      <c r="V108" s="5"/>
      <c r="Y108" s="5"/>
      <c r="Z108" s="5"/>
      <c r="AA108" s="5"/>
    </row>
    <row r="109" spans="1:38" x14ac:dyDescent="0.35">
      <c r="B109" t="s">
        <v>30</v>
      </c>
      <c r="C109" s="4">
        <f t="shared" si="10"/>
        <v>-2.5821740335133089E-3</v>
      </c>
      <c r="D109" s="4">
        <f t="shared" si="11"/>
        <v>1.2162093249207398E-3</v>
      </c>
      <c r="E109" s="4">
        <f t="shared" si="12"/>
        <v>4.2139935154273236E-2</v>
      </c>
      <c r="Q109" s="5"/>
      <c r="U109" s="5"/>
      <c r="V109" s="5"/>
      <c r="Y109" s="5"/>
      <c r="Z109" s="5"/>
      <c r="AA109" s="5"/>
    </row>
    <row r="110" spans="1:38" x14ac:dyDescent="0.35">
      <c r="B110" t="s">
        <v>9</v>
      </c>
      <c r="C110" s="4">
        <f t="shared" si="10"/>
        <v>-9.3490898906635443E-3</v>
      </c>
      <c r="D110" s="4">
        <f t="shared" si="11"/>
        <v>-1.8258626769405598E-2</v>
      </c>
      <c r="E110" s="4">
        <f t="shared" si="12"/>
        <v>1.1386664856456301E-2</v>
      </c>
      <c r="Q110" s="5"/>
      <c r="U110" s="5"/>
      <c r="V110" s="5"/>
      <c r="Y110" s="5"/>
      <c r="Z110" s="5"/>
      <c r="AA110" s="5"/>
    </row>
    <row r="111" spans="1:38" x14ac:dyDescent="0.35">
      <c r="B111" t="s">
        <v>10</v>
      </c>
      <c r="C111" s="4">
        <f t="shared" si="10"/>
        <v>4.1275584509177796E-3</v>
      </c>
      <c r="D111" s="4">
        <f t="shared" si="11"/>
        <v>3.0327594006176353E-3</v>
      </c>
      <c r="E111" s="4">
        <f t="shared" si="12"/>
        <v>1.0432149364573432E-2</v>
      </c>
      <c r="Q111" s="5"/>
      <c r="U111" s="5"/>
      <c r="V111" s="5"/>
      <c r="Y111" s="5"/>
      <c r="Z111" s="5"/>
      <c r="AA111" s="5"/>
    </row>
    <row r="112" spans="1:38" x14ac:dyDescent="0.35">
      <c r="B112" t="s">
        <v>29</v>
      </c>
      <c r="C112" s="4">
        <f t="shared" si="10"/>
        <v>-0.51617519270258361</v>
      </c>
      <c r="D112" s="4">
        <f t="shared" si="11"/>
        <v>-1.3002178391800465</v>
      </c>
      <c r="E112" s="4">
        <f t="shared" si="12"/>
        <v>-2.3004726017554593</v>
      </c>
      <c r="Q112" s="5"/>
      <c r="U112" s="5"/>
      <c r="V112" s="5"/>
      <c r="Y112" s="5"/>
      <c r="Z112" s="5"/>
      <c r="AA112" s="5"/>
    </row>
    <row r="113" spans="1:38" x14ac:dyDescent="0.35">
      <c r="B113" t="s">
        <v>36</v>
      </c>
      <c r="C113" s="4">
        <f t="shared" si="10"/>
        <v>3.6090043495781234</v>
      </c>
      <c r="D113" s="4">
        <f t="shared" si="11"/>
        <v>7.7436397867153701</v>
      </c>
      <c r="E113" s="4">
        <f t="shared" si="12"/>
        <v>11.592846316571407</v>
      </c>
      <c r="Q113" s="5"/>
      <c r="U113" s="5"/>
      <c r="V113" s="5"/>
      <c r="Y113" s="5"/>
      <c r="Z113" s="5"/>
      <c r="AA113" s="5"/>
    </row>
    <row r="114" spans="1:38" x14ac:dyDescent="0.35">
      <c r="B114" t="s">
        <v>33</v>
      </c>
      <c r="C114" s="4">
        <f t="shared" si="10"/>
        <v>-5.1662786163996548E-2</v>
      </c>
      <c r="D114" s="4">
        <f t="shared" si="11"/>
        <v>-0.22262406447910524</v>
      </c>
      <c r="E114" s="4">
        <f t="shared" si="12"/>
        <v>-0.69747321184246758</v>
      </c>
      <c r="Q114" s="5"/>
      <c r="U114" s="5"/>
      <c r="V114" s="5"/>
      <c r="Y114" s="5"/>
      <c r="Z114" s="5"/>
      <c r="AA114" s="5"/>
    </row>
    <row r="115" spans="1:3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38" x14ac:dyDescent="0.35">
      <c r="A117" t="s">
        <v>81</v>
      </c>
      <c r="B117" t="s">
        <v>7</v>
      </c>
      <c r="C117" s="4">
        <f>R94/R82-1</f>
        <v>-9.5766192375477122E-3</v>
      </c>
      <c r="D117" s="4">
        <f>AB94/AB82-1</f>
        <v>-1.7940002872791738E-2</v>
      </c>
      <c r="E117" s="4">
        <f>AL94/AL82-1</f>
        <v>-1.3984206689368284E-2</v>
      </c>
    </row>
    <row r="118" spans="1:38" x14ac:dyDescent="0.35">
      <c r="B118" t="s">
        <v>30</v>
      </c>
      <c r="C118" s="4">
        <f>R95/R83-1</f>
        <v>-2.5821740335133514E-3</v>
      </c>
      <c r="D118" s="4">
        <f>AB95/AB83-1</f>
        <v>1.2162093249208361E-3</v>
      </c>
      <c r="E118" s="4">
        <f>AL95/AL83-1</f>
        <v>4.2139935154273278E-2</v>
      </c>
    </row>
    <row r="119" spans="1:38" x14ac:dyDescent="0.35">
      <c r="B119" t="s">
        <v>9</v>
      </c>
      <c r="C119" s="4">
        <f>R96/R84-1</f>
        <v>-9.34908989066352E-3</v>
      </c>
      <c r="D119" s="4">
        <f>AB96/AB84-1</f>
        <v>-1.8258626769405595E-2</v>
      </c>
      <c r="E119" s="4">
        <f>AL96/AL84-1</f>
        <v>1.138666485645623E-2</v>
      </c>
    </row>
    <row r="120" spans="1:38" x14ac:dyDescent="0.35">
      <c r="B120" t="s">
        <v>10</v>
      </c>
      <c r="C120" s="4">
        <f>R97/R85-1</f>
        <v>4.1275584509177232E-3</v>
      </c>
      <c r="D120" s="4">
        <f>AB97/AB85-1</f>
        <v>3.0327594006176462E-3</v>
      </c>
      <c r="E120" s="4">
        <f>AL97/AL85-1</f>
        <v>1.0432149364573373E-2</v>
      </c>
    </row>
    <row r="121" spans="1:38" x14ac:dyDescent="0.35">
      <c r="B121" t="s">
        <v>29</v>
      </c>
      <c r="C121" s="4">
        <f>R98/R86-1</f>
        <v>-0.51617519270258372</v>
      </c>
      <c r="D121" s="4">
        <f>AB98/AB86-1</f>
        <v>-1.3002178391800465</v>
      </c>
      <c r="E121" s="4">
        <f>AL98/AL86-1</f>
        <v>-2.3004726017554589</v>
      </c>
    </row>
    <row r="122" spans="1:38" x14ac:dyDescent="0.35">
      <c r="B122" t="s">
        <v>33</v>
      </c>
      <c r="C122" s="4">
        <f>R100/R88-1</f>
        <v>-5.1662786163996555E-2</v>
      </c>
      <c r="D122" s="4">
        <f>AB100/AB88-1</f>
        <v>-0.22262406447910521</v>
      </c>
      <c r="E122" s="4">
        <f>AL100/AL88-1</f>
        <v>-0.69747321184246758</v>
      </c>
    </row>
    <row r="124" spans="1:3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</row>
    <row r="125" spans="1:38" x14ac:dyDescent="0.35">
      <c r="A125" t="s">
        <v>38</v>
      </c>
      <c r="B125" t="s">
        <v>27</v>
      </c>
      <c r="C125" s="6">
        <f>[1]Production!B3</f>
        <v>3854147.4219999998</v>
      </c>
      <c r="D125" s="6">
        <f>[1]Production!C3</f>
        <v>3927337.4589999998</v>
      </c>
      <c r="E125" s="6">
        <f>[1]Production!D3</f>
        <v>4010722.3360000001</v>
      </c>
      <c r="F125" s="6">
        <f>[1]Production!E3</f>
        <v>4101858.5010000002</v>
      </c>
      <c r="G125" s="6">
        <f>[1]Production!F3</f>
        <v>4199189.9859999996</v>
      </c>
      <c r="H125" s="6">
        <f>[1]Production!G3</f>
        <v>4302073.5089999996</v>
      </c>
      <c r="I125" s="6">
        <f>[1]Production!H3</f>
        <v>4407189.8020000001</v>
      </c>
      <c r="J125" s="6">
        <f>[1]Production!I3</f>
        <v>4514440.6339999996</v>
      </c>
      <c r="K125" s="6">
        <f>[1]Production!J3</f>
        <v>4623653.5549999997</v>
      </c>
      <c r="L125" s="6">
        <f>[1]Production!K3</f>
        <v>4734956.5630000001</v>
      </c>
      <c r="M125" s="6">
        <f>[1]Production!L3</f>
        <v>4847453.0980000002</v>
      </c>
      <c r="N125" s="6">
        <f>[1]Production!M3</f>
        <v>4946723.4019999998</v>
      </c>
      <c r="O125" s="6">
        <f>[1]Production!N3</f>
        <v>5036497.2369999997</v>
      </c>
      <c r="P125" s="6">
        <f>[1]Production!O3</f>
        <v>5118994.0789999999</v>
      </c>
      <c r="Q125" s="6">
        <f>[1]Production!P3</f>
        <v>5196892.9189999998</v>
      </c>
      <c r="R125" s="6">
        <f>[1]Production!Q3</f>
        <v>5272766.1179999998</v>
      </c>
      <c r="S125" s="6">
        <f>[1]Production!R3</f>
        <v>5350315.0180000002</v>
      </c>
      <c r="T125" s="6">
        <f>[1]Production!S3</f>
        <v>5432262.3219999997</v>
      </c>
      <c r="U125" s="6">
        <f>[1]Production!T3</f>
        <v>5520452.0149999997</v>
      </c>
      <c r="V125" s="6">
        <f>[1]Production!U3</f>
        <v>5615908.8320000004</v>
      </c>
      <c r="W125" s="6">
        <f>[1]Production!V3</f>
        <v>5717644.8080000002</v>
      </c>
      <c r="X125" s="6">
        <f>[1]Production!W3</f>
        <v>5829300.5899999999</v>
      </c>
      <c r="Y125" s="6">
        <f>[1]Production!X3</f>
        <v>5950996.443</v>
      </c>
      <c r="Z125" s="6">
        <f>[1]Production!Y3</f>
        <v>6083273.8779999996</v>
      </c>
      <c r="AA125" s="6">
        <f>[1]Production!Z3</f>
        <v>6226102.0049999999</v>
      </c>
      <c r="AB125" s="6">
        <f>[1]Production!AA3</f>
        <v>6374011.1799999997</v>
      </c>
      <c r="AC125" s="6">
        <f>[1]Production!AB3</f>
        <v>6533031.1739999996</v>
      </c>
      <c r="AD125" s="6">
        <f>[1]Production!AC3</f>
        <v>6702715.0180000002</v>
      </c>
      <c r="AE125" s="6">
        <f>[1]Production!AD3</f>
        <v>6883288.4139999999</v>
      </c>
      <c r="AF125" s="6">
        <f>[1]Production!AE3</f>
        <v>7073681.3830000004</v>
      </c>
      <c r="AG125" s="6">
        <f>[1]Production!AF3</f>
        <v>7272144.2240000004</v>
      </c>
      <c r="AH125" s="6">
        <f>[1]Production!AG3</f>
        <v>7477064.1890000002</v>
      </c>
      <c r="AI125" s="6">
        <f>[1]Production!AH3</f>
        <v>7687103.0980000002</v>
      </c>
      <c r="AJ125" s="6">
        <f>[1]Production!AI3</f>
        <v>7900992.8940000003</v>
      </c>
      <c r="AK125" s="6">
        <f>[1]Production!AJ3</f>
        <v>8117465.7300000004</v>
      </c>
      <c r="AL125" s="6">
        <f>[1]Production!AK3</f>
        <v>8335222.3949999996</v>
      </c>
    </row>
    <row r="126" spans="1:38" x14ac:dyDescent="0.35">
      <c r="B126" t="s">
        <v>7</v>
      </c>
      <c r="C126" s="6">
        <f>[1]Production!B5+[1]Production!B7</f>
        <v>88284.497585000005</v>
      </c>
      <c r="D126" s="6">
        <f>[1]Production!C5+[1]Production!C7</f>
        <v>89622.937145000004</v>
      </c>
      <c r="E126" s="6">
        <f>[1]Production!D5+[1]Production!D7</f>
        <v>91225.603608000005</v>
      </c>
      <c r="F126" s="6">
        <f>[1]Production!E5+[1]Production!E7</f>
        <v>93072.84173700001</v>
      </c>
      <c r="G126" s="6">
        <f>[1]Production!F5+[1]Production!F7</f>
        <v>95148.430766000005</v>
      </c>
      <c r="H126" s="6">
        <f>[1]Production!G5+[1]Production!G7</f>
        <v>97420.08481</v>
      </c>
      <c r="I126" s="6">
        <f>[1]Production!H5+[1]Production!H7</f>
        <v>99798.304369999998</v>
      </c>
      <c r="J126" s="6">
        <f>[1]Production!I5+[1]Production!I7</f>
        <v>102245.95417400001</v>
      </c>
      <c r="K126" s="6">
        <f>[1]Production!J5+[1]Production!J7</f>
        <v>104742.98207499999</v>
      </c>
      <c r="L126" s="6">
        <f>[1]Production!K5+[1]Production!K7</f>
        <v>107281.53886700001</v>
      </c>
      <c r="M126" s="6">
        <f>[1]Production!L5+[1]Production!L7</f>
        <v>109802.12044599999</v>
      </c>
      <c r="N126" s="6">
        <f>[1]Production!M5+[1]Production!M7</f>
        <v>111969.50249</v>
      </c>
      <c r="O126" s="6">
        <f>[1]Production!N5+[1]Production!N7</f>
        <v>113853.09508100001</v>
      </c>
      <c r="P126" s="6">
        <f>[1]Production!O5+[1]Production!O7</f>
        <v>115506.30204</v>
      </c>
      <c r="Q126" s="6">
        <f>[1]Production!P5+[1]Production!P7</f>
        <v>116997.30104800001</v>
      </c>
      <c r="R126" s="6">
        <f>[1]Production!Q5+[1]Production!Q7</f>
        <v>118394.57529699999</v>
      </c>
      <c r="S126" s="6">
        <f>[1]Production!R5+[1]Production!R7</f>
        <v>119799.174623</v>
      </c>
      <c r="T126" s="6">
        <f>[1]Production!S5+[1]Production!S7</f>
        <v>121289.969224</v>
      </c>
      <c r="U126" s="6">
        <f>[1]Production!T5+[1]Production!T7</f>
        <v>122922.58607800001</v>
      </c>
      <c r="V126" s="6">
        <f>[1]Production!U5+[1]Production!U7</f>
        <v>124728.85943000001</v>
      </c>
      <c r="W126" s="6">
        <f>[1]Production!V5+[1]Production!V7</f>
        <v>126706.36239499999</v>
      </c>
      <c r="X126" s="6">
        <f>[1]Production!W5+[1]Production!W7</f>
        <v>128911.980327</v>
      </c>
      <c r="Y126" s="6">
        <f>[1]Production!X5+[1]Production!X7</f>
        <v>131370.76852300001</v>
      </c>
      <c r="Z126" s="6">
        <f>[1]Production!Y5+[1]Production!Y7</f>
        <v>134097.75360699999</v>
      </c>
      <c r="AA126" s="6">
        <f>[1]Production!Z5+[1]Production!Z7</f>
        <v>137092.55932199999</v>
      </c>
      <c r="AB126" s="6">
        <f>[1]Production!AA5+[1]Production!AA7</f>
        <v>140272.85806100001</v>
      </c>
      <c r="AC126" s="6">
        <f>[1]Production!AB5+[1]Production!AB7</f>
        <v>143707.67480199999</v>
      </c>
      <c r="AD126" s="6">
        <f>[1]Production!AC5+[1]Production!AC7</f>
        <v>147418.73470199999</v>
      </c>
      <c r="AE126" s="6">
        <f>[1]Production!AD5+[1]Production!AD7</f>
        <v>151412.758936</v>
      </c>
      <c r="AF126" s="6">
        <f>[1]Production!AE5+[1]Production!AE7</f>
        <v>155660.98259100001</v>
      </c>
      <c r="AG126" s="6">
        <f>[1]Production!AF5+[1]Production!AF7</f>
        <v>160115.64886700001</v>
      </c>
      <c r="AH126" s="6">
        <f>[1]Production!AG5+[1]Production!AG7</f>
        <v>164731.432214</v>
      </c>
      <c r="AI126" s="6">
        <f>[1]Production!AH5+[1]Production!AH7</f>
        <v>169468.92228600002</v>
      </c>
      <c r="AJ126" s="6">
        <f>[1]Production!AI5+[1]Production!AI7</f>
        <v>174289.69735499998</v>
      </c>
      <c r="AK126" s="6">
        <f>[1]Production!AJ5+[1]Production!AJ7</f>
        <v>179155.052799</v>
      </c>
      <c r="AL126" s="6">
        <f>[1]Production!AK5+[1]Production!AK7</f>
        <v>184025.66770799999</v>
      </c>
    </row>
    <row r="127" spans="1:3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978962.87437699991</v>
      </c>
      <c r="D127" s="6">
        <f>[1]Production!C9+[1]Production!C11+[1]Production!C13+[1]Production!C15+[1]Production!C17+[1]Production!C19+[1]Production!C21+[1]Production!C23+[1]Production!C25+[1]Production!C27+[1]Production!C41</f>
        <v>1001272.4583319998</v>
      </c>
      <c r="E127" s="6">
        <f>[1]Production!D9+[1]Production!D11+[1]Production!D13+[1]Production!D15+[1]Production!D17+[1]Production!D19+[1]Production!D21+[1]Production!D23+[1]Production!D25+[1]Production!D27+[1]Production!D41</f>
        <v>1026218.4386769999</v>
      </c>
      <c r="F127" s="6">
        <f>[1]Production!E9+[1]Production!E11+[1]Production!E13+[1]Production!E15+[1]Production!E17+[1]Production!E19+[1]Production!E21+[1]Production!E23+[1]Production!E25+[1]Production!E27+[1]Production!E41</f>
        <v>1052945.2139030001</v>
      </c>
      <c r="G127" s="6">
        <f>[1]Production!F9+[1]Production!F11+[1]Production!F13+[1]Production!F15+[1]Production!F17+[1]Production!F19+[1]Production!F21+[1]Production!F23+[1]Production!F25+[1]Production!F27+[1]Production!F41</f>
        <v>1081251.5170110001</v>
      </c>
      <c r="H127" s="6">
        <f>[1]Production!G9+[1]Production!G11+[1]Production!G13+[1]Production!G15+[1]Production!G17+[1]Production!G19+[1]Production!G21+[1]Production!G23+[1]Production!G25+[1]Production!G27+[1]Production!G41</f>
        <v>1110982.433529</v>
      </c>
      <c r="I127" s="6">
        <f>[1]Production!H9+[1]Production!H11+[1]Production!H13+[1]Production!H15+[1]Production!H17+[1]Production!H19+[1]Production!H21+[1]Production!H23+[1]Production!H25+[1]Production!H27+[1]Production!H41</f>
        <v>1141428.334644</v>
      </c>
      <c r="J127" s="6">
        <f>[1]Production!I9+[1]Production!I11+[1]Production!I13+[1]Production!I15+[1]Production!I17+[1]Production!I19+[1]Production!I21+[1]Production!I23+[1]Production!I25+[1]Production!I27+[1]Production!I41</f>
        <v>1172432.7488819996</v>
      </c>
      <c r="K127" s="6">
        <f>[1]Production!J9+[1]Production!J11+[1]Production!J13+[1]Production!J15+[1]Production!J17+[1]Production!J19+[1]Production!J21+[1]Production!J23+[1]Production!J25+[1]Production!J27+[1]Production!J41</f>
        <v>1204019.4018410002</v>
      </c>
      <c r="L127" s="6">
        <f>[1]Production!K9+[1]Production!K11+[1]Production!K13+[1]Production!K15+[1]Production!K17+[1]Production!K19+[1]Production!K21+[1]Production!K23+[1]Production!K25+[1]Production!K27+[1]Production!K41</f>
        <v>1236294.2311129998</v>
      </c>
      <c r="M127" s="6">
        <f>[1]Production!L9+[1]Production!L11+[1]Production!L13+[1]Production!L15+[1]Production!L17+[1]Production!L19+[1]Production!L21+[1]Production!L23+[1]Production!L25+[1]Production!L27+[1]Production!L41</f>
        <v>1268359.250975</v>
      </c>
      <c r="N127" s="6">
        <f>[1]Production!M9+[1]Production!M11+[1]Production!M13+[1]Production!M15+[1]Production!M17+[1]Production!M19+[1]Production!M21+[1]Production!M23+[1]Production!M25+[1]Production!M27+[1]Production!M41</f>
        <v>1295921.7155129998</v>
      </c>
      <c r="O127" s="6">
        <f>[1]Production!N9+[1]Production!N11+[1]Production!N13+[1]Production!N15+[1]Production!N17+[1]Production!N19+[1]Production!N21+[1]Production!N23+[1]Production!N25+[1]Production!N27+[1]Production!N41</f>
        <v>1320487.0712259999</v>
      </c>
      <c r="P127" s="6">
        <f>[1]Production!O9+[1]Production!O11+[1]Production!O13+[1]Production!O15+[1]Production!O17+[1]Production!O19+[1]Production!O21+[1]Production!O23+[1]Production!O25+[1]Production!O27+[1]Production!O41</f>
        <v>1343063.564213</v>
      </c>
      <c r="Q127" s="6">
        <f>[1]Production!P9+[1]Production!P11+[1]Production!P13+[1]Production!P15+[1]Production!P17+[1]Production!P19+[1]Production!P21+[1]Production!P23+[1]Production!P25+[1]Production!P27+[1]Production!P41</f>
        <v>1364719.3322490002</v>
      </c>
      <c r="R127" s="6">
        <f>[1]Production!Q9+[1]Production!Q11+[1]Production!Q13+[1]Production!Q15+[1]Production!Q17+[1]Production!Q19+[1]Production!Q21+[1]Production!Q23+[1]Production!Q25+[1]Production!Q27+[1]Production!Q41</f>
        <v>1386364.2886259998</v>
      </c>
      <c r="S127" s="6">
        <f>[1]Production!R9+[1]Production!R11+[1]Production!R13+[1]Production!R15+[1]Production!R17+[1]Production!R19+[1]Production!R21+[1]Production!R23+[1]Production!R25+[1]Production!R27+[1]Production!R41</f>
        <v>1409174.01623</v>
      </c>
      <c r="T127" s="6">
        <f>[1]Production!S9+[1]Production!S11+[1]Production!S13+[1]Production!S15+[1]Production!S17+[1]Production!S19+[1]Production!S21+[1]Production!S23+[1]Production!S25+[1]Production!S27+[1]Production!S41</f>
        <v>1433986.333259</v>
      </c>
      <c r="U127" s="6">
        <f>[1]Production!T9+[1]Production!T11+[1]Production!T13+[1]Production!T15+[1]Production!T17+[1]Production!T19+[1]Production!T21+[1]Production!T23+[1]Production!T25+[1]Production!T27+[1]Production!T41</f>
        <v>1461325.0436709998</v>
      </c>
      <c r="V127" s="6">
        <f>[1]Production!U9+[1]Production!U11+[1]Production!U13+[1]Production!U15+[1]Production!U17+[1]Production!U19+[1]Production!U21+[1]Production!U23+[1]Production!U25+[1]Production!U27+[1]Production!U41</f>
        <v>1491416.374963</v>
      </c>
      <c r="W127" s="6">
        <f>[1]Production!V9+[1]Production!V11+[1]Production!V13+[1]Production!V15+[1]Production!V17+[1]Production!V19+[1]Production!V21+[1]Production!V23+[1]Production!V25+[1]Production!V27+[1]Production!V41</f>
        <v>1524186.5637069999</v>
      </c>
      <c r="X127" s="6">
        <f>[1]Production!W9+[1]Production!W11+[1]Production!W13+[1]Production!W15+[1]Production!W17+[1]Production!W19+[1]Production!W21+[1]Production!W23+[1]Production!W25+[1]Production!W27+[1]Production!W41</f>
        <v>1560096.8363340001</v>
      </c>
      <c r="Y127" s="6">
        <f>[1]Production!X9+[1]Production!X11+[1]Production!X13+[1]Production!X15+[1]Production!X17+[1]Production!X19+[1]Production!X21+[1]Production!X23+[1]Production!X25+[1]Production!X27+[1]Production!X41</f>
        <v>1599364.2127940001</v>
      </c>
      <c r="Z127" s="6">
        <f>[1]Production!Y9+[1]Production!Y11+[1]Production!Y13+[1]Production!Y15+[1]Production!Y17+[1]Production!Y19+[1]Production!Y21+[1]Production!Y23+[1]Production!Y25+[1]Production!Y27+[1]Production!Y41</f>
        <v>1642087.4634320003</v>
      </c>
      <c r="AA127" s="6">
        <f>[1]Production!Z9+[1]Production!Z11+[1]Production!Z13+[1]Production!Z15+[1]Production!Z17+[1]Production!Z19+[1]Production!Z21+[1]Production!Z23+[1]Production!Z25+[1]Production!Z27+[1]Production!Z41</f>
        <v>1688163.2379639999</v>
      </c>
      <c r="AB127" s="6">
        <f>[1]Production!AA9+[1]Production!AA11+[1]Production!AA13+[1]Production!AA15+[1]Production!AA17+[1]Production!AA19+[1]Production!AA21+[1]Production!AA23+[1]Production!AA25+[1]Production!AA27+[1]Production!AA41</f>
        <v>1736742.6072489999</v>
      </c>
      <c r="AC127" s="6">
        <f>[1]Production!AB9+[1]Production!AB11+[1]Production!AB13+[1]Production!AB15+[1]Production!AB17+[1]Production!AB19+[1]Production!AB21+[1]Production!AB23+[1]Production!AB25+[1]Production!AB27+[1]Production!AB41</f>
        <v>1788411.164905</v>
      </c>
      <c r="AD127" s="6">
        <f>[1]Production!AC9+[1]Production!AC11+[1]Production!AC13+[1]Production!AC15+[1]Production!AC17+[1]Production!AC19+[1]Production!AC21+[1]Production!AC23+[1]Production!AC25+[1]Production!AC27+[1]Production!AC41</f>
        <v>1843360.1866930001</v>
      </c>
      <c r="AE127" s="6">
        <f>[1]Production!AD9+[1]Production!AD11+[1]Production!AD13+[1]Production!AD15+[1]Production!AD17+[1]Production!AD19+[1]Production!AD21+[1]Production!AD23+[1]Production!AD25+[1]Production!AD27+[1]Production!AD41</f>
        <v>1901601.582684</v>
      </c>
      <c r="AF127" s="6">
        <f>[1]Production!AE9+[1]Production!AE11+[1]Production!AE13+[1]Production!AE15+[1]Production!AE17+[1]Production!AE19+[1]Production!AE21+[1]Production!AE23+[1]Production!AE25+[1]Production!AE27+[1]Production!AE41</f>
        <v>1962662.628613</v>
      </c>
      <c r="AG127" s="6">
        <f>[1]Production!AF9+[1]Production!AF11+[1]Production!AF13+[1]Production!AF15+[1]Production!AF17+[1]Production!AF19+[1]Production!AF21+[1]Production!AF23+[1]Production!AF25+[1]Production!AF27+[1]Production!AF41</f>
        <v>2025885.0545030001</v>
      </c>
      <c r="AH127" s="6">
        <f>[1]Production!AG9+[1]Production!AG11+[1]Production!AG13+[1]Production!AG15+[1]Production!AG17+[1]Production!AG19+[1]Production!AG21+[1]Production!AG23+[1]Production!AG25+[1]Production!AG27+[1]Production!AG41</f>
        <v>2090739.5045110001</v>
      </c>
      <c r="AI127" s="6">
        <f>[1]Production!AH9+[1]Production!AH11+[1]Production!AH13+[1]Production!AH15+[1]Production!AH17+[1]Production!AH19+[1]Production!AH21+[1]Production!AH23+[1]Production!AH25+[1]Production!AH27+[1]Production!AH41</f>
        <v>2156847.3476129998</v>
      </c>
      <c r="AJ127" s="6">
        <f>[1]Production!AI9+[1]Production!AI11+[1]Production!AI13+[1]Production!AI15+[1]Production!AI17+[1]Production!AI19+[1]Production!AI21+[1]Production!AI23+[1]Production!AI25+[1]Production!AI27+[1]Production!AI41</f>
        <v>2223876.6712420005</v>
      </c>
      <c r="AK127" s="6">
        <f>[1]Production!AJ9+[1]Production!AJ11+[1]Production!AJ13+[1]Production!AJ15+[1]Production!AJ17+[1]Production!AJ19+[1]Production!AJ21+[1]Production!AJ23+[1]Production!AJ25+[1]Production!AJ27+[1]Production!AJ41</f>
        <v>2291504.211133</v>
      </c>
      <c r="AL127" s="6">
        <f>[1]Production!AK9+[1]Production!AK11+[1]Production!AK13+[1]Production!AK15+[1]Production!AK17+[1]Production!AK19+[1]Production!AK21+[1]Production!AK23+[1]Production!AK25+[1]Production!AK27+[1]Production!AK41</f>
        <v>2359397.1214620001</v>
      </c>
    </row>
    <row r="128" spans="1:38" x14ac:dyDescent="0.35">
      <c r="B128" t="s">
        <v>9</v>
      </c>
      <c r="C128" s="6">
        <f>[1]Production!B29+[1]Production!B31+[1]Production!B33+[1]Production!B35</f>
        <v>120923.387844</v>
      </c>
      <c r="D128" s="6">
        <f>[1]Production!C29+[1]Production!C31+[1]Production!C33+[1]Production!C35</f>
        <v>123477.214891</v>
      </c>
      <c r="E128" s="6">
        <f>[1]Production!D29+[1]Production!D31+[1]Production!D33+[1]Production!D35</f>
        <v>126217.50315800001</v>
      </c>
      <c r="F128" s="6">
        <f>[1]Production!E29+[1]Production!E31+[1]Production!E33+[1]Production!E35</f>
        <v>129086.525778</v>
      </c>
      <c r="G128" s="6">
        <f>[1]Production!F29+[1]Production!F31+[1]Production!F33+[1]Production!F35</f>
        <v>132124.14661400003</v>
      </c>
      <c r="H128" s="6">
        <f>[1]Production!G29+[1]Production!G31+[1]Production!G33+[1]Production!G35</f>
        <v>135336.22888800001</v>
      </c>
      <c r="I128" s="6">
        <f>[1]Production!H29+[1]Production!H31+[1]Production!H33+[1]Production!H35</f>
        <v>138628.52803799999</v>
      </c>
      <c r="J128" s="6">
        <f>[1]Production!I29+[1]Production!I31+[1]Production!I33+[1]Production!I35</f>
        <v>141968.70777099999</v>
      </c>
      <c r="K128" s="6">
        <f>[1]Production!J29+[1]Production!J31+[1]Production!J33+[1]Production!J35</f>
        <v>145341.79897100001</v>
      </c>
      <c r="L128" s="6">
        <f>[1]Production!K29+[1]Production!K31+[1]Production!K33+[1]Production!K35</f>
        <v>148746.956729</v>
      </c>
      <c r="M128" s="6">
        <f>[1]Production!L29+[1]Production!L31+[1]Production!L33+[1]Production!L35</f>
        <v>152074.324123</v>
      </c>
      <c r="N128" s="6">
        <f>[1]Production!M29+[1]Production!M31+[1]Production!M33+[1]Production!M35</f>
        <v>154777.783459</v>
      </c>
      <c r="O128" s="6">
        <f>[1]Production!N29+[1]Production!N31+[1]Production!N33+[1]Production!N35</f>
        <v>157057.49488099999</v>
      </c>
      <c r="P128" s="6">
        <f>[1]Production!O29+[1]Production!O31+[1]Production!O33+[1]Production!O35</f>
        <v>159035.235098</v>
      </c>
      <c r="Q128" s="6">
        <f>[1]Production!P29+[1]Production!P31+[1]Production!P33+[1]Production!P35</f>
        <v>160840.12847399997</v>
      </c>
      <c r="R128" s="6">
        <f>[1]Production!Q29+[1]Production!Q31+[1]Production!Q33+[1]Production!Q35</f>
        <v>162584.605866</v>
      </c>
      <c r="S128" s="6">
        <f>[1]Production!R29+[1]Production!R31+[1]Production!R33+[1]Production!R35</f>
        <v>164414.852831</v>
      </c>
      <c r="T128" s="6">
        <f>[1]Production!S29+[1]Production!S31+[1]Production!S33+[1]Production!S35</f>
        <v>166437.97837200001</v>
      </c>
      <c r="U128" s="6">
        <f>[1]Production!T29+[1]Production!T31+[1]Production!T33+[1]Production!T35</f>
        <v>168722.32143500002</v>
      </c>
      <c r="V128" s="6">
        <f>[1]Production!U29+[1]Production!U31+[1]Production!U33+[1]Production!U35</f>
        <v>171299.82655600001</v>
      </c>
      <c r="W128" s="6">
        <f>[1]Production!V29+[1]Production!V31+[1]Production!V33+[1]Production!V35</f>
        <v>174160.167005</v>
      </c>
      <c r="X128" s="6">
        <f>[1]Production!W29+[1]Production!W31+[1]Production!W33+[1]Production!W35</f>
        <v>177378.79787400001</v>
      </c>
      <c r="Y128" s="6">
        <f>[1]Production!X29+[1]Production!X31+[1]Production!X33+[1]Production!X35</f>
        <v>180975.95168500001</v>
      </c>
      <c r="Z128" s="6">
        <f>[1]Production!Y29+[1]Production!Y31+[1]Production!Y33+[1]Production!Y35</f>
        <v>184964.57016199999</v>
      </c>
      <c r="AA128" s="6">
        <f>[1]Production!Z29+[1]Production!Z31+[1]Production!Z33+[1]Production!Z35</f>
        <v>189334.45646999998</v>
      </c>
      <c r="AB128" s="6">
        <f>[1]Production!AA29+[1]Production!AA31+[1]Production!AA33+[1]Production!AA35</f>
        <v>193969.63787999999</v>
      </c>
      <c r="AC128" s="6">
        <f>[1]Production!AB29+[1]Production!AB31+[1]Production!AB33+[1]Production!AB35</f>
        <v>198980.72040000002</v>
      </c>
      <c r="AD128" s="6">
        <f>[1]Production!AC29+[1]Production!AC31+[1]Production!AC33+[1]Production!AC35</f>
        <v>204378.54846000002</v>
      </c>
      <c r="AE128" s="6">
        <f>[1]Production!AD29+[1]Production!AD31+[1]Production!AD33+[1]Production!AD35</f>
        <v>210160.64208000002</v>
      </c>
      <c r="AF128" s="6">
        <f>[1]Production!AE29+[1]Production!AE31+[1]Production!AE33+[1]Production!AE35</f>
        <v>216264.22707999998</v>
      </c>
      <c r="AG128" s="6">
        <f>[1]Production!AF29+[1]Production!AF31+[1]Production!AF33+[1]Production!AF35</f>
        <v>222603.20071</v>
      </c>
      <c r="AH128" s="6">
        <f>[1]Production!AG29+[1]Production!AG31+[1]Production!AG33+[1]Production!AG35</f>
        <v>229106.27481</v>
      </c>
      <c r="AI128" s="6">
        <f>[1]Production!AH29+[1]Production!AH31+[1]Production!AH33+[1]Production!AH35</f>
        <v>235719.61046</v>
      </c>
      <c r="AJ128" s="6">
        <f>[1]Production!AI29+[1]Production!AI31+[1]Production!AI33+[1]Production!AI35</f>
        <v>242394.97048000002</v>
      </c>
      <c r="AK128" s="6">
        <f>[1]Production!AJ29+[1]Production!AJ31+[1]Production!AJ33+[1]Production!AJ35</f>
        <v>249086.03268999999</v>
      </c>
      <c r="AL128" s="6">
        <f>[1]Production!AK29+[1]Production!AK31+[1]Production!AK33+[1]Production!AK35</f>
        <v>255746.88769999999</v>
      </c>
    </row>
    <row r="129" spans="1:38" x14ac:dyDescent="0.35">
      <c r="B129" t="s">
        <v>10</v>
      </c>
      <c r="C129" s="6">
        <f>[1]Production!B37+[1]Production!B39</f>
        <v>2557835.5054000001</v>
      </c>
      <c r="D129" s="6">
        <f>[1]Production!C37+[1]Production!C39</f>
        <v>2603423.9341000002</v>
      </c>
      <c r="E129" s="6">
        <f>[1]Production!D37+[1]Production!D39</f>
        <v>2656125.7501999997</v>
      </c>
      <c r="F129" s="6">
        <f>[1]Production!E37+[1]Production!E39</f>
        <v>2714294.9515</v>
      </c>
      <c r="G129" s="6">
        <f>[1]Production!F37+[1]Production!F39</f>
        <v>2776631.8494999995</v>
      </c>
      <c r="H129" s="6">
        <f>[1]Production!G37+[1]Production!G39</f>
        <v>2842590.4432000001</v>
      </c>
      <c r="I129" s="6">
        <f>[1]Production!H37+[1]Production!H39</f>
        <v>2909771.588</v>
      </c>
      <c r="J129" s="6">
        <f>[1]Production!I37+[1]Production!I39</f>
        <v>2978335.693</v>
      </c>
      <c r="K129" s="6">
        <f>[1]Production!J37+[1]Production!J39</f>
        <v>3048157.9083000002</v>
      </c>
      <c r="L129" s="6">
        <f>[1]Production!K37+[1]Production!K39</f>
        <v>3119285.5518000005</v>
      </c>
      <c r="M129" s="6">
        <f>[1]Production!L37+[1]Production!L39</f>
        <v>3191937.0641000001</v>
      </c>
      <c r="N129" s="6">
        <f>[1]Production!M37+[1]Production!M39</f>
        <v>3257180.3503</v>
      </c>
      <c r="O129" s="6">
        <f>[1]Production!N37+[1]Production!N39</f>
        <v>3316908.2672000001</v>
      </c>
      <c r="P129" s="6">
        <f>[1]Production!O37+[1]Production!O39</f>
        <v>3372092.6854999997</v>
      </c>
      <c r="Q129" s="6">
        <f>[1]Production!P37+[1]Production!P39</f>
        <v>3424071.4901000001</v>
      </c>
      <c r="R129" s="6">
        <f>[1]Production!Q37+[1]Production!Q39</f>
        <v>3474254.4791999999</v>
      </c>
      <c r="S129" s="6">
        <f>[1]Production!R37+[1]Production!R39</f>
        <v>3524847.1869999999</v>
      </c>
      <c r="T129" s="6">
        <f>[1]Production!S37+[1]Production!S39</f>
        <v>3577464.4824999999</v>
      </c>
      <c r="U129" s="6">
        <f>[1]Production!T37+[1]Production!T39</f>
        <v>3633243.3998000002</v>
      </c>
      <c r="V129" s="6">
        <f>[1]Production!U37+[1]Production!U39</f>
        <v>3692888.6399000003</v>
      </c>
      <c r="W129" s="6">
        <f>[1]Production!V37+[1]Production!V39</f>
        <v>3755504.7843000004</v>
      </c>
      <c r="X129" s="6">
        <f>[1]Production!W37+[1]Production!W39</f>
        <v>3824081.7828000002</v>
      </c>
      <c r="Y129" s="6">
        <f>[1]Production!X37+[1]Production!X39</f>
        <v>3898464.4595999997</v>
      </c>
      <c r="Z129" s="6">
        <f>[1]Production!Y37+[1]Production!Y39</f>
        <v>3979058.5636</v>
      </c>
      <c r="AA129" s="6">
        <f>[1]Production!Z37+[1]Production!Z39</f>
        <v>4065947.7357000001</v>
      </c>
      <c r="AB129" s="6">
        <f>[1]Production!AA37+[1]Production!AA39</f>
        <v>4154788.5541000003</v>
      </c>
      <c r="AC129" s="6">
        <f>[1]Production!AB37+[1]Production!AB39</f>
        <v>4250763.8508000001</v>
      </c>
      <c r="AD129" s="6">
        <f>[1]Production!AC37+[1]Production!AC39</f>
        <v>4353195.2136000004</v>
      </c>
      <c r="AE129" s="6">
        <f>[1]Production!AD37+[1]Production!AD39</f>
        <v>4462295.4368000003</v>
      </c>
      <c r="AF129" s="6">
        <f>[1]Production!AE37+[1]Production!AE39</f>
        <v>4577596.1036999999</v>
      </c>
      <c r="AG129" s="6">
        <f>[1]Production!AF37+[1]Production!AF39</f>
        <v>4698193.1535</v>
      </c>
      <c r="AH129" s="6">
        <f>[1]Production!AG37+[1]Production!AG39</f>
        <v>4823168.9041999998</v>
      </c>
      <c r="AI129" s="6">
        <f>[1]Production!AH37+[1]Production!AH39</f>
        <v>4951697.8339</v>
      </c>
      <c r="AJ129" s="6">
        <f>[1]Production!AI37+[1]Production!AI39</f>
        <v>5082967.5128000006</v>
      </c>
      <c r="AK129" s="6">
        <f>[1]Production!AJ37+[1]Production!AJ39</f>
        <v>5216153.6721999999</v>
      </c>
      <c r="AL129" s="6">
        <f>[1]Production!AK37+[1]Production!AK39</f>
        <v>5350409.4593000002</v>
      </c>
    </row>
    <row r="130" spans="1:38" x14ac:dyDescent="0.35">
      <c r="B130" t="s">
        <v>29</v>
      </c>
      <c r="C130" s="6">
        <f>[1]Production!B43+[1]Production!B47</f>
        <v>35749.017027300004</v>
      </c>
      <c r="D130" s="6">
        <f>[1]Production!C43+[1]Production!C47</f>
        <v>36074.133364099995</v>
      </c>
      <c r="E130" s="6">
        <f>[1]Production!D43+[1]Production!D47</f>
        <v>36410.565390600001</v>
      </c>
      <c r="F130" s="6">
        <f>[1]Production!E43+[1]Production!E47</f>
        <v>36773.030992499997</v>
      </c>
      <c r="G130" s="6">
        <f>[1]Production!F43+[1]Production!F47</f>
        <v>37249.154378599997</v>
      </c>
      <c r="H130" s="6">
        <f>[1]Production!G43+[1]Production!G47</f>
        <v>37825.600355200004</v>
      </c>
      <c r="I130" s="6">
        <f>[1]Production!H43+[1]Production!H47</f>
        <v>38451.757690600003</v>
      </c>
      <c r="J130" s="6">
        <f>[1]Production!I43+[1]Production!I47</f>
        <v>39096.040189600004</v>
      </c>
      <c r="K130" s="6">
        <f>[1]Production!J43+[1]Production!J47</f>
        <v>39748.420238599996</v>
      </c>
      <c r="L130" s="6">
        <f>[1]Production!K43+[1]Production!K47</f>
        <v>40406.237420700003</v>
      </c>
      <c r="M130" s="6">
        <f>[1]Production!L43+[1]Production!L47</f>
        <v>41049.005139000001</v>
      </c>
      <c r="N130" s="6">
        <f>[1]Production!M43+[1]Production!M47</f>
        <v>41582.015196299995</v>
      </c>
      <c r="O130" s="6">
        <f>[1]Production!N43+[1]Production!N47</f>
        <v>42030.1965624</v>
      </c>
      <c r="P130" s="6">
        <f>[1]Production!O43+[1]Production!O47</f>
        <v>42415.215401199996</v>
      </c>
      <c r="Q130" s="6">
        <f>[1]Production!P43+[1]Production!P47</f>
        <v>42759.895099599999</v>
      </c>
      <c r="R130" s="6">
        <f>[1]Production!Q43+[1]Production!Q47</f>
        <v>43084.212745299999</v>
      </c>
      <c r="S130" s="6">
        <f>[1]Production!R43+[1]Production!R47</f>
        <v>43429.353324399999</v>
      </c>
      <c r="T130" s="6">
        <f>[1]Production!S43+[1]Production!S47</f>
        <v>43819.835137200003</v>
      </c>
      <c r="U130" s="6">
        <f>[1]Production!T43+[1]Production!T47</f>
        <v>44267.577149500001</v>
      </c>
      <c r="V130" s="6">
        <f>[1]Production!U43+[1]Production!U47</f>
        <v>44775.700328200001</v>
      </c>
      <c r="W130" s="6">
        <f>[1]Production!V43+[1]Production!V47</f>
        <v>45340.859258700002</v>
      </c>
      <c r="X130" s="6">
        <f>[1]Production!W43+[1]Production!W47</f>
        <v>45971.134924400001</v>
      </c>
      <c r="Y130" s="6">
        <f>[1]Production!X43+[1]Production!X47</f>
        <v>46670.073480200001</v>
      </c>
      <c r="Z130" s="6">
        <f>[1]Production!Y43+[1]Production!Y47</f>
        <v>47440.040197399998</v>
      </c>
      <c r="AA130" s="6">
        <f>[1]Production!Z43+[1]Production!Z47</f>
        <v>48280.188131399998</v>
      </c>
      <c r="AB130" s="6">
        <f>[1]Production!AA43+[1]Production!AA47</f>
        <v>49176.219928399994</v>
      </c>
      <c r="AC130" s="6">
        <f>[1]Production!AB43+[1]Production!AB47</f>
        <v>50142.550763600004</v>
      </c>
      <c r="AD130" s="6">
        <f>[1]Production!AC43+[1]Production!AC47</f>
        <v>51184.909129899999</v>
      </c>
      <c r="AE130" s="6">
        <f>[1]Production!AD43+[1]Production!AD47</f>
        <v>52304.731470800005</v>
      </c>
      <c r="AF130" s="6">
        <f>[1]Production!AE43+[1]Production!AE47</f>
        <v>53492.4286259</v>
      </c>
      <c r="AG130" s="6">
        <f>[1]Production!AF43+[1]Production!AF47</f>
        <v>54733.257528299997</v>
      </c>
      <c r="AH130" s="6">
        <f>[1]Production!AG43+[1]Production!AG47</f>
        <v>56014.160965499999</v>
      </c>
      <c r="AI130" s="6">
        <f>[1]Production!AH43+[1]Production!AH47</f>
        <v>57324.509408000005</v>
      </c>
      <c r="AJ130" s="6">
        <f>[1]Production!AI43+[1]Production!AI47</f>
        <v>58654.264575000001</v>
      </c>
      <c r="AK130" s="6">
        <f>[1]Production!AJ43+[1]Production!AJ47</f>
        <v>59993.277419500002</v>
      </c>
      <c r="AL130" s="6">
        <f>[1]Production!AK43+[1]Production!AK47</f>
        <v>61330.979686999999</v>
      </c>
    </row>
    <row r="131" spans="1:38" x14ac:dyDescent="0.35">
      <c r="B131" t="s">
        <v>36</v>
      </c>
      <c r="C131" s="6">
        <f>[1]Production!B45+[1]Production!B49</f>
        <v>4478.0093015000002</v>
      </c>
      <c r="D131" s="6">
        <f>[1]Production!C45+[1]Production!C49</f>
        <v>4498.6648206999998</v>
      </c>
      <c r="E131" s="6">
        <f>[1]Production!D45+[1]Production!D49</f>
        <v>4518.8857637000001</v>
      </c>
      <c r="F131" s="6">
        <f>[1]Production!E45+[1]Production!E49</f>
        <v>4543.5297270999999</v>
      </c>
      <c r="G131" s="6">
        <f>[1]Production!F45+[1]Production!F49</f>
        <v>4583.9276468999997</v>
      </c>
      <c r="H131" s="6">
        <f>[1]Production!G45+[1]Production!G49</f>
        <v>4637.9847730000001</v>
      </c>
      <c r="I131" s="6">
        <f>[1]Production!H45+[1]Production!H49</f>
        <v>4698.3059080000003</v>
      </c>
      <c r="J131" s="6">
        <f>[1]Production!I45+[1]Production!I49</f>
        <v>4761.4240074999998</v>
      </c>
      <c r="K131" s="6">
        <f>[1]Production!J45+[1]Production!J49</f>
        <v>4825.9765625</v>
      </c>
      <c r="L131" s="6">
        <f>[1]Production!K45+[1]Production!K49</f>
        <v>4891.3619679000003</v>
      </c>
      <c r="M131" s="6">
        <f>[1]Production!L45+[1]Production!L49</f>
        <v>4956.2745869999999</v>
      </c>
      <c r="N131" s="6">
        <f>[1]Production!M45+[1]Production!M49</f>
        <v>5013.5138275999998</v>
      </c>
      <c r="O131" s="6">
        <f>[1]Production!N45+[1]Production!N49</f>
        <v>5063.8589581000006</v>
      </c>
      <c r="P131" s="6">
        <f>[1]Production!O45+[1]Production!O49</f>
        <v>5108.4042104</v>
      </c>
      <c r="Q131" s="6">
        <f>[1]Production!P45+[1]Production!P49</f>
        <v>5148.5477251000002</v>
      </c>
      <c r="R131" s="6">
        <f>[1]Production!Q45+[1]Production!Q49</f>
        <v>5185.6992197</v>
      </c>
      <c r="S131" s="6">
        <f>[1]Production!R45+[1]Production!R49</f>
        <v>5224.3534804999999</v>
      </c>
      <c r="T131" s="6">
        <f>[1]Production!S45+[1]Production!S49</f>
        <v>5266.3772515999999</v>
      </c>
      <c r="U131" s="6">
        <f>[1]Production!T45+[1]Production!T49</f>
        <v>5312.7886194999992</v>
      </c>
      <c r="V131" s="6">
        <f>[1]Production!U45+[1]Production!U49</f>
        <v>5363.9108563999998</v>
      </c>
      <c r="W131" s="6">
        <f>[1]Production!V45+[1]Production!V49</f>
        <v>5419.3551754999999</v>
      </c>
      <c r="X131" s="6">
        <f>[1]Production!W45+[1]Production!W49</f>
        <v>5480.0073535000001</v>
      </c>
      <c r="Y131" s="6">
        <f>[1]Production!X45+[1]Production!X49</f>
        <v>5546.2291999000008</v>
      </c>
      <c r="Z131" s="6">
        <f>[1]Production!Y45+[1]Production!Y49</f>
        <v>5618.3444671999996</v>
      </c>
      <c r="AA131" s="6">
        <f>[1]Production!Z45+[1]Production!Z49</f>
        <v>5696.4751238999997</v>
      </c>
      <c r="AB131" s="6">
        <f>[1]Production!AA45+[1]Production!AA49</f>
        <v>5779.1658355</v>
      </c>
      <c r="AC131" s="6">
        <f>[1]Production!AB45+[1]Production!AB49</f>
        <v>5867.9285620000001</v>
      </c>
      <c r="AD131" s="6">
        <f>[1]Production!AC45+[1]Production!AC49</f>
        <v>5963.2773697000002</v>
      </c>
      <c r="AE131" s="6">
        <f>[1]Production!AD45+[1]Production!AD49</f>
        <v>6065.4490384999999</v>
      </c>
      <c r="AF131" s="6">
        <f>[1]Production!AE45+[1]Production!AE49</f>
        <v>6173.9001497999998</v>
      </c>
      <c r="AG131" s="6">
        <f>[1]Production!AF45+[1]Production!AF49</f>
        <v>6287.6151414999995</v>
      </c>
      <c r="AH131" s="6">
        <f>[1]Production!AG45+[1]Production!AG49</f>
        <v>6405.5431405999998</v>
      </c>
      <c r="AI131" s="6">
        <f>[1]Production!AH45+[1]Production!AH49</f>
        <v>6526.6936349000007</v>
      </c>
      <c r="AJ131" s="6">
        <f>[1]Production!AI45+[1]Production!AI49</f>
        <v>6650.0580658999997</v>
      </c>
      <c r="AK131" s="6">
        <f>[1]Production!AJ45+[1]Production!AJ49</f>
        <v>6774.5766492000002</v>
      </c>
      <c r="AL131" s="6">
        <f>[1]Production!AK45+[1]Production!AK49</f>
        <v>6899.1348816999998</v>
      </c>
    </row>
    <row r="132" spans="1:3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67914.131361499996</v>
      </c>
      <c r="D132" s="6">
        <f>[1]Production!C51+[1]Production!C53+[1]Production!C55+[1]Production!C57+[1]Production!C59+[1]Production!C61+[1]Production!C63+[1]Production!C65+[1]Production!C67</f>
        <v>68968.115519999992</v>
      </c>
      <c r="E132" s="6">
        <f>[1]Production!D51+[1]Production!D53+[1]Production!D55+[1]Production!D57+[1]Production!D59+[1]Production!D61+[1]Production!D63+[1]Production!D65+[1]Production!D67</f>
        <v>70005.589038900012</v>
      </c>
      <c r="F132" s="6">
        <f>[1]Production!E51+[1]Production!E53+[1]Production!E55+[1]Production!E57+[1]Production!E59+[1]Production!E61+[1]Production!E63+[1]Production!E65+[1]Production!E67</f>
        <v>71142.406336799992</v>
      </c>
      <c r="G132" s="6">
        <f>[1]Production!F51+[1]Production!F53+[1]Production!F55+[1]Production!F57+[1]Production!F59+[1]Production!F61+[1]Production!F63+[1]Production!F65+[1]Production!F67</f>
        <v>72200.960144700002</v>
      </c>
      <c r="H132" s="6">
        <f>[1]Production!G51+[1]Production!G53+[1]Production!G55+[1]Production!G57+[1]Production!G59+[1]Production!G61+[1]Production!G63+[1]Production!G65+[1]Production!G67</f>
        <v>73280.733302699999</v>
      </c>
      <c r="I132" s="6">
        <f>[1]Production!H51+[1]Production!H53+[1]Production!H55+[1]Production!H57+[1]Production!H59+[1]Production!H61+[1]Production!H63+[1]Production!H65+[1]Production!H67</f>
        <v>74412.983348500013</v>
      </c>
      <c r="J132" s="6">
        <f>[1]Production!I51+[1]Production!I53+[1]Production!I55+[1]Production!I57+[1]Production!I59+[1]Production!I61+[1]Production!I63+[1]Production!I65+[1]Production!I67</f>
        <v>75600.065966699985</v>
      </c>
      <c r="K132" s="6">
        <f>[1]Production!J51+[1]Production!J53+[1]Production!J55+[1]Production!J57+[1]Production!J59+[1]Production!J61+[1]Production!J63+[1]Production!J65+[1]Production!J67</f>
        <v>76817.066897500001</v>
      </c>
      <c r="L132" s="6">
        <f>[1]Production!K51+[1]Production!K53+[1]Production!K55+[1]Production!K57+[1]Production!K59+[1]Production!K61+[1]Production!K63+[1]Production!K65+[1]Production!K67</f>
        <v>78050.684894599995</v>
      </c>
      <c r="M132" s="6">
        <f>[1]Production!L51+[1]Production!L53+[1]Production!L55+[1]Production!L57+[1]Production!L59+[1]Production!L61+[1]Production!L63+[1]Production!L65+[1]Production!L67</f>
        <v>79275.058407399993</v>
      </c>
      <c r="N132" s="6">
        <f>[1]Production!M51+[1]Production!M53+[1]Production!M55+[1]Production!M57+[1]Production!M59+[1]Production!M61+[1]Production!M63+[1]Production!M65+[1]Production!M67</f>
        <v>80278.521508000005</v>
      </c>
      <c r="O132" s="6">
        <f>[1]Production!N51+[1]Production!N53+[1]Production!N55+[1]Production!N57+[1]Production!N59+[1]Production!N61+[1]Production!N63+[1]Production!N65+[1]Production!N67</f>
        <v>81097.252540100002</v>
      </c>
      <c r="P132" s="6">
        <f>[1]Production!O51+[1]Production!O53+[1]Production!O55+[1]Production!O57+[1]Production!O59+[1]Production!O61+[1]Production!O63+[1]Production!O65+[1]Production!O67</f>
        <v>81772.6720203</v>
      </c>
      <c r="Q132" s="6">
        <f>[1]Production!P51+[1]Production!P53+[1]Production!P55+[1]Production!P57+[1]Production!P59+[1]Production!P61+[1]Production!P63+[1]Production!P65+[1]Production!P67</f>
        <v>82356.223936499999</v>
      </c>
      <c r="R132" s="6">
        <f>[1]Production!Q51+[1]Production!Q53+[1]Production!Q55+[1]Production!Q57+[1]Production!Q59+[1]Production!Q61+[1]Production!Q63+[1]Production!Q65+[1]Production!Q67</f>
        <v>82898.256385699991</v>
      </c>
      <c r="S132" s="6">
        <f>[1]Production!R51+[1]Production!R53+[1]Production!R55+[1]Production!R57+[1]Production!R59+[1]Production!R61+[1]Production!R63+[1]Production!R65+[1]Production!R67</f>
        <v>83426.080672499986</v>
      </c>
      <c r="T132" s="6">
        <f>[1]Production!S51+[1]Production!S53+[1]Production!S55+[1]Production!S57+[1]Production!S59+[1]Production!S61+[1]Production!S63+[1]Production!S65+[1]Production!S67</f>
        <v>83997.345517599999</v>
      </c>
      <c r="U132" s="6">
        <f>[1]Production!T51+[1]Production!T53+[1]Production!T55+[1]Production!T57+[1]Production!T59+[1]Production!T61+[1]Production!T63+[1]Production!T65+[1]Production!T67</f>
        <v>84658.299032199982</v>
      </c>
      <c r="V132" s="6">
        <f>[1]Production!U51+[1]Production!U53+[1]Production!U55+[1]Production!U57+[1]Production!U59+[1]Production!U61+[1]Production!U63+[1]Production!U65+[1]Production!U67</f>
        <v>85435.519955800002</v>
      </c>
      <c r="W132" s="6">
        <f>[1]Production!V51+[1]Production!V53+[1]Production!V55+[1]Production!V57+[1]Production!V59+[1]Production!V61+[1]Production!V63+[1]Production!V65+[1]Production!V67</f>
        <v>86326.71703130001</v>
      </c>
      <c r="X132" s="6">
        <f>[1]Production!W51+[1]Production!W53+[1]Production!W55+[1]Production!W57+[1]Production!W59+[1]Production!W61+[1]Production!W63+[1]Production!W65+[1]Production!W67</f>
        <v>87380.051008799986</v>
      </c>
      <c r="Y132" s="6">
        <f>[1]Production!X51+[1]Production!X53+[1]Production!X55+[1]Production!X57+[1]Production!X59+[1]Production!X61+[1]Production!X63+[1]Production!X65+[1]Production!X67</f>
        <v>88604.747928299999</v>
      </c>
      <c r="Z132" s="6">
        <f>[1]Production!Y51+[1]Production!Y53+[1]Production!Y55+[1]Production!Y57+[1]Production!Y59+[1]Production!Y61+[1]Production!Y63+[1]Production!Y65+[1]Production!Y67</f>
        <v>90007.142844800008</v>
      </c>
      <c r="AA132" s="6">
        <f>[1]Production!Z51+[1]Production!Z53+[1]Production!Z55+[1]Production!Z57+[1]Production!Z59+[1]Production!Z61+[1]Production!Z63+[1]Production!Z65+[1]Production!Z67</f>
        <v>91587.351462200008</v>
      </c>
      <c r="AB132" s="6">
        <f>[1]Production!AA51+[1]Production!AA53+[1]Production!AA55+[1]Production!AA57+[1]Production!AA59+[1]Production!AA61+[1]Production!AA63+[1]Production!AA65+[1]Production!AA67</f>
        <v>93282.137378199986</v>
      </c>
      <c r="AC132" s="6">
        <f>[1]Production!AB51+[1]Production!AB53+[1]Production!AB55+[1]Production!AB57+[1]Production!AB59+[1]Production!AB61+[1]Production!AB63+[1]Production!AB65+[1]Production!AB67</f>
        <v>95157.283682000023</v>
      </c>
      <c r="AD132" s="6">
        <f>[1]Production!AC51+[1]Production!AC53+[1]Production!AC55+[1]Production!AC57+[1]Production!AC59+[1]Production!AC61+[1]Production!AC63+[1]Production!AC65+[1]Production!AC67</f>
        <v>97214.147722499998</v>
      </c>
      <c r="AE132" s="6">
        <f>[1]Production!AD51+[1]Production!AD53+[1]Production!AD55+[1]Production!AD57+[1]Production!AD59+[1]Production!AD61+[1]Production!AD63+[1]Production!AD65+[1]Production!AD67</f>
        <v>99447.812706699988</v>
      </c>
      <c r="AF132" s="6">
        <f>[1]Production!AE51+[1]Production!AE53+[1]Production!AE55+[1]Production!AE57+[1]Production!AE59+[1]Production!AE61+[1]Production!AE63+[1]Production!AE65+[1]Production!AE67</f>
        <v>101831.1114641</v>
      </c>
      <c r="AG132" s="6">
        <f>[1]Production!AF51+[1]Production!AF53+[1]Production!AF55+[1]Production!AF57+[1]Production!AF59+[1]Production!AF61+[1]Production!AF63+[1]Production!AF65+[1]Production!AF67</f>
        <v>104326.2928618</v>
      </c>
      <c r="AH132" s="6">
        <f>[1]Production!AG51+[1]Production!AG53+[1]Production!AG55+[1]Production!AG57+[1]Production!AG59+[1]Production!AG61+[1]Production!AG63+[1]Production!AG65+[1]Production!AG67</f>
        <v>106898.3694038</v>
      </c>
      <c r="AI132" s="6">
        <f>[1]Production!AH51+[1]Production!AH53+[1]Production!AH55+[1]Production!AH57+[1]Production!AH59+[1]Production!AH61+[1]Production!AH63+[1]Production!AH65+[1]Production!AH67</f>
        <v>109518.1800697</v>
      </c>
      <c r="AJ132" s="6">
        <f>[1]Production!AI51+[1]Production!AI53+[1]Production!AI55+[1]Production!AI57+[1]Production!AI59+[1]Production!AI61+[1]Production!AI63+[1]Production!AI65+[1]Production!AI67</f>
        <v>112159.7187478</v>
      </c>
      <c r="AK132" s="6">
        <f>[1]Production!AJ51+[1]Production!AJ53+[1]Production!AJ55+[1]Production!AJ57+[1]Production!AJ59+[1]Production!AJ61+[1]Production!AJ63+[1]Production!AJ65+[1]Production!AJ67</f>
        <v>114798.9068905</v>
      </c>
      <c r="AL132" s="6">
        <f>[1]Production!AK51+[1]Production!AK53+[1]Production!AK55+[1]Production!AK57+[1]Production!AK59+[1]Production!AK61+[1]Production!AK63+[1]Production!AK65+[1]Production!AK67</f>
        <v>117413.14385719998</v>
      </c>
    </row>
    <row r="133" spans="1:3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5">
      <c r="C134" s="2"/>
    </row>
    <row r="135" spans="1:3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</row>
    <row r="136" spans="1:38" x14ac:dyDescent="0.35">
      <c r="A136" t="s">
        <v>39</v>
      </c>
      <c r="B136" t="s">
        <v>27</v>
      </c>
      <c r="C136" s="6">
        <f>[1]Production!B2</f>
        <v>3854147.423</v>
      </c>
      <c r="D136" s="6">
        <f>[1]Production!C2</f>
        <v>3927337.4589999998</v>
      </c>
      <c r="E136" s="6">
        <f>[1]Production!D2</f>
        <v>4010722.3360000001</v>
      </c>
      <c r="F136" s="6">
        <f>[1]Production!E2</f>
        <v>4101858.5010000002</v>
      </c>
      <c r="G136" s="6">
        <f>[1]Production!F2</f>
        <v>4199189.9859999996</v>
      </c>
      <c r="H136" s="6">
        <f>[1]Production!G2</f>
        <v>4302073.5089999996</v>
      </c>
      <c r="I136" s="6">
        <f>[1]Production!H2</f>
        <v>4407189.8020000001</v>
      </c>
      <c r="J136" s="6">
        <f>[1]Production!I2</f>
        <v>4504009.9780000001</v>
      </c>
      <c r="K136" s="6">
        <f>[1]Production!J2</f>
        <v>4601592.9519999996</v>
      </c>
      <c r="L136" s="6">
        <f>[1]Production!K2</f>
        <v>4719279.9910000004</v>
      </c>
      <c r="M136" s="6">
        <f>[1]Production!L2</f>
        <v>4840709.5990000004</v>
      </c>
      <c r="N136" s="6">
        <f>[1]Production!M2</f>
        <v>4948046.6459999997</v>
      </c>
      <c r="O136" s="6">
        <f>[1]Production!N2</f>
        <v>5044055.2369999997</v>
      </c>
      <c r="P136" s="6">
        <f>[1]Production!O2</f>
        <v>5131810.67</v>
      </c>
      <c r="Q136" s="6">
        <f>[1]Production!P2</f>
        <v>5215457.085</v>
      </c>
      <c r="R136" s="6">
        <f>[1]Production!Q2</f>
        <v>5297784.2609999999</v>
      </c>
      <c r="S136" s="6">
        <f>[1]Production!R2</f>
        <v>5380628.5949999997</v>
      </c>
      <c r="T136" s="6">
        <f>[1]Production!S2</f>
        <v>5466930.3499999996</v>
      </c>
      <c r="U136" s="6">
        <f>[1]Production!T2</f>
        <v>5558772.5899999999</v>
      </c>
      <c r="V136" s="6">
        <f>[1]Production!U2</f>
        <v>5657570.8210000005</v>
      </c>
      <c r="W136" s="6">
        <f>[1]Production!V2</f>
        <v>5762713.665</v>
      </c>
      <c r="X136" s="6">
        <f>[1]Production!W2</f>
        <v>5878230.4040000001</v>
      </c>
      <c r="Y136" s="6">
        <f>[1]Production!X2</f>
        <v>6004611.6469999999</v>
      </c>
      <c r="Z136" s="6">
        <f>[1]Production!Y2</f>
        <v>6142770.5219999999</v>
      </c>
      <c r="AA136" s="6">
        <f>[1]Production!Z2</f>
        <v>6293085.1960000005</v>
      </c>
      <c r="AB136" s="6">
        <f>[1]Production!AA2</f>
        <v>6450413.3770000003</v>
      </c>
      <c r="AC136" s="6">
        <f>[1]Production!AB2</f>
        <v>6621530.0640000002</v>
      </c>
      <c r="AD136" s="6">
        <f>[1]Production!AC2</f>
        <v>6806436.5439999998</v>
      </c>
      <c r="AE136" s="6">
        <f>[1]Production!AD2</f>
        <v>7005982.1320000002</v>
      </c>
      <c r="AF136" s="6">
        <f>[1]Production!AE2</f>
        <v>7219842.9800000004</v>
      </c>
      <c r="AG136" s="6">
        <f>[1]Production!AF2</f>
        <v>7447069.9910000004</v>
      </c>
      <c r="AH136" s="6">
        <f>[1]Production!AG2</f>
        <v>7686940.0250000004</v>
      </c>
      <c r="AI136" s="6">
        <f>[1]Production!AH2</f>
        <v>7939162.1509999996</v>
      </c>
      <c r="AJ136" s="6">
        <f>[1]Production!AI2</f>
        <v>8203698.9280000003</v>
      </c>
      <c r="AK136" s="6">
        <f>[1]Production!AJ2</f>
        <v>8480806.3910000008</v>
      </c>
      <c r="AL136" s="6">
        <f>[1]Production!AK2</f>
        <v>8771109.7469999995</v>
      </c>
    </row>
    <row r="137" spans="1:38" x14ac:dyDescent="0.35">
      <c r="B137" t="s">
        <v>7</v>
      </c>
      <c r="C137" s="6">
        <f>[1]Production!B4+[1]Production!B6</f>
        <v>88284.497585000005</v>
      </c>
      <c r="D137" s="6">
        <f>[1]Production!C4+[1]Production!C6</f>
        <v>89622.937145000004</v>
      </c>
      <c r="E137" s="6">
        <f>[1]Production!D4+[1]Production!D6</f>
        <v>91225.603608000005</v>
      </c>
      <c r="F137" s="6">
        <f>[1]Production!E4+[1]Production!E6</f>
        <v>93072.84173700001</v>
      </c>
      <c r="G137" s="6">
        <f>[1]Production!F4+[1]Production!F6</f>
        <v>95148.430766000005</v>
      </c>
      <c r="H137" s="6">
        <f>[1]Production!G4+[1]Production!G6</f>
        <v>97420.08481</v>
      </c>
      <c r="I137" s="6">
        <f>[1]Production!H4+[1]Production!H6</f>
        <v>99798.304369999998</v>
      </c>
      <c r="J137" s="6">
        <f>[1]Production!I4+[1]Production!I6</f>
        <v>101774.847697</v>
      </c>
      <c r="K137" s="6">
        <f>[1]Production!J4+[1]Production!J6</f>
        <v>103712.20830900001</v>
      </c>
      <c r="L137" s="6">
        <f>[1]Production!K4+[1]Production!K6</f>
        <v>106108.929336</v>
      </c>
      <c r="M137" s="6">
        <f>[1]Production!L4+[1]Production!L6</f>
        <v>108522.48394999999</v>
      </c>
      <c r="N137" s="6">
        <f>[1]Production!M4+[1]Production!M6</f>
        <v>110582.31932499999</v>
      </c>
      <c r="O137" s="6">
        <f>[1]Production!N4+[1]Production!N6</f>
        <v>112343.17803600001</v>
      </c>
      <c r="P137" s="6">
        <f>[1]Production!O4+[1]Production!O6</f>
        <v>113880.563625</v>
      </c>
      <c r="Q137" s="6">
        <f>[1]Production!P4+[1]Production!P6</f>
        <v>115291.649021</v>
      </c>
      <c r="R137" s="6">
        <f>[1]Production!Q4+[1]Production!Q6</f>
        <v>116640.072044</v>
      </c>
      <c r="S137" s="6">
        <f>[1]Production!R4+[1]Production!R6</f>
        <v>117983.015409</v>
      </c>
      <c r="T137" s="6">
        <f>[1]Production!S4+[1]Production!S6</f>
        <v>119375.29855899999</v>
      </c>
      <c r="U137" s="6">
        <f>[1]Production!T4+[1]Production!T6</f>
        <v>120870.03739500001</v>
      </c>
      <c r="V137" s="6">
        <f>[1]Production!U4+[1]Production!U6</f>
        <v>122505.025305</v>
      </c>
      <c r="W137" s="6">
        <f>[1]Production!V4+[1]Production!V6</f>
        <v>124285.55400399999</v>
      </c>
      <c r="X137" s="6">
        <f>[1]Production!W4+[1]Production!W6</f>
        <v>126275.142573</v>
      </c>
      <c r="Y137" s="6">
        <f>[1]Production!X4+[1]Production!X6</f>
        <v>128505.60400200001</v>
      </c>
      <c r="Z137" s="6">
        <f>[1]Production!Y4+[1]Production!Y6</f>
        <v>130998.78438</v>
      </c>
      <c r="AA137" s="6">
        <f>[1]Production!Z4+[1]Production!Z6</f>
        <v>133761.766408</v>
      </c>
      <c r="AB137" s="6">
        <f>[1]Production!AA4+[1]Production!AA6</f>
        <v>136719.03233399999</v>
      </c>
      <c r="AC137" s="6">
        <f>[1]Production!AB4+[1]Production!AB6</f>
        <v>139925.26510800002</v>
      </c>
      <c r="AD137" s="6">
        <f>[1]Production!AC4+[1]Production!AC6</f>
        <v>143428.51717000001</v>
      </c>
      <c r="AE137" s="6">
        <f>[1]Production!AD4+[1]Production!AD6</f>
        <v>147246.76999299999</v>
      </c>
      <c r="AF137" s="6">
        <f>[1]Production!AE4+[1]Production!AE6</f>
        <v>151364.45345100001</v>
      </c>
      <c r="AG137" s="6">
        <f>[1]Production!AF4+[1]Production!AF6</f>
        <v>155746.74797299999</v>
      </c>
      <c r="AH137" s="6">
        <f>[1]Production!AG4+[1]Production!AG6</f>
        <v>160359.80368499999</v>
      </c>
      <c r="AI137" s="6">
        <f>[1]Production!AH4+[1]Production!AH6</f>
        <v>165175.38355899998</v>
      </c>
      <c r="AJ137" s="6">
        <f>[1]Production!AI4+[1]Production!AI6</f>
        <v>170166.416233</v>
      </c>
      <c r="AK137" s="6">
        <f>[1]Production!AJ4+[1]Production!AJ6</f>
        <v>175306.09814800002</v>
      </c>
      <c r="AL137" s="6">
        <f>[1]Production!AK4+[1]Production!AK6</f>
        <v>180567.112498</v>
      </c>
    </row>
    <row r="138" spans="1:3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978962.87437899993</v>
      </c>
      <c r="D138" s="6">
        <f>[1]Production!C8+[1]Production!C10+[1]Production!C12+[1]Production!C14+[1]Production!C16+[1]Production!C18+[1]Production!C20+[1]Production!C22+[1]Production!C24+[1]Production!C26+[1]Production!C40</f>
        <v>1001272.458324</v>
      </c>
      <c r="E138" s="6">
        <f>[1]Production!D8+[1]Production!D10+[1]Production!D12+[1]Production!D14+[1]Production!D16+[1]Production!D18+[1]Production!D20+[1]Production!D22+[1]Production!D24+[1]Production!D26+[1]Production!D40</f>
        <v>1026218.4386479999</v>
      </c>
      <c r="F138" s="6">
        <f>[1]Production!E8+[1]Production!E10+[1]Production!E12+[1]Production!E14+[1]Production!E16+[1]Production!E18+[1]Production!E20+[1]Production!E22+[1]Production!E24+[1]Production!E26+[1]Production!E40</f>
        <v>1052945.213953</v>
      </c>
      <c r="G138" s="6">
        <f>[1]Production!F8+[1]Production!F10+[1]Production!F12+[1]Production!F14+[1]Production!F16+[1]Production!F18+[1]Production!F20+[1]Production!F22+[1]Production!F24+[1]Production!F26+[1]Production!F40</f>
        <v>1081251.5169309999</v>
      </c>
      <c r="H138" s="6">
        <f>[1]Production!G8+[1]Production!G10+[1]Production!G12+[1]Production!G14+[1]Production!G16+[1]Production!G18+[1]Production!G20+[1]Production!G22+[1]Production!G24+[1]Production!G26+[1]Production!G40</f>
        <v>1110982.4334089998</v>
      </c>
      <c r="I138" s="6">
        <f>[1]Production!H8+[1]Production!H10+[1]Production!H12+[1]Production!H14+[1]Production!H16+[1]Production!H18+[1]Production!H20+[1]Production!H22+[1]Production!H24+[1]Production!H26+[1]Production!H40</f>
        <v>1141428.334454</v>
      </c>
      <c r="J138" s="6">
        <f>[1]Production!I8+[1]Production!I10+[1]Production!I12+[1]Production!I14+[1]Production!I16+[1]Production!I18+[1]Production!I20+[1]Production!I22+[1]Production!I24+[1]Production!I26+[1]Production!I40</f>
        <v>1166495.7706780001</v>
      </c>
      <c r="K138" s="6">
        <f>[1]Production!J8+[1]Production!J10+[1]Production!J12+[1]Production!J14+[1]Production!J16+[1]Production!J18+[1]Production!J20+[1]Production!J22+[1]Production!J24+[1]Production!J26+[1]Production!J40</f>
        <v>1191778.603774</v>
      </c>
      <c r="L138" s="6">
        <f>[1]Production!K8+[1]Production!K10+[1]Production!K12+[1]Production!K14+[1]Production!K16+[1]Production!K18+[1]Production!K20+[1]Production!K22+[1]Production!K24+[1]Production!K26+[1]Production!K40</f>
        <v>1224511.6061150001</v>
      </c>
      <c r="M138" s="6">
        <f>[1]Production!L8+[1]Production!L10+[1]Production!L12+[1]Production!L14+[1]Production!L16+[1]Production!L18+[1]Production!L20+[1]Production!L22+[1]Production!L24+[1]Production!L26+[1]Production!L40</f>
        <v>1257261.4581680002</v>
      </c>
      <c r="N138" s="6">
        <f>[1]Production!M8+[1]Production!M10+[1]Production!M12+[1]Production!M14+[1]Production!M16+[1]Production!M18+[1]Production!M20+[1]Production!M22+[1]Production!M24+[1]Production!M26+[1]Production!M40</f>
        <v>1285058.6749809999</v>
      </c>
      <c r="O138" s="6">
        <f>[1]Production!N8+[1]Production!N10+[1]Production!N12+[1]Production!N14+[1]Production!N16+[1]Production!N18+[1]Production!N20+[1]Production!N22+[1]Production!N24+[1]Production!N26+[1]Production!N40</f>
        <v>1309024.6590439999</v>
      </c>
      <c r="P138" s="6">
        <f>[1]Production!O8+[1]Production!O10+[1]Production!O12+[1]Production!O14+[1]Production!O16+[1]Production!O18+[1]Production!O20+[1]Production!O22+[1]Production!O24+[1]Production!O26+[1]Production!O40</f>
        <v>1330640.8525080001</v>
      </c>
      <c r="Q138" s="6">
        <f>[1]Production!P8+[1]Production!P10+[1]Production!P12+[1]Production!P14+[1]Production!P16+[1]Production!P18+[1]Production!P20+[1]Production!P22+[1]Production!P24+[1]Production!P26+[1]Production!P40</f>
        <v>1351637.9584890003</v>
      </c>
      <c r="R138" s="6">
        <f>[1]Production!Q8+[1]Production!Q10+[1]Production!Q12+[1]Production!Q14+[1]Production!Q16+[1]Production!Q18+[1]Production!Q20+[1]Production!Q22+[1]Production!Q24+[1]Production!Q26+[1]Production!Q40</f>
        <v>1373031.4938300001</v>
      </c>
      <c r="S138" s="6">
        <f>[1]Production!R8+[1]Production!R10+[1]Production!R12+[1]Production!R14+[1]Production!R16+[1]Production!R18+[1]Production!R20+[1]Production!R22+[1]Production!R24+[1]Production!R26+[1]Production!R40</f>
        <v>1395170.072223</v>
      </c>
      <c r="T138" s="6">
        <f>[1]Production!S8+[1]Production!S10+[1]Production!S12+[1]Production!S14+[1]Production!S16+[1]Production!S18+[1]Production!S20+[1]Production!S22+[1]Production!S24+[1]Production!S26+[1]Production!S40</f>
        <v>1419053.2509509998</v>
      </c>
      <c r="U138" s="6">
        <f>[1]Production!T8+[1]Production!T10+[1]Production!T12+[1]Production!T14+[1]Production!T16+[1]Production!T18+[1]Production!T20+[1]Production!T22+[1]Production!T24+[1]Production!T26+[1]Production!T40</f>
        <v>1445294.084176</v>
      </c>
      <c r="V138" s="6">
        <f>[1]Production!U8+[1]Production!U10+[1]Production!U12+[1]Production!U14+[1]Production!U16+[1]Production!U18+[1]Production!U20+[1]Production!U22+[1]Production!U24+[1]Production!U26+[1]Production!U40</f>
        <v>1474235.053393</v>
      </c>
      <c r="W138" s="6">
        <f>[1]Production!V8+[1]Production!V10+[1]Production!V12+[1]Production!V14+[1]Production!V16+[1]Production!V18+[1]Production!V20+[1]Production!V22+[1]Production!V24+[1]Production!V26+[1]Production!V40</f>
        <v>1505919.4409</v>
      </c>
      <c r="X138" s="6">
        <f>[1]Production!W8+[1]Production!W10+[1]Production!W12+[1]Production!W14+[1]Production!W16+[1]Production!W18+[1]Production!W20+[1]Production!W22+[1]Production!W24+[1]Production!W26+[1]Production!W40</f>
        <v>1540931.545687</v>
      </c>
      <c r="Y138" s="6">
        <f>[1]Production!X8+[1]Production!X10+[1]Production!X12+[1]Production!X14+[1]Production!X16+[1]Production!X18+[1]Production!X20+[1]Production!X22+[1]Production!X24+[1]Production!X26+[1]Production!X40</f>
        <v>1579596.510639</v>
      </c>
      <c r="Z138" s="6">
        <f>[1]Production!Y8+[1]Production!Y10+[1]Production!Y12+[1]Production!Y14+[1]Production!Y16+[1]Production!Y18+[1]Production!Y20+[1]Production!Y22+[1]Production!Y24+[1]Production!Y26+[1]Production!Y40</f>
        <v>1622109.0038749997</v>
      </c>
      <c r="AA138" s="6">
        <f>[1]Production!Z8+[1]Production!Z10+[1]Production!Z12+[1]Production!Z14+[1]Production!Z16+[1]Production!Z18+[1]Production!Z20+[1]Production!Z22+[1]Production!Z24+[1]Production!Z26+[1]Production!Z40</f>
        <v>1668478.0181720001</v>
      </c>
      <c r="AB138" s="6">
        <f>[1]Production!AA8+[1]Production!AA10+[1]Production!AA12+[1]Production!AA14+[1]Production!AA16+[1]Production!AA18+[1]Production!AA20+[1]Production!AA22+[1]Production!AA24+[1]Production!AA26+[1]Production!AA40</f>
        <v>1717957.5819019999</v>
      </c>
      <c r="AC138" s="6">
        <f>[1]Production!AB8+[1]Production!AB10+[1]Production!AB12+[1]Production!AB14+[1]Production!AB16+[1]Production!AB18+[1]Production!AB20+[1]Production!AB22+[1]Production!AB24+[1]Production!AB26+[1]Production!AB40</f>
        <v>1771344.1239120001</v>
      </c>
      <c r="AD138" s="6">
        <f>[1]Production!AC8+[1]Production!AC10+[1]Production!AC12+[1]Production!AC14+[1]Production!AC16+[1]Production!AC18+[1]Production!AC20+[1]Production!AC22+[1]Production!AC24+[1]Production!AC26+[1]Production!AC40</f>
        <v>1828935.2850019995</v>
      </c>
      <c r="AE138" s="6">
        <f>[1]Production!AD8+[1]Production!AD10+[1]Production!AD12+[1]Production!AD14+[1]Production!AD16+[1]Production!AD18+[1]Production!AD20+[1]Production!AD22+[1]Production!AD24+[1]Production!AD26+[1]Production!AD40</f>
        <v>1890843.699516</v>
      </c>
      <c r="AF138" s="6">
        <f>[1]Production!AE8+[1]Production!AE10+[1]Production!AE12+[1]Production!AE14+[1]Production!AE16+[1]Production!AE18+[1]Production!AE20+[1]Production!AE22+[1]Production!AE24+[1]Production!AE26+[1]Production!AE40</f>
        <v>1956749.2968349997</v>
      </c>
      <c r="AG138" s="6">
        <f>[1]Production!AF8+[1]Production!AF10+[1]Production!AF12+[1]Production!AF14+[1]Production!AF16+[1]Production!AF18+[1]Production!AF20+[1]Production!AF22+[1]Production!AF24+[1]Production!AF26+[1]Production!AF40</f>
        <v>2026171.4233659997</v>
      </c>
      <c r="AH138" s="6">
        <f>[1]Production!AG8+[1]Production!AG10+[1]Production!AG12+[1]Production!AG14+[1]Production!AG16+[1]Production!AG18+[1]Production!AG20+[1]Production!AG22+[1]Production!AG24+[1]Production!AG26+[1]Production!AG40</f>
        <v>2098783.573386</v>
      </c>
      <c r="AI138" s="6">
        <f>[1]Production!AH8+[1]Production!AH10+[1]Production!AH12+[1]Production!AH14+[1]Production!AH16+[1]Production!AH18+[1]Production!AH20+[1]Production!AH22+[1]Production!AH24+[1]Production!AH26+[1]Production!AH40</f>
        <v>2174425.3492689999</v>
      </c>
      <c r="AJ138" s="6">
        <f>[1]Production!AI8+[1]Production!AI10+[1]Production!AI12+[1]Production!AI14+[1]Production!AI16+[1]Production!AI18+[1]Production!AI20+[1]Production!AI22+[1]Production!AI24+[1]Production!AI26+[1]Production!AI40</f>
        <v>2252980.2012939998</v>
      </c>
      <c r="AK138" s="6">
        <f>[1]Production!AJ8+[1]Production!AJ10+[1]Production!AJ12+[1]Production!AJ14+[1]Production!AJ16+[1]Production!AJ18+[1]Production!AJ20+[1]Production!AJ22+[1]Production!AJ24+[1]Production!AJ26+[1]Production!AJ40</f>
        <v>2334386.0207549999</v>
      </c>
      <c r="AL138" s="6">
        <f>[1]Production!AK8+[1]Production!AK10+[1]Production!AK12+[1]Production!AK14+[1]Production!AK16+[1]Production!AK18+[1]Production!AK20+[1]Production!AK22+[1]Production!AK24+[1]Production!AK26+[1]Production!AK40</f>
        <v>2418636.9872790002</v>
      </c>
    </row>
    <row r="139" spans="1:38" x14ac:dyDescent="0.35">
      <c r="B139" t="s">
        <v>9</v>
      </c>
      <c r="C139" s="6">
        <f>[1]Production!B28+[1]Production!B30+[1]Production!B32+[1]Production!B34</f>
        <v>120923.387844</v>
      </c>
      <c r="D139" s="6">
        <f>[1]Production!C28+[1]Production!C30+[1]Production!C32+[1]Production!C34</f>
        <v>123477.214891</v>
      </c>
      <c r="E139" s="6">
        <f>[1]Production!D28+[1]Production!D30+[1]Production!D32+[1]Production!D34</f>
        <v>126217.50315800001</v>
      </c>
      <c r="F139" s="6">
        <f>[1]Production!E28+[1]Production!E30+[1]Production!E32+[1]Production!E34</f>
        <v>129086.52576799999</v>
      </c>
      <c r="G139" s="6">
        <f>[1]Production!F28+[1]Production!F30+[1]Production!F32+[1]Production!F34</f>
        <v>132124.14662499999</v>
      </c>
      <c r="H139" s="6">
        <f>[1]Production!G28+[1]Production!G30+[1]Production!G32+[1]Production!G34</f>
        <v>135336.22887799999</v>
      </c>
      <c r="I139" s="6">
        <f>[1]Production!H28+[1]Production!H30+[1]Production!H32+[1]Production!H34</f>
        <v>138628.52804800001</v>
      </c>
      <c r="J139" s="6">
        <f>[1]Production!I28+[1]Production!I30+[1]Production!I32+[1]Production!I34</f>
        <v>141255.14348900001</v>
      </c>
      <c r="K139" s="6">
        <f>[1]Production!J28+[1]Production!J30+[1]Production!J32+[1]Production!J34</f>
        <v>143888.91287499998</v>
      </c>
      <c r="L139" s="6">
        <f>[1]Production!K28+[1]Production!K30+[1]Production!K32+[1]Production!K34</f>
        <v>147420.881004</v>
      </c>
      <c r="M139" s="6">
        <f>[1]Production!L28+[1]Production!L30+[1]Production!L32+[1]Production!L34</f>
        <v>150977.514574</v>
      </c>
      <c r="N139" s="6">
        <f>[1]Production!M28+[1]Production!M30+[1]Production!M32+[1]Production!M34</f>
        <v>153939.374496</v>
      </c>
      <c r="O139" s="6">
        <f>[1]Production!N28+[1]Production!N30+[1]Production!N32+[1]Production!N34</f>
        <v>156390.352086</v>
      </c>
      <c r="P139" s="6">
        <f>[1]Production!O28+[1]Production!O30+[1]Production!O32+[1]Production!O34</f>
        <v>158468.12565499998</v>
      </c>
      <c r="Q139" s="6">
        <f>[1]Production!P28+[1]Production!P30+[1]Production!P32+[1]Production!P34</f>
        <v>160356.458415</v>
      </c>
      <c r="R139" s="6">
        <f>[1]Production!Q28+[1]Production!Q30+[1]Production!Q32+[1]Production!Q34</f>
        <v>162164.704696</v>
      </c>
      <c r="S139" s="6">
        <f>[1]Production!R28+[1]Production!R30+[1]Production!R32+[1]Production!R34</f>
        <v>163972.21099299999</v>
      </c>
      <c r="T139" s="6">
        <f>[1]Production!S28+[1]Production!S30+[1]Production!S32+[1]Production!S34</f>
        <v>165894.409009</v>
      </c>
      <c r="U139" s="6">
        <f>[1]Production!T28+[1]Production!T30+[1]Production!T32+[1]Production!T34</f>
        <v>168023.52034299998</v>
      </c>
      <c r="V139" s="6">
        <f>[1]Production!U28+[1]Production!U30+[1]Production!U32+[1]Production!U34</f>
        <v>170412.95576099999</v>
      </c>
      <c r="W139" s="6">
        <f>[1]Production!V28+[1]Production!V30+[1]Production!V32+[1]Production!V34</f>
        <v>173071.918741</v>
      </c>
      <c r="X139" s="6">
        <f>[1]Production!W28+[1]Production!W30+[1]Production!W32+[1]Production!W34</f>
        <v>176099.40598400001</v>
      </c>
      <c r="Y139" s="6">
        <f>[1]Production!X28+[1]Production!X30+[1]Production!X32+[1]Production!X34</f>
        <v>179536.79431100001</v>
      </c>
      <c r="Z139" s="6">
        <f>[1]Production!Y28+[1]Production!Y30+[1]Production!Y32+[1]Production!Y34</f>
        <v>183401.59404600001</v>
      </c>
      <c r="AA139" s="6">
        <f>[1]Production!Z28+[1]Production!Z30+[1]Production!Z32+[1]Production!Z34</f>
        <v>187684.730801</v>
      </c>
      <c r="AB139" s="6">
        <f>[1]Production!AA28+[1]Production!AA30+[1]Production!AA32+[1]Production!AA34</f>
        <v>192274.15893999999</v>
      </c>
      <c r="AC139" s="6">
        <f>[1]Production!AB28+[1]Production!AB30+[1]Production!AB32+[1]Production!AB34</f>
        <v>197327.19314000002</v>
      </c>
      <c r="AD139" s="6">
        <f>[1]Production!AC28+[1]Production!AC30+[1]Production!AC32+[1]Production!AC34</f>
        <v>202912.55025</v>
      </c>
      <c r="AE139" s="6">
        <f>[1]Production!AD28+[1]Production!AD30+[1]Production!AD32+[1]Production!AD34</f>
        <v>209043.97746999998</v>
      </c>
      <c r="AF139" s="6">
        <f>[1]Production!AE28+[1]Production!AE30+[1]Production!AE32+[1]Production!AE34</f>
        <v>215667.48697999999</v>
      </c>
      <c r="AG139" s="6">
        <f>[1]Production!AF28+[1]Production!AF30+[1]Production!AF32+[1]Production!AF34</f>
        <v>222706.06344</v>
      </c>
      <c r="AH139" s="6">
        <f>[1]Production!AG28+[1]Production!AG30+[1]Production!AG32+[1]Production!AG34</f>
        <v>230120.03480999998</v>
      </c>
      <c r="AI139" s="6">
        <f>[1]Production!AH28+[1]Production!AH30+[1]Production!AH32+[1]Production!AH34</f>
        <v>237901.05085999999</v>
      </c>
      <c r="AJ139" s="6">
        <f>[1]Production!AI28+[1]Production!AI30+[1]Production!AI32+[1]Production!AI34</f>
        <v>246026.99304999999</v>
      </c>
      <c r="AK139" s="6">
        <f>[1]Production!AJ28+[1]Production!AJ30+[1]Production!AJ32+[1]Production!AJ34</f>
        <v>254473.36960000001</v>
      </c>
      <c r="AL139" s="6">
        <f>[1]Production!AK28+[1]Production!AK30+[1]Production!AK32+[1]Production!AK34</f>
        <v>263217.20551</v>
      </c>
    </row>
    <row r="140" spans="1:38" x14ac:dyDescent="0.35">
      <c r="B140" t="s">
        <v>10</v>
      </c>
      <c r="C140" s="6">
        <f>[1]Production!B36+[1]Production!B38</f>
        <v>2557835.5054000001</v>
      </c>
      <c r="D140" s="6">
        <f>[1]Production!C36+[1]Production!C38</f>
        <v>2603423.9352000002</v>
      </c>
      <c r="E140" s="6">
        <f>[1]Production!D36+[1]Production!D38</f>
        <v>2656125.7501999997</v>
      </c>
      <c r="F140" s="6">
        <f>[1]Production!E36+[1]Production!E38</f>
        <v>2714294.9525000001</v>
      </c>
      <c r="G140" s="6">
        <f>[1]Production!F36+[1]Production!F38</f>
        <v>2776631.8494999995</v>
      </c>
      <c r="H140" s="6">
        <f>[1]Production!G36+[1]Production!G38</f>
        <v>2842590.4432000001</v>
      </c>
      <c r="I140" s="6">
        <f>[1]Production!H36+[1]Production!H38</f>
        <v>2909771.5881000003</v>
      </c>
      <c r="J140" s="6">
        <f>[1]Production!I36+[1]Production!I38</f>
        <v>2972909.4778999998</v>
      </c>
      <c r="K140" s="6">
        <f>[1]Production!J36+[1]Production!J38</f>
        <v>3036253.8460999997</v>
      </c>
      <c r="L140" s="6">
        <f>[1]Production!K36+[1]Production!K38</f>
        <v>3110248.4875000003</v>
      </c>
      <c r="M140" s="6">
        <f>[1]Production!L36+[1]Production!L38</f>
        <v>3187727.3506999998</v>
      </c>
      <c r="N140" s="6">
        <f>[1]Production!M36+[1]Production!M38</f>
        <v>3257390.4205</v>
      </c>
      <c r="O140" s="6">
        <f>[1]Production!N36+[1]Production!N38</f>
        <v>3320593.0656000003</v>
      </c>
      <c r="P140" s="6">
        <f>[1]Production!O36+[1]Production!O38</f>
        <v>3378556.8681999999</v>
      </c>
      <c r="Q140" s="6">
        <f>[1]Production!P36+[1]Production!P38</f>
        <v>3433249.7654999997</v>
      </c>
      <c r="R140" s="6">
        <f>[1]Production!Q36+[1]Production!Q38</f>
        <v>3486161.6403999999</v>
      </c>
      <c r="S140" s="6">
        <f>[1]Production!R36+[1]Production!R38</f>
        <v>3538594.2396999998</v>
      </c>
      <c r="T140" s="6">
        <f>[1]Production!S36+[1]Production!S38</f>
        <v>3592157.1356000002</v>
      </c>
      <c r="U140" s="6">
        <f>[1]Production!T36+[1]Production!T38</f>
        <v>3648096.8758999999</v>
      </c>
      <c r="V140" s="6">
        <f>[1]Production!U36+[1]Production!U38</f>
        <v>3707313.0526999999</v>
      </c>
      <c r="W140" s="6">
        <f>[1]Production!V36+[1]Production!V38</f>
        <v>3769077.6283</v>
      </c>
      <c r="X140" s="6">
        <f>[1]Production!W36+[1]Production!W38</f>
        <v>3836510.3109000004</v>
      </c>
      <c r="Y140" s="6">
        <f>[1]Production!X36+[1]Production!X38</f>
        <v>3909577.5036999998</v>
      </c>
      <c r="Z140" s="6">
        <f>[1]Production!Y36+[1]Production!Y38</f>
        <v>3988831.2275</v>
      </c>
      <c r="AA140" s="6">
        <f>[1]Production!Z36+[1]Production!Z38</f>
        <v>4074512.3385999999</v>
      </c>
      <c r="AB140" s="6">
        <f>[1]Production!AA36+[1]Production!AA38</f>
        <v>4162381.3952000001</v>
      </c>
      <c r="AC140" s="6">
        <f>[1]Production!AB36+[1]Production!AB38</f>
        <v>4257836.0405999999</v>
      </c>
      <c r="AD140" s="6">
        <f>[1]Production!AC36+[1]Production!AC38</f>
        <v>4360223.1992999995</v>
      </c>
      <c r="AE140" s="6">
        <f>[1]Production!AD36+[1]Production!AD38</f>
        <v>4469970.2873999998</v>
      </c>
      <c r="AF140" s="6">
        <f>[1]Production!AE36+[1]Production!AE38</f>
        <v>4586872.8783</v>
      </c>
      <c r="AG140" s="6">
        <f>[1]Production!AF36+[1]Production!AF38</f>
        <v>4710273.2193</v>
      </c>
      <c r="AH140" s="6">
        <f>[1]Production!AG36+[1]Production!AG38</f>
        <v>4839447.0045999996</v>
      </c>
      <c r="AI140" s="6">
        <f>[1]Production!AH36+[1]Production!AH38</f>
        <v>4973762.7892000005</v>
      </c>
      <c r="AJ140" s="6">
        <f>[1]Production!AI36+[1]Production!AI38</f>
        <v>5112669.0057999995</v>
      </c>
      <c r="AK140" s="6">
        <f>[1]Production!AJ36+[1]Production!AJ38</f>
        <v>5255653.2889999999</v>
      </c>
      <c r="AL140" s="6">
        <f>[1]Production!AK36+[1]Production!AK38</f>
        <v>5402222.8661000002</v>
      </c>
    </row>
    <row r="141" spans="1:38" x14ac:dyDescent="0.35">
      <c r="B141" t="s">
        <v>29</v>
      </c>
      <c r="C141" s="6">
        <f>[1]Production!B42+[1]Production!B46</f>
        <v>35749.017159999996</v>
      </c>
      <c r="D141" s="6">
        <f>[1]Production!C42+[1]Production!C46</f>
        <v>36074.133495800001</v>
      </c>
      <c r="E141" s="6">
        <f>[1]Production!D42+[1]Production!D46</f>
        <v>36410.565511599998</v>
      </c>
      <c r="F141" s="6">
        <f>[1]Production!E42+[1]Production!E46</f>
        <v>36773.031112500001</v>
      </c>
      <c r="G141" s="6">
        <f>[1]Production!F42+[1]Production!F46</f>
        <v>37249.154498299999</v>
      </c>
      <c r="H141" s="6">
        <f>[1]Production!G42+[1]Production!G46</f>
        <v>37825.600474799998</v>
      </c>
      <c r="I141" s="6">
        <f>[1]Production!H42+[1]Production!H46</f>
        <v>38451.757810299998</v>
      </c>
      <c r="J141" s="6">
        <f>[1]Production!I42+[1]Production!I46</f>
        <v>38149.968965</v>
      </c>
      <c r="K141" s="6">
        <f>[1]Production!J42+[1]Production!J46</f>
        <v>37825.455293400002</v>
      </c>
      <c r="L141" s="6">
        <f>[1]Production!K42+[1]Production!K46</f>
        <v>37641.900600300003</v>
      </c>
      <c r="M141" s="6">
        <f>[1]Production!L42+[1]Production!L46</f>
        <v>37446.167665400004</v>
      </c>
      <c r="N141" s="6">
        <f>[1]Production!M42+[1]Production!M46</f>
        <v>37169.314875700002</v>
      </c>
      <c r="O141" s="6">
        <f>[1]Production!N42+[1]Production!N46</f>
        <v>36817.378478099999</v>
      </c>
      <c r="P141" s="6">
        <f>[1]Production!O42+[1]Production!O46</f>
        <v>36410.2776084</v>
      </c>
      <c r="Q141" s="6">
        <f>[1]Production!P42+[1]Production!P46</f>
        <v>35975.134684500001</v>
      </c>
      <c r="R141" s="6">
        <f>[1]Production!Q42+[1]Production!Q46</f>
        <v>35525.3528296</v>
      </c>
      <c r="S141" s="6">
        <f>[1]Production!R42+[1]Production!R46</f>
        <v>35020.874354400003</v>
      </c>
      <c r="T141" s="6">
        <f>[1]Production!S42+[1]Production!S46</f>
        <v>34511.759932600005</v>
      </c>
      <c r="U141" s="6">
        <f>[1]Production!T42+[1]Production!T46</f>
        <v>34009.500310700001</v>
      </c>
      <c r="V141" s="6">
        <f>[1]Production!U42+[1]Production!U46</f>
        <v>33518.657048900001</v>
      </c>
      <c r="W141" s="6">
        <f>[1]Production!V42+[1]Production!V46</f>
        <v>33038.316864799999</v>
      </c>
      <c r="X141" s="6">
        <f>[1]Production!W42+[1]Production!W46</f>
        <v>32575.1262948</v>
      </c>
      <c r="Y141" s="6">
        <f>[1]Production!X42+[1]Production!X46</f>
        <v>32131.190325</v>
      </c>
      <c r="Z141" s="6">
        <f>[1]Production!Y42+[1]Production!Y46</f>
        <v>31705.161897100003</v>
      </c>
      <c r="AA141" s="6">
        <f>[1]Production!Z42+[1]Production!Z46</f>
        <v>31292.389627600001</v>
      </c>
      <c r="AB141" s="6">
        <f>[1]Production!AA42+[1]Production!AA46</f>
        <v>30879.585084799997</v>
      </c>
      <c r="AC141" s="6">
        <f>[1]Production!AB42+[1]Production!AB46</f>
        <v>30487.230017099999</v>
      </c>
      <c r="AD141" s="6">
        <f>[1]Production!AC42+[1]Production!AC46</f>
        <v>30105.266085299998</v>
      </c>
      <c r="AE141" s="6">
        <f>[1]Production!AD42+[1]Production!AD46</f>
        <v>29729.6718769</v>
      </c>
      <c r="AF141" s="6">
        <f>[1]Production!AE42+[1]Production!AE46</f>
        <v>29347.778555200002</v>
      </c>
      <c r="AG141" s="6">
        <f>[1]Production!AF42+[1]Production!AF46</f>
        <v>28943.892597100003</v>
      </c>
      <c r="AH141" s="6">
        <f>[1]Production!AG42+[1]Production!AG46</f>
        <v>28505.204714479998</v>
      </c>
      <c r="AI141" s="6">
        <f>[1]Production!AH42+[1]Production!AH46</f>
        <v>28021.643582140001</v>
      </c>
      <c r="AJ141" s="6">
        <f>[1]Production!AI42+[1]Production!AI46</f>
        <v>27482.867889930003</v>
      </c>
      <c r="AK141" s="6">
        <f>[1]Production!AJ42+[1]Production!AJ46</f>
        <v>26878.140362320002</v>
      </c>
      <c r="AL141" s="6">
        <f>[1]Production!AK42+[1]Production!AK46</f>
        <v>26196.237812609997</v>
      </c>
    </row>
    <row r="142" spans="1:38" x14ac:dyDescent="0.35">
      <c r="B142" t="s">
        <v>36</v>
      </c>
      <c r="C142" s="6">
        <f>+[1]Production!B44+[1]Production!B48</f>
        <v>4478.0091768000002</v>
      </c>
      <c r="D142" s="6">
        <f>+[1]Production!C44+[1]Production!C48</f>
        <v>4498.6646947999998</v>
      </c>
      <c r="E142" s="6">
        <f>+[1]Production!D44+[1]Production!D48</f>
        <v>4518.8856345000004</v>
      </c>
      <c r="F142" s="6">
        <f>+[1]Production!E44+[1]Production!E48</f>
        <v>4543.5295965000005</v>
      </c>
      <c r="G142" s="6">
        <f>+[1]Production!F44+[1]Production!F48</f>
        <v>4583.927514</v>
      </c>
      <c r="H142" s="6">
        <f>+[1]Production!G44+[1]Production!G48</f>
        <v>4637.9846385000001</v>
      </c>
      <c r="I142" s="6">
        <f>+[1]Production!H44+[1]Production!H48</f>
        <v>4698.3057708000006</v>
      </c>
      <c r="J142" s="6">
        <f>+[1]Production!I44+[1]Production!I48</f>
        <v>5709.1379965000006</v>
      </c>
      <c r="K142" s="6">
        <f>+[1]Production!J44+[1]Production!J48</f>
        <v>6752.3013583000002</v>
      </c>
      <c r="L142" s="6">
        <f>+[1]Production!K44+[1]Production!K48</f>
        <v>7843.0201784000001</v>
      </c>
      <c r="M142" s="6">
        <f>+[1]Production!L44+[1]Production!L48</f>
        <v>8975.9278137999991</v>
      </c>
      <c r="N142" s="6">
        <f>+[1]Production!M44+[1]Production!M48</f>
        <v>10149.647626</v>
      </c>
      <c r="O142" s="6">
        <f>+[1]Production!N44+[1]Production!N48</f>
        <v>11361.844397000001</v>
      </c>
      <c r="P142" s="6">
        <f>+[1]Production!O44+[1]Production!O48</f>
        <v>12612.291649999999</v>
      </c>
      <c r="Q142" s="6">
        <f>+[1]Production!P44+[1]Production!P48</f>
        <v>13903.261835000001</v>
      </c>
      <c r="R142" s="6">
        <f>+[1]Production!Q44+[1]Production!Q48</f>
        <v>15236.904479999999</v>
      </c>
      <c r="S142" s="6">
        <f>+[1]Production!R44+[1]Production!R48</f>
        <v>16611.018015000001</v>
      </c>
      <c r="T142" s="6">
        <f>+[1]Production!S44+[1]Production!S48</f>
        <v>18031.952450999997</v>
      </c>
      <c r="U142" s="6">
        <f>+[1]Production!T44+[1]Production!T48</f>
        <v>19507.173301999999</v>
      </c>
      <c r="V142" s="6">
        <f>+[1]Production!U44+[1]Production!U48</f>
        <v>21043.967643</v>
      </c>
      <c r="W142" s="6">
        <f>+[1]Production!V44+[1]Production!V48</f>
        <v>22648.026257000001</v>
      </c>
      <c r="X142" s="6">
        <f>+[1]Production!W44+[1]Production!W48</f>
        <v>24330.375182</v>
      </c>
      <c r="Y142" s="6">
        <f>+[1]Production!X44+[1]Production!X48</f>
        <v>26101.203984</v>
      </c>
      <c r="Z142" s="6">
        <f>+[1]Production!Y44+[1]Production!Y48</f>
        <v>27970.798842</v>
      </c>
      <c r="AA142" s="6">
        <f>+[1]Production!Z44+[1]Production!Z48</f>
        <v>29949.269214</v>
      </c>
      <c r="AB142" s="6">
        <f>+[1]Production!AA44+[1]Production!AA48</f>
        <v>32039.978930999998</v>
      </c>
      <c r="AC142" s="6">
        <f>+[1]Production!AB44+[1]Production!AB48</f>
        <v>34262.730761999999</v>
      </c>
      <c r="AD142" s="6">
        <f>+[1]Production!AC44+[1]Production!AC48</f>
        <v>36637.037494999997</v>
      </c>
      <c r="AE142" s="6">
        <f>+[1]Production!AD44+[1]Production!AD48</f>
        <v>39181.597538000002</v>
      </c>
      <c r="AF142" s="6">
        <f>+[1]Production!AE44+[1]Production!AE48</f>
        <v>41912.747432000004</v>
      </c>
      <c r="AG142" s="6">
        <f>+[1]Production!AF44+[1]Production!AF48</f>
        <v>44846.441891000002</v>
      </c>
      <c r="AH142" s="6">
        <f>+[1]Production!AG44+[1]Production!AG48</f>
        <v>48002.908554000001</v>
      </c>
      <c r="AI142" s="6">
        <f>+[1]Production!AH44+[1]Production!AH48</f>
        <v>51408.916981000002</v>
      </c>
      <c r="AJ142" s="6">
        <f>+[1]Production!AI44+[1]Production!AI48</f>
        <v>55097.789639999995</v>
      </c>
      <c r="AK142" s="6">
        <f>+[1]Production!AJ44+[1]Production!AJ48</f>
        <v>59113.995372000005</v>
      </c>
      <c r="AL142" s="6">
        <f>+[1]Production!AK44+[1]Production!AK48</f>
        <v>63521.283911000006</v>
      </c>
    </row>
    <row r="143" spans="1:3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67914.131372699994</v>
      </c>
      <c r="D143" s="6">
        <f>[1]Production!C50+[1]Production!C52+[1]Production!C54+[1]Production!C56+[1]Production!C58+[1]Production!C60+[1]Production!C62+[1]Production!C64+[1]Production!C66</f>
        <v>68968.115530399999</v>
      </c>
      <c r="E143" s="6">
        <f>[1]Production!D50+[1]Production!D52+[1]Production!D54+[1]Production!D56+[1]Production!D58+[1]Production!D60+[1]Production!D62+[1]Production!D64+[1]Production!D66</f>
        <v>70005.589045300003</v>
      </c>
      <c r="F143" s="6">
        <f>[1]Production!E50+[1]Production!E52+[1]Production!E54+[1]Production!E56+[1]Production!E58+[1]Production!E60+[1]Production!E62+[1]Production!E64+[1]Production!E66</f>
        <v>71142.406350299992</v>
      </c>
      <c r="G143" s="6">
        <f>[1]Production!F50+[1]Production!F52+[1]Production!F54+[1]Production!F56+[1]Production!F58+[1]Production!F60+[1]Production!F62+[1]Production!F64+[1]Production!F66</f>
        <v>72200.960144199998</v>
      </c>
      <c r="H143" s="6">
        <f>[1]Production!G50+[1]Production!G52+[1]Production!G54+[1]Production!G56+[1]Production!G58+[1]Production!G60+[1]Production!G62+[1]Production!G64+[1]Production!G66</f>
        <v>73280.733300099993</v>
      </c>
      <c r="I143" s="6">
        <f>[1]Production!H50+[1]Production!H52+[1]Production!H54+[1]Production!H56+[1]Production!H58+[1]Production!H60+[1]Production!H62+[1]Production!H64+[1]Production!H66</f>
        <v>74412.983342600026</v>
      </c>
      <c r="J143" s="6">
        <f>[1]Production!I50+[1]Production!I52+[1]Production!I54+[1]Production!I56+[1]Production!I58+[1]Production!I60+[1]Production!I62+[1]Production!I64+[1]Production!I66</f>
        <v>77715.631568799989</v>
      </c>
      <c r="K143" s="6">
        <f>[1]Production!J50+[1]Production!J52+[1]Production!J54+[1]Production!J56+[1]Production!J58+[1]Production!J60+[1]Production!J62+[1]Production!J64+[1]Production!J66</f>
        <v>81381.624805200001</v>
      </c>
      <c r="L143" s="6">
        <f>[1]Production!K50+[1]Production!K52+[1]Production!K54+[1]Production!K56+[1]Production!K58+[1]Production!K60+[1]Production!K62+[1]Production!K64+[1]Production!K66</f>
        <v>85505.166424099982</v>
      </c>
      <c r="M143" s="6">
        <f>[1]Production!L50+[1]Production!L52+[1]Production!L54+[1]Production!L56+[1]Production!L58+[1]Production!L60+[1]Production!L62+[1]Production!L64+[1]Production!L66</f>
        <v>89798.695982599995</v>
      </c>
      <c r="N143" s="6">
        <f>[1]Production!M50+[1]Production!M52+[1]Production!M54+[1]Production!M56+[1]Production!M58+[1]Production!M60+[1]Production!M62+[1]Production!M64+[1]Production!M66</f>
        <v>93756.894701399986</v>
      </c>
      <c r="O143" s="6">
        <f>[1]Production!N50+[1]Production!N52+[1]Production!N54+[1]Production!N56+[1]Production!N58+[1]Production!N60+[1]Production!N62+[1]Production!N64+[1]Production!N66</f>
        <v>97524.75970390001</v>
      </c>
      <c r="P143" s="6">
        <f>[1]Production!O50+[1]Production!O52+[1]Production!O54+[1]Production!O56+[1]Production!O58+[1]Production!O60+[1]Production!O62+[1]Production!O64+[1]Production!O66</f>
        <v>101241.68984950001</v>
      </c>
      <c r="Q143" s="6">
        <f>[1]Production!P50+[1]Production!P52+[1]Production!P54+[1]Production!P56+[1]Production!P58+[1]Production!P60+[1]Production!P62+[1]Production!P64+[1]Production!P66</f>
        <v>105042.8570477</v>
      </c>
      <c r="R143" s="6">
        <f>[1]Production!Q50+[1]Production!Q52+[1]Production!Q54+[1]Production!Q56+[1]Production!Q58+[1]Production!Q60+[1]Production!Q62+[1]Production!Q64+[1]Production!Q66</f>
        <v>109024.09319479999</v>
      </c>
      <c r="S143" s="6">
        <f>[1]Production!R50+[1]Production!R52+[1]Production!R54+[1]Production!R56+[1]Production!R58+[1]Production!R60+[1]Production!R62+[1]Production!R64+[1]Production!R66</f>
        <v>113277.16475350001</v>
      </c>
      <c r="T143" s="6">
        <f>[1]Production!S50+[1]Production!S52+[1]Production!S54+[1]Production!S56+[1]Production!S58+[1]Production!S60+[1]Production!S62+[1]Production!S64+[1]Production!S66</f>
        <v>117906.5435731</v>
      </c>
      <c r="U143" s="6">
        <f>[1]Production!T50+[1]Production!T52+[1]Production!T54+[1]Production!T56+[1]Production!T58+[1]Production!T60+[1]Production!T62+[1]Production!T64+[1]Production!T66</f>
        <v>122971.39803959998</v>
      </c>
      <c r="V143" s="6">
        <f>[1]Production!U50+[1]Production!U52+[1]Production!U54+[1]Production!U56+[1]Production!U58+[1]Production!U60+[1]Production!U62+[1]Production!U64+[1]Production!U66</f>
        <v>128542.10935340001</v>
      </c>
      <c r="W143" s="6">
        <f>[1]Production!V50+[1]Production!V52+[1]Production!V54+[1]Production!V56+[1]Production!V58+[1]Production!V60+[1]Production!V62+[1]Production!V64+[1]Production!V66</f>
        <v>134672.77940080001</v>
      </c>
      <c r="X143" s="6">
        <f>[1]Production!W50+[1]Production!W52+[1]Production!W54+[1]Production!W56+[1]Production!W58+[1]Production!W60+[1]Production!W62+[1]Production!W64+[1]Production!W66</f>
        <v>141508.49684579999</v>
      </c>
      <c r="Y143" s="6">
        <f>[1]Production!X50+[1]Production!X52+[1]Production!X54+[1]Production!X56+[1]Production!X58+[1]Production!X60+[1]Production!X62+[1]Production!X64+[1]Production!X66</f>
        <v>149162.8400308</v>
      </c>
      <c r="Z143" s="6">
        <f>[1]Production!Y50+[1]Production!Y52+[1]Production!Y54+[1]Production!Y56+[1]Production!Y58+[1]Production!Y60+[1]Production!Y62+[1]Production!Y64+[1]Production!Y66</f>
        <v>157753.95193499999</v>
      </c>
      <c r="AA143" s="6">
        <f>[1]Production!Z50+[1]Production!Z52+[1]Production!Z54+[1]Production!Z56+[1]Production!Z58+[1]Production!Z60+[1]Production!Z62+[1]Production!Z64+[1]Production!Z66</f>
        <v>167406.68377350003</v>
      </c>
      <c r="AB143" s="6">
        <f>[1]Production!AA50+[1]Production!AA52+[1]Production!AA54+[1]Production!AA56+[1]Production!AA58+[1]Production!AA60+[1]Production!AA62+[1]Production!AA64+[1]Production!AA66</f>
        <v>178161.6440645</v>
      </c>
      <c r="AC143" s="6">
        <f>[1]Production!AB50+[1]Production!AB52+[1]Production!AB54+[1]Production!AB56+[1]Production!AB58+[1]Production!AB60+[1]Production!AB62+[1]Production!AB64+[1]Production!AB66</f>
        <v>190347.4810152</v>
      </c>
      <c r="AD143" s="6">
        <f>[1]Production!AC50+[1]Production!AC52+[1]Production!AC54+[1]Production!AC56+[1]Production!AC58+[1]Production!AC60+[1]Production!AC62+[1]Production!AC64+[1]Production!AC66</f>
        <v>204194.68798589997</v>
      </c>
      <c r="AE143" s="6">
        <f>[1]Production!AD50+[1]Production!AD52+[1]Production!AD54+[1]Production!AD56+[1]Production!AD58+[1]Production!AD60+[1]Production!AD62+[1]Production!AD64+[1]Production!AD66</f>
        <v>219966.12851440004</v>
      </c>
      <c r="AF143" s="6">
        <f>[1]Production!AE50+[1]Production!AE52+[1]Production!AE54+[1]Production!AE56+[1]Production!AE58+[1]Production!AE60+[1]Production!AE62+[1]Production!AE64+[1]Production!AE66</f>
        <v>237928.33775539999</v>
      </c>
      <c r="AG143" s="6">
        <f>[1]Production!AF50+[1]Production!AF52+[1]Production!AF54+[1]Production!AF56+[1]Production!AF58+[1]Production!AF60+[1]Production!AF62+[1]Production!AF64+[1]Production!AF66</f>
        <v>258382.20300200002</v>
      </c>
      <c r="AH143" s="6">
        <f>[1]Production!AG50+[1]Production!AG52+[1]Production!AG54+[1]Production!AG56+[1]Production!AG58+[1]Production!AG60+[1]Production!AG62+[1]Production!AG64+[1]Production!AG66</f>
        <v>281721.49527659995</v>
      </c>
      <c r="AI143" s="6">
        <f>[1]Production!AH50+[1]Production!AH52+[1]Production!AH54+[1]Production!AH56+[1]Production!AH58+[1]Production!AH60+[1]Production!AH62+[1]Production!AH64+[1]Production!AH66</f>
        <v>308467.01789040002</v>
      </c>
      <c r="AJ143" s="6">
        <f>[1]Production!AI50+[1]Production!AI52+[1]Production!AI54+[1]Production!AI56+[1]Production!AI58+[1]Production!AI60+[1]Production!AI62+[1]Production!AI64+[1]Production!AI66</f>
        <v>339275.65448310005</v>
      </c>
      <c r="AK143" s="6">
        <f>[1]Production!AJ50+[1]Production!AJ52+[1]Production!AJ54+[1]Production!AJ56+[1]Production!AJ58+[1]Production!AJ60+[1]Production!AJ62+[1]Production!AJ64+[1]Production!AJ66</f>
        <v>374995.47738510009</v>
      </c>
      <c r="AL143" s="6">
        <f>[1]Production!AK50+[1]Production!AK52+[1]Production!AK54+[1]Production!AK56+[1]Production!AK58+[1]Production!AK60+[1]Production!AK62+[1]Production!AK64+[1]Production!AK66</f>
        <v>416748.05370250007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13">(R136-R125)/R125</f>
        <v>4.7447852683232096E-3</v>
      </c>
      <c r="D146" s="4">
        <f t="shared" ref="D146:D153" si="14">(S135-S124)/S124</f>
        <v>0</v>
      </c>
      <c r="E146" s="4">
        <f t="shared" ref="E146:E153" si="15">(AL136-AL125)/AL125</f>
        <v>5.2294627706811175E-2</v>
      </c>
    </row>
    <row r="147" spans="1:5" x14ac:dyDescent="0.35">
      <c r="B147" t="s">
        <v>7</v>
      </c>
      <c r="C147" s="4">
        <f t="shared" si="13"/>
        <v>-1.4819118600651339E-2</v>
      </c>
      <c r="D147" s="4">
        <f t="shared" si="14"/>
        <v>5.6657555486015277E-3</v>
      </c>
      <c r="E147" s="4">
        <f t="shared" si="15"/>
        <v>-1.8793873990925018E-2</v>
      </c>
    </row>
    <row r="148" spans="1:5" x14ac:dyDescent="0.35">
      <c r="B148" t="s">
        <v>30</v>
      </c>
      <c r="C148" s="4">
        <f t="shared" si="13"/>
        <v>-9.6170933609474735E-3</v>
      </c>
      <c r="D148" s="4">
        <f t="shared" si="14"/>
        <v>-1.5160031108021662E-2</v>
      </c>
      <c r="E148" s="4">
        <f t="shared" si="15"/>
        <v>2.5108052085904126E-2</v>
      </c>
    </row>
    <row r="149" spans="1:5" x14ac:dyDescent="0.35">
      <c r="B149" t="s">
        <v>9</v>
      </c>
      <c r="C149" s="4">
        <f t="shared" si="13"/>
        <v>-2.5826625329219309E-3</v>
      </c>
      <c r="D149" s="4">
        <f t="shared" si="14"/>
        <v>-9.9376967256784021E-3</v>
      </c>
      <c r="E149" s="4">
        <f t="shared" si="15"/>
        <v>2.9209809265647646E-2</v>
      </c>
    </row>
    <row r="150" spans="1:5" x14ac:dyDescent="0.35">
      <c r="B150" t="s">
        <v>10</v>
      </c>
      <c r="C150" s="4">
        <f t="shared" si="13"/>
        <v>3.427256486618038E-3</v>
      </c>
      <c r="D150" s="4">
        <f t="shared" si="14"/>
        <v>-2.6922253700217497E-3</v>
      </c>
      <c r="E150" s="4">
        <f t="shared" si="15"/>
        <v>9.6840077743842057E-3</v>
      </c>
    </row>
    <row r="151" spans="1:5" x14ac:dyDescent="0.35">
      <c r="B151" t="s">
        <v>29</v>
      </c>
      <c r="C151" s="4">
        <f t="shared" si="13"/>
        <v>-0.17544384437022317</v>
      </c>
      <c r="D151" s="4">
        <f t="shared" si="14"/>
        <v>3.900042177913537E-3</v>
      </c>
      <c r="E151" s="4">
        <f t="shared" si="15"/>
        <v>-0.57287103603592571</v>
      </c>
    </row>
    <row r="152" spans="1:5" x14ac:dyDescent="0.35">
      <c r="B152" t="s">
        <v>36</v>
      </c>
      <c r="C152" s="4">
        <f t="shared" si="13"/>
        <v>1.9382545794627626</v>
      </c>
      <c r="D152" s="4">
        <f t="shared" si="14"/>
        <v>-0.19361280623250368</v>
      </c>
      <c r="E152" s="4">
        <f t="shared" si="15"/>
        <v>8.2071375614775448</v>
      </c>
    </row>
    <row r="153" spans="1:5" x14ac:dyDescent="0.35">
      <c r="B153" t="s">
        <v>33</v>
      </c>
      <c r="C153" s="4">
        <f t="shared" si="13"/>
        <v>0.31515544413316182</v>
      </c>
      <c r="D153" s="4">
        <f t="shared" si="14"/>
        <v>2.1795356261786165</v>
      </c>
      <c r="E153" s="4">
        <f t="shared" si="15"/>
        <v>2.5494156787876894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-1.4819118600651326E-2</v>
      </c>
      <c r="D156" s="4">
        <f>AB137/AB126-1</f>
        <v>-2.5335091735669724E-2</v>
      </c>
      <c r="E156" s="4">
        <f>AL137/AL126-1</f>
        <v>-1.8793873990925025E-2</v>
      </c>
    </row>
    <row r="157" spans="1:5" x14ac:dyDescent="0.35">
      <c r="B157" t="s">
        <v>8</v>
      </c>
      <c r="C157" s="4">
        <f>R138/R127-1</f>
        <v>-9.6170933609475151E-3</v>
      </c>
      <c r="D157" s="4">
        <f>AB138/AB127-1</f>
        <v>-1.081624028142858E-2</v>
      </c>
      <c r="E157" s="4">
        <f>AL138/AL127-1</f>
        <v>2.5108052085904164E-2</v>
      </c>
    </row>
    <row r="158" spans="1:5" x14ac:dyDescent="0.35">
      <c r="B158" t="s">
        <v>9</v>
      </c>
      <c r="C158" s="4">
        <f>R139/R128-1</f>
        <v>-2.5826625329219421E-3</v>
      </c>
      <c r="D158" s="4">
        <f>AB139/AB128-1</f>
        <v>-8.7409501741139151E-3</v>
      </c>
      <c r="E158" s="4">
        <f>AL139/AL128-1</f>
        <v>2.9209809265647646E-2</v>
      </c>
    </row>
    <row r="159" spans="1:5" x14ac:dyDescent="0.35">
      <c r="B159" t="s">
        <v>10</v>
      </c>
      <c r="C159" s="4">
        <f>R140/R129-1</f>
        <v>3.4272564866180133E-3</v>
      </c>
      <c r="D159" s="4">
        <f>AB140/AB129-1</f>
        <v>1.8274915801688163E-3</v>
      </c>
      <c r="E159" s="4">
        <f>AL140/AL129-1</f>
        <v>9.6840077743842734E-3</v>
      </c>
    </row>
    <row r="160" spans="1:5" x14ac:dyDescent="0.35">
      <c r="B160" t="s">
        <v>12</v>
      </c>
      <c r="C160" s="4">
        <f>R141/R130-1</f>
        <v>-0.1754438443702232</v>
      </c>
      <c r="D160" s="4">
        <f>AB141/AB130-1</f>
        <v>-0.37206265284805717</v>
      </c>
      <c r="E160" s="4">
        <f>AL141/AL130-1</f>
        <v>-0.57287103603592571</v>
      </c>
    </row>
    <row r="161" spans="1:38" x14ac:dyDescent="0.35">
      <c r="B161" t="s">
        <v>11</v>
      </c>
      <c r="C161" s="4">
        <f>R143/R132-1</f>
        <v>0.31515544413316188</v>
      </c>
      <c r="D161" s="4">
        <f>AB143/AB132-1</f>
        <v>0.90992240392356538</v>
      </c>
      <c r="E161" s="4">
        <f>AL143/AL132-1</f>
        <v>2.5494156787876894</v>
      </c>
    </row>
    <row r="162" spans="1:38" x14ac:dyDescent="0.35">
      <c r="C162" s="4"/>
      <c r="D162" s="4"/>
      <c r="E162" s="4"/>
    </row>
    <row r="163" spans="1:38" x14ac:dyDescent="0.35">
      <c r="A163" s="12" t="s">
        <v>41</v>
      </c>
      <c r="C163" s="4"/>
      <c r="D163" s="4"/>
      <c r="E163" s="4"/>
    </row>
    <row r="164" spans="1:38" x14ac:dyDescent="0.35">
      <c r="A164" t="s">
        <v>38</v>
      </c>
      <c r="B164" t="s">
        <v>40</v>
      </c>
      <c r="C164" s="6">
        <f>[1]Capital!B3</f>
        <v>5223867.193</v>
      </c>
      <c r="D164" s="6">
        <f>[1]Capital!C3</f>
        <v>5286913.7989999996</v>
      </c>
      <c r="E164" s="6">
        <f>[1]Capital!D3</f>
        <v>5355133.3600000003</v>
      </c>
      <c r="F164" s="6">
        <f>[1]Capital!E3</f>
        <v>5429583.8789999997</v>
      </c>
      <c r="G164" s="6">
        <f>[1]Capital!F3</f>
        <v>5511038.5820000004</v>
      </c>
      <c r="H164" s="6">
        <f>[1]Capital!G3</f>
        <v>5600032.1849999996</v>
      </c>
      <c r="I164" s="6">
        <f>[1]Capital!H3</f>
        <v>5696705.6270000003</v>
      </c>
      <c r="J164" s="6">
        <f>[1]Capital!I3</f>
        <v>5801071.642</v>
      </c>
      <c r="K164" s="6">
        <f>[1]Capital!J3</f>
        <v>5913138.9390000002</v>
      </c>
      <c r="L164" s="6">
        <f>[1]Capital!K3</f>
        <v>6032963.5719999997</v>
      </c>
      <c r="M164" s="6">
        <f>[1]Capital!L3</f>
        <v>6160555.477</v>
      </c>
      <c r="N164" s="6">
        <f>[1]Capital!M3</f>
        <v>6294813.96</v>
      </c>
      <c r="O164" s="6">
        <f>[1]Capital!N3</f>
        <v>6434600.5690000001</v>
      </c>
      <c r="P164" s="6">
        <f>[1]Capital!O3</f>
        <v>6578989.5360000003</v>
      </c>
      <c r="Q164" s="6">
        <f>[1]Capital!P3</f>
        <v>6727353.2079999996</v>
      </c>
      <c r="R164" s="6">
        <f>[1]Capital!Q3</f>
        <v>6879358.8380000005</v>
      </c>
      <c r="S164" s="6">
        <f>[1]Capital!R3</f>
        <v>7035111.3810000001</v>
      </c>
      <c r="T164" s="6">
        <f>[1]Capital!S3</f>
        <v>7195049.0080000004</v>
      </c>
      <c r="U164" s="6">
        <f>[1]Capital!T3</f>
        <v>7359806.2000000002</v>
      </c>
      <c r="V164" s="6">
        <f>[1]Capital!U3</f>
        <v>7530091.784</v>
      </c>
      <c r="W164" s="6">
        <f>[1]Capital!V3</f>
        <v>7706489.8459999999</v>
      </c>
      <c r="X164" s="6">
        <f>[1]Capital!W3</f>
        <v>7889759.1449999996</v>
      </c>
      <c r="Y164" s="6">
        <f>[1]Capital!X3</f>
        <v>8080692.7560000001</v>
      </c>
      <c r="Z164" s="6">
        <f>[1]Capital!Y3</f>
        <v>8280087.352</v>
      </c>
      <c r="AA164" s="6">
        <f>[1]Capital!Z3</f>
        <v>8488680.8619999997</v>
      </c>
      <c r="AB164" s="6">
        <f>[1]Capital!AA3</f>
        <v>8706694.3300000001</v>
      </c>
      <c r="AC164" s="6">
        <f>[1]Capital!AB3</f>
        <v>8934593.3330000006</v>
      </c>
      <c r="AD164" s="6">
        <f>[1]Capital!AC3</f>
        <v>9172911.4140000008</v>
      </c>
      <c r="AE164" s="6">
        <f>[1]Capital!AD3</f>
        <v>9422223.966</v>
      </c>
      <c r="AF164" s="6">
        <f>[1]Capital!AE3</f>
        <v>9683051.443</v>
      </c>
      <c r="AG164" s="6">
        <f>[1]Capital!AF3</f>
        <v>9955773.3790000007</v>
      </c>
      <c r="AH164" s="6">
        <f>[1]Capital!AG3</f>
        <v>10240618.15</v>
      </c>
      <c r="AI164" s="6">
        <f>[1]Capital!AH3</f>
        <v>10537686.529999999</v>
      </c>
      <c r="AJ164" s="6">
        <f>[1]Capital!AI3</f>
        <v>10846964.050000001</v>
      </c>
      <c r="AK164" s="6">
        <f>[1]Capital!AJ3</f>
        <v>11168321.51</v>
      </c>
      <c r="AL164" s="6">
        <f>[1]Capital!AK3</f>
        <v>11501507.199999999</v>
      </c>
    </row>
    <row r="165" spans="1:38" x14ac:dyDescent="0.35">
      <c r="B165" t="s">
        <v>7</v>
      </c>
      <c r="C165" s="5">
        <f>[1]Capital!B5+[1]Capital!B7</f>
        <v>49062.307435000002</v>
      </c>
      <c r="D165" s="5">
        <f>[1]Capital!C5+[1]Capital!C7</f>
        <v>49656.316759999994</v>
      </c>
      <c r="E165" s="5">
        <f>[1]Capital!D5+[1]Capital!D7</f>
        <v>50295.244162999996</v>
      </c>
      <c r="F165" s="5">
        <f>[1]Capital!E5+[1]Capital!E7</f>
        <v>50993.365405000004</v>
      </c>
      <c r="G165" s="5">
        <f>[1]Capital!F5+[1]Capital!F7</f>
        <v>51757.853329000005</v>
      </c>
      <c r="H165" s="5">
        <f>[1]Capital!G5+[1]Capital!G7</f>
        <v>52593.911286000002</v>
      </c>
      <c r="I165" s="5">
        <f>[1]Capital!H5+[1]Capital!H7</f>
        <v>53504.123931999995</v>
      </c>
      <c r="J165" s="5">
        <f>[1]Capital!I5+[1]Capital!I7</f>
        <v>54489.774588</v>
      </c>
      <c r="K165" s="5">
        <f>[1]Capital!J5+[1]Capital!J7</f>
        <v>55551.272535999997</v>
      </c>
      <c r="L165" s="5">
        <f>[1]Capital!K5+[1]Capital!K7</f>
        <v>56688.738058000003</v>
      </c>
      <c r="M165" s="5">
        <f>[1]Capital!L5+[1]Capital!L7</f>
        <v>57900.226504999999</v>
      </c>
      <c r="N165" s="5">
        <f>[1]Capital!M5+[1]Capital!M7</f>
        <v>59171.450043000004</v>
      </c>
      <c r="O165" s="5">
        <f>[1]Capital!N5+[1]Capital!N7</f>
        <v>60487.468629000003</v>
      </c>
      <c r="P165" s="5">
        <f>[1]Capital!O5+[1]Capital!O7</f>
        <v>61835.697810999998</v>
      </c>
      <c r="Q165" s="5">
        <f>[1]Capital!P5+[1]Capital!P7</f>
        <v>63206.972895999999</v>
      </c>
      <c r="R165" s="5">
        <f>[1]Capital!Q5+[1]Capital!Q7</f>
        <v>64595.664849999994</v>
      </c>
      <c r="S165" s="5">
        <f>[1]Capital!R5+[1]Capital!R7</f>
        <v>65999.899376999994</v>
      </c>
      <c r="T165" s="5">
        <f>[1]Capital!S5+[1]Capital!S7</f>
        <v>67421.619673000008</v>
      </c>
      <c r="U165" s="5">
        <f>[1]Capital!T5+[1]Capital!T7</f>
        <v>68865.450259999998</v>
      </c>
      <c r="V165" s="5">
        <f>[1]Capital!U5+[1]Capital!U7</f>
        <v>70337.437581999999</v>
      </c>
      <c r="W165" s="5">
        <f>[1]Capital!V5+[1]Capital!V7</f>
        <v>71843.333346999993</v>
      </c>
      <c r="X165" s="5">
        <f>[1]Capital!W5+[1]Capital!W7</f>
        <v>73390.536989</v>
      </c>
      <c r="Y165" s="5">
        <f>[1]Capital!X5+[1]Capital!X7</f>
        <v>74987.473803999994</v>
      </c>
      <c r="Z165" s="5">
        <f>[1]Capital!Y5+[1]Capital!Y7</f>
        <v>76642.937399999995</v>
      </c>
      <c r="AA165" s="5">
        <f>[1]Capital!Z5+[1]Capital!Z7</f>
        <v>78365.198183</v>
      </c>
      <c r="AB165" s="5">
        <f>[1]Capital!AA5+[1]Capital!AA7</f>
        <v>80158.435035000002</v>
      </c>
      <c r="AC165" s="5">
        <f>[1]Capital!AB5+[1]Capital!AB7</f>
        <v>82027.990623999998</v>
      </c>
      <c r="AD165" s="5">
        <f>[1]Capital!AC5+[1]Capital!AC7</f>
        <v>83980.350955999995</v>
      </c>
      <c r="AE165" s="5">
        <f>[1]Capital!AD5+[1]Capital!AD7</f>
        <v>86022.556259999998</v>
      </c>
      <c r="AF165" s="5">
        <f>[1]Capital!AE5+[1]Capital!AE7</f>
        <v>88160.849981000007</v>
      </c>
      <c r="AG165" s="5">
        <f>[1]Capital!AF5+[1]Capital!AF7</f>
        <v>90399.545713</v>
      </c>
      <c r="AH165" s="5">
        <f>[1]Capital!AG5+[1]Capital!AG7</f>
        <v>92740.861651999992</v>
      </c>
      <c r="AI165" s="5">
        <f>[1]Capital!AH5+[1]Capital!AH7</f>
        <v>95185.169731000002</v>
      </c>
      <c r="AJ165" s="5">
        <f>[1]Capital!AI5+[1]Capital!AI7</f>
        <v>97731.138376999996</v>
      </c>
      <c r="AK165" s="5">
        <f>[1]Capital!AJ5+[1]Capital!AJ7</f>
        <v>100375.78111600001</v>
      </c>
      <c r="AL165" s="5">
        <f>[1]Capital!AK5+[1]Capital!AK7</f>
        <v>103114.45939599999</v>
      </c>
    </row>
    <row r="166" spans="1:3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2595513.2715759999</v>
      </c>
      <c r="D166" s="5">
        <f>[1]Capital!C9+[1]Capital!C11+[1]Capital!C13+[1]Capital!C15+[1]Capital!C17+[1]Capital!C19+[1]Capital!C21+[1]Capital!C23+[1]Capital!C25+[1]Capital!C27+[1]Capital!C41</f>
        <v>2627039.3857069998</v>
      </c>
      <c r="E166" s="5">
        <f>[1]Capital!D9+[1]Capital!D11+[1]Capital!D13+[1]Capital!D15+[1]Capital!D17+[1]Capital!D19+[1]Capital!D21+[1]Capital!D23+[1]Capital!D25+[1]Capital!D27+[1]Capital!D41</f>
        <v>2661448.4602829996</v>
      </c>
      <c r="F166" s="5">
        <f>[1]Capital!E9+[1]Capital!E11+[1]Capital!E13+[1]Capital!E15+[1]Capital!E17+[1]Capital!E19+[1]Capital!E21+[1]Capital!E23+[1]Capital!E25+[1]Capital!E27+[1]Capital!E41</f>
        <v>2699311.6324070003</v>
      </c>
      <c r="G166" s="5">
        <f>[1]Capital!F9+[1]Capital!F11+[1]Capital!F13+[1]Capital!F15+[1]Capital!F17+[1]Capital!F19+[1]Capital!F21+[1]Capital!F23+[1]Capital!F25+[1]Capital!F27+[1]Capital!F41</f>
        <v>2741034.3872150001</v>
      </c>
      <c r="H166" s="5">
        <f>[1]Capital!G9+[1]Capital!G11+[1]Capital!G13+[1]Capital!G15+[1]Capital!G17+[1]Capital!G19+[1]Capital!G21+[1]Capital!G23+[1]Capital!G25+[1]Capital!G27+[1]Capital!G41</f>
        <v>2786908.509602</v>
      </c>
      <c r="I166" s="5">
        <f>[1]Capital!H9+[1]Capital!H11+[1]Capital!H13+[1]Capital!H15+[1]Capital!H17+[1]Capital!H19+[1]Capital!H21+[1]Capital!H23+[1]Capital!H25+[1]Capital!H27+[1]Capital!H41</f>
        <v>2837060.8780950001</v>
      </c>
      <c r="J166" s="5">
        <f>[1]Capital!I9+[1]Capital!I11+[1]Capital!I13+[1]Capital!I15+[1]Capital!I17+[1]Capital!I19+[1]Capital!I21+[1]Capital!I23+[1]Capital!I25+[1]Capital!I27+[1]Capital!I41</f>
        <v>2891546.8286830001</v>
      </c>
      <c r="K166" s="5">
        <f>[1]Capital!J9+[1]Capital!J11+[1]Capital!J13+[1]Capital!J15+[1]Capital!J17+[1]Capital!J19+[1]Capital!J21+[1]Capital!J23+[1]Capital!J25+[1]Capital!J27+[1]Capital!J41</f>
        <v>2950421.2370030005</v>
      </c>
      <c r="L166" s="5">
        <f>[1]Capital!K9+[1]Capital!K11+[1]Capital!K13+[1]Capital!K15+[1]Capital!K17+[1]Capital!K19+[1]Capital!K21+[1]Capital!K23+[1]Capital!K25+[1]Capital!K27+[1]Capital!K41</f>
        <v>3013769.791193</v>
      </c>
      <c r="M166" s="5">
        <f>[1]Capital!L9+[1]Capital!L11+[1]Capital!L13+[1]Capital!L15+[1]Capital!L17+[1]Capital!L19+[1]Capital!L21+[1]Capital!L23+[1]Capital!L25+[1]Capital!L27+[1]Capital!L41</f>
        <v>3081618.8674049997</v>
      </c>
      <c r="N166" s="5">
        <f>[1]Capital!M9+[1]Capital!M11+[1]Capital!M13+[1]Capital!M15+[1]Capital!M17+[1]Capital!M19+[1]Capital!M21+[1]Capital!M23+[1]Capital!M25+[1]Capital!M27+[1]Capital!M41</f>
        <v>3153445.4145329995</v>
      </c>
      <c r="O166" s="5">
        <f>[1]Capital!N9+[1]Capital!N11+[1]Capital!N13+[1]Capital!N15+[1]Capital!N17+[1]Capital!N19+[1]Capital!N21+[1]Capital!N23+[1]Capital!N25+[1]Capital!N27+[1]Capital!N41</f>
        <v>3228705.9306740002</v>
      </c>
      <c r="P166" s="5">
        <f>[1]Capital!O9+[1]Capital!O11+[1]Capital!O13+[1]Capital!O15+[1]Capital!O17+[1]Capital!O19+[1]Capital!O21+[1]Capital!O23+[1]Capital!O25+[1]Capital!O27+[1]Capital!O41</f>
        <v>3306976.507673</v>
      </c>
      <c r="Q166" s="5">
        <f>[1]Capital!P9+[1]Capital!P11+[1]Capital!P13+[1]Capital!P15+[1]Capital!P17+[1]Capital!P19+[1]Capital!P21+[1]Capital!P23+[1]Capital!P25+[1]Capital!P27+[1]Capital!P41</f>
        <v>3388000.2674300005</v>
      </c>
      <c r="R166" s="5">
        <f>[1]Capital!Q9+[1]Capital!Q11+[1]Capital!Q13+[1]Capital!Q15+[1]Capital!Q17+[1]Capital!Q19+[1]Capital!Q21+[1]Capital!Q23+[1]Capital!Q25+[1]Capital!Q27+[1]Capital!Q41</f>
        <v>3471680.4252919997</v>
      </c>
      <c r="S166" s="5">
        <f>[1]Capital!R9+[1]Capital!R11+[1]Capital!R13+[1]Capital!R15+[1]Capital!R17+[1]Capital!R19+[1]Capital!R21+[1]Capital!R23+[1]Capital!R25+[1]Capital!R27+[1]Capital!R41</f>
        <v>3558138.5829499997</v>
      </c>
      <c r="T166" s="5">
        <f>[1]Capital!S9+[1]Capital!S11+[1]Capital!S13+[1]Capital!S15+[1]Capital!S17+[1]Capital!S19+[1]Capital!S21+[1]Capital!S23+[1]Capital!S25+[1]Capital!S27+[1]Capital!S41</f>
        <v>3647672.081454</v>
      </c>
      <c r="U166" s="5">
        <f>[1]Capital!T9+[1]Capital!T11+[1]Capital!T13+[1]Capital!T15+[1]Capital!T17+[1]Capital!T19+[1]Capital!T21+[1]Capital!T23+[1]Capital!T25+[1]Capital!T27+[1]Capital!T41</f>
        <v>3740682.6337589999</v>
      </c>
      <c r="V166" s="5">
        <f>[1]Capital!U9+[1]Capital!U11+[1]Capital!U13+[1]Capital!U15+[1]Capital!U17+[1]Capital!U19+[1]Capital!U21+[1]Capital!U23+[1]Capital!U25+[1]Capital!U27+[1]Capital!U41</f>
        <v>3837608.5412869998</v>
      </c>
      <c r="W166" s="5">
        <f>[1]Capital!V9+[1]Capital!V11+[1]Capital!V13+[1]Capital!V15+[1]Capital!V17+[1]Capital!V19+[1]Capital!V21+[1]Capital!V23+[1]Capital!V25+[1]Capital!V27+[1]Capital!V41</f>
        <v>3938842.0706760003</v>
      </c>
      <c r="X166" s="5">
        <f>[1]Capital!W9+[1]Capital!W11+[1]Capital!W13+[1]Capital!W15+[1]Capital!W17+[1]Capital!W19+[1]Capital!W21+[1]Capital!W23+[1]Capital!W25+[1]Capital!W27+[1]Capital!W41</f>
        <v>4044814.6792620001</v>
      </c>
      <c r="Y166" s="5">
        <f>[1]Capital!X9+[1]Capital!X11+[1]Capital!X13+[1]Capital!X15+[1]Capital!X17+[1]Capital!X19+[1]Capital!X21+[1]Capital!X23+[1]Capital!X25+[1]Capital!X27+[1]Capital!X41</f>
        <v>4155977.3426679997</v>
      </c>
      <c r="Z166" s="5">
        <f>[1]Capital!Y9+[1]Capital!Y11+[1]Capital!Y13+[1]Capital!Y15+[1]Capital!Y17+[1]Capital!Y19+[1]Capital!Y21+[1]Capital!Y23+[1]Capital!Y25+[1]Capital!Y27+[1]Capital!Y41</f>
        <v>4272779.289826001</v>
      </c>
      <c r="AA166" s="5">
        <f>[1]Capital!Z9+[1]Capital!Z11+[1]Capital!Z13+[1]Capital!Z15+[1]Capital!Z17+[1]Capital!Z19+[1]Capital!Z21+[1]Capital!Z23+[1]Capital!Z25+[1]Capital!Z27+[1]Capital!Z41</f>
        <v>4395631.8347749999</v>
      </c>
      <c r="AB166" s="5">
        <f>[1]Capital!AA9+[1]Capital!AA11+[1]Capital!AA13+[1]Capital!AA15+[1]Capital!AA17+[1]Capital!AA19+[1]Capital!AA21+[1]Capital!AA23+[1]Capital!AA25+[1]Capital!AA27+[1]Capital!AA41</f>
        <v>4524738.6176470006</v>
      </c>
      <c r="AC166" s="5">
        <f>[1]Capital!AB9+[1]Capital!AB11+[1]Capital!AB13+[1]Capital!AB15+[1]Capital!AB17+[1]Capital!AB19+[1]Capital!AB21+[1]Capital!AB23+[1]Capital!AB25+[1]Capital!AB27+[1]Capital!AB41</f>
        <v>4660328.4230320007</v>
      </c>
      <c r="AD166" s="5">
        <f>[1]Capital!AC9+[1]Capital!AC11+[1]Capital!AC13+[1]Capital!AC15+[1]Capital!AC17+[1]Capital!AC19+[1]Capital!AC21+[1]Capital!AC23+[1]Capital!AC25+[1]Capital!AC27+[1]Capital!AC41</f>
        <v>4802662.5173589997</v>
      </c>
      <c r="AE166" s="5">
        <f>[1]Capital!AD9+[1]Capital!AD11+[1]Capital!AD13+[1]Capital!AD15+[1]Capital!AD17+[1]Capital!AD19+[1]Capital!AD21+[1]Capital!AD23+[1]Capital!AD25+[1]Capital!AD27+[1]Capital!AD41</f>
        <v>4952020.1015599994</v>
      </c>
      <c r="AF166" s="5">
        <f>[1]Capital!AE9+[1]Capital!AE11+[1]Capital!AE13+[1]Capital!AE15+[1]Capital!AE17+[1]Capital!AE19+[1]Capital!AE21+[1]Capital!AE23+[1]Capital!AE25+[1]Capital!AE27+[1]Capital!AE41</f>
        <v>5108643.7520970004</v>
      </c>
      <c r="AG166" s="5">
        <f>[1]Capital!AF9+[1]Capital!AF11+[1]Capital!AF13+[1]Capital!AF15+[1]Capital!AF17+[1]Capital!AF19+[1]Capital!AF21+[1]Capital!AF23+[1]Capital!AF25+[1]Capital!AF27+[1]Capital!AF41</f>
        <v>5272695.9605400003</v>
      </c>
      <c r="AH166" s="5">
        <f>[1]Capital!AG9+[1]Capital!AG11+[1]Capital!AG13+[1]Capital!AG15+[1]Capital!AG17+[1]Capital!AG19+[1]Capital!AG21+[1]Capital!AG23+[1]Capital!AG25+[1]Capital!AG27+[1]Capital!AG41</f>
        <v>5444259.0051189996</v>
      </c>
      <c r="AI166" s="5">
        <f>[1]Capital!AH9+[1]Capital!AH11+[1]Capital!AH13+[1]Capital!AH15+[1]Capital!AH17+[1]Capital!AH19+[1]Capital!AH21+[1]Capital!AH23+[1]Capital!AH25+[1]Capital!AH27+[1]Capital!AH41</f>
        <v>5623352.6245100005</v>
      </c>
      <c r="AJ166" s="5">
        <f>[1]Capital!AI9+[1]Capital!AI11+[1]Capital!AI13+[1]Capital!AI15+[1]Capital!AI17+[1]Capital!AI19+[1]Capital!AI21+[1]Capital!AI23+[1]Capital!AI25+[1]Capital!AI27+[1]Capital!AI41</f>
        <v>5809943.62519</v>
      </c>
      <c r="AK166" s="5">
        <f>[1]Capital!AJ9+[1]Capital!AJ11+[1]Capital!AJ13+[1]Capital!AJ15+[1]Capital!AJ17+[1]Capital!AJ19+[1]Capital!AJ21+[1]Capital!AJ23+[1]Capital!AJ25+[1]Capital!AJ27+[1]Capital!AJ41</f>
        <v>6003946.9136300003</v>
      </c>
      <c r="AL166" s="5">
        <f>[1]Capital!AK9+[1]Capital!AK11+[1]Capital!AK13+[1]Capital!AK15+[1]Capital!AK17+[1]Capital!AK19+[1]Capital!AK21+[1]Capital!AK23+[1]Capital!AK25+[1]Capital!AK27+[1]Capital!AK41</f>
        <v>6205220.4735400006</v>
      </c>
    </row>
    <row r="167" spans="1:38" x14ac:dyDescent="0.35">
      <c r="B167" t="s">
        <v>9</v>
      </c>
      <c r="C167" s="5">
        <f>[1]Capital!B29+[1]Capital!B31+[1]Capital!B33+[1]Capital!B35</f>
        <v>88549.631506999998</v>
      </c>
      <c r="D167" s="5">
        <f>[1]Capital!C29+[1]Capital!C31+[1]Capital!C33+[1]Capital!C35</f>
        <v>89648.035091000012</v>
      </c>
      <c r="E167" s="5">
        <f>[1]Capital!D29+[1]Capital!D31+[1]Capital!D33+[1]Capital!D35</f>
        <v>90865.213430000003</v>
      </c>
      <c r="F167" s="5">
        <f>[1]Capital!E29+[1]Capital!E31+[1]Capital!E33+[1]Capital!E35</f>
        <v>92211.70348099999</v>
      </c>
      <c r="G167" s="5">
        <f>[1]Capital!F29+[1]Capital!F31+[1]Capital!F33+[1]Capital!F35</f>
        <v>93692.351041999995</v>
      </c>
      <c r="H167" s="5">
        <f>[1]Capital!G29+[1]Capital!G31+[1]Capital!G33+[1]Capital!G35</f>
        <v>95310.794456999996</v>
      </c>
      <c r="I167" s="5">
        <f>[1]Capital!H29+[1]Capital!H31+[1]Capital!H33+[1]Capital!H35</f>
        <v>97066.418460000001</v>
      </c>
      <c r="J167" s="5">
        <f>[1]Capital!I29+[1]Capital!I31+[1]Capital!I33+[1]Capital!I35</f>
        <v>98956.791571000009</v>
      </c>
      <c r="K167" s="5">
        <f>[1]Capital!J29+[1]Capital!J31+[1]Capital!J33+[1]Capital!J35</f>
        <v>100978.811371</v>
      </c>
      <c r="L167" s="5">
        <f>[1]Capital!K29+[1]Capital!K31+[1]Capital!K33+[1]Capital!K35</f>
        <v>103129.630024</v>
      </c>
      <c r="M167" s="5">
        <f>[1]Capital!L29+[1]Capital!L31+[1]Capital!L33+[1]Capital!L35</f>
        <v>105399.317566</v>
      </c>
      <c r="N167" s="5">
        <f>[1]Capital!M29+[1]Capital!M31+[1]Capital!M33+[1]Capital!M35</f>
        <v>107746.16821899998</v>
      </c>
      <c r="O167" s="5">
        <f>[1]Capital!N29+[1]Capital!N31+[1]Capital!N33+[1]Capital!N35</f>
        <v>110133.029966</v>
      </c>
      <c r="P167" s="5">
        <f>[1]Capital!O29+[1]Capital!O31+[1]Capital!O33+[1]Capital!O35</f>
        <v>112533.30708700001</v>
      </c>
      <c r="Q167" s="5">
        <f>[1]Capital!P29+[1]Capital!P31+[1]Capital!P33+[1]Capital!P35</f>
        <v>114932.03199</v>
      </c>
      <c r="R167" s="5">
        <f>[1]Capital!Q29+[1]Capital!Q31+[1]Capital!Q33+[1]Capital!Q35</f>
        <v>117324.316061</v>
      </c>
      <c r="S167" s="5">
        <f>[1]Capital!R29+[1]Capital!R31+[1]Capital!R33+[1]Capital!R35</f>
        <v>119715.86977600001</v>
      </c>
      <c r="T167" s="5">
        <f>[1]Capital!S29+[1]Capital!S31+[1]Capital!S33+[1]Capital!S35</f>
        <v>122120.35525800001</v>
      </c>
      <c r="U167" s="5">
        <f>[1]Capital!T29+[1]Capital!T31+[1]Capital!T33+[1]Capital!T35</f>
        <v>124556.29014299999</v>
      </c>
      <c r="V167" s="5">
        <f>[1]Capital!U29+[1]Capital!U31+[1]Capital!U33+[1]Capital!U35</f>
        <v>127043.85515400002</v>
      </c>
      <c r="W167" s="5">
        <f>[1]Capital!V29+[1]Capital!V31+[1]Capital!V33+[1]Capital!V35</f>
        <v>129602.21672999999</v>
      </c>
      <c r="X167" s="5">
        <f>[1]Capital!W29+[1]Capital!W31+[1]Capital!W33+[1]Capital!W35</f>
        <v>132252.219254</v>
      </c>
      <c r="Y167" s="5">
        <f>[1]Capital!X29+[1]Capital!X31+[1]Capital!X33+[1]Capital!X35</f>
        <v>135015.40914199999</v>
      </c>
      <c r="Z167" s="5">
        <f>[1]Capital!Y29+[1]Capital!Y31+[1]Capital!Y33+[1]Capital!Y35</f>
        <v>137912.99901299999</v>
      </c>
      <c r="AA167" s="5">
        <f>[1]Capital!Z29+[1]Capital!Z31+[1]Capital!Z33+[1]Capital!Z35</f>
        <v>140964.089003</v>
      </c>
      <c r="AB167" s="5">
        <f>[1]Capital!AA29+[1]Capital!AA31+[1]Capital!AA33+[1]Capital!AA35</f>
        <v>144181.05764499999</v>
      </c>
      <c r="AC167" s="5">
        <f>[1]Capital!AB29+[1]Capital!AB31+[1]Capital!AB33+[1]Capital!AB35</f>
        <v>147578.05068499999</v>
      </c>
      <c r="AD167" s="5">
        <f>[1]Capital!AC29+[1]Capital!AC31+[1]Capital!AC33+[1]Capital!AC35</f>
        <v>151170.37167399999</v>
      </c>
      <c r="AE167" s="5">
        <f>[1]Capital!AD29+[1]Capital!AD31+[1]Capital!AD33+[1]Capital!AD35</f>
        <v>154973.09055199998</v>
      </c>
      <c r="AF167" s="5">
        <f>[1]Capital!AE29+[1]Capital!AE31+[1]Capital!AE33+[1]Capital!AE35</f>
        <v>158997.154981</v>
      </c>
      <c r="AG167" s="5">
        <f>[1]Capital!AF29+[1]Capital!AF31+[1]Capital!AF33+[1]Capital!AF35</f>
        <v>163247.05555599998</v>
      </c>
      <c r="AH167" s="5">
        <f>[1]Capital!AG29+[1]Capital!AG31+[1]Capital!AG33+[1]Capital!AG35</f>
        <v>167721.50463700001</v>
      </c>
      <c r="AI167" s="5">
        <f>[1]Capital!AH29+[1]Capital!AH31+[1]Capital!AH33+[1]Capital!AH35</f>
        <v>172415.05485200003</v>
      </c>
      <c r="AJ167" s="5">
        <f>[1]Capital!AI29+[1]Capital!AI31+[1]Capital!AI33+[1]Capital!AI35</f>
        <v>177319.074853</v>
      </c>
      <c r="AK167" s="5">
        <f>[1]Capital!AJ29+[1]Capital!AJ31+[1]Capital!AJ33+[1]Capital!AJ35</f>
        <v>182422.214782</v>
      </c>
      <c r="AL167" s="5">
        <f>[1]Capital!AK29+[1]Capital!AK31+[1]Capital!AK33+[1]Capital!AK35</f>
        <v>187710.58326399999</v>
      </c>
    </row>
    <row r="168" spans="1:38" x14ac:dyDescent="0.35">
      <c r="B168" t="s">
        <v>10</v>
      </c>
      <c r="C168" s="5">
        <f>[1]Capital!B37+[1]Capital!B39</f>
        <v>2425571.3405999998</v>
      </c>
      <c r="D168" s="5">
        <f>[1]Capital!C37+[1]Capital!C39</f>
        <v>2454642.4112999998</v>
      </c>
      <c r="E168" s="5">
        <f>[1]Capital!D37+[1]Capital!D39</f>
        <v>2485824.2884</v>
      </c>
      <c r="F168" s="5">
        <f>[1]Capital!E37+[1]Capital!E39</f>
        <v>2519574.5308999997</v>
      </c>
      <c r="G168" s="5">
        <f>[1]Capital!F37+[1]Capital!F39</f>
        <v>2556246.0597000001</v>
      </c>
      <c r="H168" s="5">
        <f>[1]Capital!G37+[1]Capital!G39</f>
        <v>2596067.753</v>
      </c>
      <c r="I168" s="5">
        <f>[1]Capital!H37+[1]Capital!H39</f>
        <v>2639047.0490999999</v>
      </c>
      <c r="J168" s="5">
        <f>[1]Capital!I37+[1]Capital!I39</f>
        <v>2685139.4095000001</v>
      </c>
      <c r="K168" s="5">
        <f>[1]Capital!J37+[1]Capital!J39</f>
        <v>2734300.2108</v>
      </c>
      <c r="L168" s="5">
        <f>[1]Capital!K37+[1]Capital!K39</f>
        <v>2786502.6624000003</v>
      </c>
      <c r="M168" s="5">
        <f>[1]Capital!L37+[1]Capital!L39</f>
        <v>2841744.5655999999</v>
      </c>
      <c r="N168" s="5">
        <f>[1]Capital!M37+[1]Capital!M39</f>
        <v>2899519.3889000001</v>
      </c>
      <c r="O168" s="5">
        <f>[1]Capital!N37+[1]Capital!N39</f>
        <v>2959300.7142000003</v>
      </c>
      <c r="P168" s="5">
        <f>[1]Capital!O37+[1]Capital!O39</f>
        <v>3020639.7710000002</v>
      </c>
      <c r="Q168" s="5">
        <f>[1]Capital!P37+[1]Capital!P39</f>
        <v>3083199.7302999999</v>
      </c>
      <c r="R168" s="5">
        <f>[1]Capital!Q37+[1]Capital!Q39</f>
        <v>3146760.6274000001</v>
      </c>
      <c r="S168" s="5">
        <f>[1]Capital!R37+[1]Capital!R39</f>
        <v>3211303.0057000001</v>
      </c>
      <c r="T168" s="5">
        <f>[1]Capital!S37+[1]Capital!S39</f>
        <v>3276948.4424000001</v>
      </c>
      <c r="U168" s="5">
        <f>[1]Capital!T37+[1]Capital!T39</f>
        <v>3343899.2445999999</v>
      </c>
      <c r="V168" s="5">
        <f>[1]Capital!U37+[1]Capital!U39</f>
        <v>3412390.2829</v>
      </c>
      <c r="W168" s="5">
        <f>[1]Capital!V37+[1]Capital!V39</f>
        <v>3482578.8446999998</v>
      </c>
      <c r="X168" s="5">
        <f>[1]Capital!W37+[1]Capital!W39</f>
        <v>3554752.3854999999</v>
      </c>
      <c r="Y168" s="5">
        <f>[1]Capital!X37+[1]Capital!X39</f>
        <v>3629210.6063999999</v>
      </c>
      <c r="Z168" s="5">
        <f>[1]Capital!Y37+[1]Capital!Y39</f>
        <v>3706258.2631000001</v>
      </c>
      <c r="AA168" s="5">
        <f>[1]Capital!Z37+[1]Capital!Z39</f>
        <v>3786182.2153000003</v>
      </c>
      <c r="AB168" s="5">
        <f>[1]Capital!AA37+[1]Capital!AA39</f>
        <v>3868974.3821999999</v>
      </c>
      <c r="AC168" s="5">
        <f>[1]Capital!AB37+[1]Capital!AB39</f>
        <v>3954841.3722000001</v>
      </c>
      <c r="AD168" s="5">
        <f>[1]Capital!AC37+[1]Capital!AC39</f>
        <v>4044022.4027</v>
      </c>
      <c r="AE168" s="5">
        <f>[1]Capital!AD37+[1]Capital!AD39</f>
        <v>4136780.5454000002</v>
      </c>
      <c r="AF168" s="5">
        <f>[1]Capital!AE37+[1]Capital!AE39</f>
        <v>4233367.3009000001</v>
      </c>
      <c r="AG168" s="5">
        <f>[1]Capital!AF37+[1]Capital!AF39</f>
        <v>4333984.6191999996</v>
      </c>
      <c r="AH168" s="5">
        <f>[1]Capital!AG37+[1]Capital!AG39</f>
        <v>4438774.4078000002</v>
      </c>
      <c r="AI168" s="5">
        <f>[1]Capital!AH37+[1]Capital!AH39</f>
        <v>4547822.165</v>
      </c>
      <c r="AJ168" s="5">
        <f>[1]Capital!AI37+[1]Capital!AI39</f>
        <v>4661158.3958999999</v>
      </c>
      <c r="AK168" s="5">
        <f>[1]Capital!AJ37+[1]Capital!AJ39</f>
        <v>4778757.2867999999</v>
      </c>
      <c r="AL168" s="5">
        <f>[1]Capital!AK37+[1]Capital!AK39</f>
        <v>4900533.7280999999</v>
      </c>
    </row>
    <row r="169" spans="1:38" x14ac:dyDescent="0.35">
      <c r="B169" t="s">
        <v>29</v>
      </c>
      <c r="C169" s="5">
        <f>[1]Capital!B43+[1]Capital!B47</f>
        <v>22925.318520599998</v>
      </c>
      <c r="D169" s="5">
        <f>[1]Capital!C43+[1]Capital!C47</f>
        <v>23181.603566900001</v>
      </c>
      <c r="E169" s="5">
        <f>[1]Capital!D43+[1]Capital!D47</f>
        <v>23436.4024594</v>
      </c>
      <c r="F169" s="5">
        <f>[1]Capital!E43+[1]Capital!E47</f>
        <v>23690.714353500003</v>
      </c>
      <c r="G169" s="5">
        <f>[1]Capital!F43+[1]Capital!F47</f>
        <v>23949.438605299998</v>
      </c>
      <c r="H169" s="5">
        <f>[1]Capital!G43+[1]Capital!G47</f>
        <v>24217.992817500002</v>
      </c>
      <c r="I169" s="5">
        <f>[1]Capital!H43+[1]Capital!H47</f>
        <v>24499.654598699999</v>
      </c>
      <c r="J169" s="5">
        <f>[1]Capital!I43+[1]Capital!I47</f>
        <v>24795.695900699997</v>
      </c>
      <c r="K169" s="5">
        <f>[1]Capital!J43+[1]Capital!J47</f>
        <v>25106.348649399999</v>
      </c>
      <c r="L169" s="5">
        <f>[1]Capital!K43+[1]Capital!K47</f>
        <v>25431.415342699998</v>
      </c>
      <c r="M169" s="5">
        <f>[1]Capital!L43+[1]Capital!L47</f>
        <v>25769.740938200001</v>
      </c>
      <c r="N169" s="5">
        <f>[1]Capital!M43+[1]Capital!M47</f>
        <v>26116.046032400001</v>
      </c>
      <c r="O169" s="5">
        <f>[1]Capital!N43+[1]Capital!N47</f>
        <v>26464.8678416</v>
      </c>
      <c r="P169" s="5">
        <f>[1]Capital!O43+[1]Capital!O47</f>
        <v>26811.721924000001</v>
      </c>
      <c r="Q169" s="5">
        <f>[1]Capital!P43+[1]Capital!P47</f>
        <v>27153.474858199999</v>
      </c>
      <c r="R169" s="5">
        <f>[1]Capital!Q43+[1]Capital!Q47</f>
        <v>27488.313386400001</v>
      </c>
      <c r="S169" s="5">
        <f>[1]Capital!R43+[1]Capital!R47</f>
        <v>27816.622612800002</v>
      </c>
      <c r="T169" s="5">
        <f>[1]Capital!S43+[1]Capital!S47</f>
        <v>28140.4495632</v>
      </c>
      <c r="U169" s="5">
        <f>[1]Capital!T43+[1]Capital!T47</f>
        <v>28462.781137400001</v>
      </c>
      <c r="V169" s="5">
        <f>[1]Capital!U43+[1]Capital!U47</f>
        <v>28786.938584</v>
      </c>
      <c r="W169" s="5">
        <f>[1]Capital!V43+[1]Capital!V47</f>
        <v>29116.117235900001</v>
      </c>
      <c r="X169" s="5">
        <f>[1]Capital!W43+[1]Capital!W47</f>
        <v>29453.716098200002</v>
      </c>
      <c r="Y169" s="5">
        <f>[1]Capital!X43+[1]Capital!X47</f>
        <v>29803.249777500001</v>
      </c>
      <c r="Z169" s="5">
        <f>[1]Capital!Y43+[1]Capital!Y47</f>
        <v>30168.265906599998</v>
      </c>
      <c r="AA169" s="5">
        <f>[1]Capital!Z43+[1]Capital!Z47</f>
        <v>30552.186913400001</v>
      </c>
      <c r="AB169" s="5">
        <f>[1]Capital!AA43+[1]Capital!AA47</f>
        <v>30957.7128428</v>
      </c>
      <c r="AC169" s="5">
        <f>[1]Capital!AB43+[1]Capital!AB47</f>
        <v>31387.825143800001</v>
      </c>
      <c r="AD169" s="5">
        <f>[1]Capital!AC43+[1]Capital!AC47</f>
        <v>31845.746038400001</v>
      </c>
      <c r="AE169" s="5">
        <f>[1]Capital!AD43+[1]Capital!AD47</f>
        <v>32334.739934500001</v>
      </c>
      <c r="AF169" s="5">
        <f>[1]Capital!AE43+[1]Capital!AE47</f>
        <v>32857.603297399997</v>
      </c>
      <c r="AG169" s="5">
        <f>[1]Capital!AF43+[1]Capital!AF47</f>
        <v>33416.301169699997</v>
      </c>
      <c r="AH169" s="5">
        <f>[1]Capital!AG43+[1]Capital!AG47</f>
        <v>34011.936845700002</v>
      </c>
      <c r="AI169" s="5">
        <f>[1]Capital!AH43+[1]Capital!AH47</f>
        <v>34644.857295300004</v>
      </c>
      <c r="AJ169" s="5">
        <f>[1]Capital!AI43+[1]Capital!AI47</f>
        <v>35314.722741500002</v>
      </c>
      <c r="AK169" s="5">
        <f>[1]Capital!AJ43+[1]Capital!AJ47</f>
        <v>36020.533689599994</v>
      </c>
      <c r="AL169" s="5">
        <f>[1]Capital!AK43+[1]Capital!AK47</f>
        <v>36760.631563900002</v>
      </c>
    </row>
    <row r="170" spans="1:38" x14ac:dyDescent="0.35">
      <c r="B170" t="s">
        <v>36</v>
      </c>
      <c r="C170" s="5">
        <f>[1]Capital!B45+[1]Capital!B49</f>
        <v>1941.7266724000001</v>
      </c>
      <c r="D170" s="5">
        <f>[1]Capital!C45+[1]Capital!C49</f>
        <v>1962.8779850999999</v>
      </c>
      <c r="E170" s="5">
        <f>[1]Capital!D45+[1]Capital!D49</f>
        <v>1983.1733682999998</v>
      </c>
      <c r="F170" s="5">
        <f>[1]Capital!E45+[1]Capital!E49</f>
        <v>2002.6766522999999</v>
      </c>
      <c r="G170" s="5">
        <f>[1]Capital!F45+[1]Capital!F49</f>
        <v>2021.8743304999998</v>
      </c>
      <c r="H170" s="5">
        <f>[1]Capital!G45+[1]Capital!G49</f>
        <v>2041.2974595000001</v>
      </c>
      <c r="I170" s="5">
        <f>[1]Capital!H45+[1]Capital!H49</f>
        <v>2061.238132</v>
      </c>
      <c r="J170" s="5">
        <f>[1]Capital!I45+[1]Capital!I49</f>
        <v>2081.8242289</v>
      </c>
      <c r="K170" s="5">
        <f>[1]Capital!J45+[1]Capital!J49</f>
        <v>2103.1044671999998</v>
      </c>
      <c r="L170" s="5">
        <f>[1]Capital!K45+[1]Capital!K49</f>
        <v>2125.0919119</v>
      </c>
      <c r="M170" s="5">
        <f>[1]Capital!L45+[1]Capital!L49</f>
        <v>2147.7554507</v>
      </c>
      <c r="N170" s="5">
        <f>[1]Capital!M45+[1]Capital!M49</f>
        <v>2170.8511914999999</v>
      </c>
      <c r="O170" s="5">
        <f>[1]Capital!N45+[1]Capital!N49</f>
        <v>2194.1022158999999</v>
      </c>
      <c r="P170" s="5">
        <f>[1]Capital!O45+[1]Capital!O49</f>
        <v>2217.2636632999997</v>
      </c>
      <c r="Q170" s="5">
        <f>[1]Capital!P45+[1]Capital!P49</f>
        <v>2240.1471996</v>
      </c>
      <c r="R170" s="5">
        <f>[1]Capital!Q45+[1]Capital!Q49</f>
        <v>2262.6257237999998</v>
      </c>
      <c r="S170" s="5">
        <f>[1]Capital!R45+[1]Capital!R49</f>
        <v>2284.7380045</v>
      </c>
      <c r="T170" s="5">
        <f>[1]Capital!S45+[1]Capital!S49</f>
        <v>2306.6140316999999</v>
      </c>
      <c r="U170" s="5">
        <f>[1]Capital!T45+[1]Capital!T49</f>
        <v>2328.4289487000001</v>
      </c>
      <c r="V170" s="5">
        <f>[1]Capital!U45+[1]Capital!U49</f>
        <v>2350.3701531000002</v>
      </c>
      <c r="W170" s="5">
        <f>[1]Capital!V45+[1]Capital!V49</f>
        <v>2372.6080928000001</v>
      </c>
      <c r="X170" s="5">
        <f>[1]Capital!W45+[1]Capital!W49</f>
        <v>2395.325319</v>
      </c>
      <c r="Y170" s="5">
        <f>[1]Capital!X45+[1]Capital!X49</f>
        <v>2418.7105255000001</v>
      </c>
      <c r="Z170" s="5">
        <f>[1]Capital!Y45+[1]Capital!Y49</f>
        <v>2442.955602</v>
      </c>
      <c r="AA170" s="5">
        <f>[1]Capital!Z45+[1]Capital!Z49</f>
        <v>2468.2490181000003</v>
      </c>
      <c r="AB170" s="5">
        <f>[1]Capital!AA45+[1]Capital!AA49</f>
        <v>2494.7299161000001</v>
      </c>
      <c r="AC170" s="5">
        <f>[1]Capital!AB45+[1]Capital!AB49</f>
        <v>2522.5604693</v>
      </c>
      <c r="AD170" s="5">
        <f>[1]Capital!AC45+[1]Capital!AC49</f>
        <v>2551.9199592</v>
      </c>
      <c r="AE170" s="5">
        <f>[1]Capital!AD45+[1]Capital!AD49</f>
        <v>2582.9947066999998</v>
      </c>
      <c r="AF170" s="5">
        <f>[1]Capital!AE45+[1]Capital!AE49</f>
        <v>2615.9540828999998</v>
      </c>
      <c r="AG170" s="5">
        <f>[1]Capital!AF45+[1]Capital!AF49</f>
        <v>2650.9303712999999</v>
      </c>
      <c r="AH170" s="5">
        <f>[1]Capital!AG45+[1]Capital!AG49</f>
        <v>2688.0126548999997</v>
      </c>
      <c r="AI170" s="5">
        <f>[1]Capital!AH45+[1]Capital!AH49</f>
        <v>2727.2476514</v>
      </c>
      <c r="AJ170" s="5">
        <f>[1]Capital!AI45+[1]Capital!AI49</f>
        <v>2768.6403172</v>
      </c>
      <c r="AK170" s="5">
        <f>[1]Capital!AJ45+[1]Capital!AJ49</f>
        <v>2812.1532847999997</v>
      </c>
      <c r="AL170" s="5">
        <f>[1]Capital!AK45+[1]Capital!AK49</f>
        <v>2857.7057742000002</v>
      </c>
    </row>
    <row r="171" spans="1:38" x14ac:dyDescent="0.35">
      <c r="B171" t="s">
        <v>33</v>
      </c>
      <c r="C171" s="5">
        <f>[1]Capital!B51+[1]Capital!B53+[1]Capital!B55+[1]Capital!B57+[1]Capital!B59+[1]Capital!B61+[1]Capital!B63+[1]Capital!B65+[1]Capital!B67</f>
        <v>40303.597149320005</v>
      </c>
      <c r="D171" s="5">
        <f>[1]Capital!C51+[1]Capital!C53+[1]Capital!C55+[1]Capital!C57+[1]Capital!C59+[1]Capital!C61+[1]Capital!C63+[1]Capital!C65+[1]Capital!C67</f>
        <v>40783.168113680003</v>
      </c>
      <c r="E171" s="5">
        <f>[1]Capital!D51+[1]Capital!D53+[1]Capital!D55+[1]Capital!D57+[1]Capital!D59+[1]Capital!D61+[1]Capital!D63+[1]Capital!D65+[1]Capital!D67</f>
        <v>41280.577705000003</v>
      </c>
      <c r="F171" s="5">
        <f>[1]Capital!E51+[1]Capital!E53+[1]Capital!E55+[1]Capital!E57+[1]Capital!E59+[1]Capital!E61+[1]Capital!E63+[1]Capital!E65+[1]Capital!E67</f>
        <v>41799.255908940002</v>
      </c>
      <c r="G171" s="5">
        <f>[1]Capital!F51+[1]Capital!F53+[1]Capital!F55+[1]Capital!F57+[1]Capital!F59+[1]Capital!F61+[1]Capital!F63+[1]Capital!F65+[1]Capital!F67</f>
        <v>42336.616620640001</v>
      </c>
      <c r="H171" s="5">
        <f>[1]Capital!G51+[1]Capital!G53+[1]Capital!G55+[1]Capital!G57+[1]Capital!G59+[1]Capital!G61+[1]Capital!G63+[1]Capital!G65+[1]Capital!G67</f>
        <v>42891.927368749995</v>
      </c>
      <c r="I171" s="5">
        <f>[1]Capital!H51+[1]Capital!H53+[1]Capital!H55+[1]Capital!H57+[1]Capital!H59+[1]Capital!H61+[1]Capital!H63+[1]Capital!H65+[1]Capital!H67</f>
        <v>43466.265328270005</v>
      </c>
      <c r="J171" s="5">
        <f>[1]Capital!I51+[1]Capital!I53+[1]Capital!I55+[1]Capital!I57+[1]Capital!I59+[1]Capital!I61+[1]Capital!I63+[1]Capital!I65+[1]Capital!I67</f>
        <v>44061.316698999995</v>
      </c>
      <c r="K171" s="5">
        <f>[1]Capital!J51+[1]Capital!J53+[1]Capital!J55+[1]Capital!J57+[1]Capital!J59+[1]Capital!J61+[1]Capital!J63+[1]Capital!J65+[1]Capital!J67</f>
        <v>44677.953349229996</v>
      </c>
      <c r="L171" s="5">
        <f>[1]Capital!K51+[1]Capital!K53+[1]Capital!K55+[1]Capital!K57+[1]Capital!K59+[1]Capital!K61+[1]Capital!K63+[1]Capital!K65+[1]Capital!K67</f>
        <v>45316.243090489996</v>
      </c>
      <c r="M171" s="5">
        <f>[1]Capital!L51+[1]Capital!L53+[1]Capital!L55+[1]Capital!L57+[1]Capital!L59+[1]Capital!L61+[1]Capital!L63+[1]Capital!L65+[1]Capital!L67</f>
        <v>45975.003088090001</v>
      </c>
      <c r="N171" s="5">
        <f>[1]Capital!M51+[1]Capital!M53+[1]Capital!M55+[1]Capital!M57+[1]Capital!M59+[1]Capital!M61+[1]Capital!M63+[1]Capital!M65+[1]Capital!M67</f>
        <v>46644.641430709999</v>
      </c>
      <c r="O171" s="5">
        <f>[1]Capital!N51+[1]Capital!N53+[1]Capital!N55+[1]Capital!N57+[1]Capital!N59+[1]Capital!N61+[1]Capital!N63+[1]Capital!N65+[1]Capital!N67</f>
        <v>47314.455492530004</v>
      </c>
      <c r="P171" s="5">
        <f>[1]Capital!O51+[1]Capital!O53+[1]Capital!O55+[1]Capital!O57+[1]Capital!O59+[1]Capital!O61+[1]Capital!O63+[1]Capital!O65+[1]Capital!O67</f>
        <v>47975.266995529993</v>
      </c>
      <c r="Q171" s="5">
        <f>[1]Capital!P51+[1]Capital!P53+[1]Capital!P55+[1]Capital!P57+[1]Capital!P59+[1]Capital!P61+[1]Capital!P63+[1]Capital!P65+[1]Capital!P67</f>
        <v>48620.583431769999</v>
      </c>
      <c r="R171" s="5">
        <f>[1]Capital!Q51+[1]Capital!Q53+[1]Capital!Q55+[1]Capital!Q57+[1]Capital!Q59+[1]Capital!Q61+[1]Capital!Q63+[1]Capital!Q65+[1]Capital!Q67</f>
        <v>49246.86551078</v>
      </c>
      <c r="S171" s="5">
        <f>[1]Capital!R51+[1]Capital!R53+[1]Capital!R55+[1]Capital!R57+[1]Capital!R59+[1]Capital!R61+[1]Capital!R63+[1]Capital!R65+[1]Capital!R67</f>
        <v>49852.662040180003</v>
      </c>
      <c r="T171" s="5">
        <f>[1]Capital!S51+[1]Capital!S53+[1]Capital!S55+[1]Capital!S57+[1]Capital!S59+[1]Capital!S61+[1]Capital!S63+[1]Capital!S65+[1]Capital!S67</f>
        <v>50439.446020210009</v>
      </c>
      <c r="U171" s="5">
        <f>[1]Capital!T51+[1]Capital!T53+[1]Capital!T55+[1]Capital!T57+[1]Capital!T59+[1]Capital!T61+[1]Capital!T63+[1]Capital!T65+[1]Capital!T67</f>
        <v>51011.37084956</v>
      </c>
      <c r="V171" s="5">
        <f>[1]Capital!U51+[1]Capital!U53+[1]Capital!U55+[1]Capital!U57+[1]Capital!U59+[1]Capital!U61+[1]Capital!U63+[1]Capital!U65+[1]Capital!U67</f>
        <v>51574.357671310005</v>
      </c>
      <c r="W171" s="5">
        <f>[1]Capital!V51+[1]Capital!V53+[1]Capital!V55+[1]Capital!V57+[1]Capital!V59+[1]Capital!V61+[1]Capital!V63+[1]Capital!V65+[1]Capital!V67</f>
        <v>52134.654812199988</v>
      </c>
      <c r="X171" s="5">
        <f>[1]Capital!W51+[1]Capital!W53+[1]Capital!W55+[1]Capital!W57+[1]Capital!W59+[1]Capital!W61+[1]Capital!W63+[1]Capital!W65+[1]Capital!W67</f>
        <v>52700.282605779998</v>
      </c>
      <c r="Y171" s="5">
        <f>[1]Capital!X51+[1]Capital!X53+[1]Capital!X55+[1]Capital!X57+[1]Capital!X59+[1]Capital!X61+[1]Capital!X63+[1]Capital!X65+[1]Capital!X67</f>
        <v>53279.964101250007</v>
      </c>
      <c r="Z171" s="5">
        <f>[1]Capital!Y51+[1]Capital!Y53+[1]Capital!Y55+[1]Capital!Y57+[1]Capital!Y59+[1]Capital!Y61+[1]Capital!Y63+[1]Capital!Y65+[1]Capital!Y67</f>
        <v>53882.642128180014</v>
      </c>
      <c r="AA171" s="5">
        <f>[1]Capital!Z51+[1]Capital!Z53+[1]Capital!Z55+[1]Capital!Z57+[1]Capital!Z59+[1]Capital!Z61+[1]Capital!Z63+[1]Capital!Z65+[1]Capital!Z67</f>
        <v>54517.088311260006</v>
      </c>
      <c r="AB171" s="5">
        <f>[1]Capital!AA51+[1]Capital!AA53+[1]Capital!AA55+[1]Capital!AA57+[1]Capital!AA59+[1]Capital!AA61+[1]Capital!AA63+[1]Capital!AA65+[1]Capital!AA67</f>
        <v>55189.395189070005</v>
      </c>
      <c r="AC171" s="5">
        <f>[1]Capital!AB51+[1]Capital!AB53+[1]Capital!AB55+[1]Capital!AB57+[1]Capital!AB59+[1]Capital!AB61+[1]Capital!AB63+[1]Capital!AB65+[1]Capital!AB67</f>
        <v>55907.110947740002</v>
      </c>
      <c r="AD171" s="5">
        <f>[1]Capital!AC51+[1]Capital!AC53+[1]Capital!AC55+[1]Capital!AC57+[1]Capital!AC59+[1]Capital!AC61+[1]Capital!AC63+[1]Capital!AC65+[1]Capital!AC67</f>
        <v>56678.105270579988</v>
      </c>
      <c r="AE171" s="5">
        <f>[1]Capital!AD51+[1]Capital!AD53+[1]Capital!AD55+[1]Capital!AD57+[1]Capital!AD59+[1]Capital!AD61+[1]Capital!AD63+[1]Capital!AD65+[1]Capital!AD67</f>
        <v>57509.936892339996</v>
      </c>
      <c r="AF171" s="5">
        <f>[1]Capital!AE51+[1]Capital!AE53+[1]Capital!AE55+[1]Capital!AE57+[1]Capital!AE59+[1]Capital!AE61+[1]Capital!AE63+[1]Capital!AE65+[1]Capital!AE67</f>
        <v>58408.827956170011</v>
      </c>
      <c r="AG171" s="5">
        <f>[1]Capital!AF51+[1]Capital!AF53+[1]Capital!AF55+[1]Capital!AF57+[1]Capital!AF59+[1]Capital!AF61+[1]Capital!AF63+[1]Capital!AF65+[1]Capital!AF67</f>
        <v>59378.965787719993</v>
      </c>
      <c r="AH171" s="5">
        <f>[1]Capital!AG51+[1]Capital!AG53+[1]Capital!AG55+[1]Capital!AG57+[1]Capital!AG59+[1]Capital!AG61+[1]Capital!AG63+[1]Capital!AG65+[1]Capital!AG67</f>
        <v>60422.425994389989</v>
      </c>
      <c r="AI171" s="5">
        <f>[1]Capital!AH51+[1]Capital!AH53+[1]Capital!AH55+[1]Capital!AH57+[1]Capital!AH59+[1]Capital!AH61+[1]Capital!AH63+[1]Capital!AH65+[1]Capital!AH67</f>
        <v>61539.406889400008</v>
      </c>
      <c r="AJ171" s="5">
        <f>[1]Capital!AI51+[1]Capital!AI53+[1]Capital!AI55+[1]Capital!AI57+[1]Capital!AI59+[1]Capital!AI61+[1]Capital!AI63+[1]Capital!AI65+[1]Capital!AI67</f>
        <v>62728.452958299997</v>
      </c>
      <c r="AK171" s="5">
        <f>[1]Capital!AJ51+[1]Capital!AJ53+[1]Capital!AJ55+[1]Capital!AJ57+[1]Capital!AJ59+[1]Capital!AJ61+[1]Capital!AJ63+[1]Capital!AJ65+[1]Capital!AJ67</f>
        <v>63986.622262600002</v>
      </c>
      <c r="AL171" s="5">
        <f>[1]Capital!AK51+[1]Capital!AK53+[1]Capital!AK55+[1]Capital!AK57+[1]Capital!AK59+[1]Capital!AK61+[1]Capital!AK63+[1]Capital!AK65+[1]Capital!AK67</f>
        <v>65309.617317200005</v>
      </c>
    </row>
    <row r="172" spans="1:3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x14ac:dyDescent="0.35">
      <c r="A174" t="s">
        <v>39</v>
      </c>
      <c r="B174" t="s">
        <v>40</v>
      </c>
      <c r="C174" s="5">
        <f>[1]Capital!B2</f>
        <v>5223867.193</v>
      </c>
      <c r="D174" s="5">
        <f>[1]Capital!C2</f>
        <v>5286913.7989999996</v>
      </c>
      <c r="E174" s="5">
        <f>[1]Capital!D2</f>
        <v>5355133.3600000003</v>
      </c>
      <c r="F174" s="5">
        <f>[1]Capital!E2</f>
        <v>5429583.8789999997</v>
      </c>
      <c r="G174" s="5">
        <f>[1]Capital!F2</f>
        <v>5511038.5820000004</v>
      </c>
      <c r="H174" s="5">
        <f>[1]Capital!G2</f>
        <v>5600032.1859999998</v>
      </c>
      <c r="I174" s="5">
        <f>[1]Capital!H2</f>
        <v>5696705.6279999996</v>
      </c>
      <c r="J174" s="5">
        <f>[1]Capital!I2</f>
        <v>5799691.591</v>
      </c>
      <c r="K174" s="5">
        <f>[1]Capital!J2</f>
        <v>5908640.5750000002</v>
      </c>
      <c r="L174" s="5">
        <f>[1]Capital!K2</f>
        <v>6025122.5389999999</v>
      </c>
      <c r="M174" s="5">
        <f>[1]Capital!L2</f>
        <v>6149955.6979999999</v>
      </c>
      <c r="N174" s="5">
        <f>[1]Capital!M2</f>
        <v>6282459.307</v>
      </c>
      <c r="O174" s="5">
        <f>[1]Capital!N2</f>
        <v>6421618.9840000002</v>
      </c>
      <c r="P174" s="5">
        <f>[1]Capital!O2</f>
        <v>6566568.5530000003</v>
      </c>
      <c r="Q174" s="5">
        <f>[1]Capital!P2</f>
        <v>6716828.1509999996</v>
      </c>
      <c r="R174" s="5">
        <f>[1]Capital!Q2</f>
        <v>6872255.96</v>
      </c>
      <c r="S174" s="5">
        <f>[1]Capital!R2</f>
        <v>7032865.7539999997</v>
      </c>
      <c r="T174" s="5">
        <f>[1]Capital!S2</f>
        <v>7199002.108</v>
      </c>
      <c r="U174" s="5">
        <f>[1]Capital!T2</f>
        <v>7371271.3930000002</v>
      </c>
      <c r="V174" s="5">
        <f>[1]Capital!U2</f>
        <v>7550440.8640000001</v>
      </c>
      <c r="W174" s="5">
        <f>[1]Capital!V2</f>
        <v>7737234.159</v>
      </c>
      <c r="X174" s="5">
        <f>[1]Capital!W2</f>
        <v>7932614.3490000004</v>
      </c>
      <c r="Y174" s="5">
        <f>[1]Capital!X2</f>
        <v>8137634.3449999997</v>
      </c>
      <c r="Z174" s="5">
        <f>[1]Capital!Y2</f>
        <v>8353412.534</v>
      </c>
      <c r="AA174" s="5">
        <f>[1]Capital!Z2</f>
        <v>8581071.3090000004</v>
      </c>
      <c r="AB174" s="5">
        <f>[1]Capital!AA2</f>
        <v>8821257.2620000001</v>
      </c>
      <c r="AC174" s="5">
        <f>[1]Capital!AB2</f>
        <v>9074917.3920000009</v>
      </c>
      <c r="AD174" s="5">
        <f>[1]Capital!AC2</f>
        <v>9343049.3310000002</v>
      </c>
      <c r="AE174" s="5">
        <f>[1]Capital!AD2</f>
        <v>9626733.4519999996</v>
      </c>
      <c r="AF174" s="5">
        <f>[1]Capital!AE2</f>
        <v>9927064.1339999996</v>
      </c>
      <c r="AG174" s="5">
        <f>[1]Capital!AF2</f>
        <v>10245074.49</v>
      </c>
      <c r="AH174" s="5">
        <f>[1]Capital!AG2</f>
        <v>10581718.460000001</v>
      </c>
      <c r="AI174" s="5">
        <f>[1]Capital!AH2</f>
        <v>10937903.619999999</v>
      </c>
      <c r="AJ174" s="5">
        <f>[1]Capital!AI2</f>
        <v>11314550.310000001</v>
      </c>
      <c r="AK174" s="5">
        <f>[1]Capital!AJ2</f>
        <v>11712640.59</v>
      </c>
      <c r="AL174" s="5">
        <f>[1]Capital!AK2</f>
        <v>12133265.470000001</v>
      </c>
    </row>
    <row r="175" spans="1:38" x14ac:dyDescent="0.35">
      <c r="B175" t="s">
        <v>7</v>
      </c>
      <c r="C175" s="5">
        <f>[1]Capital!B4+[1]Capital!B6</f>
        <v>49062.307435000002</v>
      </c>
      <c r="D175" s="5">
        <f>[1]Capital!C4+[1]Capital!C6</f>
        <v>49656.316759999994</v>
      </c>
      <c r="E175" s="5">
        <f>[1]Capital!D4+[1]Capital!D6</f>
        <v>50295.244162999996</v>
      </c>
      <c r="F175" s="5">
        <f>[1]Capital!E4+[1]Capital!E6</f>
        <v>50993.365405000004</v>
      </c>
      <c r="G175" s="5">
        <f>[1]Capital!F4+[1]Capital!F6</f>
        <v>51757.853329000005</v>
      </c>
      <c r="H175" s="5">
        <f>[1]Capital!G4+[1]Capital!G6</f>
        <v>52593.911286000002</v>
      </c>
      <c r="I175" s="5">
        <f>[1]Capital!H4+[1]Capital!H6</f>
        <v>53504.123931999995</v>
      </c>
      <c r="J175" s="5">
        <f>[1]Capital!I4+[1]Capital!I6</f>
        <v>54491.746608000001</v>
      </c>
      <c r="K175" s="5">
        <f>[1]Capital!J4+[1]Capital!J6</f>
        <v>55558.452303999999</v>
      </c>
      <c r="L175" s="5">
        <f>[1]Capital!K4+[1]Capital!K6</f>
        <v>56724.498776</v>
      </c>
      <c r="M175" s="5">
        <f>[1]Capital!L4+[1]Capital!L6</f>
        <v>57998.359300999997</v>
      </c>
      <c r="N175" s="5">
        <f>[1]Capital!M4+[1]Capital!M6</f>
        <v>59364.212165999998</v>
      </c>
      <c r="O175" s="5">
        <f>[1]Capital!N4+[1]Capital!N6</f>
        <v>60803.629527999998</v>
      </c>
      <c r="P175" s="5">
        <f>[1]Capital!O4+[1]Capital!O6</f>
        <v>62300.823237000004</v>
      </c>
      <c r="Q175" s="5">
        <f>[1]Capital!P4+[1]Capital!P6</f>
        <v>63844.798702</v>
      </c>
      <c r="R175" s="5">
        <f>[1]Capital!Q4+[1]Capital!Q6</f>
        <v>65428.545905999999</v>
      </c>
      <c r="S175" s="5">
        <f>[1]Capital!R4+[1]Capital!R6</f>
        <v>67051.251963999995</v>
      </c>
      <c r="T175" s="5">
        <f>[1]Capital!S4+[1]Capital!S6</f>
        <v>68714.152889999998</v>
      </c>
      <c r="U175" s="5">
        <f>[1]Capital!T4+[1]Capital!T6</f>
        <v>70420.485914000004</v>
      </c>
      <c r="V175" s="5">
        <f>[1]Capital!U4+[1]Capital!U6</f>
        <v>72174.714578999992</v>
      </c>
      <c r="W175" s="5">
        <f>[1]Capital!V4+[1]Capital!V6</f>
        <v>73980.807195999994</v>
      </c>
      <c r="X175" s="5">
        <f>[1]Capital!W4+[1]Capital!W6</f>
        <v>75844.186054999998</v>
      </c>
      <c r="Y175" s="5">
        <f>[1]Capital!X4+[1]Capital!X6</f>
        <v>77771.062646999999</v>
      </c>
      <c r="Z175" s="5">
        <f>[1]Capital!Y4+[1]Capital!Y6</f>
        <v>79767.900705000007</v>
      </c>
      <c r="AA175" s="5">
        <f>[1]Capital!Z4+[1]Capital!Z6</f>
        <v>81840.431318999996</v>
      </c>
      <c r="AB175" s="5">
        <f>[1]Capital!AA4+[1]Capital!AA6</f>
        <v>83989.532544000002</v>
      </c>
      <c r="AC175" s="5">
        <f>[1]Capital!AB4+[1]Capital!AB6</f>
        <v>86215.355920000002</v>
      </c>
      <c r="AD175" s="5">
        <f>[1]Capital!AC4+[1]Capital!AC6</f>
        <v>88518.919772999987</v>
      </c>
      <c r="AE175" s="5">
        <f>[1]Capital!AD4+[1]Capital!AD6</f>
        <v>90901.889544999998</v>
      </c>
      <c r="AF175" s="5">
        <f>[1]Capital!AE4+[1]Capital!AE6</f>
        <v>93365.141195999997</v>
      </c>
      <c r="AG175" s="5">
        <f>[1]Capital!AF4+[1]Capital!AF6</f>
        <v>95907.357022000011</v>
      </c>
      <c r="AH175" s="5">
        <f>[1]Capital!AG4+[1]Capital!AG6</f>
        <v>98524.394644999993</v>
      </c>
      <c r="AI175" s="5">
        <f>[1]Capital!AH4+[1]Capital!AH6</f>
        <v>101209.34299</v>
      </c>
      <c r="AJ175" s="5">
        <f>[1]Capital!AI4+[1]Capital!AI6</f>
        <v>103952.862269</v>
      </c>
      <c r="AK175" s="5">
        <f>[1]Capital!AJ4+[1]Capital!AJ6</f>
        <v>106743.191387</v>
      </c>
      <c r="AL175" s="5">
        <f>[1]Capital!AK4+[1]Capital!AK6</f>
        <v>109565.955732</v>
      </c>
    </row>
    <row r="176" spans="1:3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2595513.2715759999</v>
      </c>
      <c r="D176" s="5">
        <f>[1]Capital!C8+[1]Capital!C10+[1]Capital!C13+[1]Capital!C14+[1]Capital!C16+[1]Capital!C18+[1]Capital!C20+[1]Capital!C22+[1]Capital!C24+[1]Capital!C26+[1]Capital!C40</f>
        <v>2627039.385727</v>
      </c>
      <c r="E176" s="5">
        <f>[1]Capital!D8+[1]Capital!D10+[1]Capital!D13+[1]Capital!D14+[1]Capital!D16+[1]Capital!D18+[1]Capital!D20+[1]Capital!D22+[1]Capital!D24+[1]Capital!D26+[1]Capital!D40</f>
        <v>2661448.4602929996</v>
      </c>
      <c r="F176" s="5">
        <f>[1]Capital!E8+[1]Capital!E10+[1]Capital!E13+[1]Capital!E14+[1]Capital!E16+[1]Capital!E18+[1]Capital!E20+[1]Capital!E22+[1]Capital!E24+[1]Capital!E26+[1]Capital!E40</f>
        <v>2699311.6324270004</v>
      </c>
      <c r="G176" s="5">
        <f>[1]Capital!F8+[1]Capital!F10+[1]Capital!F13+[1]Capital!F14+[1]Capital!F16+[1]Capital!F18+[1]Capital!F20+[1]Capital!F22+[1]Capital!F24+[1]Capital!F26+[1]Capital!F40</f>
        <v>2741034.3872559997</v>
      </c>
      <c r="H176" s="5">
        <f>[1]Capital!G8+[1]Capital!G10+[1]Capital!G13+[1]Capital!G14+[1]Capital!G16+[1]Capital!G18+[1]Capital!G20+[1]Capital!G22+[1]Capital!G24+[1]Capital!G26+[1]Capital!G40</f>
        <v>2786908.5096320002</v>
      </c>
      <c r="I176" s="5">
        <f>[1]Capital!H8+[1]Capital!H10+[1]Capital!H13+[1]Capital!H14+[1]Capital!H16+[1]Capital!H18+[1]Capital!H20+[1]Capital!H22+[1]Capital!H24+[1]Capital!H26+[1]Capital!H40</f>
        <v>2837060.878145</v>
      </c>
      <c r="J176" s="5">
        <f>[1]Capital!I8+[1]Capital!I10+[1]Capital!I13+[1]Capital!I14+[1]Capital!I16+[1]Capital!I18+[1]Capital!I20+[1]Capital!I22+[1]Capital!I24+[1]Capital!I26+[1]Capital!I40</f>
        <v>2890750.5814029998</v>
      </c>
      <c r="K176" s="5">
        <f>[1]Capital!J8+[1]Capital!J10+[1]Capital!J13+[1]Capital!J14+[1]Capital!J16+[1]Capital!J18+[1]Capital!J20+[1]Capital!J22+[1]Capital!J24+[1]Capital!J26+[1]Capital!J40</f>
        <v>2947777.542136</v>
      </c>
      <c r="L176" s="5">
        <f>[1]Capital!K8+[1]Capital!K10+[1]Capital!K13+[1]Capital!K14+[1]Capital!K16+[1]Capital!K18+[1]Capital!K20+[1]Capital!K22+[1]Capital!K24+[1]Capital!K26+[1]Capital!K40</f>
        <v>3009027.0362769999</v>
      </c>
      <c r="M176" s="5">
        <f>[1]Capital!L8+[1]Capital!L10+[1]Capital!L13+[1]Capital!L14+[1]Capital!L16+[1]Capital!L18+[1]Capital!L20+[1]Capital!L22+[1]Capital!L24+[1]Capital!L26+[1]Capital!L40</f>
        <v>3074924.8930929997</v>
      </c>
      <c r="N176" s="5">
        <f>[1]Capital!M8+[1]Capital!M10+[1]Capital!M13+[1]Capital!M14+[1]Capital!M16+[1]Capital!M18+[1]Capital!M20+[1]Capital!M22+[1]Capital!M24+[1]Capital!M26+[1]Capital!M40</f>
        <v>3145155.300663</v>
      </c>
      <c r="O176" s="5">
        <f>[1]Capital!N8+[1]Capital!N10+[1]Capital!N13+[1]Capital!N14+[1]Capital!N16+[1]Capital!N18+[1]Capital!N20+[1]Capital!N22+[1]Capital!N24+[1]Capital!N26+[1]Capital!N40</f>
        <v>3219240.1322190003</v>
      </c>
      <c r="P176" s="5">
        <f>[1]Capital!O8+[1]Capital!O10+[1]Capital!O13+[1]Capital!O14+[1]Capital!O16+[1]Capital!O18+[1]Capital!O20+[1]Capital!O22+[1]Capital!O24+[1]Capital!O26+[1]Capital!O40</f>
        <v>3296804.7717459998</v>
      </c>
      <c r="Q176" s="5">
        <f>[1]Capital!P8+[1]Capital!P10+[1]Capital!P13+[1]Capital!P14+[1]Capital!P16+[1]Capital!P18+[1]Capital!P20+[1]Capital!P22+[1]Capital!P24+[1]Capital!P26+[1]Capital!P40</f>
        <v>3377708.0726139997</v>
      </c>
      <c r="R176" s="5">
        <f>[1]Capital!Q8+[1]Capital!Q10+[1]Capital!Q13+[1]Capital!Q14+[1]Capital!Q16+[1]Capital!Q18+[1]Capital!Q20+[1]Capital!Q22+[1]Capital!Q24+[1]Capital!Q26+[1]Capital!Q40</f>
        <v>3462004.9950259998</v>
      </c>
      <c r="S176" s="5">
        <f>[1]Capital!R8+[1]Capital!R10+[1]Capital!R13+[1]Capital!R14+[1]Capital!R16+[1]Capital!R18+[1]Capital!R20+[1]Capital!R22+[1]Capital!R24+[1]Capital!R26+[1]Capital!R40</f>
        <v>3549804.7469350002</v>
      </c>
      <c r="T176" s="5">
        <f>[1]Capital!S8+[1]Capital!S10+[1]Capital!S13+[1]Capital!S14+[1]Capital!S16+[1]Capital!S18+[1]Capital!S20+[1]Capital!S22+[1]Capital!S24+[1]Capital!S26+[1]Capital!S40</f>
        <v>3641394.5713920002</v>
      </c>
      <c r="U176" s="5">
        <f>[1]Capital!T8+[1]Capital!T10+[1]Capital!T13+[1]Capital!T14+[1]Capital!T16+[1]Capital!T18+[1]Capital!T20+[1]Capital!T22+[1]Capital!T24+[1]Capital!T26+[1]Capital!T40</f>
        <v>3737202.2398480005</v>
      </c>
      <c r="V176" s="5">
        <f>[1]Capital!U8+[1]Capital!U10+[1]Capital!U13+[1]Capital!U14+[1]Capital!U16+[1]Capital!U18+[1]Capital!U20+[1]Capital!U22+[1]Capital!U24+[1]Capital!U26+[1]Capital!U40</f>
        <v>3837740.5388179999</v>
      </c>
      <c r="W176" s="5">
        <f>[1]Capital!V8+[1]Capital!V10+[1]Capital!V13+[1]Capital!V14+[1]Capital!V16+[1]Capital!V18+[1]Capital!V20+[1]Capital!V22+[1]Capital!V24+[1]Capital!V26+[1]Capital!V40</f>
        <v>3943525.0450009997</v>
      </c>
      <c r="X176" s="5">
        <f>[1]Capital!W8+[1]Capital!W10+[1]Capital!W13+[1]Capital!W14+[1]Capital!W16+[1]Capital!W18+[1]Capital!W20+[1]Capital!W22+[1]Capital!W24+[1]Capital!W26+[1]Capital!W40</f>
        <v>4055152.8287650002</v>
      </c>
      <c r="Y176" s="5">
        <f>[1]Capital!X8+[1]Capital!X10+[1]Capital!X13+[1]Capital!X14+[1]Capital!X16+[1]Capital!X18+[1]Capital!X20+[1]Capital!X22+[1]Capital!X24+[1]Capital!X26+[1]Capital!X40</f>
        <v>4173277.8395510004</v>
      </c>
      <c r="Z176" s="5">
        <f>[1]Capital!Y8+[1]Capital!Y10+[1]Capital!Y13+[1]Capital!Y14+[1]Capital!Y16+[1]Capital!Y18+[1]Capital!Y20+[1]Capital!Y22+[1]Capital!Y24+[1]Capital!Y26+[1]Capital!Y40</f>
        <v>4298592.8212430002</v>
      </c>
      <c r="AA176" s="5">
        <f>[1]Capital!Z8+[1]Capital!Z10+[1]Capital!Z13+[1]Capital!Z14+[1]Capital!Z16+[1]Capital!Z18+[1]Capital!Z20+[1]Capital!Z22+[1]Capital!Z24+[1]Capital!Z26+[1]Capital!Z40</f>
        <v>4431795.5978560001</v>
      </c>
      <c r="AB176" s="5">
        <f>[1]Capital!AA8+[1]Capital!AA10+[1]Capital!AA13+[1]Capital!AA14+[1]Capital!AA16+[1]Capital!AA18+[1]Capital!AA20+[1]Capital!AA22+[1]Capital!AA24+[1]Capital!AA26+[1]Capital!AA40</f>
        <v>4573411.0358960005</v>
      </c>
      <c r="AC176" s="5">
        <f>[1]Capital!AB8+[1]Capital!AB10+[1]Capital!AB13+[1]Capital!AB14+[1]Capital!AB16+[1]Capital!AB18+[1]Capital!AB20+[1]Capital!AB22+[1]Capital!AB24+[1]Capital!AB26+[1]Capital!AB40</f>
        <v>4724038.646253</v>
      </c>
      <c r="AD176" s="5">
        <f>[1]Capital!AC8+[1]Capital!AC10+[1]Capital!AC13+[1]Capital!AC14+[1]Capital!AC16+[1]Capital!AC18+[1]Capital!AC20+[1]Capital!AC22+[1]Capital!AC24+[1]Capital!AC26+[1]Capital!AC40</f>
        <v>4884298.8540649991</v>
      </c>
      <c r="AE176" s="5">
        <f>[1]Capital!AD8+[1]Capital!AD10+[1]Capital!AD13+[1]Capital!AD14+[1]Capital!AD16+[1]Capital!AD18+[1]Capital!AD20+[1]Capital!AD22+[1]Capital!AD24+[1]Capital!AD26+[1]Capital!AD40</f>
        <v>5054846.9278809996</v>
      </c>
      <c r="AF176" s="5">
        <f>[1]Capital!AE8+[1]Capital!AE10+[1]Capital!AE13+[1]Capital!AE14+[1]Capital!AE16+[1]Capital!AE18+[1]Capital!AE20+[1]Capital!AE22+[1]Capital!AE24+[1]Capital!AE26+[1]Capital!AE40</f>
        <v>5236337.6728679994</v>
      </c>
      <c r="AG176" s="5">
        <f>[1]Capital!AF8+[1]Capital!AF10+[1]Capital!AF13+[1]Capital!AF14+[1]Capital!AF16+[1]Capital!AF18+[1]Capital!AF20+[1]Capital!AF22+[1]Capital!AF24+[1]Capital!AF26+[1]Capital!AF40</f>
        <v>5429392.248625</v>
      </c>
      <c r="AH176" s="5">
        <f>[1]Capital!AG8+[1]Capital!AG10+[1]Capital!AG13+[1]Capital!AG14+[1]Capital!AG16+[1]Capital!AG18+[1]Capital!AG20+[1]Capital!AG22+[1]Capital!AG24+[1]Capital!AG26+[1]Capital!AG40</f>
        <v>5634596.071808001</v>
      </c>
      <c r="AI176" s="5">
        <f>[1]Capital!AH8+[1]Capital!AH10+[1]Capital!AH13+[1]Capital!AH14+[1]Capital!AH16+[1]Capital!AH18+[1]Capital!AH20+[1]Capital!AH22+[1]Capital!AH24+[1]Capital!AH26+[1]Capital!AH40</f>
        <v>5852519.0566490004</v>
      </c>
      <c r="AJ176" s="5">
        <f>[1]Capital!AI8+[1]Capital!AI10+[1]Capital!AI13+[1]Capital!AI14+[1]Capital!AI16+[1]Capital!AI18+[1]Capital!AI20+[1]Capital!AI22+[1]Capital!AI24+[1]Capital!AI26+[1]Capital!AI40</f>
        <v>6083747.1284849998</v>
      </c>
      <c r="AK176" s="5">
        <f>[1]Capital!AJ8+[1]Capital!AJ10+[1]Capital!AJ13+[1]Capital!AJ14+[1]Capital!AJ16+[1]Capital!AJ18+[1]Capital!AJ20+[1]Capital!AJ22+[1]Capital!AJ24+[1]Capital!AJ26+[1]Capital!AJ40</f>
        <v>6328909.7831760002</v>
      </c>
      <c r="AL176" s="5">
        <f>[1]Capital!AK8+[1]Capital!AK10+[1]Capital!AK13+[1]Capital!AK14+[1]Capital!AK16+[1]Capital!AK18+[1]Capital!AK20+[1]Capital!AK22+[1]Capital!AK24+[1]Capital!AK26+[1]Capital!AK40</f>
        <v>6588705.426891</v>
      </c>
    </row>
    <row r="177" spans="1:38" x14ac:dyDescent="0.35">
      <c r="B177" t="s">
        <v>9</v>
      </c>
      <c r="C177" s="5">
        <f>[1]Capital!B28+[1]Capital!B30+[1]Capital!B32+[1]Capital!B34</f>
        <v>88549.631506999998</v>
      </c>
      <c r="D177" s="5">
        <f>[1]Capital!C28+[1]Capital!C30+[1]Capital!C32+[1]Capital!C34</f>
        <v>89648.035091000012</v>
      </c>
      <c r="E177" s="5">
        <f>[1]Capital!D28+[1]Capital!D30+[1]Capital!D32+[1]Capital!D34</f>
        <v>90865.213430000003</v>
      </c>
      <c r="F177" s="5">
        <f>[1]Capital!E28+[1]Capital!E30+[1]Capital!E32+[1]Capital!E34</f>
        <v>92211.703471000001</v>
      </c>
      <c r="G177" s="5">
        <f>[1]Capital!F28+[1]Capital!F30+[1]Capital!F32+[1]Capital!F34</f>
        <v>93692.351030999998</v>
      </c>
      <c r="H177" s="5">
        <f>[1]Capital!G28+[1]Capital!G30+[1]Capital!G32+[1]Capital!G34</f>
        <v>95310.794456000003</v>
      </c>
      <c r="I177" s="5">
        <f>[1]Capital!H28+[1]Capital!H30+[1]Capital!H32+[1]Capital!H34</f>
        <v>97066.418458999993</v>
      </c>
      <c r="J177" s="5">
        <f>[1]Capital!I28+[1]Capital!I30+[1]Capital!I32+[1]Capital!I34</f>
        <v>98929.464108999993</v>
      </c>
      <c r="K177" s="5">
        <f>[1]Capital!J28+[1]Capital!J30+[1]Capital!J32+[1]Capital!J34</f>
        <v>100900.56737400001</v>
      </c>
      <c r="L177" s="5">
        <f>[1]Capital!K28+[1]Capital!K30+[1]Capital!K32+[1]Capital!K34</f>
        <v>103040.468865</v>
      </c>
      <c r="M177" s="5">
        <f>[1]Capital!L28+[1]Capital!L30+[1]Capital!L32+[1]Capital!L34</f>
        <v>105371.73144</v>
      </c>
      <c r="N177" s="5">
        <f>[1]Capital!M28+[1]Capital!M30+[1]Capital!M32+[1]Capital!M34</f>
        <v>107862.95017600001</v>
      </c>
      <c r="O177" s="5">
        <f>[1]Capital!N28+[1]Capital!N30+[1]Capital!N32+[1]Capital!N34</f>
        <v>110469.939568</v>
      </c>
      <c r="P177" s="5">
        <f>[1]Capital!O28+[1]Capital!O30+[1]Capital!O32+[1]Capital!O34</f>
        <v>113153.484583</v>
      </c>
      <c r="Q177" s="5">
        <f>[1]Capital!P28+[1]Capital!P30+[1]Capital!P32+[1]Capital!P34</f>
        <v>115888.04487499999</v>
      </c>
      <c r="R177" s="5">
        <f>[1]Capital!Q28+[1]Capital!Q30+[1]Capital!Q32+[1]Capital!Q34</f>
        <v>118659.22429199998</v>
      </c>
      <c r="S177" s="5">
        <f>[1]Capital!R28+[1]Capital!R30+[1]Capital!R32+[1]Capital!R34</f>
        <v>121464.662132</v>
      </c>
      <c r="T177" s="5">
        <f>[1]Capital!S28+[1]Capital!S30+[1]Capital!S32+[1]Capital!S34</f>
        <v>124311.536884</v>
      </c>
      <c r="U177" s="5">
        <f>[1]Capital!T28+[1]Capital!T30+[1]Capital!T32+[1]Capital!T34</f>
        <v>127214.616081</v>
      </c>
      <c r="V177" s="5">
        <f>[1]Capital!U28+[1]Capital!U30+[1]Capital!U32+[1]Capital!U34</f>
        <v>130192.45802800001</v>
      </c>
      <c r="W177" s="5">
        <f>[1]Capital!V28+[1]Capital!V30+[1]Capital!V32+[1]Capital!V34</f>
        <v>133264.10352400001</v>
      </c>
      <c r="X177" s="5">
        <f>[1]Capital!W28+[1]Capital!W30+[1]Capital!W32+[1]Capital!W34</f>
        <v>136452.08581799999</v>
      </c>
      <c r="Y177" s="5">
        <f>[1]Capital!X28+[1]Capital!X30+[1]Capital!X32+[1]Capital!X34</f>
        <v>139781.32809699999</v>
      </c>
      <c r="Z177" s="5">
        <f>[1]Capital!Y28+[1]Capital!Y30+[1]Capital!Y32+[1]Capital!Y34</f>
        <v>143276.466656</v>
      </c>
      <c r="AA177" s="5">
        <f>[1]Capital!Z28+[1]Capital!Z30+[1]Capital!Z32+[1]Capital!Z34</f>
        <v>146958.88514299999</v>
      </c>
      <c r="AB177" s="5">
        <f>[1]Capital!AA28+[1]Capital!AA30+[1]Capital!AA32+[1]Capital!AA34</f>
        <v>150841.54143099999</v>
      </c>
      <c r="AC177" s="5">
        <f>[1]Capital!AB28+[1]Capital!AB30+[1]Capital!AB32+[1]Capital!AB34</f>
        <v>154941.44040600001</v>
      </c>
      <c r="AD177" s="5">
        <f>[1]Capital!AC28+[1]Capital!AC30+[1]Capital!AC32+[1]Capital!AC34</f>
        <v>159281.67972200003</v>
      </c>
      <c r="AE177" s="5">
        <f>[1]Capital!AD28+[1]Capital!AD30+[1]Capital!AD32+[1]Capital!AD34</f>
        <v>163886.72482199999</v>
      </c>
      <c r="AF177" s="5">
        <f>[1]Capital!AE28+[1]Capital!AE30+[1]Capital!AE32+[1]Capital!AE34</f>
        <v>168775.89253300003</v>
      </c>
      <c r="AG177" s="5">
        <f>[1]Capital!AF28+[1]Capital!AF30+[1]Capital!AF32+[1]Capital!AF34</f>
        <v>173959.90084999998</v>
      </c>
      <c r="AH177" s="5">
        <f>[1]Capital!AG28+[1]Capital!AG30+[1]Capital!AG32+[1]Capital!AG34</f>
        <v>179443.35382600001</v>
      </c>
      <c r="AI177" s="5">
        <f>[1]Capital!AH28+[1]Capital!AH30+[1]Capital!AH32+[1]Capital!AH34</f>
        <v>185228.395281</v>
      </c>
      <c r="AJ177" s="5">
        <f>[1]Capital!AI28+[1]Capital!AI30+[1]Capital!AI32+[1]Capital!AI34</f>
        <v>191314.433888</v>
      </c>
      <c r="AK177" s="5">
        <f>[1]Capital!AJ28+[1]Capital!AJ30+[1]Capital!AJ32+[1]Capital!AJ34</f>
        <v>197697.417931</v>
      </c>
      <c r="AL177" s="5">
        <f>[1]Capital!AK28+[1]Capital!AK30+[1]Capital!AK32+[1]Capital!AK34</f>
        <v>204369.35973700002</v>
      </c>
    </row>
    <row r="178" spans="1:38" x14ac:dyDescent="0.35">
      <c r="B178" t="s">
        <v>10</v>
      </c>
      <c r="C178" s="5">
        <f>[1]Capital!B36+[1]Capital!B38</f>
        <v>2425571.3405999998</v>
      </c>
      <c r="D178" s="5">
        <f>[1]Capital!C36+[1]Capital!C38</f>
        <v>2454642.4112999998</v>
      </c>
      <c r="E178" s="5">
        <f>[1]Capital!D36+[1]Capital!D38</f>
        <v>2485824.2884</v>
      </c>
      <c r="F178" s="5">
        <f>[1]Capital!E36+[1]Capital!E38</f>
        <v>2519574.5308999997</v>
      </c>
      <c r="G178" s="5">
        <f>[1]Capital!F36+[1]Capital!F38</f>
        <v>2556246.0607000003</v>
      </c>
      <c r="H178" s="5">
        <f>[1]Capital!G36+[1]Capital!G38</f>
        <v>2596067.753</v>
      </c>
      <c r="I178" s="5">
        <f>[1]Capital!H36+[1]Capital!H38</f>
        <v>2639047.0490999999</v>
      </c>
      <c r="J178" s="5">
        <f>[1]Capital!I36+[1]Capital!I38</f>
        <v>2684519.2174</v>
      </c>
      <c r="K178" s="5">
        <f>[1]Capital!J36+[1]Capital!J38</f>
        <v>2732298.4207000001</v>
      </c>
      <c r="L178" s="5">
        <f>[1]Capital!K36+[1]Capital!K38</f>
        <v>2782946.7434</v>
      </c>
      <c r="M178" s="5">
        <f>[1]Capital!L36+[1]Capital!L38</f>
        <v>2836802.9130000002</v>
      </c>
      <c r="N178" s="5">
        <f>[1]Capital!M36+[1]Capital!M38</f>
        <v>2893556.6343999999</v>
      </c>
      <c r="O178" s="5">
        <f>[1]Capital!N36+[1]Capital!N38</f>
        <v>2952744.7215</v>
      </c>
      <c r="P178" s="5">
        <f>[1]Capital!O36+[1]Capital!O38</f>
        <v>3013935.4550000001</v>
      </c>
      <c r="Q178" s="5">
        <f>[1]Capital!P36+[1]Capital!P38</f>
        <v>3076823.0191000002</v>
      </c>
      <c r="R178" s="5">
        <f>[1]Capital!Q36+[1]Capital!Q38</f>
        <v>3141221.6242</v>
      </c>
      <c r="S178" s="5">
        <f>[1]Capital!R36+[1]Capital!R38</f>
        <v>3207023.7779999999</v>
      </c>
      <c r="T178" s="5">
        <f>[1]Capital!S36+[1]Capital!S38</f>
        <v>3274257.1642000005</v>
      </c>
      <c r="U178" s="5">
        <f>[1]Capital!T36+[1]Capital!T38</f>
        <v>3343056.5035000001</v>
      </c>
      <c r="V178" s="5">
        <f>[1]Capital!U36+[1]Capital!U38</f>
        <v>3413622.8767999997</v>
      </c>
      <c r="W178" s="5">
        <f>[1]Capital!V36+[1]Capital!V38</f>
        <v>3486107.4382000002</v>
      </c>
      <c r="X178" s="5">
        <f>[1]Capital!W36+[1]Capital!W38</f>
        <v>3560806.6455999999</v>
      </c>
      <c r="Y178" s="5">
        <f>[1]Capital!X36+[1]Capital!X38</f>
        <v>3638039.1348000001</v>
      </c>
      <c r="Z178" s="5">
        <f>[1]Capital!Y36+[1]Capital!Y38</f>
        <v>3718142.5386000001</v>
      </c>
      <c r="AA178" s="5">
        <f>[1]Capital!Z36+[1]Capital!Z38</f>
        <v>3801449.4242000002</v>
      </c>
      <c r="AB178" s="5">
        <f>[1]Capital!AA36+[1]Capital!AA38</f>
        <v>3887999.2982000001</v>
      </c>
      <c r="AC178" s="5">
        <f>[1]Capital!AB36+[1]Capital!AB38</f>
        <v>3978037.1971</v>
      </c>
      <c r="AD178" s="5">
        <f>[1]Capital!AC36+[1]Capital!AC38</f>
        <v>4071813.9252000004</v>
      </c>
      <c r="AE178" s="5">
        <f>[1]Capital!AD36+[1]Capital!AD38</f>
        <v>4169607.5164000001</v>
      </c>
      <c r="AF178" s="5">
        <f>[1]Capital!AE36+[1]Capital!AE38</f>
        <v>4271697.1684999997</v>
      </c>
      <c r="AG178" s="5">
        <f>[1]Capital!AF36+[1]Capital!AF38</f>
        <v>4378324.0031000003</v>
      </c>
      <c r="AH178" s="5">
        <f>[1]Capital!AG36+[1]Capital!AG38</f>
        <v>4489667.5175000001</v>
      </c>
      <c r="AI178" s="5">
        <f>[1]Capital!AH36+[1]Capital!AH38</f>
        <v>4605844.9855000004</v>
      </c>
      <c r="AJ178" s="5">
        <f>[1]Capital!AI36+[1]Capital!AI38</f>
        <v>4726927.6041000001</v>
      </c>
      <c r="AK178" s="5">
        <f>[1]Capital!AJ36+[1]Capital!AJ38</f>
        <v>4852947.1354</v>
      </c>
      <c r="AL178" s="5">
        <f>[1]Capital!AK36+[1]Capital!AK38</f>
        <v>4983896.3337000003</v>
      </c>
    </row>
    <row r="179" spans="1:38" x14ac:dyDescent="0.35">
      <c r="B179" t="s">
        <v>29</v>
      </c>
      <c r="C179" s="5">
        <f>[1]Capital!B42+[1]Capital!B46</f>
        <v>22925.318532499998</v>
      </c>
      <c r="D179" s="5">
        <f>[1]Capital!C42+[1]Capital!C46</f>
        <v>23181.603581300002</v>
      </c>
      <c r="E179" s="5">
        <f>[1]Capital!D42+[1]Capital!D46</f>
        <v>23436.4024861</v>
      </c>
      <c r="F179" s="5">
        <f>[1]Capital!E42+[1]Capital!E46</f>
        <v>23690.714382500002</v>
      </c>
      <c r="G179" s="5">
        <f>[1]Capital!F42+[1]Capital!F46</f>
        <v>23949.438646399998</v>
      </c>
      <c r="H179" s="5">
        <f>[1]Capital!G42+[1]Capital!G46</f>
        <v>24217.992860599999</v>
      </c>
      <c r="I179" s="5">
        <f>[1]Capital!H42+[1]Capital!H46</f>
        <v>24499.654653599999</v>
      </c>
      <c r="J179" s="5">
        <f>[1]Capital!I42+[1]Capital!I46</f>
        <v>24756.6139282</v>
      </c>
      <c r="K179" s="5">
        <f>[1]Capital!J42+[1]Capital!J46</f>
        <v>24976.588871299999</v>
      </c>
      <c r="L179" s="5">
        <f>[1]Capital!K42+[1]Capital!K46</f>
        <v>25162.772412099999</v>
      </c>
      <c r="M179" s="5">
        <f>[1]Capital!L42+[1]Capital!L46</f>
        <v>25316.760701900002</v>
      </c>
      <c r="N179" s="5">
        <f>[1]Capital!M42+[1]Capital!M46</f>
        <v>25436.843000500001</v>
      </c>
      <c r="O179" s="5">
        <f>[1]Capital!N42+[1]Capital!N46</f>
        <v>25520.6488527</v>
      </c>
      <c r="P179" s="5">
        <f>[1]Capital!O42+[1]Capital!O46</f>
        <v>25566.580289999998</v>
      </c>
      <c r="Q179" s="5">
        <f>[1]Capital!P42+[1]Capital!P46</f>
        <v>25574.499156400001</v>
      </c>
      <c r="R179" s="5">
        <f>[1]Capital!Q42+[1]Capital!Q46</f>
        <v>25545.326124899999</v>
      </c>
      <c r="S179" s="5">
        <f>[1]Capital!R42+[1]Capital!R46</f>
        <v>25478.773795900001</v>
      </c>
      <c r="T179" s="5">
        <f>[1]Capital!S42+[1]Capital!S46</f>
        <v>25376.225988900002</v>
      </c>
      <c r="U179" s="5">
        <f>[1]Capital!T42+[1]Capital!T46</f>
        <v>25240.043791699998</v>
      </c>
      <c r="V179" s="5">
        <f>[1]Capital!U42+[1]Capital!U46</f>
        <v>25073.017325499997</v>
      </c>
      <c r="W179" s="5">
        <f>[1]Capital!V42+[1]Capital!V46</f>
        <v>24877.9658752</v>
      </c>
      <c r="X179" s="5">
        <f>[1]Capital!W42+[1]Capital!W46</f>
        <v>24657.8995287</v>
      </c>
      <c r="Y179" s="5">
        <f>[1]Capital!X42+[1]Capital!X46</f>
        <v>24415.876092299997</v>
      </c>
      <c r="Z179" s="5">
        <f>[1]Capital!Y42+[1]Capital!Y46</f>
        <v>24154.816632099999</v>
      </c>
      <c r="AA179" s="5">
        <f>[1]Capital!Z42+[1]Capital!Z46</f>
        <v>23877.326295499999</v>
      </c>
      <c r="AB179" s="5">
        <f>[1]Capital!AA42+[1]Capital!AA46</f>
        <v>23585.3320991</v>
      </c>
      <c r="AC179" s="5">
        <f>[1]Capital!AB42+[1]Capital!AB46</f>
        <v>23281.231562199999</v>
      </c>
      <c r="AD179" s="5">
        <f>[1]Capital!AC42+[1]Capital!AC46</f>
        <v>22967.107437999999</v>
      </c>
      <c r="AE179" s="5">
        <f>[1]Capital!AD42+[1]Capital!AD46</f>
        <v>22644.714436800001</v>
      </c>
      <c r="AF179" s="5">
        <f>[1]Capital!AE42+[1]Capital!AE46</f>
        <v>22315.1873543</v>
      </c>
      <c r="AG179" s="5">
        <f>[1]Capital!AF42+[1]Capital!AF46</f>
        <v>21978.876267400003</v>
      </c>
      <c r="AH179" s="5">
        <f>[1]Capital!AG42+[1]Capital!AG46</f>
        <v>21635.436605500003</v>
      </c>
      <c r="AI179" s="5">
        <f>[1]Capital!AH42+[1]Capital!AH46</f>
        <v>21283.985757600003</v>
      </c>
      <c r="AJ179" s="5">
        <f>[1]Capital!AI42+[1]Capital!AI46</f>
        <v>20923.169642100002</v>
      </c>
      <c r="AK179" s="5">
        <f>[1]Capital!AJ42+[1]Capital!AJ46</f>
        <v>20551.1964229</v>
      </c>
      <c r="AL179" s="5">
        <f>[1]Capital!AK42+[1]Capital!AK46</f>
        <v>20165.8595799</v>
      </c>
    </row>
    <row r="180" spans="1:38" x14ac:dyDescent="0.35">
      <c r="B180" t="s">
        <v>36</v>
      </c>
      <c r="C180" s="5">
        <f>[1]Capital!B44+[1]Capital!B48</f>
        <v>1941.7266677</v>
      </c>
      <c r="D180" s="5">
        <f>[1]Capital!C44+[1]Capital!C48</f>
        <v>1962.8779743</v>
      </c>
      <c r="E180" s="5">
        <f>[1]Capital!D44+[1]Capital!D48</f>
        <v>1983.1733509999999</v>
      </c>
      <c r="F180" s="5">
        <f>[1]Capital!E44+[1]Capital!E48</f>
        <v>2002.6766284999999</v>
      </c>
      <c r="G180" s="5">
        <f>[1]Capital!F44+[1]Capital!F48</f>
        <v>2021.8743013000001</v>
      </c>
      <c r="H180" s="5">
        <f>[1]Capital!G44+[1]Capital!G48</f>
        <v>2041.2974241000002</v>
      </c>
      <c r="I180" s="5">
        <f>[1]Capital!H44+[1]Capital!H48</f>
        <v>2061.2380895000001</v>
      </c>
      <c r="J180" s="5">
        <f>[1]Capital!I44+[1]Capital!I48</f>
        <v>2106.4248545</v>
      </c>
      <c r="K180" s="5">
        <f>[1]Capital!J44+[1]Capital!J48</f>
        <v>2185.5106706000001</v>
      </c>
      <c r="L180" s="5">
        <f>[1]Capital!K44+[1]Capital!K48</f>
        <v>2302.4616179</v>
      </c>
      <c r="M180" s="5">
        <f>[1]Capital!L44+[1]Capital!L48</f>
        <v>2459.6401698</v>
      </c>
      <c r="N180" s="5">
        <f>[1]Capital!M44+[1]Capital!M48</f>
        <v>2658.9098838999998</v>
      </c>
      <c r="O180" s="5">
        <f>[1]Capital!N44+[1]Capital!N48</f>
        <v>2901.9001171</v>
      </c>
      <c r="P180" s="5">
        <f>[1]Capital!O44+[1]Capital!O48</f>
        <v>3190.1155527999999</v>
      </c>
      <c r="Q180" s="5">
        <f>[1]Capital!P44+[1]Capital!P48</f>
        <v>3525.0043513999999</v>
      </c>
      <c r="R180" s="5">
        <f>[1]Capital!Q44+[1]Capital!Q48</f>
        <v>3907.9437986000003</v>
      </c>
      <c r="S180" s="5">
        <f>[1]Capital!R44+[1]Capital!R48</f>
        <v>4340.0776897999995</v>
      </c>
      <c r="T180" s="5">
        <f>[1]Capital!S44+[1]Capital!S48</f>
        <v>4822.5037560999999</v>
      </c>
      <c r="U180" s="5">
        <f>[1]Capital!T44+[1]Capital!T48</f>
        <v>5356.3718484999999</v>
      </c>
      <c r="V180" s="5">
        <f>[1]Capital!U44+[1]Capital!U48</f>
        <v>5942.9116723000006</v>
      </c>
      <c r="W180" s="5">
        <f>[1]Capital!V44+[1]Capital!V48</f>
        <v>6583.3868394000001</v>
      </c>
      <c r="X180" s="5">
        <f>[1]Capital!W44+[1]Capital!W48</f>
        <v>7279.2705993</v>
      </c>
      <c r="Y180" s="5">
        <f>[1]Capital!X44+[1]Capital!X48</f>
        <v>8032.2819064999994</v>
      </c>
      <c r="Z180" s="5">
        <f>[1]Capital!Y44+[1]Capital!Y48</f>
        <v>8844.4063669999996</v>
      </c>
      <c r="AA180" s="5">
        <f>[1]Capital!Z44+[1]Capital!Z48</f>
        <v>9717.8950499999992</v>
      </c>
      <c r="AB180" s="5">
        <f>[1]Capital!AA44+[1]Capital!AA48</f>
        <v>10655.002628</v>
      </c>
      <c r="AC180" s="5">
        <f>[1]Capital!AB44+[1]Capital!AB48</f>
        <v>11658.517902000001</v>
      </c>
      <c r="AD180" s="5">
        <f>[1]Capital!AC44+[1]Capital!AC48</f>
        <v>12731.935254</v>
      </c>
      <c r="AE180" s="5">
        <f>[1]Capital!AD44+[1]Capital!AD48</f>
        <v>13879.484354999999</v>
      </c>
      <c r="AF180" s="5">
        <f>[1]Capital!AE44+[1]Capital!AE48</f>
        <v>15106.037157000001</v>
      </c>
      <c r="AG180" s="5">
        <f>[1]Capital!AF44+[1]Capital!AF48</f>
        <v>16417.043096000001</v>
      </c>
      <c r="AH180" s="5">
        <f>[1]Capital!AG44+[1]Capital!AG48</f>
        <v>17818.653139999999</v>
      </c>
      <c r="AI180" s="5">
        <f>[1]Capital!AH44+[1]Capital!AH48</f>
        <v>19318.001011</v>
      </c>
      <c r="AJ180" s="5">
        <f>[1]Capital!AI44+[1]Capital!AI48</f>
        <v>20923.541203000001</v>
      </c>
      <c r="AK180" s="5">
        <f>[1]Capital!AJ44+[1]Capital!AJ48</f>
        <v>22645.572609999999</v>
      </c>
      <c r="AL180" s="5">
        <f>[1]Capital!AK44+[1]Capital!AK48</f>
        <v>24497.138894000003</v>
      </c>
    </row>
    <row r="181" spans="1:38" x14ac:dyDescent="0.35">
      <c r="B181" t="s">
        <v>33</v>
      </c>
      <c r="C181" s="5">
        <f>[1]Capital!B50+[1]Capital!B52+[1]Capital!B54+[1]Capital!B56+[1]Capital!B58+[1]Capital!B60+[1]Capital!B62+[1]Capital!B64+[1]Capital!B66</f>
        <v>40303.597149320005</v>
      </c>
      <c r="D181" s="5">
        <f>[1]Capital!C50+[1]Capital!C52+[1]Capital!C54+[1]Capital!C56+[1]Capital!C58+[1]Capital!C60+[1]Capital!C62+[1]Capital!C64+[1]Capital!C66</f>
        <v>40783.168123690004</v>
      </c>
      <c r="E181" s="5">
        <f>[1]Capital!D50+[1]Capital!D52+[1]Capital!D54+[1]Capital!D56+[1]Capital!D58+[1]Capital!D60+[1]Capital!D62+[1]Capital!D64+[1]Capital!D66</f>
        <v>41280.577705200005</v>
      </c>
      <c r="F181" s="5">
        <f>[1]Capital!E50+[1]Capital!E52+[1]Capital!E54+[1]Capital!E56+[1]Capital!E58+[1]Capital!E60+[1]Capital!E62+[1]Capital!E64+[1]Capital!E66</f>
        <v>41799.255909150001</v>
      </c>
      <c r="G181" s="5">
        <f>[1]Capital!F50+[1]Capital!F52+[1]Capital!F54+[1]Capital!F56+[1]Capital!F58+[1]Capital!F60+[1]Capital!F62+[1]Capital!F64+[1]Capital!F66</f>
        <v>42336.61661985</v>
      </c>
      <c r="H181" s="5">
        <f>[1]Capital!G50+[1]Capital!G52+[1]Capital!G54+[1]Capital!G56+[1]Capital!G58+[1]Capital!G60+[1]Capital!G62+[1]Capital!G64+[1]Capital!G66</f>
        <v>42891.927366059994</v>
      </c>
      <c r="I181" s="5">
        <f>[1]Capital!H50+[1]Capital!H52+[1]Capital!H54+[1]Capital!H56+[1]Capital!H58+[1]Capital!H60+[1]Capital!H62+[1]Capital!H64+[1]Capital!H66</f>
        <v>43466.265334580006</v>
      </c>
      <c r="J181" s="5">
        <f>[1]Capital!I50+[1]Capital!I52+[1]Capital!I54+[1]Capital!I56+[1]Capital!I58+[1]Capital!I60+[1]Capital!I62+[1]Capital!I64+[1]Capital!I66</f>
        <v>44138.250052360003</v>
      </c>
      <c r="K181" s="5">
        <f>[1]Capital!J50+[1]Capital!J52+[1]Capital!J54+[1]Capital!J56+[1]Capital!J58+[1]Capital!J60+[1]Capital!J62+[1]Capital!J64+[1]Capital!J66</f>
        <v>44947.06807174001</v>
      </c>
      <c r="L181" s="5">
        <f>[1]Capital!K50+[1]Capital!K52+[1]Capital!K54+[1]Capital!K56+[1]Capital!K58+[1]Capital!K60+[1]Capital!K62+[1]Capital!K64+[1]Capital!K66</f>
        <v>45922.726189170004</v>
      </c>
      <c r="M181" s="5">
        <f>[1]Capital!L50+[1]Capital!L52+[1]Capital!L54+[1]Capital!L56+[1]Capital!L58+[1]Capital!L60+[1]Capital!L62+[1]Capital!L64+[1]Capital!L66</f>
        <v>47081.336336050001</v>
      </c>
      <c r="N181" s="5">
        <f>[1]Capital!M50+[1]Capital!M52+[1]Capital!M54+[1]Capital!M56+[1]Capital!M58+[1]Capital!M60+[1]Capital!M62+[1]Capital!M64+[1]Capital!M66</f>
        <v>48415.252617280006</v>
      </c>
      <c r="O181" s="5">
        <f>[1]Capital!N50+[1]Capital!N52+[1]Capital!N54+[1]Capital!N56+[1]Capital!N58+[1]Capital!N60+[1]Capital!N62+[1]Capital!N64+[1]Capital!N66</f>
        <v>49914.443127669991</v>
      </c>
      <c r="P181" s="5">
        <f>[1]Capital!O50+[1]Capital!O52+[1]Capital!O54+[1]Capital!O56+[1]Capital!O58+[1]Capital!O60+[1]Capital!O62+[1]Capital!O64+[1]Capital!O66</f>
        <v>51573.497402350011</v>
      </c>
      <c r="Q181" s="5">
        <f>[1]Capital!P50+[1]Capital!P52+[1]Capital!P54+[1]Capital!P56+[1]Capital!P58+[1]Capital!P60+[1]Capital!P62+[1]Capital!P64+[1]Capital!P66</f>
        <v>53393.622673189995</v>
      </c>
      <c r="R181" s="5">
        <f>[1]Capital!Q50+[1]Capital!Q52+[1]Capital!Q54+[1]Capital!Q56+[1]Capital!Q58+[1]Capital!Q60+[1]Capital!Q62+[1]Capital!Q64+[1]Capital!Q66</f>
        <v>55381.700918950002</v>
      </c>
      <c r="S181" s="5">
        <f>[1]Capital!R50+[1]Capital!R52+[1]Capital!R54+[1]Capital!R56+[1]Capital!R58+[1]Capital!R60+[1]Capital!R62+[1]Capital!R64+[1]Capital!R66</f>
        <v>57549.804191920011</v>
      </c>
      <c r="T181" s="5">
        <f>[1]Capital!S50+[1]Capital!S52+[1]Capital!S54+[1]Capital!S56+[1]Capital!S58+[1]Capital!S60+[1]Capital!S62+[1]Capital!S64+[1]Capital!S66</f>
        <v>59915.631065369998</v>
      </c>
      <c r="U181" s="5">
        <f>[1]Capital!T50+[1]Capital!T52+[1]Capital!T54+[1]Capital!T56+[1]Capital!T58+[1]Capital!T60+[1]Capital!T62+[1]Capital!T64+[1]Capital!T66</f>
        <v>62500.834133790013</v>
      </c>
      <c r="V181" s="5">
        <f>[1]Capital!U50+[1]Capital!U52+[1]Capital!U54+[1]Capital!U56+[1]Capital!U58+[1]Capital!U60+[1]Capital!U62+[1]Capital!U64+[1]Capital!U66</f>
        <v>65330.963461320011</v>
      </c>
      <c r="W181" s="5">
        <f>[1]Capital!V50+[1]Capital!V52+[1]Capital!V54+[1]Capital!V56+[1]Capital!V58+[1]Capital!V60+[1]Capital!V62+[1]Capital!V64+[1]Capital!V66</f>
        <v>68434.820281730004</v>
      </c>
      <c r="X181" s="5">
        <f>[1]Capital!W50+[1]Capital!W52+[1]Capital!W54+[1]Capital!W56+[1]Capital!W58+[1]Capital!W60+[1]Capital!W62+[1]Capital!W64+[1]Capital!W66</f>
        <v>71848.231889500006</v>
      </c>
      <c r="Y181" s="5">
        <f>[1]Capital!X50+[1]Capital!X52+[1]Capital!X54+[1]Capital!X56+[1]Capital!X58+[1]Capital!X60+[1]Capital!X62+[1]Capital!X64+[1]Capital!X66</f>
        <v>75614.101328089979</v>
      </c>
      <c r="Z181" s="5">
        <f>[1]Capital!Y50+[1]Capital!Y52+[1]Capital!Y54+[1]Capital!Y56+[1]Capital!Y58+[1]Capital!Y60+[1]Capital!Y62+[1]Capital!Y64+[1]Capital!Y66</f>
        <v>79782.689869309994</v>
      </c>
      <c r="AA181" s="5">
        <f>[1]Capital!Z50+[1]Capital!Z52+[1]Capital!Z54+[1]Capital!Z56+[1]Capital!Z58+[1]Capital!Z60+[1]Capital!Z62+[1]Capital!Z64+[1]Capital!Z66</f>
        <v>84412.105391659992</v>
      </c>
      <c r="AB181" s="5">
        <f>[1]Capital!AA50+[1]Capital!AA52+[1]Capital!AA54+[1]Capital!AA56+[1]Capital!AA58+[1]Capital!AA60+[1]Capital!AA62+[1]Capital!AA64+[1]Capital!AA66</f>
        <v>89564.66309514</v>
      </c>
      <c r="AC181" s="5">
        <f>[1]Capital!AB50+[1]Capital!AB52+[1]Capital!AB54+[1]Capital!AB56+[1]Capital!AB58+[1]Capital!AB60+[1]Capital!AB62+[1]Capital!AB64+[1]Capital!AB66</f>
        <v>95319.130610800014</v>
      </c>
      <c r="AD181" s="5">
        <f>[1]Capital!AC50+[1]Capital!AC52+[1]Capital!AC54+[1]Capital!AC56+[1]Capital!AC58+[1]Capital!AC60+[1]Capital!AC62+[1]Capital!AC64+[1]Capital!AC66</f>
        <v>101770.66534916</v>
      </c>
      <c r="AE181" s="5">
        <f>[1]Capital!AD50+[1]Capital!AD52+[1]Capital!AD54+[1]Capital!AD56+[1]Capital!AD58+[1]Capital!AD60+[1]Capital!AD62+[1]Capital!AD64+[1]Capital!AD66</f>
        <v>109032.45847072</v>
      </c>
      <c r="AF181" s="5">
        <f>[1]Capital!AE50+[1]Capital!AE52+[1]Capital!AE54+[1]Capital!AE56+[1]Capital!AE58+[1]Capital!AE60+[1]Capital!AE62+[1]Capital!AE64+[1]Capital!AE66</f>
        <v>117236.69227280002</v>
      </c>
      <c r="AG181" s="5">
        <f>[1]Capital!AF50+[1]Capital!AF52+[1]Capital!AF54+[1]Capital!AF56+[1]Capital!AF58+[1]Capital!AF60+[1]Capital!AF62+[1]Capital!AF64+[1]Capital!AF66</f>
        <v>126536.76805969999</v>
      </c>
      <c r="AH181" s="5">
        <f>[1]Capital!AG50+[1]Capital!AG52+[1]Capital!AG54+[1]Capital!AG56+[1]Capital!AG58+[1]Capital!AG60+[1]Capital!AG62+[1]Capital!AG64+[1]Capital!AG66</f>
        <v>137113.04248839998</v>
      </c>
      <c r="AI181" s="5">
        <f>[1]Capital!AH50+[1]Capital!AH52+[1]Capital!AH54+[1]Capital!AH56+[1]Capital!AH58+[1]Capital!AH60+[1]Capital!AH62+[1]Capital!AH64+[1]Capital!AH66</f>
        <v>149181.77446880002</v>
      </c>
      <c r="AJ181" s="5">
        <f>[1]Capital!AI50+[1]Capital!AI52+[1]Capital!AI54+[1]Capital!AI56+[1]Capital!AI58+[1]Capital!AI60+[1]Capital!AI62+[1]Capital!AI64+[1]Capital!AI66</f>
        <v>163005.94795110001</v>
      </c>
      <c r="AK181" s="5">
        <f>[1]Capital!AJ50+[1]Capital!AJ52+[1]Capital!AJ54+[1]Capital!AJ56+[1]Capital!AJ58+[1]Capital!AJ60+[1]Capital!AJ62+[1]Capital!AJ64+[1]Capital!AJ66</f>
        <v>178910.03422890001</v>
      </c>
      <c r="AL181" s="5">
        <f>[1]Capital!AK50+[1]Capital!AK52+[1]Capital!AK54+[1]Capital!AK56+[1]Capital!AK58+[1]Capital!AK60+[1]Capital!AK62+[1]Capital!AK64+[1]Capital!AK66</f>
        <v>197300.98503720001</v>
      </c>
    </row>
    <row r="182" spans="1:3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</row>
    <row r="184" spans="1:38" x14ac:dyDescent="0.35">
      <c r="A184" s="12" t="s">
        <v>42</v>
      </c>
      <c r="B184" t="s">
        <v>40</v>
      </c>
      <c r="C184" s="9">
        <f t="shared" ref="C184:AL184" si="16">C174/C136/(C164/C125)-1</f>
        <v>-2.5946067516713356E-10</v>
      </c>
      <c r="D184" s="9">
        <f t="shared" si="16"/>
        <v>0</v>
      </c>
      <c r="E184" s="9">
        <f t="shared" si="16"/>
        <v>0</v>
      </c>
      <c r="F184" s="9">
        <f t="shared" si="16"/>
        <v>0</v>
      </c>
      <c r="G184" s="9">
        <f t="shared" si="16"/>
        <v>0</v>
      </c>
      <c r="H184" s="9">
        <f t="shared" si="16"/>
        <v>1.7857049172675943E-10</v>
      </c>
      <c r="I184" s="9">
        <f t="shared" si="16"/>
        <v>1.755400269587426E-10</v>
      </c>
      <c r="J184" s="9">
        <f t="shared" si="16"/>
        <v>2.0774130723513196E-3</v>
      </c>
      <c r="K184" s="9">
        <f t="shared" si="16"/>
        <v>4.0297355480278796E-3</v>
      </c>
      <c r="L184" s="9">
        <f t="shared" si="16"/>
        <v>2.0177986110267998E-3</v>
      </c>
      <c r="M184" s="9">
        <f t="shared" si="16"/>
        <v>-3.2990443265645819E-4</v>
      </c>
      <c r="N184" s="9">
        <f t="shared" si="16"/>
        <v>-2.2295743448508265E-3</v>
      </c>
      <c r="O184" s="9">
        <f t="shared" si="16"/>
        <v>-3.5128401364743489E-3</v>
      </c>
      <c r="P184" s="9">
        <f t="shared" si="16"/>
        <v>-4.3807414463890026E-3</v>
      </c>
      <c r="Q184" s="9">
        <f t="shared" si="16"/>
        <v>-5.1183993573090669E-3</v>
      </c>
      <c r="R184" s="9">
        <f t="shared" si="16"/>
        <v>-5.749994059439989E-3</v>
      </c>
      <c r="S184" s="9">
        <f t="shared" si="16"/>
        <v>-5.9512400416185107E-3</v>
      </c>
      <c r="T184" s="9">
        <f t="shared" si="16"/>
        <v>-5.795471186798351E-3</v>
      </c>
      <c r="U184" s="9">
        <f t="shared" si="16"/>
        <v>-5.3466388823346644E-3</v>
      </c>
      <c r="V184" s="9">
        <f t="shared" si="16"/>
        <v>-4.681467864737332E-3</v>
      </c>
      <c r="W184" s="9">
        <f t="shared" si="16"/>
        <v>-3.8625645196090908E-3</v>
      </c>
      <c r="X184" s="9">
        <f t="shared" si="16"/>
        <v>-2.9373647872934505E-3</v>
      </c>
      <c r="Y184" s="9">
        <f t="shared" si="16"/>
        <v>-1.9453015472350454E-3</v>
      </c>
      <c r="Z184" s="9">
        <f t="shared" si="16"/>
        <v>-9.1580405143765198E-4</v>
      </c>
      <c r="AA184" s="9">
        <f t="shared" si="16"/>
        <v>1.2417478102144663E-4</v>
      </c>
      <c r="AB184" s="9">
        <f t="shared" si="16"/>
        <v>1.1576349034629896E-3</v>
      </c>
      <c r="AC184" s="9">
        <f t="shared" si="16"/>
        <v>2.1304667698647251E-3</v>
      </c>
      <c r="AD184" s="9">
        <f t="shared" si="16"/>
        <v>3.0264769367405187E-3</v>
      </c>
      <c r="AE184" s="9">
        <f t="shared" si="16"/>
        <v>3.8121908394139759E-3</v>
      </c>
      <c r="AF184" s="9">
        <f t="shared" si="16"/>
        <v>4.4453908371546724E-3</v>
      </c>
      <c r="AG184" s="9">
        <f t="shared" si="16"/>
        <v>4.8868566881592468E-3</v>
      </c>
      <c r="AH184" s="9">
        <f t="shared" si="16"/>
        <v>5.0962350638616982E-3</v>
      </c>
      <c r="AI184" s="9">
        <f t="shared" si="16"/>
        <v>5.0249668242934309E-3</v>
      </c>
      <c r="AJ184" s="9">
        <f t="shared" si="16"/>
        <v>4.6182300289463463E-3</v>
      </c>
      <c r="AK184" s="9">
        <f t="shared" si="16"/>
        <v>3.807009803024064E-3</v>
      </c>
      <c r="AL184" s="9">
        <f t="shared" si="16"/>
        <v>2.5027924802123458E-3</v>
      </c>
    </row>
    <row r="185" spans="1:38" x14ac:dyDescent="0.35">
      <c r="A185" t="s">
        <v>85</v>
      </c>
      <c r="B185" t="s">
        <v>7</v>
      </c>
      <c r="C185" s="9">
        <f t="shared" ref="C185:AL185" si="17">C175/C137/(C165/C126)-1</f>
        <v>0</v>
      </c>
      <c r="D185" s="9">
        <f t="shared" si="17"/>
        <v>0</v>
      </c>
      <c r="E185" s="9">
        <f t="shared" si="17"/>
        <v>0</v>
      </c>
      <c r="F185" s="9">
        <f t="shared" si="17"/>
        <v>0</v>
      </c>
      <c r="G185" s="9">
        <f t="shared" si="17"/>
        <v>0</v>
      </c>
      <c r="H185" s="9">
        <f t="shared" si="17"/>
        <v>0</v>
      </c>
      <c r="I185" s="9">
        <f t="shared" si="17"/>
        <v>0</v>
      </c>
      <c r="J185" s="9">
        <f t="shared" si="17"/>
        <v>4.6652668572708667E-3</v>
      </c>
      <c r="K185" s="9">
        <f t="shared" si="17"/>
        <v>1.0069319439780289E-2</v>
      </c>
      <c r="L185" s="9">
        <f t="shared" si="17"/>
        <v>1.1688794716214757E-2</v>
      </c>
      <c r="M185" s="9">
        <f t="shared" si="17"/>
        <v>1.3506286428812242E-2</v>
      </c>
      <c r="N185" s="9">
        <f t="shared" si="17"/>
        <v>1.5842902199909137E-2</v>
      </c>
      <c r="O185" s="9">
        <f t="shared" si="17"/>
        <v>1.8737353230026788E-2</v>
      </c>
      <c r="P185" s="9">
        <f t="shared" si="17"/>
        <v>2.1905158433173311E-2</v>
      </c>
      <c r="Q185" s="9">
        <f t="shared" si="17"/>
        <v>2.5034594173505731E-2</v>
      </c>
      <c r="R185" s="9">
        <f t="shared" si="17"/>
        <v>2.8129737388081333E-2</v>
      </c>
      <c r="S185" s="9">
        <f t="shared" si="17"/>
        <v>3.1568215169670566E-2</v>
      </c>
      <c r="T185" s="9">
        <f t="shared" si="17"/>
        <v>3.5517470919245619E-2</v>
      </c>
      <c r="U185" s="9">
        <f t="shared" si="17"/>
        <v>3.9945687028595467E-2</v>
      </c>
      <c r="V185" s="9">
        <f t="shared" si="17"/>
        <v>4.474807350100285E-2</v>
      </c>
      <c r="W185" s="9">
        <f t="shared" si="17"/>
        <v>4.9809169322959423E-2</v>
      </c>
      <c r="X185" s="9">
        <f t="shared" si="17"/>
        <v>5.501258930651387E-2</v>
      </c>
      <c r="Y185" s="9">
        <f t="shared" si="17"/>
        <v>6.0244390025182781E-2</v>
      </c>
      <c r="Z185" s="9">
        <f t="shared" si="17"/>
        <v>6.5394029473267556E-2</v>
      </c>
      <c r="AA185" s="9">
        <f t="shared" si="17"/>
        <v>7.0351845471838814E-2</v>
      </c>
      <c r="AB185" s="9">
        <f t="shared" si="17"/>
        <v>7.5030050633026146E-2</v>
      </c>
      <c r="AC185" s="9">
        <f t="shared" si="17"/>
        <v>7.9459558809050757E-2</v>
      </c>
      <c r="AD185" s="9">
        <f t="shared" si="17"/>
        <v>8.3366971167098347E-2</v>
      </c>
      <c r="AE185" s="9">
        <f t="shared" si="17"/>
        <v>8.6618920768895213E-2</v>
      </c>
      <c r="AF185" s="9">
        <f t="shared" si="17"/>
        <v>8.9092732809767483E-2</v>
      </c>
      <c r="AG185" s="9">
        <f t="shared" si="17"/>
        <v>9.0687830428285432E-2</v>
      </c>
      <c r="AH185" s="9">
        <f t="shared" si="17"/>
        <v>9.1323750713603991E-2</v>
      </c>
      <c r="AI185" s="9">
        <f t="shared" si="17"/>
        <v>9.0927929682542263E-2</v>
      </c>
      <c r="AJ185" s="9">
        <f t="shared" si="17"/>
        <v>8.9435085121257973E-2</v>
      </c>
      <c r="AK185" s="9">
        <f t="shared" si="17"/>
        <v>8.6784117371586422E-2</v>
      </c>
      <c r="AL185" s="9">
        <f t="shared" si="17"/>
        <v>8.2918595116940441E-2</v>
      </c>
    </row>
    <row r="186" spans="1:38" x14ac:dyDescent="0.35">
      <c r="B186" t="s">
        <v>30</v>
      </c>
      <c r="C186" s="9">
        <f t="shared" ref="C186:AL186" si="18">C176/C138/(C166/C127)-1</f>
        <v>-2.0430324099152131E-12</v>
      </c>
      <c r="D186" s="9">
        <f t="shared" si="18"/>
        <v>1.5602852343477025E-11</v>
      </c>
      <c r="E186" s="9">
        <f t="shared" si="18"/>
        <v>3.2016389539535339E-11</v>
      </c>
      <c r="F186" s="9">
        <f t="shared" si="18"/>
        <v>-4.0076386653709051E-11</v>
      </c>
      <c r="G186" s="9">
        <f t="shared" si="18"/>
        <v>8.8946183751659191E-11</v>
      </c>
      <c r="H186" s="9">
        <f t="shared" si="18"/>
        <v>1.187774323341273E-10</v>
      </c>
      <c r="I186" s="9">
        <f t="shared" si="18"/>
        <v>1.8408208291020856E-10</v>
      </c>
      <c r="J186" s="9">
        <f t="shared" si="18"/>
        <v>4.812811770128711E-3</v>
      </c>
      <c r="K186" s="9">
        <f t="shared" si="18"/>
        <v>9.3657905275221776E-3</v>
      </c>
      <c r="L186" s="9">
        <f t="shared" si="18"/>
        <v>8.0334679625082561E-3</v>
      </c>
      <c r="M186" s="9">
        <f t="shared" si="18"/>
        <v>6.6355562850504146E-3</v>
      </c>
      <c r="N186" s="9">
        <f t="shared" si="18"/>
        <v>5.8022122716370195E-3</v>
      </c>
      <c r="O186" s="9">
        <f t="shared" si="18"/>
        <v>5.799018271707812E-3</v>
      </c>
      <c r="P186" s="9">
        <f t="shared" si="18"/>
        <v>6.231328988014706E-3</v>
      </c>
      <c r="Q186" s="9">
        <f t="shared" si="18"/>
        <v>6.6109255932080835E-3</v>
      </c>
      <c r="R186" s="9">
        <f t="shared" si="18"/>
        <v>6.8964584590742728E-3</v>
      </c>
      <c r="S186" s="9">
        <f t="shared" si="18"/>
        <v>7.6717463811180053E-3</v>
      </c>
      <c r="T186" s="9">
        <f t="shared" si="18"/>
        <v>8.7841977301232887E-3</v>
      </c>
      <c r="U186" s="9">
        <f t="shared" si="18"/>
        <v>1.0151095411095046E-2</v>
      </c>
      <c r="V186" s="9">
        <f t="shared" si="18"/>
        <v>1.1689194309080886E-2</v>
      </c>
      <c r="W186" s="9">
        <f t="shared" si="18"/>
        <v>1.3333555935429953E-2</v>
      </c>
      <c r="X186" s="9">
        <f t="shared" si="18"/>
        <v>1.5025161352509642E-2</v>
      </c>
      <c r="Y186" s="9">
        <f t="shared" si="18"/>
        <v>1.6729293314668769E-2</v>
      </c>
      <c r="Z186" s="9">
        <f t="shared" si="18"/>
        <v>1.8432147481925343E-2</v>
      </c>
      <c r="AA186" s="9">
        <f t="shared" si="18"/>
        <v>2.0122581193895206E-2</v>
      </c>
      <c r="AB186" s="9">
        <f t="shared" si="18"/>
        <v>2.1809089524140957E-2</v>
      </c>
      <c r="AC186" s="9">
        <f t="shared" si="18"/>
        <v>2.3437556324311215E-2</v>
      </c>
      <c r="AD186" s="9">
        <f t="shared" si="18"/>
        <v>2.5019255314445266E-2</v>
      </c>
      <c r="AE186" s="9">
        <f t="shared" si="18"/>
        <v>2.6572223572879583E-2</v>
      </c>
      <c r="AF186" s="9">
        <f t="shared" si="18"/>
        <v>2.8093215131553162E-2</v>
      </c>
      <c r="AG186" s="9">
        <f t="shared" si="18"/>
        <v>2.9572902799589684E-2</v>
      </c>
      <c r="AH186" s="9">
        <f t="shared" si="18"/>
        <v>3.0994334803453816E-2</v>
      </c>
      <c r="AI186" s="9">
        <f t="shared" si="18"/>
        <v>3.2339215148372569E-2</v>
      </c>
      <c r="AJ186" s="9">
        <f t="shared" si="18"/>
        <v>3.3600140506852005E-2</v>
      </c>
      <c r="AK186" s="9">
        <f t="shared" si="18"/>
        <v>3.4760989015465871E-2</v>
      </c>
      <c r="AL186" s="9">
        <f t="shared" si="18"/>
        <v>3.5793615142623025E-2</v>
      </c>
    </row>
    <row r="187" spans="1:38" x14ac:dyDescent="0.35">
      <c r="B187" t="s">
        <v>9</v>
      </c>
      <c r="C187" s="9">
        <f t="shared" ref="C187:AL187" si="19">C177/C139/(C167/C128)-1</f>
        <v>0</v>
      </c>
      <c r="D187" s="9">
        <f t="shared" si="19"/>
        <v>0</v>
      </c>
      <c r="E187" s="9">
        <f t="shared" si="19"/>
        <v>0</v>
      </c>
      <c r="F187" s="9">
        <f t="shared" si="19"/>
        <v>-3.097844203381328E-11</v>
      </c>
      <c r="G187" s="9">
        <f t="shared" si="19"/>
        <v>-2.0066026618081878E-10</v>
      </c>
      <c r="H187" s="9">
        <f t="shared" si="19"/>
        <v>6.3398175598194939E-11</v>
      </c>
      <c r="I187" s="9">
        <f t="shared" si="19"/>
        <v>-8.2437723314399136E-11</v>
      </c>
      <c r="J187" s="9">
        <f t="shared" si="19"/>
        <v>4.7740480539670838E-3</v>
      </c>
      <c r="K187" s="9">
        <f t="shared" si="19"/>
        <v>9.3145966777663514E-3</v>
      </c>
      <c r="L187" s="9">
        <f t="shared" si="19"/>
        <v>8.1228378543340973E-3</v>
      </c>
      <c r="M187" s="9">
        <f t="shared" si="19"/>
        <v>7.0010901495665134E-3</v>
      </c>
      <c r="N187" s="9">
        <f t="shared" si="19"/>
        <v>6.5361230351645982E-3</v>
      </c>
      <c r="O187" s="9">
        <f t="shared" si="19"/>
        <v>7.3380468510000352E-3</v>
      </c>
      <c r="P187" s="9">
        <f t="shared" si="19"/>
        <v>9.1094768727590925E-3</v>
      </c>
      <c r="Q187" s="9">
        <f t="shared" si="19"/>
        <v>1.1359378980303703E-2</v>
      </c>
      <c r="R187" s="9">
        <f t="shared" si="19"/>
        <v>1.3996744601829869E-2</v>
      </c>
      <c r="S187" s="9">
        <f t="shared" si="19"/>
        <v>1.7346784237630031E-2</v>
      </c>
      <c r="T187" s="9">
        <f t="shared" si="19"/>
        <v>2.1278194034604736E-2</v>
      </c>
      <c r="U187" s="9">
        <f t="shared" si="19"/>
        <v>2.5590075889436958E-2</v>
      </c>
      <c r="V187" s="9">
        <f t="shared" si="19"/>
        <v>3.0116815448762768E-2</v>
      </c>
      <c r="W187" s="9">
        <f t="shared" si="19"/>
        <v>3.4720316216008795E-2</v>
      </c>
      <c r="X187" s="9">
        <f t="shared" si="19"/>
        <v>3.9252377119442849E-2</v>
      </c>
      <c r="Y187" s="9">
        <f t="shared" si="19"/>
        <v>4.3597976469328392E-2</v>
      </c>
      <c r="Z187" s="9">
        <f t="shared" si="19"/>
        <v>4.7743805176593934E-2</v>
      </c>
      <c r="AA187" s="9">
        <f t="shared" si="19"/>
        <v>5.1690800776894363E-2</v>
      </c>
      <c r="AB187" s="9">
        <f t="shared" si="19"/>
        <v>5.5420655599958124E-2</v>
      </c>
      <c r="AC187" s="9">
        <f t="shared" si="19"/>
        <v>5.8692606121931723E-2</v>
      </c>
      <c r="AD187" s="9">
        <f t="shared" si="19"/>
        <v>6.1269167922924472E-2</v>
      </c>
      <c r="AE187" s="9">
        <f t="shared" si="19"/>
        <v>6.3166316416388479E-2</v>
      </c>
      <c r="AF187" s="9">
        <f t="shared" si="19"/>
        <v>6.4439713936641274E-2</v>
      </c>
      <c r="AG187" s="9">
        <f t="shared" si="19"/>
        <v>6.5131326515822208E-2</v>
      </c>
      <c r="AH187" s="9">
        <f t="shared" si="19"/>
        <v>6.5175529425451462E-2</v>
      </c>
      <c r="AI187" s="9">
        <f t="shared" si="19"/>
        <v>6.4465852128872791E-2</v>
      </c>
      <c r="AJ187" s="9">
        <f t="shared" si="19"/>
        <v>6.2999660609830865E-2</v>
      </c>
      <c r="AK187" s="9">
        <f t="shared" si="19"/>
        <v>6.0792176105709972E-2</v>
      </c>
      <c r="AL187" s="9">
        <f t="shared" si="19"/>
        <v>5.7847608129830252E-2</v>
      </c>
    </row>
    <row r="188" spans="1:38" x14ac:dyDescent="0.35">
      <c r="B188" t="s">
        <v>10</v>
      </c>
      <c r="C188" s="9">
        <f t="shared" ref="C188:AL188" si="20">C178/C140/(C168/C129)-1</f>
        <v>0</v>
      </c>
      <c r="D188" s="9">
        <f t="shared" si="20"/>
        <v>-4.2252046306145985E-10</v>
      </c>
      <c r="E188" s="9">
        <f t="shared" si="20"/>
        <v>0</v>
      </c>
      <c r="F188" s="9">
        <f t="shared" si="20"/>
        <v>-3.6841985018298828E-10</v>
      </c>
      <c r="G188" s="9">
        <f t="shared" si="20"/>
        <v>3.9119885109073493E-10</v>
      </c>
      <c r="H188" s="9">
        <f t="shared" si="20"/>
        <v>0</v>
      </c>
      <c r="I188" s="9">
        <f t="shared" si="20"/>
        <v>-3.4367064749574183E-11</v>
      </c>
      <c r="J188" s="9">
        <f t="shared" si="20"/>
        <v>1.5938268199762184E-3</v>
      </c>
      <c r="K188" s="9">
        <f t="shared" si="20"/>
        <v>3.1856677163855096E-3</v>
      </c>
      <c r="L188" s="9">
        <f t="shared" si="20"/>
        <v>1.6257458389405954E-3</v>
      </c>
      <c r="M188" s="9">
        <f t="shared" si="20"/>
        <v>-4.2064656325080385E-4</v>
      </c>
      <c r="N188" s="9">
        <f t="shared" si="20"/>
        <v>-2.1208207679968005E-3</v>
      </c>
      <c r="O188" s="9">
        <f t="shared" si="20"/>
        <v>-3.3226082110149324E-3</v>
      </c>
      <c r="P188" s="9">
        <f t="shared" si="20"/>
        <v>-4.1285524231996495E-3</v>
      </c>
      <c r="Q188" s="9">
        <f t="shared" si="20"/>
        <v>-4.7360322819782752E-3</v>
      </c>
      <c r="R188" s="9">
        <f t="shared" si="20"/>
        <v>-5.1697622650452857E-3</v>
      </c>
      <c r="S188" s="9">
        <f t="shared" si="20"/>
        <v>-5.2122659518150094E-3</v>
      </c>
      <c r="T188" s="9">
        <f t="shared" si="20"/>
        <v>-4.9081198740614784E-3</v>
      </c>
      <c r="U188" s="9">
        <f t="shared" si="20"/>
        <v>-4.3225657802493656E-3</v>
      </c>
      <c r="V188" s="9">
        <f t="shared" si="20"/>
        <v>-3.530993887006173E-3</v>
      </c>
      <c r="W188" s="9">
        <f t="shared" si="20"/>
        <v>-2.5915407972130211E-3</v>
      </c>
      <c r="X188" s="9">
        <f t="shared" si="20"/>
        <v>-1.5419118944282051E-3</v>
      </c>
      <c r="Y188" s="9">
        <f t="shared" si="20"/>
        <v>-4.1680221553741514E-4</v>
      </c>
      <c r="Z188" s="9">
        <f t="shared" si="20"/>
        <v>7.4867981390824845E-4</v>
      </c>
      <c r="AA188" s="9">
        <f t="shared" si="20"/>
        <v>1.921878651240716E-3</v>
      </c>
      <c r="AB188" s="9">
        <f t="shared" si="20"/>
        <v>3.0841742549712059E-3</v>
      </c>
      <c r="AC188" s="9">
        <f t="shared" si="20"/>
        <v>4.1944478760589377E-3</v>
      </c>
      <c r="AD188" s="9">
        <f t="shared" si="20"/>
        <v>5.2493296338431694E-3</v>
      </c>
      <c r="AE188" s="9">
        <f t="shared" si="20"/>
        <v>6.2047858369864706E-3</v>
      </c>
      <c r="AF188" s="9">
        <f t="shared" si="20"/>
        <v>7.0134532827668128E-3</v>
      </c>
      <c r="AG188" s="9">
        <f t="shared" si="20"/>
        <v>7.6397691623613095E-3</v>
      </c>
      <c r="AH188" s="9">
        <f t="shared" si="20"/>
        <v>8.0633828523617446E-3</v>
      </c>
      <c r="AI188" s="9">
        <f t="shared" si="20"/>
        <v>8.2655052461109157E-3</v>
      </c>
      <c r="AJ188" s="9">
        <f t="shared" si="20"/>
        <v>8.2186946999704968E-3</v>
      </c>
      <c r="AK188" s="9">
        <f t="shared" si="20"/>
        <v>7.8926016632896445E-3</v>
      </c>
      <c r="AL188" s="9">
        <f t="shared" si="20"/>
        <v>7.2566425957689695E-3</v>
      </c>
    </row>
    <row r="189" spans="1:38" x14ac:dyDescent="0.35">
      <c r="B189" t="s">
        <v>29</v>
      </c>
      <c r="C189" s="9">
        <f t="shared" ref="C189:AL189" si="21">(C179+C180)/(C141+C142)/((C169+C170)/(C130+C131))-1</f>
        <v>9.0668805796667584E-11</v>
      </c>
      <c r="D189" s="9">
        <f t="shared" si="21"/>
        <v>2.1938006966593093E-13</v>
      </c>
      <c r="E189" s="9">
        <f t="shared" si="21"/>
        <v>5.7013860299548469E-10</v>
      </c>
      <c r="F189" s="9">
        <f t="shared" si="21"/>
        <v>4.5894221756270781E-10</v>
      </c>
      <c r="G189" s="9">
        <f t="shared" si="21"/>
        <v>7.737375185001838E-10</v>
      </c>
      <c r="H189" s="9">
        <f t="shared" si="21"/>
        <v>6.4411853628598692E-10</v>
      </c>
      <c r="I189" s="9">
        <f t="shared" si="21"/>
        <v>8.7241347479505293E-10</v>
      </c>
      <c r="J189" s="9">
        <f t="shared" si="21"/>
        <v>-5.7622560196068928E-4</v>
      </c>
      <c r="K189" s="9">
        <f t="shared" si="21"/>
        <v>-1.8155748009054395E-3</v>
      </c>
      <c r="L189" s="9">
        <f t="shared" si="21"/>
        <v>-7.4168980761425418E-3</v>
      </c>
      <c r="M189" s="9">
        <f t="shared" si="21"/>
        <v>-1.3987460894353099E-2</v>
      </c>
      <c r="N189" s="9">
        <f t="shared" si="21"/>
        <v>-2.1942483822534609E-2</v>
      </c>
      <c r="O189" s="9">
        <f t="shared" si="21"/>
        <v>-3.0587209453454056E-2</v>
      </c>
      <c r="P189" s="9">
        <f t="shared" si="21"/>
        <v>-3.966984440547705E-2</v>
      </c>
      <c r="Q189" s="9">
        <f t="shared" si="21"/>
        <v>-4.9106135547856589E-2</v>
      </c>
      <c r="R189" s="9">
        <f t="shared" si="21"/>
        <v>-5.8612518138455028E-2</v>
      </c>
      <c r="S189" s="9">
        <f t="shared" si="21"/>
        <v>-6.652503236184848E-2</v>
      </c>
      <c r="T189" s="9">
        <f t="shared" si="21"/>
        <v>-7.3421903770430674E-2</v>
      </c>
      <c r="U189" s="9">
        <f t="shared" si="21"/>
        <v>-7.9413906854736926E-2</v>
      </c>
      <c r="V189" s="9">
        <f t="shared" si="21"/>
        <v>-8.4645271748013728E-2</v>
      </c>
      <c r="W189" s="9">
        <f t="shared" si="21"/>
        <v>-8.9254445546670946E-2</v>
      </c>
      <c r="X189" s="9">
        <f t="shared" si="21"/>
        <v>-9.3347564856008369E-2</v>
      </c>
      <c r="Y189" s="9">
        <f t="shared" si="21"/>
        <v>-9.7017029876926175E-2</v>
      </c>
      <c r="Z189" s="9">
        <f t="shared" si="21"/>
        <v>-0.10031339991245924</v>
      </c>
      <c r="AA189" s="9">
        <f t="shared" si="21"/>
        <v>-0.10328632628522338</v>
      </c>
      <c r="AB189" s="9">
        <f t="shared" si="21"/>
        <v>-0.10600575822779823</v>
      </c>
      <c r="AC189" s="9">
        <f t="shared" si="21"/>
        <v>-0.10871450710589314</v>
      </c>
      <c r="AD189" s="9">
        <f t="shared" si="21"/>
        <v>-0.11135386502935929</v>
      </c>
      <c r="AE189" s="9">
        <f t="shared" si="21"/>
        <v>-0.11399652775340308</v>
      </c>
      <c r="AF189" s="9">
        <f t="shared" si="21"/>
        <v>-0.11672986795934148</v>
      </c>
      <c r="AG189" s="9">
        <f t="shared" si="21"/>
        <v>-0.1196584534031081</v>
      </c>
      <c r="AH189" s="9">
        <f t="shared" si="21"/>
        <v>-0.12291683539404596</v>
      </c>
      <c r="AI189" s="9">
        <f t="shared" si="21"/>
        <v>-0.12666436240344459</v>
      </c>
      <c r="AJ189" s="9">
        <f t="shared" si="21"/>
        <v>-0.1310603238950766</v>
      </c>
      <c r="AK189" s="9">
        <f t="shared" si="21"/>
        <v>-0.13630082435123747</v>
      </c>
      <c r="AL189" s="9">
        <f t="shared" si="21"/>
        <v>-0.14266517973900583</v>
      </c>
    </row>
    <row r="190" spans="1:38" x14ac:dyDescent="0.35">
      <c r="B190" t="s">
        <v>33</v>
      </c>
      <c r="C190" s="9">
        <f t="shared" ref="C190:AL190" si="22">C181/C143/(C171/C132)-1</f>
        <v>-1.6491408239005523E-10</v>
      </c>
      <c r="D190" s="9">
        <f t="shared" si="22"/>
        <v>9.4650065562973396E-11</v>
      </c>
      <c r="E190" s="9">
        <f t="shared" si="22"/>
        <v>-8.657619066099187E-11</v>
      </c>
      <c r="F190" s="9">
        <f t="shared" si="22"/>
        <v>-1.8473633733862016E-10</v>
      </c>
      <c r="G190" s="9">
        <f t="shared" si="22"/>
        <v>-1.1734724303380517E-11</v>
      </c>
      <c r="H190" s="9">
        <f t="shared" si="22"/>
        <v>-2.7235769195499415E-11</v>
      </c>
      <c r="I190" s="9">
        <f t="shared" si="22"/>
        <v>2.2445711955754177E-10</v>
      </c>
      <c r="J190" s="9">
        <f t="shared" si="22"/>
        <v>-2.5523358816769037E-2</v>
      </c>
      <c r="K190" s="9">
        <f t="shared" si="22"/>
        <v>-5.0402721153334329E-2</v>
      </c>
      <c r="L190" s="9">
        <f t="shared" si="22"/>
        <v>-7.4965083847395642E-2</v>
      </c>
      <c r="M190" s="9">
        <f t="shared" si="22"/>
        <v>-9.594770151700871E-2</v>
      </c>
      <c r="N190" s="9">
        <f t="shared" si="22"/>
        <v>-0.11125617953268074</v>
      </c>
      <c r="O190" s="9">
        <f t="shared" si="22"/>
        <v>-0.12274947650773904</v>
      </c>
      <c r="P190" s="9">
        <f t="shared" si="22"/>
        <v>-0.13172362013812244</v>
      </c>
      <c r="Q190" s="9">
        <f t="shared" si="22"/>
        <v>-0.13900798768027012</v>
      </c>
      <c r="R190" s="9">
        <f t="shared" si="22"/>
        <v>-0.14491239848730952</v>
      </c>
      <c r="S190" s="9">
        <f t="shared" si="22"/>
        <v>-0.14981200709190046</v>
      </c>
      <c r="T190" s="9">
        <f t="shared" si="22"/>
        <v>-0.15375233502281371</v>
      </c>
      <c r="U190" s="9">
        <f t="shared" si="22"/>
        <v>-0.15650163204236545</v>
      </c>
      <c r="V190" s="9">
        <f t="shared" si="22"/>
        <v>-0.15806555098875785</v>
      </c>
      <c r="W190" s="9">
        <f t="shared" si="22"/>
        <v>-0.15857380030956281</v>
      </c>
      <c r="X190" s="9">
        <f t="shared" si="22"/>
        <v>-0.1581534875313646</v>
      </c>
      <c r="Y190" s="9">
        <f t="shared" si="22"/>
        <v>-0.15698515543413483</v>
      </c>
      <c r="Z190" s="9">
        <f t="shared" si="22"/>
        <v>-0.15519491467455737</v>
      </c>
      <c r="AA190" s="9">
        <f t="shared" si="22"/>
        <v>-0.15289979533671016</v>
      </c>
      <c r="AB190" s="9">
        <f t="shared" si="22"/>
        <v>-0.15030054689835393</v>
      </c>
      <c r="AC190" s="9">
        <f t="shared" si="22"/>
        <v>-0.14766970578776262</v>
      </c>
      <c r="AD190" s="9">
        <f t="shared" si="22"/>
        <v>-0.14514526136105743</v>
      </c>
      <c r="AE190" s="9">
        <f t="shared" si="22"/>
        <v>-0.14285886448777241</v>
      </c>
      <c r="AF190" s="9">
        <f t="shared" si="22"/>
        <v>-0.14094814776962583</v>
      </c>
      <c r="AG190" s="9">
        <f t="shared" si="22"/>
        <v>-0.13957050918513292</v>
      </c>
      <c r="AH190" s="9">
        <f t="shared" si="22"/>
        <v>-0.13894338963867825</v>
      </c>
      <c r="AI190" s="9">
        <f t="shared" si="22"/>
        <v>-0.13932349880989203</v>
      </c>
      <c r="AJ190" s="9">
        <f t="shared" si="22"/>
        <v>-0.14094080736390557</v>
      </c>
      <c r="AK190" s="9">
        <f t="shared" si="22"/>
        <v>-0.14403257678266401</v>
      </c>
      <c r="AL190" s="9">
        <f t="shared" si="22"/>
        <v>-0.14887126870150802</v>
      </c>
    </row>
    <row r="192" spans="1:38" x14ac:dyDescent="0.35">
      <c r="A192" s="12" t="s">
        <v>86</v>
      </c>
      <c r="B192" t="s">
        <v>27</v>
      </c>
      <c r="C192" s="5">
        <f>[1]Results!F1434</f>
        <v>27379.147679999998</v>
      </c>
      <c r="D192" s="5">
        <f>[1]Results!G1434</f>
        <v>27521.173460000002</v>
      </c>
      <c r="E192" s="5">
        <f>[1]Results!H1434</f>
        <v>27743.783230000001</v>
      </c>
      <c r="F192" s="5">
        <f>[1]Results!I1434</f>
        <v>28032.989689999999</v>
      </c>
      <c r="G192" s="5">
        <f>[1]Results!J1434</f>
        <v>28368.520329999999</v>
      </c>
      <c r="H192" s="5">
        <f>[1]Results!K1434</f>
        <v>28737.206829999999</v>
      </c>
      <c r="I192" s="5">
        <f>[1]Results!L1434</f>
        <v>29118.52115</v>
      </c>
      <c r="J192" s="5">
        <f>[1]Results!M1434</f>
        <v>29481.00488</v>
      </c>
      <c r="K192" s="5">
        <f>[1]Results!N1434</f>
        <v>29825.849490000001</v>
      </c>
      <c r="L192" s="5">
        <f>[1]Results!O1434</f>
        <v>30215.808270000001</v>
      </c>
      <c r="M192" s="5">
        <f>[1]Results!P1434</f>
        <v>30635.396949999998</v>
      </c>
      <c r="N192" s="5">
        <f>[1]Results!Q1434</f>
        <v>31005.645250000001</v>
      </c>
      <c r="O192" s="5">
        <f>[1]Results!R1434</f>
        <v>31296.889039999998</v>
      </c>
      <c r="P192" s="5">
        <f>[1]Results!S1434</f>
        <v>31506.012549999999</v>
      </c>
      <c r="Q192" s="5">
        <f>[1]Results!T1434</f>
        <v>31647.627219999998</v>
      </c>
      <c r="R192" s="5">
        <f>[1]Results!U1434</f>
        <v>31741.051520000001</v>
      </c>
      <c r="S192" s="5">
        <f>[1]Results!V1434</f>
        <v>31805.919419999998</v>
      </c>
      <c r="T192" s="5">
        <f>[1]Results!W1434</f>
        <v>31861.139050000002</v>
      </c>
      <c r="U192" s="5">
        <f>[1]Results!X1434</f>
        <v>31922.43979</v>
      </c>
      <c r="V192" s="5">
        <f>[1]Results!Y1434</f>
        <v>32001.550660000001</v>
      </c>
      <c r="W192" s="5">
        <f>[1]Results!Z1434</f>
        <v>32099.670529999999</v>
      </c>
      <c r="X192" s="5">
        <f>[1]Results!AA1434</f>
        <v>32231.992630000001</v>
      </c>
      <c r="Y192" s="5">
        <f>[1]Results!AB1434</f>
        <v>32404.513050000001</v>
      </c>
      <c r="Z192" s="5">
        <f>[1]Results!AC1434</f>
        <v>32621.153920000001</v>
      </c>
      <c r="AA192" s="5">
        <f>[1]Results!AD1434</f>
        <v>32883.218699999998</v>
      </c>
      <c r="AB192" s="5">
        <f>[1]Results!AE1434</f>
        <v>33169.971749999997</v>
      </c>
      <c r="AC192" s="5">
        <f>[1]Results!AF1434</f>
        <v>33495.499770000002</v>
      </c>
      <c r="AD192" s="5">
        <f>[1]Results!AG1434</f>
        <v>33863.185619999997</v>
      </c>
      <c r="AE192" s="5">
        <f>[1]Results!AH1434</f>
        <v>34274.927680000001</v>
      </c>
      <c r="AF192" s="5">
        <f>[1]Results!AI1434</f>
        <v>34728.561719999998</v>
      </c>
      <c r="AG192" s="5">
        <f>[1]Results!AJ1434</f>
        <v>35218.033909999998</v>
      </c>
      <c r="AH192" s="5">
        <f>[1]Results!AK1434</f>
        <v>35735.771050000003</v>
      </c>
      <c r="AI192" s="5">
        <f>[1]Results!AL1434</f>
        <v>36274.49381</v>
      </c>
      <c r="AJ192" s="5">
        <f>[1]Results!AM1434</f>
        <v>36827.612289999997</v>
      </c>
      <c r="AK192" s="5">
        <f>[1]Results!AN1434</f>
        <v>37389.435879999997</v>
      </c>
      <c r="AL192" s="5">
        <f>[1]Results!AO1434</f>
        <v>37955.34246</v>
      </c>
    </row>
    <row r="193" spans="1:38" x14ac:dyDescent="0.35">
      <c r="A193" t="s">
        <v>39</v>
      </c>
      <c r="B193" t="s">
        <v>7</v>
      </c>
      <c r="C193" s="5">
        <f>[1]Results!F1435</f>
        <v>760.78110530000004</v>
      </c>
      <c r="D193" s="5">
        <f>[1]Results!G1435</f>
        <v>763.94005430000004</v>
      </c>
      <c r="E193" s="5">
        <f>[1]Results!H1435</f>
        <v>769.21570110000005</v>
      </c>
      <c r="F193" s="5">
        <f>[1]Results!I1435</f>
        <v>776.71667930000001</v>
      </c>
      <c r="G193" s="5">
        <f>[1]Results!J1435</f>
        <v>786.04811859999995</v>
      </c>
      <c r="H193" s="5">
        <f>[1]Results!K1435</f>
        <v>796.86059139999998</v>
      </c>
      <c r="I193" s="5">
        <f>[1]Results!L1435</f>
        <v>808.55161710000004</v>
      </c>
      <c r="J193" s="5">
        <f>[1]Results!M1435</f>
        <v>819.24587810000003</v>
      </c>
      <c r="K193" s="5">
        <f>[1]Results!N1435</f>
        <v>829.03577689999997</v>
      </c>
      <c r="L193" s="5">
        <f>[1]Results!O1435</f>
        <v>840.32331309999995</v>
      </c>
      <c r="M193" s="5">
        <f>[1]Results!P1435</f>
        <v>852.14288439999996</v>
      </c>
      <c r="N193" s="5">
        <f>[1]Results!Q1435</f>
        <v>861.89511010000001</v>
      </c>
      <c r="O193" s="5">
        <f>[1]Results!R1435</f>
        <v>868.61426749999998</v>
      </c>
      <c r="P193" s="5">
        <f>[1]Results!S1435</f>
        <v>872.32439429999999</v>
      </c>
      <c r="Q193" s="5">
        <f>[1]Results!T1435</f>
        <v>873.64603829999999</v>
      </c>
      <c r="R193" s="5">
        <f>[1]Results!U1435</f>
        <v>873.30504040000005</v>
      </c>
      <c r="S193" s="5">
        <f>[1]Results!V1435</f>
        <v>872.11582109999995</v>
      </c>
      <c r="T193" s="5">
        <f>[1]Results!W1435</f>
        <v>870.68632969999999</v>
      </c>
      <c r="U193" s="5">
        <f>[1]Results!X1435</f>
        <v>869.52041929999996</v>
      </c>
      <c r="V193" s="5">
        <f>[1]Results!Y1435</f>
        <v>868.99345440000002</v>
      </c>
      <c r="W193" s="5">
        <f>[1]Results!Z1435</f>
        <v>869.26940530000002</v>
      </c>
      <c r="X193" s="5">
        <f>[1]Results!AA1435</f>
        <v>870.64747790000001</v>
      </c>
      <c r="Y193" s="5">
        <f>[1]Results!AB1435</f>
        <v>873.35598319999997</v>
      </c>
      <c r="Z193" s="5">
        <f>[1]Results!AC1435</f>
        <v>877.53604280000002</v>
      </c>
      <c r="AA193" s="5">
        <f>[1]Results!AD1435</f>
        <v>883.22116670000003</v>
      </c>
      <c r="AB193" s="5">
        <f>[1]Results!AE1435</f>
        <v>890.06860140000003</v>
      </c>
      <c r="AC193" s="5">
        <f>[1]Results!AF1435</f>
        <v>898.0615798</v>
      </c>
      <c r="AD193" s="5">
        <f>[1]Results!AG1435</f>
        <v>907.3432914</v>
      </c>
      <c r="AE193" s="5">
        <f>[1]Results!AH1435</f>
        <v>917.99620579999998</v>
      </c>
      <c r="AF193" s="5">
        <f>[1]Results!AI1435</f>
        <v>929.93342070000006</v>
      </c>
      <c r="AG193" s="5">
        <f>[1]Results!AJ1435</f>
        <v>942.91112009999995</v>
      </c>
      <c r="AH193" s="5">
        <f>[1]Results!AK1435</f>
        <v>956.62177059999999</v>
      </c>
      <c r="AI193" s="5">
        <f>[1]Results!AL1435</f>
        <v>970.76033370000005</v>
      </c>
      <c r="AJ193" s="5">
        <f>[1]Results!AM1435</f>
        <v>985.03566520000004</v>
      </c>
      <c r="AK193" s="5">
        <f>[1]Results!AN1435</f>
        <v>999.17389779999996</v>
      </c>
      <c r="AL193" s="5">
        <f>[1]Results!AO1435</f>
        <v>1012.918816</v>
      </c>
    </row>
    <row r="194" spans="1:38" x14ac:dyDescent="0.35">
      <c r="B194" t="s">
        <v>8</v>
      </c>
      <c r="C194" s="5">
        <f>[1]Results!F1438</f>
        <v>4368.3707029999996</v>
      </c>
      <c r="D194" s="5">
        <f>[1]Results!G1438</f>
        <v>4397.7869140000003</v>
      </c>
      <c r="E194" s="5">
        <f>[1]Results!H1438</f>
        <v>4444.1016490000002</v>
      </c>
      <c r="F194" s="5">
        <f>[1]Results!I1438</f>
        <v>4503.6294319999997</v>
      </c>
      <c r="G194" s="5">
        <f>[1]Results!J1438</f>
        <v>4572.0699619999996</v>
      </c>
      <c r="H194" s="5">
        <f>[1]Results!K1438</f>
        <v>4646.9548759999998</v>
      </c>
      <c r="I194" s="5">
        <f>[1]Results!L1438</f>
        <v>4725.6158429999996</v>
      </c>
      <c r="J194" s="5">
        <f>[1]Results!M1438</f>
        <v>4799.7671110000001</v>
      </c>
      <c r="K194" s="5">
        <f>[1]Results!N1438</f>
        <v>4871.089919</v>
      </c>
      <c r="L194" s="5">
        <f>[1]Results!O1438</f>
        <v>4954.5307499999999</v>
      </c>
      <c r="M194" s="5">
        <f>[1]Results!P1438</f>
        <v>5043.8523740000001</v>
      </c>
      <c r="N194" s="5">
        <f>[1]Results!Q1438</f>
        <v>5123.2235860000001</v>
      </c>
      <c r="O194" s="5">
        <f>[1]Results!R1438</f>
        <v>5186.2779339999997</v>
      </c>
      <c r="P194" s="5">
        <f>[1]Results!S1438</f>
        <v>5233.078211</v>
      </c>
      <c r="Q194" s="5">
        <f>[1]Results!T1438</f>
        <v>5267.7191240000002</v>
      </c>
      <c r="R194" s="5">
        <f>[1]Results!U1438</f>
        <v>5294.9529519999996</v>
      </c>
      <c r="S194" s="5">
        <f>[1]Results!V1438</f>
        <v>5318.9008839999997</v>
      </c>
      <c r="T194" s="5">
        <f>[1]Results!W1438</f>
        <v>5343.5373870000003</v>
      </c>
      <c r="U194" s="5">
        <f>[1]Results!X1438</f>
        <v>5372.0481380000001</v>
      </c>
      <c r="V194" s="5">
        <f>[1]Results!Y1438</f>
        <v>5406.6963800000003</v>
      </c>
      <c r="W194" s="5">
        <f>[1]Results!Z1438</f>
        <v>5448.5165040000002</v>
      </c>
      <c r="X194" s="5">
        <f>[1]Results!AA1438</f>
        <v>5499.1788329999999</v>
      </c>
      <c r="Y194" s="5">
        <f>[1]Results!AB1438</f>
        <v>5559.988147</v>
      </c>
      <c r="Z194" s="5">
        <f>[1]Results!AC1438</f>
        <v>5631.7645670000002</v>
      </c>
      <c r="AA194" s="5">
        <f>[1]Results!AD1438</f>
        <v>5714.7450150000004</v>
      </c>
      <c r="AB194" s="5">
        <f>[1]Results!AE1438</f>
        <v>5807.1663280000002</v>
      </c>
      <c r="AC194" s="5">
        <f>[1]Results!AF1438</f>
        <v>5909.493555</v>
      </c>
      <c r="AD194" s="5">
        <f>[1]Results!AG1438</f>
        <v>6022.47577</v>
      </c>
      <c r="AE194" s="5">
        <f>[1]Results!AH1438</f>
        <v>6146.4560629999996</v>
      </c>
      <c r="AF194" s="5">
        <f>[1]Results!AI1438</f>
        <v>6280.8043580000003</v>
      </c>
      <c r="AG194" s="5">
        <f>[1]Results!AJ1438</f>
        <v>6424.099314</v>
      </c>
      <c r="AH194" s="5">
        <f>[1]Results!AK1438</f>
        <v>6574.7905840000003</v>
      </c>
      <c r="AI194" s="5">
        <f>[1]Results!AL1438</f>
        <v>6731.5757800000001</v>
      </c>
      <c r="AJ194" s="5">
        <f>[1]Results!AM1438</f>
        <v>6893.348731</v>
      </c>
      <c r="AK194" s="5">
        <f>[1]Results!AN1438</f>
        <v>7059.2331130000002</v>
      </c>
      <c r="AL194" s="5">
        <f>[1]Results!AO1438</f>
        <v>7228.6371859999999</v>
      </c>
    </row>
    <row r="195" spans="1:38" x14ac:dyDescent="0.35">
      <c r="B195" t="s">
        <v>28</v>
      </c>
      <c r="C195" s="5">
        <f>[1]Results!F1450</f>
        <v>868.27520900000002</v>
      </c>
      <c r="D195" s="5">
        <f>[1]Results!G1450</f>
        <v>872.68307030000005</v>
      </c>
      <c r="E195" s="5">
        <f>[1]Results!H1450</f>
        <v>879.34946490000004</v>
      </c>
      <c r="F195" s="5">
        <f>[1]Results!I1450</f>
        <v>887.61792170000001</v>
      </c>
      <c r="G195" s="5">
        <f>[1]Results!J1450</f>
        <v>897.06214120000004</v>
      </c>
      <c r="H195" s="5">
        <f>[1]Results!K1450</f>
        <v>907.42037730000004</v>
      </c>
      <c r="I195" s="5">
        <f>[1]Results!L1450</f>
        <v>918.11462640000002</v>
      </c>
      <c r="J195" s="5">
        <f>[1]Results!M1450</f>
        <v>926.46265419999997</v>
      </c>
      <c r="K195" s="5">
        <f>[1]Results!N1450</f>
        <v>932.98385729999995</v>
      </c>
      <c r="L195" s="5">
        <f>[1]Results!O1450</f>
        <v>940.74939629999994</v>
      </c>
      <c r="M195" s="5">
        <f>[1]Results!P1450</f>
        <v>948.8912153</v>
      </c>
      <c r="N195" s="5">
        <f>[1]Results!Q1450</f>
        <v>954.97433130000002</v>
      </c>
      <c r="O195" s="5">
        <f>[1]Results!R1450</f>
        <v>958.17558389999999</v>
      </c>
      <c r="P195" s="5">
        <f>[1]Results!S1450</f>
        <v>958.62739039999997</v>
      </c>
      <c r="Q195" s="5">
        <f>[1]Results!T1450</f>
        <v>957.05249140000001</v>
      </c>
      <c r="R195" s="5">
        <f>[1]Results!U1450</f>
        <v>954.23176890000002</v>
      </c>
      <c r="S195" s="5">
        <f>[1]Results!V1450</f>
        <v>950.8035433</v>
      </c>
      <c r="T195" s="5">
        <f>[1]Results!W1450</f>
        <v>947.39083070000004</v>
      </c>
      <c r="U195" s="5">
        <f>[1]Results!X1450</f>
        <v>944.53591789999996</v>
      </c>
      <c r="V195" s="5">
        <f>[1]Results!Y1450</f>
        <v>942.62867879999999</v>
      </c>
      <c r="W195" s="5">
        <f>[1]Results!Z1450</f>
        <v>941.80449369999997</v>
      </c>
      <c r="X195" s="5">
        <f>[1]Results!AA1450</f>
        <v>942.40240889999995</v>
      </c>
      <c r="Y195" s="5">
        <f>[1]Results!AB1450</f>
        <v>944.61682929999995</v>
      </c>
      <c r="Z195" s="5">
        <f>[1]Results!AC1450</f>
        <v>948.5475093</v>
      </c>
      <c r="AA195" s="5">
        <f>[1]Results!AD1450</f>
        <v>954.18634940000004</v>
      </c>
      <c r="AB195" s="5">
        <f>[1]Results!AE1450</f>
        <v>961.0953068</v>
      </c>
      <c r="AC195" s="5">
        <f>[1]Results!AF1450</f>
        <v>969.47115929999995</v>
      </c>
      <c r="AD195" s="5">
        <f>[1]Results!AG1450</f>
        <v>979.43670420000001</v>
      </c>
      <c r="AE195" s="5">
        <f>[1]Results!AH1450</f>
        <v>991.03376319999995</v>
      </c>
      <c r="AF195" s="5">
        <f>[1]Results!AI1450</f>
        <v>1004.119678</v>
      </c>
      <c r="AG195" s="5">
        <f>[1]Results!AJ1450</f>
        <v>1018.401157</v>
      </c>
      <c r="AH195" s="5">
        <f>[1]Results!AK1450</f>
        <v>1033.560428</v>
      </c>
      <c r="AI195" s="5">
        <f>[1]Results!AL1450</f>
        <v>1049.3271830000001</v>
      </c>
      <c r="AJ195" s="5">
        <f>[1]Results!AM1450</f>
        <v>1065.4646379999999</v>
      </c>
      <c r="AK195" s="5">
        <f>[1]Results!AN1450</f>
        <v>1081.7659719999999</v>
      </c>
      <c r="AL195" s="5">
        <f>[1]Results!AO1450</f>
        <v>1098.054961</v>
      </c>
    </row>
    <row r="196" spans="1:38" x14ac:dyDescent="0.35">
      <c r="B196" t="s">
        <v>10</v>
      </c>
      <c r="C196" s="5">
        <f>[1]Results!F1455</f>
        <v>21276.68795</v>
      </c>
      <c r="D196" s="5">
        <f>[1]Results!G1455</f>
        <v>21381.42657</v>
      </c>
      <c r="E196" s="5">
        <f>[1]Results!H1455</f>
        <v>21545.4568</v>
      </c>
      <c r="F196" s="5">
        <f>[1]Results!I1455</f>
        <v>21758.967720000001</v>
      </c>
      <c r="G196" s="5">
        <f>[1]Results!J1455</f>
        <v>22006.889459999999</v>
      </c>
      <c r="H196" s="5">
        <f>[1]Results!K1455</f>
        <v>22279.105869999999</v>
      </c>
      <c r="I196" s="5">
        <f>[1]Results!L1455</f>
        <v>22558.924139999999</v>
      </c>
      <c r="J196" s="5">
        <f>[1]Results!M1455</f>
        <v>22825.625619999999</v>
      </c>
      <c r="K196" s="5">
        <f>[1]Results!N1455</f>
        <v>23078.879270000001</v>
      </c>
      <c r="L196" s="5">
        <f>[1]Results!O1455</f>
        <v>23361.30357</v>
      </c>
      <c r="M196" s="5">
        <f>[1]Results!P1455</f>
        <v>23665.950680000002</v>
      </c>
      <c r="N196" s="5">
        <f>[1]Results!Q1455</f>
        <v>23935.388650000001</v>
      </c>
      <c r="O196" s="5">
        <f>[1]Results!R1455</f>
        <v>24148.391230000001</v>
      </c>
      <c r="P196" s="5">
        <f>[1]Results!S1455</f>
        <v>24301.660029999999</v>
      </c>
      <c r="Q196" s="5">
        <f>[1]Results!T1455</f>
        <v>24404.262930000001</v>
      </c>
      <c r="R196" s="5">
        <f>[1]Results!U1455</f>
        <v>24469.112949999999</v>
      </c>
      <c r="S196" s="5">
        <f>[1]Results!V1455</f>
        <v>24510.127120000001</v>
      </c>
      <c r="T196" s="5">
        <f>[1]Results!W1455</f>
        <v>24540.85224</v>
      </c>
      <c r="U196" s="5">
        <f>[1]Results!X1455</f>
        <v>24572.666689999998</v>
      </c>
      <c r="V196" s="5">
        <f>[1]Results!Y1455</f>
        <v>24614.172159999998</v>
      </c>
      <c r="W196" s="5">
        <f>[1]Results!Z1455</f>
        <v>24665.16316</v>
      </c>
      <c r="X196" s="5">
        <f>[1]Results!AA1455</f>
        <v>24738.411649999998</v>
      </c>
      <c r="Y196" s="5">
        <f>[1]Results!AB1455</f>
        <v>24838.07747</v>
      </c>
      <c r="Z196" s="5">
        <f>[1]Results!AC1455</f>
        <v>24966.917990000002</v>
      </c>
      <c r="AA196" s="5">
        <f>[1]Results!AD1455</f>
        <v>25125.874810000001</v>
      </c>
      <c r="AB196" s="5">
        <f>[1]Results!AE1455</f>
        <v>25296.717280000001</v>
      </c>
      <c r="AC196" s="5">
        <f>[1]Results!AF1455</f>
        <v>25492.703870000001</v>
      </c>
      <c r="AD196" s="5">
        <f>[1]Results!AG1455</f>
        <v>25716.011549999999</v>
      </c>
      <c r="AE196" s="5">
        <f>[1]Results!AH1455</f>
        <v>25967.868839999999</v>
      </c>
      <c r="AF196" s="5">
        <f>[1]Results!AI1455</f>
        <v>26246.77361</v>
      </c>
      <c r="AG196" s="5">
        <f>[1]Results!AJ1455</f>
        <v>26548.428459999999</v>
      </c>
      <c r="AH196" s="5">
        <f>[1]Results!AK1455</f>
        <v>26867.190729999998</v>
      </c>
      <c r="AI196" s="5">
        <f>[1]Results!AL1455</f>
        <v>27197.334330000002</v>
      </c>
      <c r="AJ196" s="5">
        <f>[1]Results!AM1455</f>
        <v>27533.482349999998</v>
      </c>
      <c r="AK196" s="5">
        <f>[1]Results!AN1455</f>
        <v>27870.75115</v>
      </c>
      <c r="AL196" s="5">
        <f>[1]Results!AO1455</f>
        <v>28204.81537</v>
      </c>
    </row>
    <row r="197" spans="1:38" x14ac:dyDescent="0.35">
      <c r="B197" t="s">
        <v>29</v>
      </c>
      <c r="C197" s="5">
        <f>C202-C198</f>
        <v>10.5730635677</v>
      </c>
      <c r="D197" s="5">
        <f t="shared" ref="D197:AL197" si="23">D202-D198</f>
        <v>10.5599684106</v>
      </c>
      <c r="E197" s="5">
        <f t="shared" si="23"/>
        <v>10.542121775100002</v>
      </c>
      <c r="F197" s="5">
        <f t="shared" si="23"/>
        <v>10.525477631900001</v>
      </c>
      <c r="G197" s="5">
        <f t="shared" si="23"/>
        <v>10.529200254899997</v>
      </c>
      <c r="H197" s="5">
        <f t="shared" si="23"/>
        <v>10.559207335499998</v>
      </c>
      <c r="I197" s="5">
        <f t="shared" si="23"/>
        <v>10.605277104599999</v>
      </c>
      <c r="J197" s="5">
        <f t="shared" si="23"/>
        <v>10.478122319799999</v>
      </c>
      <c r="K197" s="5">
        <f t="shared" si="23"/>
        <v>10.262592679900001</v>
      </c>
      <c r="L197" s="5">
        <f t="shared" si="23"/>
        <v>10.033900323299999</v>
      </c>
      <c r="M197" s="5">
        <f t="shared" si="23"/>
        <v>9.8051464500000023</v>
      </c>
      <c r="N197" s="5">
        <f t="shared" si="23"/>
        <v>9.5705992420000019</v>
      </c>
      <c r="O197" s="5">
        <f t="shared" si="23"/>
        <v>9.3270394559999978</v>
      </c>
      <c r="P197" s="5">
        <f t="shared" si="23"/>
        <v>9.0755411689999974</v>
      </c>
      <c r="Q197" s="5">
        <f t="shared" si="23"/>
        <v>8.8205491049999978</v>
      </c>
      <c r="R197" s="5">
        <f t="shared" si="23"/>
        <v>8.5660413129999959</v>
      </c>
      <c r="S197" s="5">
        <f t="shared" si="23"/>
        <v>8.3091097470000008</v>
      </c>
      <c r="T197" s="5">
        <f t="shared" si="23"/>
        <v>8.0544954319999995</v>
      </c>
      <c r="U197" s="5">
        <f t="shared" si="23"/>
        <v>7.8056865629999983</v>
      </c>
      <c r="V197" s="5">
        <f t="shared" si="23"/>
        <v>7.5645651309999984</v>
      </c>
      <c r="W197" s="5">
        <f t="shared" si="23"/>
        <v>7.3314505220000008</v>
      </c>
      <c r="X197" s="5">
        <f t="shared" si="23"/>
        <v>7.1070531149999994</v>
      </c>
      <c r="Y197" s="5">
        <f t="shared" si="23"/>
        <v>6.8915958600000025</v>
      </c>
      <c r="Z197" s="5">
        <f t="shared" si="23"/>
        <v>6.6846660909999969</v>
      </c>
      <c r="AA197" s="5">
        <f t="shared" si="23"/>
        <v>6.4851859879999978</v>
      </c>
      <c r="AB197" s="5">
        <f t="shared" si="23"/>
        <v>6.2907250989999923</v>
      </c>
      <c r="AC197" s="5">
        <f t="shared" si="23"/>
        <v>6.1024647600000037</v>
      </c>
      <c r="AD197" s="5">
        <f t="shared" si="23"/>
        <v>5.919733020999999</v>
      </c>
      <c r="AE197" s="5">
        <f t="shared" si="23"/>
        <v>5.7415766839999947</v>
      </c>
      <c r="AF197" s="5">
        <f t="shared" si="23"/>
        <v>5.5659710030000014</v>
      </c>
      <c r="AG197" s="5">
        <f t="shared" si="23"/>
        <v>5.3901530709999932</v>
      </c>
      <c r="AH197" s="5">
        <f t="shared" si="23"/>
        <v>5.211486843000003</v>
      </c>
      <c r="AI197" s="5">
        <f t="shared" si="23"/>
        <v>5.0278419589999999</v>
      </c>
      <c r="AJ197" s="5">
        <f t="shared" si="23"/>
        <v>4.8374005629999957</v>
      </c>
      <c r="AK197" s="5">
        <f t="shared" si="23"/>
        <v>4.6385293360000048</v>
      </c>
      <c r="AL197" s="5">
        <f t="shared" si="23"/>
        <v>4.4296853169999935</v>
      </c>
    </row>
    <row r="198" spans="1:38" x14ac:dyDescent="0.35">
      <c r="B198" t="s">
        <v>36</v>
      </c>
      <c r="C198" s="5">
        <f>C200+C201</f>
        <v>7.3981974023000001</v>
      </c>
      <c r="D198" s="5">
        <f t="shared" ref="D198:AL198" si="24">D200+D201</f>
        <v>7.3711414093999998</v>
      </c>
      <c r="E198" s="5">
        <f t="shared" si="24"/>
        <v>7.3291263548999996</v>
      </c>
      <c r="F198" s="5">
        <f t="shared" si="24"/>
        <v>7.2851208680999999</v>
      </c>
      <c r="G198" s="5">
        <f t="shared" si="24"/>
        <v>7.2555521851</v>
      </c>
      <c r="H198" s="5">
        <f t="shared" si="24"/>
        <v>7.2461343144999999</v>
      </c>
      <c r="I198" s="5">
        <f t="shared" si="24"/>
        <v>7.2522149254000006</v>
      </c>
      <c r="J198" s="5">
        <f t="shared" si="24"/>
        <v>8.1124408102000007</v>
      </c>
      <c r="K198" s="5">
        <f t="shared" si="24"/>
        <v>9.4365207800999986</v>
      </c>
      <c r="L198" s="5">
        <f t="shared" si="24"/>
        <v>11.0389804667</v>
      </c>
      <c r="M198" s="5">
        <f t="shared" si="24"/>
        <v>12.793294299999999</v>
      </c>
      <c r="N198" s="5">
        <f t="shared" si="24"/>
        <v>14.612026488</v>
      </c>
      <c r="O198" s="5">
        <f t="shared" si="24"/>
        <v>16.438869134000001</v>
      </c>
      <c r="P198" s="5">
        <f t="shared" si="24"/>
        <v>18.243905191000003</v>
      </c>
      <c r="Q198" s="5">
        <f t="shared" si="24"/>
        <v>20.017525765000002</v>
      </c>
      <c r="R198" s="5">
        <f t="shared" si="24"/>
        <v>21.761922437000003</v>
      </c>
      <c r="S198" s="5">
        <f t="shared" si="24"/>
        <v>23.480931063</v>
      </c>
      <c r="T198" s="5">
        <f t="shared" si="24"/>
        <v>25.185463547999998</v>
      </c>
      <c r="U198" s="5">
        <f t="shared" si="24"/>
        <v>26.889730777</v>
      </c>
      <c r="V198" s="5">
        <f t="shared" si="24"/>
        <v>28.608056018999999</v>
      </c>
      <c r="W198" s="5">
        <f t="shared" si="24"/>
        <v>30.352159717999999</v>
      </c>
      <c r="X198" s="5">
        <f t="shared" si="24"/>
        <v>32.135495065000001</v>
      </c>
      <c r="Y198" s="5">
        <f t="shared" si="24"/>
        <v>33.970862369999999</v>
      </c>
      <c r="Z198" s="5">
        <f t="shared" si="24"/>
        <v>35.869911809000001</v>
      </c>
      <c r="AA198" s="5">
        <f t="shared" si="24"/>
        <v>37.842814552</v>
      </c>
      <c r="AB198" s="5">
        <f t="shared" si="24"/>
        <v>39.893492331000004</v>
      </c>
      <c r="AC198" s="5">
        <f t="shared" si="24"/>
        <v>42.034246119999999</v>
      </c>
      <c r="AD198" s="5">
        <f t="shared" si="24"/>
        <v>44.280947869000002</v>
      </c>
      <c r="AE198" s="5">
        <f t="shared" si="24"/>
        <v>46.649821766000002</v>
      </c>
      <c r="AF198" s="5">
        <f t="shared" si="24"/>
        <v>49.154677346999996</v>
      </c>
      <c r="AG198" s="5">
        <f t="shared" si="24"/>
        <v>51.806978419000004</v>
      </c>
      <c r="AH198" s="5">
        <f t="shared" si="24"/>
        <v>54.619217126999999</v>
      </c>
      <c r="AI198" s="5">
        <f t="shared" si="24"/>
        <v>57.608111610999998</v>
      </c>
      <c r="AJ198" s="5">
        <f t="shared" si="24"/>
        <v>60.795859907000001</v>
      </c>
      <c r="AK198" s="5">
        <f t="shared" si="24"/>
        <v>64.213405883999997</v>
      </c>
      <c r="AL198" s="5">
        <f t="shared" si="24"/>
        <v>67.90689071300001</v>
      </c>
    </row>
    <row r="199" spans="1:38" x14ac:dyDescent="0.35">
      <c r="B199" t="s">
        <v>11</v>
      </c>
      <c r="C199" s="5">
        <f>[1]Results!F1463</f>
        <v>87.061451820000002</v>
      </c>
      <c r="D199" s="5">
        <f>[1]Results!G1463</f>
        <v>87.405744499999997</v>
      </c>
      <c r="E199" s="5">
        <f>[1]Results!H1463</f>
        <v>87.788361140000006</v>
      </c>
      <c r="F199" s="5">
        <f>[1]Results!I1463</f>
        <v>88.247333299999994</v>
      </c>
      <c r="G199" s="5">
        <f>[1]Results!J1463</f>
        <v>88.665896129999993</v>
      </c>
      <c r="H199" s="5">
        <f>[1]Results!K1463</f>
        <v>89.059776060000004</v>
      </c>
      <c r="I199" s="5">
        <f>[1]Results!L1463</f>
        <v>89.457426949999999</v>
      </c>
      <c r="J199" s="5">
        <f>[1]Results!M1463</f>
        <v>91.313053319999995</v>
      </c>
      <c r="K199" s="5">
        <f>[1]Results!N1463</f>
        <v>94.161549160000007</v>
      </c>
      <c r="L199" s="5">
        <f>[1]Results!O1463</f>
        <v>97.828359090000006</v>
      </c>
      <c r="M199" s="5">
        <f>[1]Results!P1463</f>
        <v>101.9613641</v>
      </c>
      <c r="N199" s="5">
        <f>[1]Results!Q1463</f>
        <v>105.9809454</v>
      </c>
      <c r="O199" s="5">
        <f>[1]Results!R1463</f>
        <v>109.66412</v>
      </c>
      <c r="P199" s="5">
        <f>[1]Results!S1463</f>
        <v>113.0030807</v>
      </c>
      <c r="Q199" s="5">
        <f>[1]Results!T1463</f>
        <v>116.1085583</v>
      </c>
      <c r="R199" s="5">
        <f>[1]Results!U1463</f>
        <v>119.1208524</v>
      </c>
      <c r="S199" s="5">
        <f>[1]Results!V1463</f>
        <v>122.1820127</v>
      </c>
      <c r="T199" s="5">
        <f>[1]Results!W1463</f>
        <v>125.4322976</v>
      </c>
      <c r="U199" s="5">
        <f>[1]Results!X1463</f>
        <v>128.9732047</v>
      </c>
      <c r="V199" s="5">
        <f>[1]Results!Y1463</f>
        <v>132.88736499999999</v>
      </c>
      <c r="W199" s="5">
        <f>[1]Results!Z1463</f>
        <v>137.23335399999999</v>
      </c>
      <c r="X199" s="5">
        <f>[1]Results!AA1463</f>
        <v>142.10971050000001</v>
      </c>
      <c r="Y199" s="5">
        <f>[1]Results!AB1463</f>
        <v>147.6121575</v>
      </c>
      <c r="Z199" s="5">
        <f>[1]Results!AC1463</f>
        <v>153.83323250000001</v>
      </c>
      <c r="AA199" s="5">
        <f>[1]Results!AD1463</f>
        <v>160.86335779999999</v>
      </c>
      <c r="AB199" s="5">
        <f>[1]Results!AE1463</f>
        <v>168.74001060000001</v>
      </c>
      <c r="AC199" s="5">
        <f>[1]Results!AF1463</f>
        <v>177.6329011</v>
      </c>
      <c r="AD199" s="5">
        <f>[1]Results!AG1463</f>
        <v>187.71761620000001</v>
      </c>
      <c r="AE199" s="5">
        <f>[1]Results!AH1463</f>
        <v>199.18140679999999</v>
      </c>
      <c r="AF199" s="5">
        <f>[1]Results!AI1463</f>
        <v>212.21000409999999</v>
      </c>
      <c r="AG199" s="5">
        <f>[1]Results!AJ1463</f>
        <v>226.99672000000001</v>
      </c>
      <c r="AH199" s="5">
        <f>[1]Results!AK1463</f>
        <v>243.7768414</v>
      </c>
      <c r="AI199" s="5">
        <f>[1]Results!AL1463</f>
        <v>262.86023169999999</v>
      </c>
      <c r="AJ199" s="5">
        <f>[1]Results!AM1463</f>
        <v>284.6476442</v>
      </c>
      <c r="AK199" s="5">
        <f>[1]Results!AN1463</f>
        <v>309.65981210000001</v>
      </c>
      <c r="AL199" s="5">
        <f>[1]Results!AO1463</f>
        <v>338.57955529999998</v>
      </c>
    </row>
    <row r="200" spans="1:38" x14ac:dyDescent="0.35">
      <c r="B200" t="s">
        <v>35</v>
      </c>
      <c r="C200" s="5">
        <f>[1]Results!F1460</f>
        <v>6.6796781279999999</v>
      </c>
      <c r="D200" s="5">
        <f>[1]Results!G1460</f>
        <v>6.654779284</v>
      </c>
      <c r="E200" s="5">
        <f>[1]Results!H1460</f>
        <v>6.6152225619999996</v>
      </c>
      <c r="F200" s="5">
        <f>[1]Results!I1460</f>
        <v>6.5740049459999996</v>
      </c>
      <c r="G200" s="5">
        <f>[1]Results!J1460</f>
        <v>6.5454981659999998</v>
      </c>
      <c r="H200" s="5">
        <f>[1]Results!K1460</f>
        <v>6.5349980729999997</v>
      </c>
      <c r="I200" s="5">
        <f>[1]Results!L1460</f>
        <v>6.5400944670000003</v>
      </c>
      <c r="J200" s="5">
        <f>[1]Results!M1460</f>
        <v>7.3445425420000001</v>
      </c>
      <c r="K200" s="5">
        <f>[1]Results!N1460</f>
        <v>8.5874715639999994</v>
      </c>
      <c r="L200" s="5">
        <f>[1]Results!O1460</f>
        <v>10.0957369</v>
      </c>
      <c r="M200" s="5">
        <f>[1]Results!P1460</f>
        <v>11.7513094</v>
      </c>
      <c r="N200" s="5">
        <f>[1]Results!Q1460</f>
        <v>13.472577859999999</v>
      </c>
      <c r="O200" s="5">
        <f>[1]Results!R1460</f>
        <v>15.20696974</v>
      </c>
      <c r="P200" s="5">
        <f>[1]Results!S1460</f>
        <v>16.926168140000001</v>
      </c>
      <c r="Q200" s="5">
        <f>[1]Results!T1460</f>
        <v>18.62046136</v>
      </c>
      <c r="R200" s="5">
        <f>[1]Results!U1460</f>
        <v>20.291130150000001</v>
      </c>
      <c r="S200" s="5">
        <f>[1]Results!V1460</f>
        <v>21.93990354</v>
      </c>
      <c r="T200" s="5">
        <f>[1]Results!W1460</f>
        <v>23.576088519999999</v>
      </c>
      <c r="U200" s="5">
        <f>[1]Results!X1460</f>
        <v>25.212627650000002</v>
      </c>
      <c r="V200" s="5">
        <f>[1]Results!Y1460</f>
        <v>26.862854219999999</v>
      </c>
      <c r="W200" s="5">
        <f>[1]Results!Z1460</f>
        <v>28.537880269999999</v>
      </c>
      <c r="X200" s="5">
        <f>[1]Results!AA1460</f>
        <v>30.250199290000001</v>
      </c>
      <c r="Y200" s="5">
        <f>[1]Results!AB1460</f>
        <v>32.011840829999997</v>
      </c>
      <c r="Z200" s="5">
        <f>[1]Results!AC1460</f>
        <v>33.83383706</v>
      </c>
      <c r="AA200" s="5">
        <f>[1]Results!AD1460</f>
        <v>35.725904909999997</v>
      </c>
      <c r="AB200" s="5">
        <f>[1]Results!AE1460</f>
        <v>37.692286690000003</v>
      </c>
      <c r="AC200" s="5">
        <f>[1]Results!AF1460</f>
        <v>39.744425999999997</v>
      </c>
      <c r="AD200" s="5">
        <f>[1]Results!AG1460</f>
        <v>41.897158840000003</v>
      </c>
      <c r="AE200" s="5">
        <f>[1]Results!AH1460</f>
        <v>44.1658598</v>
      </c>
      <c r="AF200" s="5">
        <f>[1]Results!AI1460</f>
        <v>46.563943299999998</v>
      </c>
      <c r="AG200" s="5">
        <f>[1]Results!AJ1460</f>
        <v>49.102859510000002</v>
      </c>
      <c r="AH200" s="5">
        <f>[1]Results!AK1460</f>
        <v>51.795102589999999</v>
      </c>
      <c r="AI200" s="5">
        <f>[1]Results!AL1460</f>
        <v>54.65715436</v>
      </c>
      <c r="AJ200" s="5">
        <f>[1]Results!AM1460</f>
        <v>57.710737549999997</v>
      </c>
      <c r="AK200" s="5">
        <f>[1]Results!AN1460</f>
        <v>60.98600081</v>
      </c>
      <c r="AL200" s="5">
        <f>[1]Results!AO1460</f>
        <v>64.527840010000006</v>
      </c>
    </row>
    <row r="201" spans="1:38" x14ac:dyDescent="0.35">
      <c r="B201" t="s">
        <v>34</v>
      </c>
      <c r="C201" s="5">
        <f>[1]Results!F1462</f>
        <v>0.71851927429999995</v>
      </c>
      <c r="D201" s="5">
        <f>[1]Results!G1462</f>
        <v>0.71636212539999999</v>
      </c>
      <c r="E201" s="5">
        <f>[1]Results!H1462</f>
        <v>0.71390379289999994</v>
      </c>
      <c r="F201" s="5">
        <f>[1]Results!I1462</f>
        <v>0.71111592209999996</v>
      </c>
      <c r="G201" s="5">
        <f>[1]Results!J1462</f>
        <v>0.71005401909999999</v>
      </c>
      <c r="H201" s="5">
        <f>[1]Results!K1462</f>
        <v>0.71113624149999999</v>
      </c>
      <c r="I201" s="5">
        <f>[1]Results!L1462</f>
        <v>0.71212045840000004</v>
      </c>
      <c r="J201" s="5">
        <f>[1]Results!M1462</f>
        <v>0.76789826819999996</v>
      </c>
      <c r="K201" s="5">
        <f>[1]Results!N1462</f>
        <v>0.84904921609999995</v>
      </c>
      <c r="L201" s="5">
        <f>[1]Results!O1462</f>
        <v>0.94324356669999998</v>
      </c>
      <c r="M201" s="5">
        <f>[1]Results!P1462</f>
        <v>1.0419849000000001</v>
      </c>
      <c r="N201" s="5">
        <f>[1]Results!Q1462</f>
        <v>1.139448628</v>
      </c>
      <c r="O201" s="5">
        <f>[1]Results!R1462</f>
        <v>1.231899394</v>
      </c>
      <c r="P201" s="5">
        <f>[1]Results!S1462</f>
        <v>1.3177370509999999</v>
      </c>
      <c r="Q201" s="5">
        <f>[1]Results!T1462</f>
        <v>1.3970644050000001</v>
      </c>
      <c r="R201" s="5">
        <f>[1]Results!U1462</f>
        <v>1.4707922870000001</v>
      </c>
      <c r="S201" s="5">
        <f>[1]Results!V1462</f>
        <v>1.5410275229999999</v>
      </c>
      <c r="T201" s="5">
        <f>[1]Results!W1462</f>
        <v>1.6093750280000001</v>
      </c>
      <c r="U201" s="5">
        <f>[1]Results!X1462</f>
        <v>1.6771031270000001</v>
      </c>
      <c r="V201" s="5">
        <f>[1]Results!Y1462</f>
        <v>1.7452017989999999</v>
      </c>
      <c r="W201" s="5">
        <f>[1]Results!Z1462</f>
        <v>1.814279448</v>
      </c>
      <c r="X201" s="5">
        <f>[1]Results!AA1462</f>
        <v>1.8852957749999999</v>
      </c>
      <c r="Y201" s="5">
        <f>[1]Results!AB1462</f>
        <v>1.95902154</v>
      </c>
      <c r="Z201" s="5">
        <f>[1]Results!AC1462</f>
        <v>2.036074749</v>
      </c>
      <c r="AA201" s="5">
        <f>[1]Results!AD1462</f>
        <v>2.116909642</v>
      </c>
      <c r="AB201" s="5">
        <f>[1]Results!AE1462</f>
        <v>2.201205641</v>
      </c>
      <c r="AC201" s="5">
        <f>[1]Results!AF1462</f>
        <v>2.2898201199999999</v>
      </c>
      <c r="AD201" s="5">
        <f>[1]Results!AG1462</f>
        <v>2.3837890289999999</v>
      </c>
      <c r="AE201" s="5">
        <f>[1]Results!AH1462</f>
        <v>2.4839619659999999</v>
      </c>
      <c r="AF201" s="5">
        <f>[1]Results!AI1462</f>
        <v>2.5907340470000002</v>
      </c>
      <c r="AG201" s="5">
        <f>[1]Results!AJ1462</f>
        <v>2.704118909</v>
      </c>
      <c r="AH201" s="5">
        <f>[1]Results!AK1462</f>
        <v>2.8241145369999998</v>
      </c>
      <c r="AI201" s="5">
        <f>[1]Results!AL1462</f>
        <v>2.9509572510000002</v>
      </c>
      <c r="AJ201" s="5">
        <f>[1]Results!AM1462</f>
        <v>3.0851223569999999</v>
      </c>
      <c r="AK201" s="5">
        <f>[1]Results!AN1462</f>
        <v>3.227405074</v>
      </c>
      <c r="AL201" s="5">
        <f>[1]Results!AO1462</f>
        <v>3.3790507029999999</v>
      </c>
    </row>
    <row r="202" spans="1:38" x14ac:dyDescent="0.35">
      <c r="B202" t="s">
        <v>37</v>
      </c>
      <c r="C202" s="5">
        <f>[1]Results!F1458</f>
        <v>17.971260969999999</v>
      </c>
      <c r="D202" s="5">
        <f>[1]Results!G1458</f>
        <v>17.93110982</v>
      </c>
      <c r="E202" s="5">
        <f>[1]Results!H1458</f>
        <v>17.871248130000001</v>
      </c>
      <c r="F202" s="5">
        <f>[1]Results!I1458</f>
        <v>17.810598500000001</v>
      </c>
      <c r="G202" s="5">
        <f>[1]Results!J1458</f>
        <v>17.784752439999998</v>
      </c>
      <c r="H202" s="5">
        <f>[1]Results!K1458</f>
        <v>17.805341649999999</v>
      </c>
      <c r="I202" s="5">
        <f>[1]Results!L1458</f>
        <v>17.85749203</v>
      </c>
      <c r="J202" s="5">
        <f>[1]Results!M1458</f>
        <v>18.59056313</v>
      </c>
      <c r="K202" s="5">
        <f>[1]Results!N1458</f>
        <v>19.69911346</v>
      </c>
      <c r="L202" s="5">
        <f>[1]Results!O1458</f>
        <v>21.072880789999999</v>
      </c>
      <c r="M202" s="5">
        <f>[1]Results!P1458</f>
        <v>22.598440750000002</v>
      </c>
      <c r="N202" s="5">
        <f>[1]Results!Q1458</f>
        <v>24.182625730000002</v>
      </c>
      <c r="O202" s="5">
        <f>[1]Results!R1458</f>
        <v>25.765908589999999</v>
      </c>
      <c r="P202" s="5">
        <f>[1]Results!S1458</f>
        <v>27.319446360000001</v>
      </c>
      <c r="Q202" s="5">
        <f>[1]Results!T1458</f>
        <v>28.83807487</v>
      </c>
      <c r="R202" s="5">
        <f>[1]Results!U1458</f>
        <v>30.327963749999999</v>
      </c>
      <c r="S202" s="5">
        <f>[1]Results!V1458</f>
        <v>31.790040810000001</v>
      </c>
      <c r="T202" s="5">
        <f>[1]Results!W1458</f>
        <v>33.239958979999997</v>
      </c>
      <c r="U202" s="5">
        <f>[1]Results!X1458</f>
        <v>34.695417339999999</v>
      </c>
      <c r="V202" s="5">
        <f>[1]Results!Y1458</f>
        <v>36.172621149999998</v>
      </c>
      <c r="W202" s="5">
        <f>[1]Results!Z1458</f>
        <v>37.68361024</v>
      </c>
      <c r="X202" s="5">
        <f>[1]Results!AA1458</f>
        <v>39.24254818</v>
      </c>
      <c r="Y202" s="5">
        <f>[1]Results!AB1458</f>
        <v>40.862458230000001</v>
      </c>
      <c r="Z202" s="5">
        <f>[1]Results!AC1458</f>
        <v>42.554577899999998</v>
      </c>
      <c r="AA202" s="5">
        <f>[1]Results!AD1458</f>
        <v>44.328000539999998</v>
      </c>
      <c r="AB202" s="5">
        <f>[1]Results!AE1458</f>
        <v>46.184217429999997</v>
      </c>
      <c r="AC202" s="5">
        <f>[1]Results!AF1458</f>
        <v>48.136710880000003</v>
      </c>
      <c r="AD202" s="5">
        <f>[1]Results!AG1458</f>
        <v>50.200680890000001</v>
      </c>
      <c r="AE202" s="5">
        <f>[1]Results!AH1458</f>
        <v>52.391398449999997</v>
      </c>
      <c r="AF202" s="5">
        <f>[1]Results!AI1458</f>
        <v>54.720648349999998</v>
      </c>
      <c r="AG202" s="5">
        <f>[1]Results!AJ1458</f>
        <v>57.197131489999997</v>
      </c>
      <c r="AH202" s="5">
        <f>[1]Results!AK1458</f>
        <v>59.830703970000002</v>
      </c>
      <c r="AI202" s="5">
        <f>[1]Results!AL1458</f>
        <v>62.635953569999998</v>
      </c>
      <c r="AJ202" s="5">
        <f>[1]Results!AM1458</f>
        <v>65.633260469999996</v>
      </c>
      <c r="AK202" s="5">
        <f>[1]Results!AN1458</f>
        <v>68.851935220000001</v>
      </c>
      <c r="AL202" s="5">
        <f>[1]Results!AO1458</f>
        <v>72.336576030000003</v>
      </c>
    </row>
    <row r="203" spans="1:3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x14ac:dyDescent="0.35">
      <c r="A204" s="12" t="s">
        <v>86</v>
      </c>
      <c r="B204" t="s">
        <v>27</v>
      </c>
      <c r="C204" s="3">
        <f>[1]Results!F1473</f>
        <v>27379.147679999998</v>
      </c>
      <c r="D204" s="3">
        <f>[1]Results!G1473</f>
        <v>27521.173460000002</v>
      </c>
      <c r="E204" s="3">
        <f>[1]Results!H1473</f>
        <v>27743.783220000001</v>
      </c>
      <c r="F204" s="3">
        <f>[1]Results!I1473</f>
        <v>28032.989679999999</v>
      </c>
      <c r="G204" s="3">
        <f>[1]Results!J1473</f>
        <v>28368.520329999999</v>
      </c>
      <c r="H204" s="3">
        <f>[1]Results!K1473</f>
        <v>28737.206829999999</v>
      </c>
      <c r="I204" s="3">
        <f>[1]Results!L1473</f>
        <v>29118.521140000001</v>
      </c>
      <c r="J204" s="3">
        <f>[1]Results!M1473</f>
        <v>29503.000100000001</v>
      </c>
      <c r="K204" s="3">
        <f>[1]Results!N1473</f>
        <v>29884.990949999999</v>
      </c>
      <c r="L204" s="3">
        <f>[1]Results!O1473</f>
        <v>30261.96715</v>
      </c>
      <c r="M204" s="3">
        <f>[1]Results!P1473</f>
        <v>30633.291000000001</v>
      </c>
      <c r="N204" s="3">
        <f>[1]Results!Q1473</f>
        <v>30946.239870000001</v>
      </c>
      <c r="O204" s="3">
        <f>[1]Results!R1473</f>
        <v>31187.4944</v>
      </c>
      <c r="P204" s="3">
        <f>[1]Results!S1473</f>
        <v>31358.883999999998</v>
      </c>
      <c r="Q204" s="3">
        <f>[1]Results!T1473</f>
        <v>31471.932850000001</v>
      </c>
      <c r="R204" s="3">
        <f>[1]Results!U1473</f>
        <v>31542.646789999999</v>
      </c>
      <c r="S204" s="3">
        <f>[1]Results!V1473</f>
        <v>31590.979319999999</v>
      </c>
      <c r="T204" s="3">
        <f>[1]Results!W1473</f>
        <v>31636.098379999999</v>
      </c>
      <c r="U204" s="3">
        <f>[1]Results!X1473</f>
        <v>31693.625250000001</v>
      </c>
      <c r="V204" s="3">
        <f>[1]Results!Y1473</f>
        <v>31774.415400000002</v>
      </c>
      <c r="W204" s="3">
        <f>[1]Results!Z1473</f>
        <v>31878.376400000001</v>
      </c>
      <c r="X204" s="3">
        <f>[1]Results!AA1473</f>
        <v>32019.097320000001</v>
      </c>
      <c r="Y204" s="3">
        <f>[1]Results!AB1473</f>
        <v>32200.911619999999</v>
      </c>
      <c r="Z204" s="3">
        <f>[1]Results!AC1473</f>
        <v>32426.127540000001</v>
      </c>
      <c r="AA204" s="3">
        <f>[1]Results!AD1473</f>
        <v>32694.432379999998</v>
      </c>
      <c r="AB204" s="3">
        <f>[1]Results!AE1473</f>
        <v>32983.71054</v>
      </c>
      <c r="AC204" s="3">
        <f>[1]Results!AF1473</f>
        <v>33305.905899999998</v>
      </c>
      <c r="AD204" s="3">
        <f>[1]Results!AG1473</f>
        <v>33662.316550000003</v>
      </c>
      <c r="AE204" s="3">
        <f>[1]Results!AH1473</f>
        <v>34052.783640000001</v>
      </c>
      <c r="AF204" s="3">
        <f>[1]Results!AI1473</f>
        <v>34472.970970000002</v>
      </c>
      <c r="AG204" s="3">
        <f>[1]Results!AJ1473</f>
        <v>34914.64774</v>
      </c>
      <c r="AH204" s="3">
        <f>[1]Results!AK1473</f>
        <v>35368.058900000004</v>
      </c>
      <c r="AI204" s="3">
        <f>[1]Results!AL1473</f>
        <v>35823.678229999998</v>
      </c>
      <c r="AJ204" s="3">
        <f>[1]Results!AM1473</f>
        <v>36272.660250000001</v>
      </c>
      <c r="AK204" s="3">
        <f>[1]Results!AN1473</f>
        <v>36706.900930000003</v>
      </c>
      <c r="AL204" s="3">
        <f>[1]Results!AO1473</f>
        <v>37119.033029999999</v>
      </c>
    </row>
    <row r="205" spans="1:38" x14ac:dyDescent="0.35">
      <c r="A205" t="s">
        <v>38</v>
      </c>
      <c r="B205" t="s">
        <v>7</v>
      </c>
      <c r="C205" s="3">
        <f>[1]Results!F1474</f>
        <v>760.78110530000004</v>
      </c>
      <c r="D205" s="3">
        <f>[1]Results!G1474</f>
        <v>763.94005430000004</v>
      </c>
      <c r="E205" s="3">
        <f>[1]Results!H1474</f>
        <v>769.21570110000005</v>
      </c>
      <c r="F205" s="3">
        <f>[1]Results!I1474</f>
        <v>776.71667920000004</v>
      </c>
      <c r="G205" s="3">
        <f>[1]Results!J1474</f>
        <v>786.04811849999999</v>
      </c>
      <c r="H205" s="3">
        <f>[1]Results!K1474</f>
        <v>796.86059130000001</v>
      </c>
      <c r="I205" s="3">
        <f>[1]Results!L1474</f>
        <v>808.55161710000004</v>
      </c>
      <c r="J205" s="3">
        <f>[1]Results!M1474</f>
        <v>820.64299029999995</v>
      </c>
      <c r="K205" s="3">
        <f>[1]Results!N1474</f>
        <v>832.79099310000004</v>
      </c>
      <c r="L205" s="3">
        <f>[1]Results!O1474</f>
        <v>844.78930409999998</v>
      </c>
      <c r="M205" s="3">
        <f>[1]Results!P1474</f>
        <v>856.25530649999996</v>
      </c>
      <c r="N205" s="3">
        <f>[1]Results!Q1474</f>
        <v>865.4291637</v>
      </c>
      <c r="O205" s="3">
        <f>[1]Results!R1474</f>
        <v>871.80023040000003</v>
      </c>
      <c r="P205" s="3">
        <f>[1]Results!S1474</f>
        <v>875.46125059999997</v>
      </c>
      <c r="Q205" s="3">
        <f>[1]Results!T1474</f>
        <v>876.87789550000002</v>
      </c>
      <c r="R205" s="3">
        <f>[1]Results!U1474</f>
        <v>876.67982310000002</v>
      </c>
      <c r="S205" s="3">
        <f>[1]Results!V1474</f>
        <v>875.63487810000004</v>
      </c>
      <c r="T205" s="3">
        <f>[1]Results!W1474</f>
        <v>874.484736</v>
      </c>
      <c r="U205" s="3">
        <f>[1]Results!X1474</f>
        <v>873.83204839999996</v>
      </c>
      <c r="V205" s="3">
        <f>[1]Results!Y1474</f>
        <v>874.08604730000002</v>
      </c>
      <c r="W205" s="3">
        <f>[1]Results!Z1474</f>
        <v>875.39931309999997</v>
      </c>
      <c r="X205" s="3">
        <f>[1]Results!AA1474</f>
        <v>878.03274309999995</v>
      </c>
      <c r="Y205" s="3">
        <f>[1]Results!AB1474</f>
        <v>882.16480300000001</v>
      </c>
      <c r="Z205" s="3">
        <f>[1]Results!AC1474</f>
        <v>887.88500829999998</v>
      </c>
      <c r="AA205" s="3">
        <f>[1]Results!AD1474</f>
        <v>895.17493230000002</v>
      </c>
      <c r="AB205" s="3">
        <f>[1]Results!AE1474</f>
        <v>903.64793520000001</v>
      </c>
      <c r="AC205" s="3">
        <f>[1]Results!AF1474</f>
        <v>913.32407679999994</v>
      </c>
      <c r="AD205" s="3">
        <f>[1]Results!AG1474</f>
        <v>924.25063590000002</v>
      </c>
      <c r="AE205" s="3">
        <f>[1]Results!AH1474</f>
        <v>936.4258423</v>
      </c>
      <c r="AF205" s="3">
        <f>[1]Results!AI1474</f>
        <v>949.68503559999999</v>
      </c>
      <c r="AG205" s="3">
        <f>[1]Results!AJ1474</f>
        <v>963.71571889999996</v>
      </c>
      <c r="AH205" s="3">
        <f>[1]Results!AK1474</f>
        <v>978.1527486</v>
      </c>
      <c r="AI205" s="3">
        <f>[1]Results!AL1474</f>
        <v>992.64342929999998</v>
      </c>
      <c r="AJ205" s="3">
        <f>[1]Results!AM1474</f>
        <v>1006.861531</v>
      </c>
      <c r="AK205" s="3">
        <f>[1]Results!AN1474</f>
        <v>1020.508636</v>
      </c>
      <c r="AL205" s="3">
        <f>[1]Results!AO1474</f>
        <v>1033.3141330000001</v>
      </c>
    </row>
    <row r="206" spans="1:38" x14ac:dyDescent="0.35">
      <c r="B206" t="s">
        <v>30</v>
      </c>
      <c r="C206" s="3">
        <f>[1]Results!F1477</f>
        <v>4368.3707029999996</v>
      </c>
      <c r="D206" s="3">
        <f>[1]Results!G1477</f>
        <v>4397.7869140000003</v>
      </c>
      <c r="E206" s="3">
        <f>[1]Results!H1477</f>
        <v>4444.1016490000002</v>
      </c>
      <c r="F206" s="3">
        <f>[1]Results!I1477</f>
        <v>4503.6294319999997</v>
      </c>
      <c r="G206" s="3">
        <f>[1]Results!J1477</f>
        <v>4572.0699619999996</v>
      </c>
      <c r="H206" s="3">
        <f>[1]Results!K1477</f>
        <v>4646.9548759999998</v>
      </c>
      <c r="I206" s="3">
        <f>[1]Results!L1477</f>
        <v>4725.6158420000002</v>
      </c>
      <c r="J206" s="3">
        <f>[1]Results!M1477</f>
        <v>4806.2273050000003</v>
      </c>
      <c r="K206" s="3">
        <f>[1]Results!N1477</f>
        <v>4887.6463329999997</v>
      </c>
      <c r="L206" s="3">
        <f>[1]Results!O1477</f>
        <v>4969.3429679999999</v>
      </c>
      <c r="M206" s="3">
        <f>[1]Results!P1477</f>
        <v>5049.4183069999999</v>
      </c>
      <c r="N206" s="3">
        <f>[1]Results!Q1477</f>
        <v>5118.0016640000003</v>
      </c>
      <c r="O206" s="3">
        <f>[1]Results!R1477</f>
        <v>5172.4962329999998</v>
      </c>
      <c r="P206" s="3">
        <f>[1]Results!S1477</f>
        <v>5213.721963</v>
      </c>
      <c r="Q206" s="3">
        <f>[1]Results!T1477</f>
        <v>5244.5509629999997</v>
      </c>
      <c r="R206" s="3">
        <f>[1]Results!U1477</f>
        <v>5268.6111350000001</v>
      </c>
      <c r="S206" s="3">
        <f>[1]Results!V1477</f>
        <v>5289.8469080000004</v>
      </c>
      <c r="T206" s="3">
        <f>[1]Results!W1477</f>
        <v>5312.1018990000002</v>
      </c>
      <c r="U206" s="3">
        <f>[1]Results!X1477</f>
        <v>5338.5493500000002</v>
      </c>
      <c r="V206" s="3">
        <f>[1]Results!Y1477</f>
        <v>5371.354499</v>
      </c>
      <c r="W206" s="3">
        <f>[1]Results!Z1477</f>
        <v>5411.3351039999998</v>
      </c>
      <c r="X206" s="3">
        <f>[1]Results!AA1477</f>
        <v>5459.7928979999997</v>
      </c>
      <c r="Y206" s="3">
        <f>[1]Results!AB1477</f>
        <v>5517.6035099999999</v>
      </c>
      <c r="Z206" s="3">
        <f>[1]Results!AC1477</f>
        <v>5585.1833930000003</v>
      </c>
      <c r="AA206" s="3">
        <f>[1]Results!AD1477</f>
        <v>5662.3572770000001</v>
      </c>
      <c r="AB206" s="3">
        <f>[1]Results!AE1477</f>
        <v>5746.9721330000002</v>
      </c>
      <c r="AC206" s="3">
        <f>[1]Results!AF1477</f>
        <v>5838.89905</v>
      </c>
      <c r="AD206" s="3">
        <f>[1]Results!AG1477</f>
        <v>5938.1377560000001</v>
      </c>
      <c r="AE206" s="3">
        <f>[1]Results!AH1477</f>
        <v>6044.4480830000002</v>
      </c>
      <c r="AF206" s="3">
        <f>[1]Results!AI1477</f>
        <v>6156.6522080000004</v>
      </c>
      <c r="AG206" s="3">
        <f>[1]Results!AJ1477</f>
        <v>6272.7643939999998</v>
      </c>
      <c r="AH206" s="3">
        <f>[1]Results!AK1477</f>
        <v>6390.5809479999998</v>
      </c>
      <c r="AI206" s="3">
        <f>[1]Results!AL1477</f>
        <v>6508.0685979999998</v>
      </c>
      <c r="AJ206" s="3">
        <f>[1]Results!AM1477</f>
        <v>6623.4242130000002</v>
      </c>
      <c r="AK206" s="3">
        <f>[1]Results!AN1477</f>
        <v>6735.0460599999997</v>
      </c>
      <c r="AL206" s="3">
        <f>[1]Results!AO1477</f>
        <v>6841.4980480000004</v>
      </c>
    </row>
    <row r="207" spans="1:38" x14ac:dyDescent="0.35">
      <c r="B207" t="s">
        <v>28</v>
      </c>
      <c r="C207" s="3">
        <f>[1]Results!F1489</f>
        <v>868.27520900000002</v>
      </c>
      <c r="D207" s="3">
        <f>[1]Results!G1489</f>
        <v>872.68307019999997</v>
      </c>
      <c r="E207" s="3">
        <f>[1]Results!H1489</f>
        <v>879.34946490000004</v>
      </c>
      <c r="F207" s="3">
        <f>[1]Results!I1489</f>
        <v>887.61792160000005</v>
      </c>
      <c r="G207" s="3">
        <f>[1]Results!J1489</f>
        <v>897.06214109999996</v>
      </c>
      <c r="H207" s="3">
        <f>[1]Results!K1489</f>
        <v>907.42037719999996</v>
      </c>
      <c r="I207" s="3">
        <f>[1]Results!L1489</f>
        <v>918.11462640000002</v>
      </c>
      <c r="J207" s="3">
        <f>[1]Results!M1489</f>
        <v>928.74381549999998</v>
      </c>
      <c r="K207" s="3">
        <f>[1]Results!N1489</f>
        <v>939.06976440000005</v>
      </c>
      <c r="L207" s="3">
        <f>[1]Results!O1489</f>
        <v>948.99230639999996</v>
      </c>
      <c r="M207" s="3">
        <f>[1]Results!P1489</f>
        <v>958.22831499999995</v>
      </c>
      <c r="N207" s="3">
        <f>[1]Results!Q1489</f>
        <v>964.91119260000005</v>
      </c>
      <c r="O207" s="3">
        <f>[1]Results!R1489</f>
        <v>968.68515839999998</v>
      </c>
      <c r="P207" s="3">
        <f>[1]Results!S1489</f>
        <v>969.82068430000004</v>
      </c>
      <c r="Q207" s="3">
        <f>[1]Results!T1489</f>
        <v>968.93044659999998</v>
      </c>
      <c r="R207" s="3">
        <f>[1]Results!U1489</f>
        <v>966.73283649999996</v>
      </c>
      <c r="S207" s="3">
        <f>[1]Results!V1489</f>
        <v>964.0805689</v>
      </c>
      <c r="T207" s="3">
        <f>[1]Results!W1489</f>
        <v>961.72992020000004</v>
      </c>
      <c r="U207" s="3">
        <f>[1]Results!X1489</f>
        <v>960.23730539999997</v>
      </c>
      <c r="V207" s="3">
        <f>[1]Results!Y1489</f>
        <v>959.93389869999999</v>
      </c>
      <c r="W207" s="3">
        <f>[1]Results!Z1489</f>
        <v>960.86512600000003</v>
      </c>
      <c r="X207" s="3">
        <f>[1]Results!AA1489</f>
        <v>963.27119489999995</v>
      </c>
      <c r="Y207" s="3">
        <f>[1]Results!AB1489</f>
        <v>967.25277310000001</v>
      </c>
      <c r="Z207" s="3">
        <f>[1]Results!AC1489</f>
        <v>972.83716700000002</v>
      </c>
      <c r="AA207" s="3">
        <f>[1]Results!AD1489</f>
        <v>979.95748360000005</v>
      </c>
      <c r="AB207" s="3">
        <f>[1]Results!AE1489</f>
        <v>988.1217034</v>
      </c>
      <c r="AC207" s="3">
        <f>[1]Results!AF1489</f>
        <v>997.43798600000002</v>
      </c>
      <c r="AD207" s="3">
        <f>[1]Results!AG1489</f>
        <v>1007.924879</v>
      </c>
      <c r="AE207" s="3">
        <f>[1]Results!AH1489</f>
        <v>1019.542966</v>
      </c>
      <c r="AF207" s="3">
        <f>[1]Results!AI1489</f>
        <v>1032.080123</v>
      </c>
      <c r="AG207" s="3">
        <f>[1]Results!AJ1489</f>
        <v>1045.1808940000001</v>
      </c>
      <c r="AH207" s="3">
        <f>[1]Results!AK1489</f>
        <v>1058.457476</v>
      </c>
      <c r="AI207" s="3">
        <f>[1]Results!AL1489</f>
        <v>1071.559816</v>
      </c>
      <c r="AJ207" s="3">
        <f>[1]Results!AM1489</f>
        <v>1084.185211</v>
      </c>
      <c r="AK207" s="3">
        <f>[1]Results!AN1489</f>
        <v>1096.0731510000001</v>
      </c>
      <c r="AL207" s="3">
        <f>[1]Results!AO1489</f>
        <v>1106.9994959999999</v>
      </c>
    </row>
    <row r="208" spans="1:38" x14ac:dyDescent="0.35">
      <c r="B208" t="s">
        <v>10</v>
      </c>
      <c r="C208" s="3">
        <f>[1]Results!F1494</f>
        <v>21276.68795</v>
      </c>
      <c r="D208" s="3">
        <f>[1]Results!G1494</f>
        <v>21381.42656</v>
      </c>
      <c r="E208" s="3">
        <f>[1]Results!H1494</f>
        <v>21545.4568</v>
      </c>
      <c r="F208" s="3">
        <f>[1]Results!I1494</f>
        <v>21758.967720000001</v>
      </c>
      <c r="G208" s="3">
        <f>[1]Results!J1494</f>
        <v>22006.889459999999</v>
      </c>
      <c r="H208" s="3">
        <f>[1]Results!K1494</f>
        <v>22279.105869999999</v>
      </c>
      <c r="I208" s="3">
        <f>[1]Results!L1494</f>
        <v>22558.924139999999</v>
      </c>
      <c r="J208" s="3">
        <f>[1]Results!M1494</f>
        <v>22839.586319999999</v>
      </c>
      <c r="K208" s="3">
        <f>[1]Results!N1494</f>
        <v>23117.185010000001</v>
      </c>
      <c r="L208" s="3">
        <f>[1]Results!O1494</f>
        <v>23390.05041</v>
      </c>
      <c r="M208" s="3">
        <f>[1]Results!P1494</f>
        <v>23660.141060000002</v>
      </c>
      <c r="N208" s="3">
        <f>[1]Results!Q1494</f>
        <v>23888.411690000001</v>
      </c>
      <c r="O208" s="3">
        <f>[1]Results!R1494</f>
        <v>24065.060539999999</v>
      </c>
      <c r="P208" s="3">
        <f>[1]Results!S1494</f>
        <v>24190.718379999998</v>
      </c>
      <c r="Q208" s="3">
        <f>[1]Results!T1494</f>
        <v>24272.902880000001</v>
      </c>
      <c r="R208" s="3">
        <f>[1]Results!U1494</f>
        <v>24322.57259</v>
      </c>
      <c r="S208" s="3">
        <f>[1]Results!V1494</f>
        <v>24354.049279999999</v>
      </c>
      <c r="T208" s="3">
        <f>[1]Results!W1494</f>
        <v>24381.086039999998</v>
      </c>
      <c r="U208" s="3">
        <f>[1]Results!X1494</f>
        <v>24414.90799</v>
      </c>
      <c r="V208" s="3">
        <f>[1]Results!Y1494</f>
        <v>24463.422310000002</v>
      </c>
      <c r="W208" s="3">
        <f>[1]Results!Z1494</f>
        <v>24525.509300000002</v>
      </c>
      <c r="X208" s="3">
        <f>[1]Results!AA1494</f>
        <v>24612.92568</v>
      </c>
      <c r="Y208" s="3">
        <f>[1]Results!AB1494</f>
        <v>24728.83668</v>
      </c>
      <c r="Z208" s="3">
        <f>[1]Results!AC1494</f>
        <v>24875.013709999999</v>
      </c>
      <c r="AA208" s="3">
        <f>[1]Results!AD1494</f>
        <v>25051.409940000001</v>
      </c>
      <c r="AB208" s="3">
        <f>[1]Results!AE1494</f>
        <v>25238.98948</v>
      </c>
      <c r="AC208" s="3">
        <f>[1]Results!AF1494</f>
        <v>25449.68518</v>
      </c>
      <c r="AD208" s="3">
        <f>[1]Results!AG1494</f>
        <v>25684.726269999999</v>
      </c>
      <c r="AE208" s="3">
        <f>[1]Results!AH1494</f>
        <v>25944.240679999999</v>
      </c>
      <c r="AF208" s="3">
        <f>[1]Results!AI1494</f>
        <v>26225.470290000001</v>
      </c>
      <c r="AG208" s="3">
        <f>[1]Results!AJ1494</f>
        <v>26522.876100000001</v>
      </c>
      <c r="AH208" s="3">
        <f>[1]Results!AK1494</f>
        <v>26829.701639999999</v>
      </c>
      <c r="AI208" s="3">
        <f>[1]Results!AL1494</f>
        <v>27139.195210000002</v>
      </c>
      <c r="AJ208" s="3">
        <f>[1]Results!AM1494</f>
        <v>27444.976760000001</v>
      </c>
      <c r="AK208" s="3">
        <f>[1]Results!AN1494</f>
        <v>27741.13135</v>
      </c>
      <c r="AL208" s="3">
        <f>[1]Results!AO1494</f>
        <v>28022.246630000001</v>
      </c>
    </row>
    <row r="209" spans="1:38" x14ac:dyDescent="0.35">
      <c r="B209" t="s">
        <v>29</v>
      </c>
      <c r="C209" s="3">
        <f>C214-C210</f>
        <v>10.573063502599998</v>
      </c>
      <c r="D209" s="3">
        <f t="shared" ref="D209:AL209" si="25">D214-D210</f>
        <v>10.559968316799999</v>
      </c>
      <c r="E209" s="3">
        <f t="shared" si="25"/>
        <v>10.542121669699998</v>
      </c>
      <c r="F209" s="3">
        <f t="shared" si="25"/>
        <v>10.5254775274</v>
      </c>
      <c r="G209" s="3">
        <f t="shared" si="25"/>
        <v>10.529200148000001</v>
      </c>
      <c r="H209" s="3">
        <f t="shared" si="25"/>
        <v>10.559207238899997</v>
      </c>
      <c r="I209" s="3">
        <f t="shared" si="25"/>
        <v>10.605277009799998</v>
      </c>
      <c r="J209" s="3">
        <f t="shared" si="25"/>
        <v>10.657663647200001</v>
      </c>
      <c r="K209" s="3">
        <f t="shared" si="25"/>
        <v>10.710481787799999</v>
      </c>
      <c r="L209" s="3">
        <f t="shared" si="25"/>
        <v>10.760839260300001</v>
      </c>
      <c r="M209" s="3">
        <f t="shared" si="25"/>
        <v>10.804536537400001</v>
      </c>
      <c r="N209" s="3">
        <f t="shared" si="25"/>
        <v>10.8246936429</v>
      </c>
      <c r="O209" s="3">
        <f t="shared" si="25"/>
        <v>10.817588666399999</v>
      </c>
      <c r="P209" s="3">
        <f t="shared" si="25"/>
        <v>10.7859167212</v>
      </c>
      <c r="Q209" s="3">
        <f t="shared" si="25"/>
        <v>10.7355520582</v>
      </c>
      <c r="R209" s="3">
        <f t="shared" si="25"/>
        <v>10.673134724400001</v>
      </c>
      <c r="S209" s="3">
        <f t="shared" si="25"/>
        <v>10.609947426000002</v>
      </c>
      <c r="T209" s="3">
        <f t="shared" si="25"/>
        <v>10.554070256700001</v>
      </c>
      <c r="U209" s="3">
        <f t="shared" si="25"/>
        <v>10.5103076159</v>
      </c>
      <c r="V209" s="3">
        <f t="shared" si="25"/>
        <v>10.480603789900002</v>
      </c>
      <c r="W209" s="3">
        <f t="shared" si="25"/>
        <v>10.464571832400001</v>
      </c>
      <c r="X209" s="3">
        <f t="shared" si="25"/>
        <v>10.462560447400001</v>
      </c>
      <c r="Y209" s="3">
        <f t="shared" si="25"/>
        <v>10.474590576000001</v>
      </c>
      <c r="Z209" s="3">
        <f t="shared" si="25"/>
        <v>10.5004188019</v>
      </c>
      <c r="AA209" s="3">
        <f t="shared" si="25"/>
        <v>10.539282146500002</v>
      </c>
      <c r="AB209" s="3">
        <f t="shared" si="25"/>
        <v>10.588300230599998</v>
      </c>
      <c r="AC209" s="3">
        <f t="shared" si="25"/>
        <v>10.647729438999999</v>
      </c>
      <c r="AD209" s="3">
        <f t="shared" si="25"/>
        <v>10.718033678799999</v>
      </c>
      <c r="AE209" s="3">
        <f t="shared" si="25"/>
        <v>10.7992057485</v>
      </c>
      <c r="AF209" s="3">
        <f t="shared" si="25"/>
        <v>10.8896104959</v>
      </c>
      <c r="AG209" s="3">
        <f t="shared" si="25"/>
        <v>10.986220263699998</v>
      </c>
      <c r="AH209" s="3">
        <f t="shared" si="25"/>
        <v>11.085649136699999</v>
      </c>
      <c r="AI209" s="3">
        <f t="shared" si="25"/>
        <v>11.184785905600002</v>
      </c>
      <c r="AJ209" s="3">
        <f t="shared" si="25"/>
        <v>11.280877376300001</v>
      </c>
      <c r="AK209" s="3">
        <f t="shared" si="25"/>
        <v>11.371462535099999</v>
      </c>
      <c r="AL209" s="3">
        <f t="shared" si="25"/>
        <v>11.454306353699998</v>
      </c>
    </row>
    <row r="210" spans="1:38" x14ac:dyDescent="0.35">
      <c r="B210" t="s">
        <v>36</v>
      </c>
      <c r="C210" s="3">
        <f>C212+C213</f>
        <v>7.3981974974</v>
      </c>
      <c r="D210" s="3">
        <f t="shared" ref="D210:AL210" si="26">D212+D213</f>
        <v>7.3711415532000002</v>
      </c>
      <c r="E210" s="3">
        <f t="shared" si="26"/>
        <v>7.3291265203</v>
      </c>
      <c r="F210" s="3">
        <f t="shared" si="26"/>
        <v>7.2851210426000002</v>
      </c>
      <c r="G210" s="3">
        <f t="shared" si="26"/>
        <v>7.2555523619999995</v>
      </c>
      <c r="H210" s="3">
        <f t="shared" si="26"/>
        <v>7.2461344911000003</v>
      </c>
      <c r="I210" s="3">
        <f t="shared" si="26"/>
        <v>7.2522151001999999</v>
      </c>
      <c r="J210" s="3">
        <f t="shared" si="26"/>
        <v>7.2673087128000002</v>
      </c>
      <c r="K210" s="3">
        <f t="shared" si="26"/>
        <v>7.2864316322000002</v>
      </c>
      <c r="L210" s="3">
        <f t="shared" si="26"/>
        <v>7.3063783996999998</v>
      </c>
      <c r="M210" s="3">
        <f t="shared" si="26"/>
        <v>7.3244191526</v>
      </c>
      <c r="N210" s="3">
        <f t="shared" si="26"/>
        <v>7.3331246670999999</v>
      </c>
      <c r="O210" s="3">
        <f t="shared" si="26"/>
        <v>7.3297109236000004</v>
      </c>
      <c r="P210" s="3">
        <f t="shared" si="26"/>
        <v>7.3141580087999998</v>
      </c>
      <c r="Q210" s="3">
        <f t="shared" si="26"/>
        <v>7.2880716318000003</v>
      </c>
      <c r="R210" s="3">
        <f t="shared" si="26"/>
        <v>7.2537779455999996</v>
      </c>
      <c r="S210" s="3">
        <f t="shared" si="26"/>
        <v>7.2160492239999998</v>
      </c>
      <c r="T210" s="3">
        <f t="shared" si="26"/>
        <v>7.1789242532999999</v>
      </c>
      <c r="U210" s="3">
        <f t="shared" si="26"/>
        <v>7.1451390541000004</v>
      </c>
      <c r="V210" s="3">
        <f t="shared" si="26"/>
        <v>7.1160990800999997</v>
      </c>
      <c r="W210" s="3">
        <f t="shared" si="26"/>
        <v>7.0919358475999994</v>
      </c>
      <c r="X210" s="3">
        <f t="shared" si="26"/>
        <v>7.0731223525999996</v>
      </c>
      <c r="Y210" s="3">
        <f t="shared" si="26"/>
        <v>7.0599233740000003</v>
      </c>
      <c r="Z210" s="3">
        <f t="shared" si="26"/>
        <v>7.0524762581000005</v>
      </c>
      <c r="AA210" s="3">
        <f t="shared" si="26"/>
        <v>7.0507104434999999</v>
      </c>
      <c r="AB210" s="3">
        <f t="shared" si="26"/>
        <v>7.0533448294000003</v>
      </c>
      <c r="AC210" s="3">
        <f t="shared" si="26"/>
        <v>7.0606282509999998</v>
      </c>
      <c r="AD210" s="3">
        <f t="shared" si="26"/>
        <v>7.0728760112</v>
      </c>
      <c r="AE210" s="3">
        <f t="shared" si="26"/>
        <v>7.0902217914999994</v>
      </c>
      <c r="AF210" s="3">
        <f t="shared" si="26"/>
        <v>7.1121587540999993</v>
      </c>
      <c r="AG210" s="3">
        <f t="shared" si="26"/>
        <v>7.1375573663000003</v>
      </c>
      <c r="AH210" s="3">
        <f t="shared" si="26"/>
        <v>7.1650033732999994</v>
      </c>
      <c r="AI210" s="3">
        <f t="shared" si="26"/>
        <v>7.1930505143999994</v>
      </c>
      <c r="AJ210" s="3">
        <f t="shared" si="26"/>
        <v>7.2202883237000002</v>
      </c>
      <c r="AK210" s="3">
        <f t="shared" si="26"/>
        <v>7.2453525149000004</v>
      </c>
      <c r="AL210" s="3">
        <f t="shared" si="26"/>
        <v>7.2669385062999998</v>
      </c>
    </row>
    <row r="211" spans="1:38" x14ac:dyDescent="0.35">
      <c r="B211" t="s">
        <v>33</v>
      </c>
      <c r="C211" s="3">
        <f>[1]Results!F1502</f>
        <v>87.061451820000002</v>
      </c>
      <c r="D211" s="3">
        <f>[1]Results!G1502</f>
        <v>87.405744499999997</v>
      </c>
      <c r="E211" s="3">
        <f>[1]Results!H1502</f>
        <v>87.788361129999998</v>
      </c>
      <c r="F211" s="3">
        <f>[1]Results!I1502</f>
        <v>88.24733329</v>
      </c>
      <c r="G211" s="3">
        <f>[1]Results!J1502</f>
        <v>88.665896129999993</v>
      </c>
      <c r="H211" s="3">
        <f>[1]Results!K1502</f>
        <v>89.059776060000004</v>
      </c>
      <c r="I211" s="3">
        <f>[1]Results!L1502</f>
        <v>89.457426960000006</v>
      </c>
      <c r="J211" s="3">
        <f>[1]Results!M1502</f>
        <v>89.874693500000006</v>
      </c>
      <c r="K211" s="3">
        <f>[1]Results!N1502</f>
        <v>90.301931300000007</v>
      </c>
      <c r="L211" s="3">
        <f>[1]Results!O1502</f>
        <v>90.724942749999997</v>
      </c>
      <c r="M211" s="3">
        <f>[1]Results!P1502</f>
        <v>91.119055320000001</v>
      </c>
      <c r="N211" s="3">
        <f>[1]Results!Q1502</f>
        <v>91.32834278</v>
      </c>
      <c r="O211" s="3">
        <f>[1]Results!R1502</f>
        <v>91.304939419999997</v>
      </c>
      <c r="P211" s="3">
        <f>[1]Results!S1502</f>
        <v>91.061654419999996</v>
      </c>
      <c r="Q211" s="3">
        <f>[1]Results!T1502</f>
        <v>90.647039660000004</v>
      </c>
      <c r="R211" s="3">
        <f>[1]Results!U1502</f>
        <v>90.123492380000002</v>
      </c>
      <c r="S211" s="3">
        <f>[1]Results!V1502</f>
        <v>89.541681650000001</v>
      </c>
      <c r="T211" s="3">
        <f>[1]Results!W1502</f>
        <v>88.962786280000003</v>
      </c>
      <c r="U211" s="3">
        <f>[1]Results!X1502</f>
        <v>88.44310643</v>
      </c>
      <c r="V211" s="3">
        <f>[1]Results!Y1502</f>
        <v>88.021941769999998</v>
      </c>
      <c r="W211" s="3">
        <f>[1]Results!Z1502</f>
        <v>87.711056709999994</v>
      </c>
      <c r="X211" s="3">
        <f>[1]Results!AA1502</f>
        <v>87.539127390000004</v>
      </c>
      <c r="Y211" s="3">
        <f>[1]Results!AB1502</f>
        <v>87.519341049999994</v>
      </c>
      <c r="Z211" s="3">
        <f>[1]Results!AC1502</f>
        <v>87.655368839999994</v>
      </c>
      <c r="AA211" s="3">
        <f>[1]Results!AD1502</f>
        <v>87.942756059999994</v>
      </c>
      <c r="AB211" s="3">
        <f>[1]Results!AE1502</f>
        <v>88.337641250000004</v>
      </c>
      <c r="AC211" s="3">
        <f>[1]Results!AF1502</f>
        <v>88.851250800000003</v>
      </c>
      <c r="AD211" s="3">
        <f>[1]Results!AG1502</f>
        <v>89.486095710000001</v>
      </c>
      <c r="AE211" s="3">
        <f>[1]Results!AH1502</f>
        <v>90.236642919999994</v>
      </c>
      <c r="AF211" s="3">
        <f>[1]Results!AI1502</f>
        <v>91.081543400000001</v>
      </c>
      <c r="AG211" s="3">
        <f>[1]Results!AJ1502</f>
        <v>91.986860949999993</v>
      </c>
      <c r="AH211" s="3">
        <f>[1]Results!AK1502</f>
        <v>92.915436510000006</v>
      </c>
      <c r="AI211" s="3">
        <f>[1]Results!AL1502</f>
        <v>93.833338040000001</v>
      </c>
      <c r="AJ211" s="3">
        <f>[1]Results!AM1502</f>
        <v>94.711375480000001</v>
      </c>
      <c r="AK211" s="3">
        <f>[1]Results!AN1502</f>
        <v>95.524920339999994</v>
      </c>
      <c r="AL211" s="3">
        <f>[1]Results!AO1502</f>
        <v>96.253477340000003</v>
      </c>
    </row>
    <row r="212" spans="1:38" x14ac:dyDescent="0.35">
      <c r="B212" t="s">
        <v>35</v>
      </c>
      <c r="C212" s="3">
        <f>[1]Results!F1499</f>
        <v>6.6796781269999999</v>
      </c>
      <c r="D212" s="3">
        <f>[1]Results!G1499</f>
        <v>6.6547792829999999</v>
      </c>
      <c r="E212" s="3">
        <f>[1]Results!H1499</f>
        <v>6.6152225600000003</v>
      </c>
      <c r="F212" s="3">
        <f>[1]Results!I1499</f>
        <v>6.5740049440000004</v>
      </c>
      <c r="G212" s="3">
        <f>[1]Results!J1499</f>
        <v>6.5454981639999996</v>
      </c>
      <c r="H212" s="3">
        <f>[1]Results!K1499</f>
        <v>6.5349980710000004</v>
      </c>
      <c r="I212" s="3">
        <f>[1]Results!L1499</f>
        <v>6.5400944650000001</v>
      </c>
      <c r="J212" s="3">
        <f>[1]Results!M1499</f>
        <v>6.5550874979999998</v>
      </c>
      <c r="K212" s="3">
        <f>[1]Results!N1499</f>
        <v>6.5750149430000002</v>
      </c>
      <c r="L212" s="3">
        <f>[1]Results!O1499</f>
        <v>6.5964584720000001</v>
      </c>
      <c r="M212" s="3">
        <f>[1]Results!P1499</f>
        <v>6.6166159950000001</v>
      </c>
      <c r="N212" s="3">
        <f>[1]Results!Q1499</f>
        <v>6.62909653</v>
      </c>
      <c r="O212" s="3">
        <f>[1]Results!R1499</f>
        <v>6.6312873730000002</v>
      </c>
      <c r="P212" s="3">
        <f>[1]Results!S1499</f>
        <v>6.6228986870000002</v>
      </c>
      <c r="Q212" s="3">
        <f>[1]Results!T1499</f>
        <v>6.6050590290000004</v>
      </c>
      <c r="R212" s="3">
        <f>[1]Results!U1499</f>
        <v>6.5795787219999999</v>
      </c>
      <c r="S212" s="3">
        <f>[1]Results!V1499</f>
        <v>6.5496760209999998</v>
      </c>
      <c r="T212" s="3">
        <f>[1]Results!W1499</f>
        <v>6.5188903070000004</v>
      </c>
      <c r="U212" s="3">
        <f>[1]Results!X1499</f>
        <v>6.4898585280000001</v>
      </c>
      <c r="V212" s="3">
        <f>[1]Results!Y1499</f>
        <v>6.4640701260000002</v>
      </c>
      <c r="W212" s="3">
        <f>[1]Results!Z1499</f>
        <v>6.4418677549999996</v>
      </c>
      <c r="X212" s="3">
        <f>[1]Results!AA1499</f>
        <v>6.4237641769999998</v>
      </c>
      <c r="Y212" s="3">
        <f>[1]Results!AB1499</f>
        <v>6.4100756150000002</v>
      </c>
      <c r="Z212" s="3">
        <f>[1]Results!AC1499</f>
        <v>6.4009926320000003</v>
      </c>
      <c r="AA212" s="3">
        <f>[1]Results!AD1499</f>
        <v>6.3965200380000002</v>
      </c>
      <c r="AB212" s="3">
        <f>[1]Results!AE1499</f>
        <v>6.3956612939999999</v>
      </c>
      <c r="AC212" s="3">
        <f>[1]Results!AF1499</f>
        <v>6.3986080669999996</v>
      </c>
      <c r="AD212" s="3">
        <f>[1]Results!AG1499</f>
        <v>6.4056423029999996</v>
      </c>
      <c r="AE212" s="3">
        <f>[1]Results!AH1499</f>
        <v>6.4169121599999999</v>
      </c>
      <c r="AF212" s="3">
        <f>[1]Results!AI1499</f>
        <v>6.4320424879999996</v>
      </c>
      <c r="AG212" s="3">
        <f>[1]Results!AJ1499</f>
        <v>6.4501363830000003</v>
      </c>
      <c r="AH212" s="3">
        <f>[1]Results!AK1499</f>
        <v>6.4700420909999998</v>
      </c>
      <c r="AI212" s="3">
        <f>[1]Results!AL1499</f>
        <v>6.4905605409999998</v>
      </c>
      <c r="AJ212" s="3">
        <f>[1]Results!AM1499</f>
        <v>6.5104991720000003</v>
      </c>
      <c r="AK212" s="3">
        <f>[1]Results!AN1499</f>
        <v>6.5286837670000004</v>
      </c>
      <c r="AL212" s="3">
        <f>[1]Results!AO1499</f>
        <v>6.5439759689999999</v>
      </c>
    </row>
    <row r="213" spans="1:38" x14ac:dyDescent="0.35">
      <c r="B213" t="s">
        <v>34</v>
      </c>
      <c r="C213" s="3">
        <f>[1]Results!F1501</f>
        <v>0.71851937040000002</v>
      </c>
      <c r="D213" s="3">
        <f>[1]Results!G1501</f>
        <v>0.71636227019999998</v>
      </c>
      <c r="E213" s="3">
        <f>[1]Results!H1501</f>
        <v>0.71390396030000003</v>
      </c>
      <c r="F213" s="3">
        <f>[1]Results!I1501</f>
        <v>0.71111609860000002</v>
      </c>
      <c r="G213" s="3">
        <f>[1]Results!J1501</f>
        <v>0.71005419800000003</v>
      </c>
      <c r="H213" s="3">
        <f>[1]Results!K1501</f>
        <v>0.7111364201</v>
      </c>
      <c r="I213" s="3">
        <f>[1]Results!L1501</f>
        <v>0.71212063520000002</v>
      </c>
      <c r="J213" s="3">
        <f>[1]Results!M1501</f>
        <v>0.7122212148</v>
      </c>
      <c r="K213" s="3">
        <f>[1]Results!N1501</f>
        <v>0.71141668920000001</v>
      </c>
      <c r="L213" s="3">
        <f>[1]Results!O1501</f>
        <v>0.70991992770000001</v>
      </c>
      <c r="M213" s="3">
        <f>[1]Results!P1501</f>
        <v>0.70780315760000001</v>
      </c>
      <c r="N213" s="3">
        <f>[1]Results!Q1501</f>
        <v>0.70402813710000001</v>
      </c>
      <c r="O213" s="3">
        <f>[1]Results!R1501</f>
        <v>0.69842355060000005</v>
      </c>
      <c r="P213" s="3">
        <f>[1]Results!S1501</f>
        <v>0.69125932180000005</v>
      </c>
      <c r="Q213" s="3">
        <f>[1]Results!T1501</f>
        <v>0.68301260279999998</v>
      </c>
      <c r="R213" s="3">
        <f>[1]Results!U1501</f>
        <v>0.67419922359999995</v>
      </c>
      <c r="S213" s="3">
        <f>[1]Results!V1501</f>
        <v>0.66637320300000003</v>
      </c>
      <c r="T213" s="3">
        <f>[1]Results!W1501</f>
        <v>0.66003394630000001</v>
      </c>
      <c r="U213" s="3">
        <f>[1]Results!X1501</f>
        <v>0.65528052609999998</v>
      </c>
      <c r="V213" s="3">
        <f>[1]Results!Y1501</f>
        <v>0.65202895409999995</v>
      </c>
      <c r="W213" s="3">
        <f>[1]Results!Z1501</f>
        <v>0.65006809259999998</v>
      </c>
      <c r="X213" s="3">
        <f>[1]Results!AA1501</f>
        <v>0.64935817559999998</v>
      </c>
      <c r="Y213" s="3">
        <f>[1]Results!AB1501</f>
        <v>0.64984775900000002</v>
      </c>
      <c r="Z213" s="3">
        <f>[1]Results!AC1501</f>
        <v>0.65148362609999999</v>
      </c>
      <c r="AA213" s="3">
        <f>[1]Results!AD1501</f>
        <v>0.65419040549999996</v>
      </c>
      <c r="AB213" s="3">
        <f>[1]Results!AE1501</f>
        <v>0.65768353540000002</v>
      </c>
      <c r="AC213" s="3">
        <f>[1]Results!AF1501</f>
        <v>0.66202018399999996</v>
      </c>
      <c r="AD213" s="3">
        <f>[1]Results!AG1501</f>
        <v>0.66723370820000005</v>
      </c>
      <c r="AE213" s="3">
        <f>[1]Results!AH1501</f>
        <v>0.67330963150000001</v>
      </c>
      <c r="AF213" s="3">
        <f>[1]Results!AI1501</f>
        <v>0.68011626609999998</v>
      </c>
      <c r="AG213" s="3">
        <f>[1]Results!AJ1501</f>
        <v>0.68742098330000001</v>
      </c>
      <c r="AH213" s="3">
        <f>[1]Results!AK1501</f>
        <v>0.69496128229999998</v>
      </c>
      <c r="AI213" s="3">
        <f>[1]Results!AL1501</f>
        <v>0.70248997339999997</v>
      </c>
      <c r="AJ213" s="3">
        <f>[1]Results!AM1501</f>
        <v>0.70978915170000001</v>
      </c>
      <c r="AK213" s="3">
        <f>[1]Results!AN1501</f>
        <v>0.71666874790000001</v>
      </c>
      <c r="AL213" s="3">
        <f>[1]Results!AO1501</f>
        <v>0.72296253730000004</v>
      </c>
    </row>
    <row r="214" spans="1:38" x14ac:dyDescent="0.35">
      <c r="B214" t="s">
        <v>37</v>
      </c>
      <c r="C214" s="3">
        <f>[1]Results!F1497</f>
        <v>17.971260999999998</v>
      </c>
      <c r="D214" s="3">
        <f>[1]Results!G1497</f>
        <v>17.93110987</v>
      </c>
      <c r="E214" s="3">
        <f>[1]Results!H1497</f>
        <v>17.871248189999999</v>
      </c>
      <c r="F214" s="3">
        <f>[1]Results!I1497</f>
        <v>17.81059857</v>
      </c>
      <c r="G214" s="3">
        <f>[1]Results!J1497</f>
        <v>17.784752510000001</v>
      </c>
      <c r="H214" s="3">
        <f>[1]Results!K1497</f>
        <v>17.805341729999999</v>
      </c>
      <c r="I214" s="3">
        <f>[1]Results!L1497</f>
        <v>17.857492109999999</v>
      </c>
      <c r="J214" s="3">
        <f>[1]Results!M1497</f>
        <v>17.924972360000002</v>
      </c>
      <c r="K214" s="3">
        <f>[1]Results!N1497</f>
        <v>17.996913419999998</v>
      </c>
      <c r="L214" s="3">
        <f>[1]Results!O1497</f>
        <v>18.067217660000001</v>
      </c>
      <c r="M214" s="3">
        <f>[1]Results!P1497</f>
        <v>18.128955690000002</v>
      </c>
      <c r="N214" s="3">
        <f>[1]Results!Q1497</f>
        <v>18.15781831</v>
      </c>
      <c r="O214" s="3">
        <f>[1]Results!R1497</f>
        <v>18.147299589999999</v>
      </c>
      <c r="P214" s="3">
        <f>[1]Results!S1497</f>
        <v>18.100074729999999</v>
      </c>
      <c r="Q214" s="3">
        <f>[1]Results!T1497</f>
        <v>18.023623690000001</v>
      </c>
      <c r="R214" s="3">
        <f>[1]Results!U1497</f>
        <v>17.92691267</v>
      </c>
      <c r="S214" s="3">
        <f>[1]Results!V1497</f>
        <v>17.82599665</v>
      </c>
      <c r="T214" s="3">
        <f>[1]Results!W1497</f>
        <v>17.732994510000001</v>
      </c>
      <c r="U214" s="3">
        <f>[1]Results!X1497</f>
        <v>17.65544667</v>
      </c>
      <c r="V214" s="3">
        <f>[1]Results!Y1497</f>
        <v>17.596702870000001</v>
      </c>
      <c r="W214" s="3">
        <f>[1]Results!Z1497</f>
        <v>17.556507679999999</v>
      </c>
      <c r="X214" s="3">
        <f>[1]Results!AA1497</f>
        <v>17.5356828</v>
      </c>
      <c r="Y214" s="3">
        <f>[1]Results!AB1497</f>
        <v>17.534513950000001</v>
      </c>
      <c r="Z214" s="3">
        <f>[1]Results!AC1497</f>
        <v>17.552895060000001</v>
      </c>
      <c r="AA214" s="3">
        <f>[1]Results!AD1497</f>
        <v>17.589992590000001</v>
      </c>
      <c r="AB214" s="3">
        <f>[1]Results!AE1497</f>
        <v>17.641645059999998</v>
      </c>
      <c r="AC214" s="3">
        <f>[1]Results!AF1497</f>
        <v>17.70835769</v>
      </c>
      <c r="AD214" s="3">
        <f>[1]Results!AG1497</f>
        <v>17.790909689999999</v>
      </c>
      <c r="AE214" s="3">
        <f>[1]Results!AH1497</f>
        <v>17.88942754</v>
      </c>
      <c r="AF214" s="3">
        <f>[1]Results!AI1497</f>
        <v>18.001769249999999</v>
      </c>
      <c r="AG214" s="3">
        <f>[1]Results!AJ1497</f>
        <v>18.123777629999999</v>
      </c>
      <c r="AH214" s="3">
        <f>[1]Results!AK1497</f>
        <v>18.250652509999998</v>
      </c>
      <c r="AI214" s="3">
        <f>[1]Results!AL1497</f>
        <v>18.377836420000001</v>
      </c>
      <c r="AJ214" s="3">
        <f>[1]Results!AM1497</f>
        <v>18.501165700000001</v>
      </c>
      <c r="AK214" s="3">
        <f>[1]Results!AN1497</f>
        <v>18.61681505</v>
      </c>
      <c r="AL214" s="3">
        <f>[1]Results!AO1497</f>
        <v>18.721244859999999</v>
      </c>
    </row>
    <row r="216" spans="1:38" x14ac:dyDescent="0.35">
      <c r="A216" s="12" t="s">
        <v>86</v>
      </c>
      <c r="B216" t="s">
        <v>27</v>
      </c>
      <c r="C216" s="5">
        <f t="shared" ref="C216:AL216" si="27">C192-C204</f>
        <v>0</v>
      </c>
      <c r="D216" s="5">
        <f t="shared" si="27"/>
        <v>0</v>
      </c>
      <c r="E216" s="5">
        <f t="shared" si="27"/>
        <v>9.9999997473787516E-6</v>
      </c>
      <c r="F216" s="5">
        <f t="shared" si="27"/>
        <v>9.9999997473787516E-6</v>
      </c>
      <c r="G216" s="5">
        <f t="shared" si="27"/>
        <v>0</v>
      </c>
      <c r="H216" s="5">
        <f t="shared" si="27"/>
        <v>0</v>
      </c>
      <c r="I216" s="5">
        <f t="shared" si="27"/>
        <v>9.9999997473787516E-6</v>
      </c>
      <c r="J216" s="5">
        <f t="shared" si="27"/>
        <v>-21.9952200000007</v>
      </c>
      <c r="K216" s="5">
        <f t="shared" si="27"/>
        <v>-59.141459999998915</v>
      </c>
      <c r="L216" s="5">
        <f t="shared" si="27"/>
        <v>-46.158879999999044</v>
      </c>
      <c r="M216" s="5">
        <f t="shared" si="27"/>
        <v>2.1059499999973923</v>
      </c>
      <c r="N216" s="5">
        <f t="shared" si="27"/>
        <v>59.40538000000015</v>
      </c>
      <c r="O216" s="5">
        <f t="shared" si="27"/>
        <v>109.39463999999862</v>
      </c>
      <c r="P216" s="5">
        <f t="shared" si="27"/>
        <v>147.12855000000127</v>
      </c>
      <c r="Q216" s="5">
        <f t="shared" si="27"/>
        <v>175.69436999999743</v>
      </c>
      <c r="R216" s="5">
        <f t="shared" si="27"/>
        <v>198.40473000000202</v>
      </c>
      <c r="S216" s="5">
        <f t="shared" si="27"/>
        <v>214.9400999999998</v>
      </c>
      <c r="T216" s="5">
        <f t="shared" si="27"/>
        <v>225.04067000000214</v>
      </c>
      <c r="U216" s="5">
        <f t="shared" si="27"/>
        <v>228.8145399999994</v>
      </c>
      <c r="V216" s="5">
        <f t="shared" si="27"/>
        <v>227.13525999999911</v>
      </c>
      <c r="W216" s="5">
        <f t="shared" si="27"/>
        <v>221.2941299999984</v>
      </c>
      <c r="X216" s="5">
        <f t="shared" si="27"/>
        <v>212.89530999999988</v>
      </c>
      <c r="Y216" s="5">
        <f t="shared" si="27"/>
        <v>203.60143000000244</v>
      </c>
      <c r="Z216" s="5">
        <f t="shared" si="27"/>
        <v>195.02637999999934</v>
      </c>
      <c r="AA216" s="5">
        <f t="shared" si="27"/>
        <v>188.78631999999925</v>
      </c>
      <c r="AB216" s="5">
        <f t="shared" si="27"/>
        <v>186.26120999999694</v>
      </c>
      <c r="AC216" s="5">
        <f t="shared" si="27"/>
        <v>189.59387000000424</v>
      </c>
      <c r="AD216" s="5">
        <f t="shared" si="27"/>
        <v>200.86906999999337</v>
      </c>
      <c r="AE216" s="5">
        <f t="shared" si="27"/>
        <v>222.14403999999922</v>
      </c>
      <c r="AF216" s="5">
        <f t="shared" si="27"/>
        <v>255.59074999999575</v>
      </c>
      <c r="AG216" s="5">
        <f t="shared" si="27"/>
        <v>303.38616999999795</v>
      </c>
      <c r="AH216" s="5">
        <f t="shared" si="27"/>
        <v>367.71214999999938</v>
      </c>
      <c r="AI216" s="5">
        <f t="shared" si="27"/>
        <v>450.81558000000223</v>
      </c>
      <c r="AJ216" s="5">
        <f t="shared" si="27"/>
        <v>554.95203999999649</v>
      </c>
      <c r="AK216" s="5">
        <f t="shared" si="27"/>
        <v>682.53494999999384</v>
      </c>
      <c r="AL216" s="5">
        <f t="shared" si="27"/>
        <v>836.30943000000116</v>
      </c>
    </row>
    <row r="217" spans="1:38" x14ac:dyDescent="0.35">
      <c r="A217" t="s">
        <v>87</v>
      </c>
      <c r="B217" t="s">
        <v>7</v>
      </c>
      <c r="C217" s="5">
        <f t="shared" ref="C217:AL217" si="28">C193-C205</f>
        <v>0</v>
      </c>
      <c r="D217" s="5">
        <f t="shared" si="28"/>
        <v>0</v>
      </c>
      <c r="E217" s="5">
        <f t="shared" si="28"/>
        <v>0</v>
      </c>
      <c r="F217" s="5">
        <f t="shared" si="28"/>
        <v>9.9999965641472954E-8</v>
      </c>
      <c r="G217" s="5">
        <f t="shared" si="28"/>
        <v>9.9999965641472954E-8</v>
      </c>
      <c r="H217" s="5">
        <f t="shared" si="28"/>
        <v>9.9999965641472954E-8</v>
      </c>
      <c r="I217" s="5">
        <f t="shared" si="28"/>
        <v>0</v>
      </c>
      <c r="J217" s="5">
        <f t="shared" si="28"/>
        <v>-1.3971121999999241</v>
      </c>
      <c r="K217" s="5">
        <f t="shared" si="28"/>
        <v>-3.7552162000000635</v>
      </c>
      <c r="L217" s="5">
        <f t="shared" si="28"/>
        <v>-4.4659910000000309</v>
      </c>
      <c r="M217" s="5">
        <f t="shared" si="28"/>
        <v>-4.1124221000000034</v>
      </c>
      <c r="N217" s="5">
        <f t="shared" si="28"/>
        <v>-3.5340535999999929</v>
      </c>
      <c r="O217" s="5">
        <f t="shared" si="28"/>
        <v>-3.1859629000000496</v>
      </c>
      <c r="P217" s="5">
        <f t="shared" si="28"/>
        <v>-3.1368562999999767</v>
      </c>
      <c r="Q217" s="5">
        <f t="shared" si="28"/>
        <v>-3.2318572000000358</v>
      </c>
      <c r="R217" s="5">
        <f t="shared" si="28"/>
        <v>-3.3747826999999688</v>
      </c>
      <c r="S217" s="5">
        <f t="shared" si="28"/>
        <v>-3.5190570000000889</v>
      </c>
      <c r="T217" s="5">
        <f t="shared" si="28"/>
        <v>-3.7984063000000106</v>
      </c>
      <c r="U217" s="5">
        <f t="shared" si="28"/>
        <v>-4.3116291000000047</v>
      </c>
      <c r="V217" s="5">
        <f t="shared" si="28"/>
        <v>-5.0925928999999996</v>
      </c>
      <c r="W217" s="5">
        <f t="shared" si="28"/>
        <v>-6.1299077999999554</v>
      </c>
      <c r="X217" s="5">
        <f t="shared" si="28"/>
        <v>-7.3852651999999352</v>
      </c>
      <c r="Y217" s="5">
        <f t="shared" si="28"/>
        <v>-8.8088198000000375</v>
      </c>
      <c r="Z217" s="5">
        <f t="shared" si="28"/>
        <v>-10.348965499999963</v>
      </c>
      <c r="AA217" s="5">
        <f t="shared" si="28"/>
        <v>-11.953765599999997</v>
      </c>
      <c r="AB217" s="5">
        <f t="shared" si="28"/>
        <v>-13.579333799999972</v>
      </c>
      <c r="AC217" s="5">
        <f t="shared" si="28"/>
        <v>-15.262496999999939</v>
      </c>
      <c r="AD217" s="5">
        <f t="shared" si="28"/>
        <v>-16.907344500000022</v>
      </c>
      <c r="AE217" s="5">
        <f t="shared" si="28"/>
        <v>-18.429636500000015</v>
      </c>
      <c r="AF217" s="5">
        <f t="shared" si="28"/>
        <v>-19.751614899999936</v>
      </c>
      <c r="AG217" s="5">
        <f t="shared" si="28"/>
        <v>-20.804598800000008</v>
      </c>
      <c r="AH217" s="5">
        <f t="shared" si="28"/>
        <v>-21.530978000000005</v>
      </c>
      <c r="AI217" s="5">
        <f t="shared" si="28"/>
        <v>-21.883095599999933</v>
      </c>
      <c r="AJ217" s="5">
        <f t="shared" si="28"/>
        <v>-21.825865799999974</v>
      </c>
      <c r="AK217" s="5">
        <f t="shared" si="28"/>
        <v>-21.334738200000061</v>
      </c>
      <c r="AL217" s="5">
        <f t="shared" si="28"/>
        <v>-20.395317000000091</v>
      </c>
    </row>
    <row r="218" spans="1:38" x14ac:dyDescent="0.35">
      <c r="B218" t="s">
        <v>30</v>
      </c>
      <c r="C218" s="5">
        <f t="shared" ref="C218:AL218" si="29">C194-C206</f>
        <v>0</v>
      </c>
      <c r="D218" s="5">
        <f t="shared" si="29"/>
        <v>0</v>
      </c>
      <c r="E218" s="5">
        <f t="shared" si="29"/>
        <v>0</v>
      </c>
      <c r="F218" s="5">
        <f t="shared" si="29"/>
        <v>0</v>
      </c>
      <c r="G218" s="5">
        <f t="shared" si="29"/>
        <v>0</v>
      </c>
      <c r="H218" s="5">
        <f t="shared" si="29"/>
        <v>0</v>
      </c>
      <c r="I218" s="5">
        <f t="shared" si="29"/>
        <v>9.999994290410541E-7</v>
      </c>
      <c r="J218" s="5">
        <f t="shared" si="29"/>
        <v>-6.4601940000002287</v>
      </c>
      <c r="K218" s="5">
        <f t="shared" si="29"/>
        <v>-16.556413999999677</v>
      </c>
      <c r="L218" s="5">
        <f t="shared" si="29"/>
        <v>-14.81221800000003</v>
      </c>
      <c r="M218" s="5">
        <f t="shared" si="29"/>
        <v>-5.565932999999859</v>
      </c>
      <c r="N218" s="5">
        <f t="shared" si="29"/>
        <v>5.2219219999997222</v>
      </c>
      <c r="O218" s="5">
        <f t="shared" si="29"/>
        <v>13.781700999999885</v>
      </c>
      <c r="P218" s="5">
        <f t="shared" si="29"/>
        <v>19.356248000000051</v>
      </c>
      <c r="Q218" s="5">
        <f t="shared" si="29"/>
        <v>23.168161000000509</v>
      </c>
      <c r="R218" s="5">
        <f t="shared" si="29"/>
        <v>26.341816999999537</v>
      </c>
      <c r="S218" s="5">
        <f t="shared" si="29"/>
        <v>29.053975999999238</v>
      </c>
      <c r="T218" s="5">
        <f t="shared" si="29"/>
        <v>31.435488000000078</v>
      </c>
      <c r="U218" s="5">
        <f t="shared" si="29"/>
        <v>33.498787999999877</v>
      </c>
      <c r="V218" s="5">
        <f t="shared" si="29"/>
        <v>35.341881000000285</v>
      </c>
      <c r="W218" s="5">
        <f t="shared" si="29"/>
        <v>37.181400000000394</v>
      </c>
      <c r="X218" s="5">
        <f t="shared" si="29"/>
        <v>39.385935000000245</v>
      </c>
      <c r="Y218" s="5">
        <f t="shared" si="29"/>
        <v>42.384637000000112</v>
      </c>
      <c r="Z218" s="5">
        <f t="shared" si="29"/>
        <v>46.581173999999919</v>
      </c>
      <c r="AA218" s="5">
        <f t="shared" si="29"/>
        <v>52.387738000000354</v>
      </c>
      <c r="AB218" s="5">
        <f t="shared" si="29"/>
        <v>60.194195000000036</v>
      </c>
      <c r="AC218" s="5">
        <f t="shared" si="29"/>
        <v>70.594505000000026</v>
      </c>
      <c r="AD218" s="5">
        <f t="shared" si="29"/>
        <v>84.33801399999993</v>
      </c>
      <c r="AE218" s="5">
        <f t="shared" si="29"/>
        <v>102.00797999999941</v>
      </c>
      <c r="AF218" s="5">
        <f t="shared" si="29"/>
        <v>124.15214999999989</v>
      </c>
      <c r="AG218" s="5">
        <f t="shared" si="29"/>
        <v>151.33492000000024</v>
      </c>
      <c r="AH218" s="5">
        <f t="shared" si="29"/>
        <v>184.2096360000005</v>
      </c>
      <c r="AI218" s="5">
        <f t="shared" si="29"/>
        <v>223.50718200000028</v>
      </c>
      <c r="AJ218" s="5">
        <f t="shared" si="29"/>
        <v>269.92451799999981</v>
      </c>
      <c r="AK218" s="5">
        <f t="shared" si="29"/>
        <v>324.18705300000056</v>
      </c>
      <c r="AL218" s="5">
        <f t="shared" si="29"/>
        <v>387.13913799999955</v>
      </c>
    </row>
    <row r="219" spans="1:38" x14ac:dyDescent="0.35">
      <c r="B219" t="s">
        <v>28</v>
      </c>
      <c r="C219" s="5">
        <f t="shared" ref="C219:AL219" si="30">C195-C207</f>
        <v>0</v>
      </c>
      <c r="D219" s="5">
        <f t="shared" si="30"/>
        <v>1.0000007932831068E-7</v>
      </c>
      <c r="E219" s="5">
        <f t="shared" si="30"/>
        <v>0</v>
      </c>
      <c r="F219" s="5">
        <f t="shared" si="30"/>
        <v>9.9999965641472954E-8</v>
      </c>
      <c r="G219" s="5">
        <f t="shared" si="30"/>
        <v>1.0000007932831068E-7</v>
      </c>
      <c r="H219" s="5">
        <f t="shared" si="30"/>
        <v>1.0000007932831068E-7</v>
      </c>
      <c r="I219" s="5">
        <f t="shared" si="30"/>
        <v>0</v>
      </c>
      <c r="J219" s="5">
        <f t="shared" si="30"/>
        <v>-2.2811613000000079</v>
      </c>
      <c r="K219" s="5">
        <f t="shared" si="30"/>
        <v>-6.0859071000000995</v>
      </c>
      <c r="L219" s="5">
        <f t="shared" si="30"/>
        <v>-8.2429101000000173</v>
      </c>
      <c r="M219" s="5">
        <f t="shared" si="30"/>
        <v>-9.3370996999999534</v>
      </c>
      <c r="N219" s="5">
        <f t="shared" si="30"/>
        <v>-9.9368613000000323</v>
      </c>
      <c r="O219" s="5">
        <f t="shared" si="30"/>
        <v>-10.509574499999985</v>
      </c>
      <c r="P219" s="5">
        <f t="shared" si="30"/>
        <v>-11.193293900000072</v>
      </c>
      <c r="Q219" s="5">
        <f t="shared" si="30"/>
        <v>-11.877955199999974</v>
      </c>
      <c r="R219" s="5">
        <f t="shared" si="30"/>
        <v>-12.501067599999942</v>
      </c>
      <c r="S219" s="5">
        <f t="shared" si="30"/>
        <v>-13.277025600000002</v>
      </c>
      <c r="T219" s="5">
        <f t="shared" si="30"/>
        <v>-14.3390895</v>
      </c>
      <c r="U219" s="5">
        <f t="shared" si="30"/>
        <v>-15.70138750000001</v>
      </c>
      <c r="V219" s="5">
        <f t="shared" si="30"/>
        <v>-17.305219899999997</v>
      </c>
      <c r="W219" s="5">
        <f t="shared" si="30"/>
        <v>-19.060632300000066</v>
      </c>
      <c r="X219" s="5">
        <f t="shared" si="30"/>
        <v>-20.868786</v>
      </c>
      <c r="Y219" s="5">
        <f t="shared" si="30"/>
        <v>-22.635943800000064</v>
      </c>
      <c r="Z219" s="5">
        <f t="shared" si="30"/>
        <v>-24.289657700000021</v>
      </c>
      <c r="AA219" s="5">
        <f t="shared" si="30"/>
        <v>-25.771134200000006</v>
      </c>
      <c r="AB219" s="5">
        <f t="shared" si="30"/>
        <v>-27.026396599999998</v>
      </c>
      <c r="AC219" s="5">
        <f t="shared" si="30"/>
        <v>-27.96682670000007</v>
      </c>
      <c r="AD219" s="5">
        <f t="shared" si="30"/>
        <v>-28.488174800000024</v>
      </c>
      <c r="AE219" s="5">
        <f t="shared" si="30"/>
        <v>-28.509202800000025</v>
      </c>
      <c r="AF219" s="5">
        <f t="shared" si="30"/>
        <v>-27.960444999999936</v>
      </c>
      <c r="AG219" s="5">
        <f t="shared" si="30"/>
        <v>-26.779737000000068</v>
      </c>
      <c r="AH219" s="5">
        <f t="shared" si="30"/>
        <v>-24.897048000000041</v>
      </c>
      <c r="AI219" s="5">
        <f t="shared" si="30"/>
        <v>-22.232632999999851</v>
      </c>
      <c r="AJ219" s="5">
        <f t="shared" si="30"/>
        <v>-18.720573000000059</v>
      </c>
      <c r="AK219" s="5">
        <f t="shared" si="30"/>
        <v>-14.307179000000133</v>
      </c>
      <c r="AL219" s="5">
        <f t="shared" si="30"/>
        <v>-8.9445349999998598</v>
      </c>
    </row>
    <row r="220" spans="1:38" x14ac:dyDescent="0.35">
      <c r="B220" t="s">
        <v>10</v>
      </c>
      <c r="C220" s="5">
        <f t="shared" ref="C220:AL220" si="31">C196-C208</f>
        <v>0</v>
      </c>
      <c r="D220" s="5">
        <f t="shared" si="31"/>
        <v>9.9999997473787516E-6</v>
      </c>
      <c r="E220" s="5">
        <f t="shared" si="31"/>
        <v>0</v>
      </c>
      <c r="F220" s="5">
        <f t="shared" si="31"/>
        <v>0</v>
      </c>
      <c r="G220" s="5">
        <f t="shared" si="31"/>
        <v>0</v>
      </c>
      <c r="H220" s="5">
        <f t="shared" si="31"/>
        <v>0</v>
      </c>
      <c r="I220" s="5">
        <f t="shared" si="31"/>
        <v>0</v>
      </c>
      <c r="J220" s="5">
        <f t="shared" si="31"/>
        <v>-13.960699999999633</v>
      </c>
      <c r="K220" s="5">
        <f t="shared" si="31"/>
        <v>-38.305739999999787</v>
      </c>
      <c r="L220" s="5">
        <f t="shared" si="31"/>
        <v>-28.746839999999793</v>
      </c>
      <c r="M220" s="5">
        <f t="shared" si="31"/>
        <v>5.8096199999999953</v>
      </c>
      <c r="N220" s="5">
        <f t="shared" si="31"/>
        <v>46.976959999999963</v>
      </c>
      <c r="O220" s="5">
        <f t="shared" si="31"/>
        <v>83.330690000002505</v>
      </c>
      <c r="P220" s="5">
        <f t="shared" si="31"/>
        <v>110.94165000000066</v>
      </c>
      <c r="Q220" s="5">
        <f t="shared" si="31"/>
        <v>131.36004999999932</v>
      </c>
      <c r="R220" s="5">
        <f t="shared" si="31"/>
        <v>146.54035999999905</v>
      </c>
      <c r="S220" s="5">
        <f t="shared" si="31"/>
        <v>156.07784000000174</v>
      </c>
      <c r="T220" s="5">
        <f t="shared" si="31"/>
        <v>159.76620000000185</v>
      </c>
      <c r="U220" s="5">
        <f t="shared" si="31"/>
        <v>157.7586999999985</v>
      </c>
      <c r="V220" s="5">
        <f t="shared" si="31"/>
        <v>150.74984999999651</v>
      </c>
      <c r="W220" s="5">
        <f t="shared" si="31"/>
        <v>139.65385999999853</v>
      </c>
      <c r="X220" s="5">
        <f t="shared" si="31"/>
        <v>125.48596999999791</v>
      </c>
      <c r="Y220" s="5">
        <f t="shared" si="31"/>
        <v>109.24078999999983</v>
      </c>
      <c r="Z220" s="5">
        <f t="shared" si="31"/>
        <v>91.904280000002473</v>
      </c>
      <c r="AA220" s="5">
        <f t="shared" si="31"/>
        <v>74.464869999999792</v>
      </c>
      <c r="AB220" s="5">
        <f t="shared" si="31"/>
        <v>57.72780000000057</v>
      </c>
      <c r="AC220" s="5">
        <f t="shared" si="31"/>
        <v>43.018690000000788</v>
      </c>
      <c r="AD220" s="5">
        <f t="shared" si="31"/>
        <v>31.285280000000057</v>
      </c>
      <c r="AE220" s="5">
        <f t="shared" si="31"/>
        <v>23.628160000000207</v>
      </c>
      <c r="AF220" s="5">
        <f t="shared" si="31"/>
        <v>21.303319999999076</v>
      </c>
      <c r="AG220" s="5">
        <f t="shared" si="31"/>
        <v>25.552359999997861</v>
      </c>
      <c r="AH220" s="5">
        <f t="shared" si="31"/>
        <v>37.489089999999123</v>
      </c>
      <c r="AI220" s="5">
        <f t="shared" si="31"/>
        <v>58.139119999999821</v>
      </c>
      <c r="AJ220" s="5">
        <f t="shared" si="31"/>
        <v>88.505589999997028</v>
      </c>
      <c r="AK220" s="5">
        <f t="shared" si="31"/>
        <v>129.6198000000004</v>
      </c>
      <c r="AL220" s="5">
        <f t="shared" si="31"/>
        <v>182.5687399999988</v>
      </c>
    </row>
    <row r="221" spans="1:38" x14ac:dyDescent="0.35">
      <c r="B221" t="s">
        <v>31</v>
      </c>
      <c r="C221" s="5">
        <f>C197-C209</f>
        <v>6.5100001833684473E-8</v>
      </c>
      <c r="D221" s="5">
        <f t="shared" ref="D221:AL221" si="32">D197-D209</f>
        <v>9.3800000655619442E-8</v>
      </c>
      <c r="E221" s="5">
        <f t="shared" si="32"/>
        <v>1.0540000339176459E-7</v>
      </c>
      <c r="F221" s="5">
        <f t="shared" si="32"/>
        <v>1.0450000154094141E-7</v>
      </c>
      <c r="G221" s="5">
        <f t="shared" si="32"/>
        <v>1.0689999641044778E-7</v>
      </c>
      <c r="H221" s="5">
        <f t="shared" si="32"/>
        <v>9.6600000887292481E-8</v>
      </c>
      <c r="I221" s="5">
        <f t="shared" si="32"/>
        <v>9.4800000738359813E-8</v>
      </c>
      <c r="J221" s="5">
        <f t="shared" si="32"/>
        <v>-0.17954132740000261</v>
      </c>
      <c r="K221" s="5">
        <f t="shared" si="32"/>
        <v>-0.44788910789999825</v>
      </c>
      <c r="L221" s="5">
        <f t="shared" si="32"/>
        <v>-0.72693893700000167</v>
      </c>
      <c r="M221" s="5">
        <f t="shared" si="32"/>
        <v>-0.99939008739999835</v>
      </c>
      <c r="N221" s="5">
        <f t="shared" si="32"/>
        <v>-1.2540944008999979</v>
      </c>
      <c r="O221" s="5">
        <f t="shared" si="32"/>
        <v>-1.4905492104000011</v>
      </c>
      <c r="P221" s="5">
        <f t="shared" si="32"/>
        <v>-1.7103755522000021</v>
      </c>
      <c r="Q221" s="5">
        <f t="shared" si="32"/>
        <v>-1.9150029532000019</v>
      </c>
      <c r="R221" s="5">
        <f t="shared" si="32"/>
        <v>-2.1070934114000046</v>
      </c>
      <c r="S221" s="5">
        <f t="shared" si="32"/>
        <v>-2.3008376790000007</v>
      </c>
      <c r="T221" s="5">
        <f t="shared" si="32"/>
        <v>-2.4995748247000016</v>
      </c>
      <c r="U221" s="5">
        <f t="shared" si="32"/>
        <v>-2.7046210529000021</v>
      </c>
      <c r="V221" s="5">
        <f t="shared" si="32"/>
        <v>-2.9160386589000034</v>
      </c>
      <c r="W221" s="5">
        <f t="shared" si="32"/>
        <v>-3.1331213104</v>
      </c>
      <c r="X221" s="5">
        <f t="shared" si="32"/>
        <v>-3.355507332400002</v>
      </c>
      <c r="Y221" s="5">
        <f t="shared" si="32"/>
        <v>-3.5829947159999982</v>
      </c>
      <c r="Z221" s="5">
        <f t="shared" si="32"/>
        <v>-3.8157527109000036</v>
      </c>
      <c r="AA221" s="5">
        <f t="shared" si="32"/>
        <v>-4.0540961585000037</v>
      </c>
      <c r="AB221" s="5">
        <f t="shared" si="32"/>
        <v>-4.2975751316000057</v>
      </c>
      <c r="AC221" s="5">
        <f t="shared" si="32"/>
        <v>-4.5452646789999953</v>
      </c>
      <c r="AD221" s="5">
        <f t="shared" si="32"/>
        <v>-4.7983006578000005</v>
      </c>
      <c r="AE221" s="5">
        <f t="shared" si="32"/>
        <v>-5.0576290645000057</v>
      </c>
      <c r="AF221" s="5">
        <f t="shared" si="32"/>
        <v>-5.3236394928999982</v>
      </c>
      <c r="AG221" s="5">
        <f t="shared" si="32"/>
        <v>-5.596067192700005</v>
      </c>
      <c r="AH221" s="5">
        <f t="shared" si="32"/>
        <v>-5.874162293699996</v>
      </c>
      <c r="AI221" s="5">
        <f t="shared" si="32"/>
        <v>-6.156943946600002</v>
      </c>
      <c r="AJ221" s="5">
        <f t="shared" si="32"/>
        <v>-6.4434768133000055</v>
      </c>
      <c r="AK221" s="5">
        <f t="shared" si="32"/>
        <v>-6.7329331990999943</v>
      </c>
      <c r="AL221" s="5">
        <f t="shared" si="32"/>
        <v>-7.0246210367000046</v>
      </c>
    </row>
    <row r="222" spans="1:38" x14ac:dyDescent="0.35">
      <c r="B222" t="s">
        <v>36</v>
      </c>
      <c r="C222" s="5">
        <f>C198-C210</f>
        <v>-9.5099999875003505E-8</v>
      </c>
      <c r="D222" s="5">
        <f t="shared" ref="D222:AL222" si="33">D198-D210</f>
        <v>-1.4380000035174589E-7</v>
      </c>
      <c r="E222" s="5">
        <f t="shared" si="33"/>
        <v>-1.6540000036258107E-7</v>
      </c>
      <c r="F222" s="5">
        <f t="shared" si="33"/>
        <v>-1.7450000022734002E-7</v>
      </c>
      <c r="G222" s="5">
        <f t="shared" si="33"/>
        <v>-1.7689999953773849E-7</v>
      </c>
      <c r="H222" s="5">
        <f t="shared" si="33"/>
        <v>-1.766000004010948E-7</v>
      </c>
      <c r="I222" s="5">
        <f t="shared" si="33"/>
        <v>-1.7479999936398372E-7</v>
      </c>
      <c r="J222" s="5">
        <f t="shared" si="33"/>
        <v>0.8451320974000005</v>
      </c>
      <c r="K222" s="5">
        <f t="shared" si="33"/>
        <v>2.1500891478999984</v>
      </c>
      <c r="L222" s="5">
        <f t="shared" si="33"/>
        <v>3.7326020670000002</v>
      </c>
      <c r="M222" s="5">
        <f t="shared" si="33"/>
        <v>5.4688751473999995</v>
      </c>
      <c r="N222" s="5">
        <f t="shared" si="33"/>
        <v>7.2789018208999998</v>
      </c>
      <c r="O222" s="5">
        <f t="shared" si="33"/>
        <v>9.1091582104000004</v>
      </c>
      <c r="P222" s="5">
        <f t="shared" si="33"/>
        <v>10.929747182200003</v>
      </c>
      <c r="Q222" s="5">
        <f t="shared" si="33"/>
        <v>12.729454133200001</v>
      </c>
      <c r="R222" s="5">
        <f t="shared" si="33"/>
        <v>14.508144491400003</v>
      </c>
      <c r="S222" s="5">
        <f t="shared" si="33"/>
        <v>16.264881839000001</v>
      </c>
      <c r="T222" s="5">
        <f t="shared" si="33"/>
        <v>18.006539294699998</v>
      </c>
      <c r="U222" s="5">
        <f t="shared" si="33"/>
        <v>19.744591722900001</v>
      </c>
      <c r="V222" s="5">
        <f t="shared" si="33"/>
        <v>21.4919569389</v>
      </c>
      <c r="W222" s="5">
        <f t="shared" si="33"/>
        <v>23.260223870400001</v>
      </c>
      <c r="X222" s="5">
        <f t="shared" si="33"/>
        <v>25.062372712400002</v>
      </c>
      <c r="Y222" s="5">
        <f t="shared" si="33"/>
        <v>26.910938995999999</v>
      </c>
      <c r="Z222" s="5">
        <f t="shared" si="33"/>
        <v>28.817435550900001</v>
      </c>
      <c r="AA222" s="5">
        <f t="shared" si="33"/>
        <v>30.792104108499998</v>
      </c>
      <c r="AB222" s="5">
        <f t="shared" si="33"/>
        <v>32.840147501600001</v>
      </c>
      <c r="AC222" s="5">
        <f t="shared" si="33"/>
        <v>34.973617869000002</v>
      </c>
      <c r="AD222" s="5">
        <f t="shared" si="33"/>
        <v>37.2080718578</v>
      </c>
      <c r="AE222" s="5">
        <f t="shared" si="33"/>
        <v>39.559599974500003</v>
      </c>
      <c r="AF222" s="5">
        <f t="shared" si="33"/>
        <v>42.042518592899995</v>
      </c>
      <c r="AG222" s="5">
        <f t="shared" si="33"/>
        <v>44.669421052700002</v>
      </c>
      <c r="AH222" s="5">
        <f t="shared" si="33"/>
        <v>47.454213753700003</v>
      </c>
      <c r="AI222" s="5">
        <f t="shared" si="33"/>
        <v>50.415061096599999</v>
      </c>
      <c r="AJ222" s="5">
        <f t="shared" si="33"/>
        <v>53.575571583300004</v>
      </c>
      <c r="AK222" s="5">
        <f t="shared" si="33"/>
        <v>56.968053369099998</v>
      </c>
      <c r="AL222" s="5">
        <f t="shared" si="33"/>
        <v>60.639952206700009</v>
      </c>
    </row>
    <row r="223" spans="1:38" x14ac:dyDescent="0.35">
      <c r="B223" t="s">
        <v>11</v>
      </c>
      <c r="C223" s="5">
        <f>C199-C211</f>
        <v>0</v>
      </c>
      <c r="D223" s="5">
        <f t="shared" ref="D223:AL223" si="34">D199-D211</f>
        <v>0</v>
      </c>
      <c r="E223" s="5">
        <f t="shared" si="34"/>
        <v>1.0000007932831068E-8</v>
      </c>
      <c r="F223" s="5">
        <f t="shared" si="34"/>
        <v>9.9999937219763524E-9</v>
      </c>
      <c r="G223" s="5">
        <f t="shared" si="34"/>
        <v>0</v>
      </c>
      <c r="H223" s="5">
        <f t="shared" si="34"/>
        <v>0</v>
      </c>
      <c r="I223" s="5">
        <f t="shared" si="34"/>
        <v>-1.0000007932831068E-8</v>
      </c>
      <c r="J223" s="5">
        <f t="shared" si="34"/>
        <v>1.4383598199999881</v>
      </c>
      <c r="K223" s="5">
        <f t="shared" si="34"/>
        <v>3.8596178600000002</v>
      </c>
      <c r="L223" s="5">
        <f t="shared" si="34"/>
        <v>7.1034163400000097</v>
      </c>
      <c r="M223" s="5">
        <f t="shared" si="34"/>
        <v>10.842308779999996</v>
      </c>
      <c r="N223" s="5">
        <f t="shared" si="34"/>
        <v>14.652602619999996</v>
      </c>
      <c r="O223" s="5">
        <f t="shared" si="34"/>
        <v>18.35918058</v>
      </c>
      <c r="P223" s="5">
        <f t="shared" si="34"/>
        <v>21.941426280000002</v>
      </c>
      <c r="Q223" s="5">
        <f t="shared" si="34"/>
        <v>25.461518639999994</v>
      </c>
      <c r="R223" s="5">
        <f t="shared" si="34"/>
        <v>28.997360020000002</v>
      </c>
      <c r="S223" s="5">
        <f t="shared" si="34"/>
        <v>32.64033105</v>
      </c>
      <c r="T223" s="5">
        <f t="shared" si="34"/>
        <v>36.469511319999995</v>
      </c>
      <c r="U223" s="5">
        <f t="shared" si="34"/>
        <v>40.530098269999996</v>
      </c>
      <c r="V223" s="5">
        <f t="shared" si="34"/>
        <v>44.86542322999999</v>
      </c>
      <c r="W223" s="5">
        <f t="shared" si="34"/>
        <v>49.522297289999997</v>
      </c>
      <c r="X223" s="5">
        <f t="shared" si="34"/>
        <v>54.570583110000001</v>
      </c>
      <c r="Y223" s="5">
        <f t="shared" si="34"/>
        <v>60.092816450000001</v>
      </c>
      <c r="Z223" s="5">
        <f t="shared" si="34"/>
        <v>66.177863660000014</v>
      </c>
      <c r="AA223" s="5">
        <f t="shared" si="34"/>
        <v>72.920601739999995</v>
      </c>
      <c r="AB223" s="5">
        <f t="shared" si="34"/>
        <v>80.402369350000001</v>
      </c>
      <c r="AC223" s="5">
        <f t="shared" si="34"/>
        <v>88.781650299999995</v>
      </c>
      <c r="AD223" s="5">
        <f t="shared" si="34"/>
        <v>98.231520490000008</v>
      </c>
      <c r="AE223" s="5">
        <f t="shared" si="34"/>
        <v>108.94476388</v>
      </c>
      <c r="AF223" s="5">
        <f t="shared" si="34"/>
        <v>121.12846069999999</v>
      </c>
      <c r="AG223" s="5">
        <f t="shared" si="34"/>
        <v>135.00985905000002</v>
      </c>
      <c r="AH223" s="5">
        <f t="shared" si="34"/>
        <v>150.86140488999999</v>
      </c>
      <c r="AI223" s="5">
        <f t="shared" si="34"/>
        <v>169.02689365999998</v>
      </c>
      <c r="AJ223" s="5">
        <f t="shared" si="34"/>
        <v>189.93626871999999</v>
      </c>
      <c r="AK223" s="5">
        <f t="shared" si="34"/>
        <v>214.13489176000002</v>
      </c>
      <c r="AL223" s="5">
        <f t="shared" si="34"/>
        <v>242.32607795999996</v>
      </c>
    </row>
    <row r="225" spans="1:3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38" x14ac:dyDescent="0.35">
      <c r="A226" t="s">
        <v>87</v>
      </c>
      <c r="B226" t="s">
        <v>27</v>
      </c>
      <c r="C226" s="6">
        <f t="shared" ref="C226:C232" si="35">R216</f>
        <v>198.40473000000202</v>
      </c>
      <c r="D226" s="6">
        <f t="shared" ref="D226:D232" si="36">AB216</f>
        <v>186.26120999999694</v>
      </c>
      <c r="E226" s="6">
        <f>AL216</f>
        <v>836.30943000000116</v>
      </c>
    </row>
    <row r="227" spans="1:38" x14ac:dyDescent="0.35">
      <c r="B227" t="s">
        <v>7</v>
      </c>
      <c r="C227" s="6">
        <f t="shared" si="35"/>
        <v>-3.3747826999999688</v>
      </c>
      <c r="D227" s="6">
        <f t="shared" si="36"/>
        <v>-13.579333799999972</v>
      </c>
      <c r="E227" s="6">
        <f t="shared" ref="E227:E231" si="37">AL217</f>
        <v>-20.395317000000091</v>
      </c>
    </row>
    <row r="228" spans="1:38" x14ac:dyDescent="0.35">
      <c r="B228" t="s">
        <v>30</v>
      </c>
      <c r="C228" s="6">
        <f t="shared" si="35"/>
        <v>26.341816999999537</v>
      </c>
      <c r="D228" s="6">
        <f t="shared" si="36"/>
        <v>60.194195000000036</v>
      </c>
      <c r="E228" s="6">
        <f t="shared" si="37"/>
        <v>387.13913799999955</v>
      </c>
    </row>
    <row r="229" spans="1:38" x14ac:dyDescent="0.35">
      <c r="B229" t="s">
        <v>28</v>
      </c>
      <c r="C229" s="6">
        <f t="shared" si="35"/>
        <v>-12.501067599999942</v>
      </c>
      <c r="D229" s="6">
        <f t="shared" si="36"/>
        <v>-27.026396599999998</v>
      </c>
      <c r="E229" s="6">
        <f t="shared" si="37"/>
        <v>-8.9445349999998598</v>
      </c>
    </row>
    <row r="230" spans="1:38" x14ac:dyDescent="0.35">
      <c r="B230" t="s">
        <v>10</v>
      </c>
      <c r="C230" s="6">
        <f t="shared" si="35"/>
        <v>146.54035999999905</v>
      </c>
      <c r="D230" s="6">
        <f t="shared" si="36"/>
        <v>57.72780000000057</v>
      </c>
      <c r="E230" s="6">
        <f t="shared" si="37"/>
        <v>182.5687399999988</v>
      </c>
    </row>
    <row r="231" spans="1:38" x14ac:dyDescent="0.35">
      <c r="B231" t="s">
        <v>29</v>
      </c>
      <c r="C231" s="1">
        <f t="shared" si="35"/>
        <v>-2.1070934114000046</v>
      </c>
      <c r="D231" s="1">
        <f t="shared" si="36"/>
        <v>-4.2975751316000057</v>
      </c>
      <c r="E231" s="1">
        <f t="shared" si="37"/>
        <v>-7.0246210367000046</v>
      </c>
    </row>
    <row r="232" spans="1:38" x14ac:dyDescent="0.35">
      <c r="B232" t="s">
        <v>32</v>
      </c>
      <c r="C232" s="1">
        <f t="shared" si="35"/>
        <v>14.508144491400003</v>
      </c>
      <c r="D232" s="1">
        <f t="shared" si="36"/>
        <v>32.840147501600001</v>
      </c>
      <c r="E232" s="1">
        <f t="shared" ref="E232" si="38">AL222</f>
        <v>60.639952206700009</v>
      </c>
    </row>
    <row r="233" spans="1:38" x14ac:dyDescent="0.35">
      <c r="B233" t="s">
        <v>33</v>
      </c>
      <c r="C233" s="1">
        <f t="shared" ref="C233" si="39">R223</f>
        <v>28.997360020000002</v>
      </c>
      <c r="D233" s="1">
        <f t="shared" ref="D233" si="40">AB223</f>
        <v>80.402369350000001</v>
      </c>
      <c r="E233" s="1">
        <f t="shared" ref="E233" si="41">AL223</f>
        <v>242.32607795999996</v>
      </c>
    </row>
    <row r="235" spans="1:38" x14ac:dyDescent="0.35">
      <c r="A235" s="12" t="s">
        <v>43</v>
      </c>
      <c r="B235" t="s">
        <v>26</v>
      </c>
      <c r="C235" s="5">
        <f>C236+C237+C238+C239</f>
        <v>97.392837788000008</v>
      </c>
      <c r="D235" s="5">
        <f t="shared" ref="D235:AL235" si="42">D236+D237+D238+D239</f>
        <v>98.636583209000008</v>
      </c>
      <c r="E235" s="5">
        <f t="shared" si="42"/>
        <v>100.06073025600001</v>
      </c>
      <c r="F235" s="5">
        <f t="shared" si="42"/>
        <v>101.50715148099999</v>
      </c>
      <c r="G235" s="5">
        <f t="shared" si="42"/>
        <v>103.331564181</v>
      </c>
      <c r="H235" s="5">
        <f t="shared" si="42"/>
        <v>105.499766583</v>
      </c>
      <c r="I235" s="5">
        <f t="shared" si="42"/>
        <v>107.74371535399999</v>
      </c>
      <c r="J235" s="5">
        <f t="shared" si="42"/>
        <v>108.42052311099999</v>
      </c>
      <c r="K235" s="5">
        <f t="shared" si="42"/>
        <v>108.770258106</v>
      </c>
      <c r="L235" s="5">
        <f t="shared" si="42"/>
        <v>109.592287645</v>
      </c>
      <c r="M235" s="5">
        <f t="shared" si="42"/>
        <v>110.47828997100001</v>
      </c>
      <c r="N235" s="5">
        <f t="shared" si="42"/>
        <v>111.13941387099999</v>
      </c>
      <c r="O235" s="5">
        <f t="shared" si="42"/>
        <v>111.576291903</v>
      </c>
      <c r="P235" s="5">
        <f t="shared" si="42"/>
        <v>111.86416449400001</v>
      </c>
      <c r="Q235" s="5">
        <f t="shared" si="42"/>
        <v>112.11573814099999</v>
      </c>
      <c r="R235" s="5">
        <f t="shared" si="42"/>
        <v>112.40374154800001</v>
      </c>
      <c r="S235" s="5">
        <f t="shared" si="42"/>
        <v>112.763468039</v>
      </c>
      <c r="T235" s="5">
        <f t="shared" si="42"/>
        <v>113.25363057300001</v>
      </c>
      <c r="U235" s="5">
        <f t="shared" si="42"/>
        <v>113.93210320599999</v>
      </c>
      <c r="V235" s="5">
        <f t="shared" si="42"/>
        <v>114.839056871</v>
      </c>
      <c r="W235" s="5">
        <f t="shared" si="42"/>
        <v>115.985778232</v>
      </c>
      <c r="X235" s="5">
        <f t="shared" si="42"/>
        <v>117.43917187299999</v>
      </c>
      <c r="Y235" s="5">
        <f t="shared" si="42"/>
        <v>119.23062133200001</v>
      </c>
      <c r="Z235" s="5">
        <f t="shared" si="42"/>
        <v>121.38127439900001</v>
      </c>
      <c r="AA235" s="5">
        <f t="shared" si="42"/>
        <v>123.899843707</v>
      </c>
      <c r="AB235" s="5">
        <f t="shared" si="42"/>
        <v>126.72718083900001</v>
      </c>
      <c r="AC235" s="5">
        <f t="shared" si="42"/>
        <v>129.952764648</v>
      </c>
      <c r="AD235" s="5">
        <f t="shared" si="42"/>
        <v>133.628057727</v>
      </c>
      <c r="AE235" s="5">
        <f t="shared" si="42"/>
        <v>137.77591712999998</v>
      </c>
      <c r="AF235" s="5">
        <f t="shared" si="42"/>
        <v>142.38173799099999</v>
      </c>
      <c r="AG235" s="5">
        <f t="shared" si="42"/>
        <v>147.41807816100001</v>
      </c>
      <c r="AH235" s="5">
        <f t="shared" si="42"/>
        <v>152.87799017499998</v>
      </c>
      <c r="AI235" s="5">
        <f t="shared" si="42"/>
        <v>158.78058227100001</v>
      </c>
      <c r="AJ235" s="5">
        <f t="shared" si="42"/>
        <v>165.15930028399998</v>
      </c>
      <c r="AK235" s="5">
        <f t="shared" si="42"/>
        <v>172.07450272899999</v>
      </c>
      <c r="AL235" s="5">
        <f t="shared" si="42"/>
        <v>179.63339055099999</v>
      </c>
    </row>
    <row r="236" spans="1:38" x14ac:dyDescent="0.35">
      <c r="A236" t="s">
        <v>39</v>
      </c>
      <c r="B236" t="s">
        <v>7</v>
      </c>
      <c r="C236" s="5">
        <f>[1]Results!F378</f>
        <v>4.8754571579999997</v>
      </c>
      <c r="D236" s="5">
        <f>[1]Results!G378</f>
        <v>4.9299592990000001</v>
      </c>
      <c r="E236" s="5">
        <f>[1]Results!H378</f>
        <v>4.9964905259999997</v>
      </c>
      <c r="F236" s="5">
        <f>[1]Results!I378</f>
        <v>5.0712299310000004</v>
      </c>
      <c r="G236" s="5">
        <f>[1]Results!J378</f>
        <v>5.1668337910000002</v>
      </c>
      <c r="H236" s="5">
        <f>[1]Results!K378</f>
        <v>5.2814852129999998</v>
      </c>
      <c r="I236" s="5">
        <f>[1]Results!L378</f>
        <v>5.4055295440000002</v>
      </c>
      <c r="J236" s="5">
        <f>[1]Results!M378</f>
        <v>5.4613801210000004</v>
      </c>
      <c r="K236" s="5">
        <f>[1]Results!N378</f>
        <v>5.497085706</v>
      </c>
      <c r="L236" s="5">
        <f>[1]Results!O378</f>
        <v>5.5482511250000002</v>
      </c>
      <c r="M236" s="5">
        <f>[1]Results!P378</f>
        <v>5.6007241810000004</v>
      </c>
      <c r="N236" s="5">
        <f>[1]Results!Q378</f>
        <v>5.6457259009999996</v>
      </c>
      <c r="O236" s="5">
        <f>[1]Results!R378</f>
        <v>5.6825931829999998</v>
      </c>
      <c r="P236" s="5">
        <f>[1]Results!S378</f>
        <v>5.7131780839999999</v>
      </c>
      <c r="Q236" s="5">
        <f>[1]Results!T378</f>
        <v>5.7411016110000004</v>
      </c>
      <c r="R236" s="5">
        <f>[1]Results!U378</f>
        <v>5.7689748180000002</v>
      </c>
      <c r="S236" s="5">
        <f>[1]Results!V378</f>
        <v>5.7966862289999996</v>
      </c>
      <c r="T236" s="5">
        <f>[1]Results!W378</f>
        <v>5.8274734129999999</v>
      </c>
      <c r="U236" s="5">
        <f>[1]Results!X378</f>
        <v>5.8648802360000003</v>
      </c>
      <c r="V236" s="5">
        <f>[1]Results!Y378</f>
        <v>5.9117264110000001</v>
      </c>
      <c r="W236" s="5">
        <f>[1]Results!Z378</f>
        <v>5.9693362519999997</v>
      </c>
      <c r="X236" s="5">
        <f>[1]Results!AA378</f>
        <v>6.0413180730000002</v>
      </c>
      <c r="Y236" s="5">
        <f>[1]Results!AB378</f>
        <v>6.1301507820000003</v>
      </c>
      <c r="Z236" s="5">
        <f>[1]Results!AC378</f>
        <v>6.2376829689999997</v>
      </c>
      <c r="AA236" s="5">
        <f>[1]Results!AD378</f>
        <v>6.3651690470000002</v>
      </c>
      <c r="AB236" s="5">
        <f>[1]Results!AE378</f>
        <v>6.5104775290000001</v>
      </c>
      <c r="AC236" s="5">
        <f>[1]Results!AF378</f>
        <v>6.6767343979999998</v>
      </c>
      <c r="AD236" s="5">
        <f>[1]Results!AG378</f>
        <v>6.8678417869999997</v>
      </c>
      <c r="AE236" s="5">
        <f>[1]Results!AH378</f>
        <v>7.0860682700000002</v>
      </c>
      <c r="AF236" s="5">
        <f>[1]Results!AI378</f>
        <v>7.3320161810000002</v>
      </c>
      <c r="AG236" s="5">
        <f>[1]Results!AJ378</f>
        <v>7.6055195710000003</v>
      </c>
      <c r="AH236" s="5">
        <f>[1]Results!AK378</f>
        <v>7.9069039449999998</v>
      </c>
      <c r="AI236" s="5">
        <f>[1]Results!AL378</f>
        <v>8.2373977210000007</v>
      </c>
      <c r="AJ236" s="5">
        <f>[1]Results!AM378</f>
        <v>8.5990030740000005</v>
      </c>
      <c r="AK236" s="5">
        <f>[1]Results!AN378</f>
        <v>8.9949539190000003</v>
      </c>
      <c r="AL236" s="5">
        <f>[1]Results!AO378</f>
        <v>9.4303782409999997</v>
      </c>
    </row>
    <row r="237" spans="1:38" x14ac:dyDescent="0.35">
      <c r="B237" t="s">
        <v>8</v>
      </c>
      <c r="C237" s="5">
        <f>[1]Results!F390</f>
        <v>43.906102930000003</v>
      </c>
      <c r="D237" s="5">
        <f>[1]Results!G390</f>
        <v>44.5224324</v>
      </c>
      <c r="E237" s="5">
        <f>[1]Results!H390</f>
        <v>45.219160350000003</v>
      </c>
      <c r="F237" s="5">
        <f>[1]Results!I390</f>
        <v>45.903144439999998</v>
      </c>
      <c r="G237" s="5">
        <f>[1]Results!J390</f>
        <v>46.772914159999999</v>
      </c>
      <c r="H237" s="5">
        <f>[1]Results!K390</f>
        <v>47.814313300000002</v>
      </c>
      <c r="I237" s="5">
        <f>[1]Results!L390</f>
        <v>48.881727750000003</v>
      </c>
      <c r="J237" s="5">
        <f>[1]Results!M390</f>
        <v>49.026960330000001</v>
      </c>
      <c r="K237" s="5">
        <f>[1]Results!N390</f>
        <v>48.969130730000003</v>
      </c>
      <c r="L237" s="5">
        <f>[1]Results!O390</f>
        <v>49.170729250000001</v>
      </c>
      <c r="M237" s="5">
        <f>[1]Results!P390</f>
        <v>49.374773619999999</v>
      </c>
      <c r="N237" s="5">
        <f>[1]Results!Q390</f>
        <v>49.449361619999998</v>
      </c>
      <c r="O237" s="5">
        <f>[1]Results!R390</f>
        <v>49.407019380000001</v>
      </c>
      <c r="P237" s="5">
        <f>[1]Results!S390</f>
        <v>49.301143019999998</v>
      </c>
      <c r="Q237" s="5">
        <f>[1]Results!T390</f>
        <v>49.200502550000003</v>
      </c>
      <c r="R237" s="5">
        <f>[1]Results!U390</f>
        <v>49.144937290000001</v>
      </c>
      <c r="S237" s="5">
        <f>[1]Results!V390</f>
        <v>49.154559419999998</v>
      </c>
      <c r="T237" s="5">
        <f>[1]Results!W390</f>
        <v>49.254134129999997</v>
      </c>
      <c r="U237" s="5">
        <f>[1]Results!X390</f>
        <v>49.46882325</v>
      </c>
      <c r="V237" s="5">
        <f>[1]Results!Y390</f>
        <v>49.8135428</v>
      </c>
      <c r="W237" s="5">
        <f>[1]Results!Z390</f>
        <v>50.294602980000001</v>
      </c>
      <c r="X237" s="5">
        <f>[1]Results!AA390</f>
        <v>50.9321184</v>
      </c>
      <c r="Y237" s="5">
        <f>[1]Results!AB390</f>
        <v>51.740524030000003</v>
      </c>
      <c r="Z237" s="5">
        <f>[1]Results!AC390</f>
        <v>52.726989490000001</v>
      </c>
      <c r="AA237" s="5">
        <f>[1]Results!AD390</f>
        <v>53.891992799999997</v>
      </c>
      <c r="AB237" s="5">
        <f>[1]Results!AE390</f>
        <v>55.21886336</v>
      </c>
      <c r="AC237" s="5">
        <f>[1]Results!AF390</f>
        <v>56.729254990000001</v>
      </c>
      <c r="AD237" s="5">
        <f>[1]Results!AG390</f>
        <v>58.452654420000002</v>
      </c>
      <c r="AE237" s="5">
        <f>[1]Results!AH390</f>
        <v>60.398176280000001</v>
      </c>
      <c r="AF237" s="5">
        <f>[1]Results!AI390</f>
        <v>62.554229249999999</v>
      </c>
      <c r="AG237" s="5">
        <f>[1]Results!AJ390</f>
        <v>64.903660389999999</v>
      </c>
      <c r="AH237" s="5">
        <f>[1]Results!AK390</f>
        <v>67.442008639999997</v>
      </c>
      <c r="AI237" s="5">
        <f>[1]Results!AL390</f>
        <v>70.179793689999997</v>
      </c>
      <c r="AJ237" s="5">
        <f>[1]Results!AM390</f>
        <v>73.135716160000001</v>
      </c>
      <c r="AK237" s="5">
        <f>[1]Results!AN390</f>
        <v>76.343573489999997</v>
      </c>
      <c r="AL237" s="5">
        <f>[1]Results!AO390</f>
        <v>79.86385593</v>
      </c>
    </row>
    <row r="238" spans="1:38" x14ac:dyDescent="0.35">
      <c r="B238" t="s">
        <v>28</v>
      </c>
      <c r="C238" s="5">
        <f>[1]Results!F366</f>
        <v>26.32744194</v>
      </c>
      <c r="D238" s="5">
        <f>[1]Results!G366</f>
        <v>26.790589700000002</v>
      </c>
      <c r="E238" s="5">
        <f>[1]Results!H366</f>
        <v>27.31078303</v>
      </c>
      <c r="F238" s="5">
        <f>[1]Results!I366</f>
        <v>27.862159850000001</v>
      </c>
      <c r="G238" s="5">
        <f>[1]Results!J366</f>
        <v>28.457450470000001</v>
      </c>
      <c r="H238" s="5">
        <f>[1]Results!K366</f>
        <v>29.09552072</v>
      </c>
      <c r="I238" s="5">
        <f>[1]Results!L366</f>
        <v>29.75043677</v>
      </c>
      <c r="J238" s="5">
        <f>[1]Results!M366</f>
        <v>30.243140660000002</v>
      </c>
      <c r="K238" s="5">
        <f>[1]Results!N366</f>
        <v>30.697307930000001</v>
      </c>
      <c r="L238" s="5">
        <f>[1]Results!O366</f>
        <v>31.279350640000001</v>
      </c>
      <c r="M238" s="5">
        <f>[1]Results!P366</f>
        <v>31.873439439999999</v>
      </c>
      <c r="N238" s="5">
        <f>[1]Results!Q366</f>
        <v>32.370334100000001</v>
      </c>
      <c r="O238" s="5">
        <f>[1]Results!R366</f>
        <v>32.774222369999997</v>
      </c>
      <c r="P238" s="5">
        <f>[1]Results!S366</f>
        <v>33.1094832</v>
      </c>
      <c r="Q238" s="5">
        <f>[1]Results!T366</f>
        <v>33.409714039999997</v>
      </c>
      <c r="R238" s="5">
        <f>[1]Results!U366</f>
        <v>33.697768979999999</v>
      </c>
      <c r="S238" s="5">
        <f>[1]Results!V366</f>
        <v>33.986771740000002</v>
      </c>
      <c r="T238" s="5">
        <f>[1]Results!W366</f>
        <v>34.297686880000001</v>
      </c>
      <c r="U238" s="5">
        <f>[1]Results!X366</f>
        <v>34.648549469999999</v>
      </c>
      <c r="V238" s="5">
        <f>[1]Results!Y366</f>
        <v>35.050996019999999</v>
      </c>
      <c r="W238" s="5">
        <f>[1]Results!Z366</f>
        <v>35.506883340000002</v>
      </c>
      <c r="X238" s="5">
        <f>[1]Results!AA366</f>
        <v>36.035605169999997</v>
      </c>
      <c r="Y238" s="5">
        <f>[1]Results!AB366</f>
        <v>36.645484000000003</v>
      </c>
      <c r="Z238" s="5">
        <f>[1]Results!AC366</f>
        <v>37.341746710000002</v>
      </c>
      <c r="AA238" s="5">
        <f>[1]Results!AD366</f>
        <v>38.125562039999998</v>
      </c>
      <c r="AB238" s="5">
        <f>[1]Results!AE366</f>
        <v>38.975766790000002</v>
      </c>
      <c r="AC238" s="5">
        <f>[1]Results!AF366</f>
        <v>39.920252959999999</v>
      </c>
      <c r="AD238" s="5">
        <f>[1]Results!AG366</f>
        <v>40.970390309999999</v>
      </c>
      <c r="AE238" s="5">
        <f>[1]Results!AH366</f>
        <v>42.131106549999998</v>
      </c>
      <c r="AF238" s="5">
        <f>[1]Results!AI366</f>
        <v>43.396721280000001</v>
      </c>
      <c r="AG238" s="5">
        <f>[1]Results!AJ366</f>
        <v>44.756683170000002</v>
      </c>
      <c r="AH238" s="5">
        <f>[1]Results!AK366</f>
        <v>46.204487520000001</v>
      </c>
      <c r="AI238" s="5">
        <f>[1]Results!AL366</f>
        <v>47.738884290000001</v>
      </c>
      <c r="AJ238" s="5">
        <f>[1]Results!AM366</f>
        <v>49.359618810000001</v>
      </c>
      <c r="AK238" s="5">
        <f>[1]Results!AN366</f>
        <v>51.068545</v>
      </c>
      <c r="AL238" s="5">
        <f>[1]Results!AO366</f>
        <v>52.871183639999998</v>
      </c>
    </row>
    <row r="239" spans="1:38" x14ac:dyDescent="0.35">
      <c r="B239" t="s">
        <v>10</v>
      </c>
      <c r="C239" s="5">
        <f>[1]Results!F402</f>
        <v>22.283835759999999</v>
      </c>
      <c r="D239" s="5">
        <f>[1]Results!G402</f>
        <v>22.39360181</v>
      </c>
      <c r="E239" s="5">
        <f>[1]Results!H402</f>
        <v>22.534296350000002</v>
      </c>
      <c r="F239" s="5">
        <f>[1]Results!I402</f>
        <v>22.67061726</v>
      </c>
      <c r="G239" s="5">
        <f>[1]Results!J402</f>
        <v>22.934365759999999</v>
      </c>
      <c r="H239" s="5">
        <f>[1]Results!K402</f>
        <v>23.308447350000002</v>
      </c>
      <c r="I239" s="5">
        <f>[1]Results!L402</f>
        <v>23.706021289999999</v>
      </c>
      <c r="J239" s="5">
        <f>[1]Results!M402</f>
        <v>23.689042000000001</v>
      </c>
      <c r="K239" s="5">
        <f>[1]Results!N402</f>
        <v>23.606733739999999</v>
      </c>
      <c r="L239" s="5">
        <f>[1]Results!O402</f>
        <v>23.593956630000001</v>
      </c>
      <c r="M239" s="5">
        <f>[1]Results!P402</f>
        <v>23.629352730000001</v>
      </c>
      <c r="N239" s="5">
        <f>[1]Results!Q402</f>
        <v>23.673992250000001</v>
      </c>
      <c r="O239" s="5">
        <f>[1]Results!R402</f>
        <v>23.712456970000002</v>
      </c>
      <c r="P239" s="5">
        <f>[1]Results!S402</f>
        <v>23.740360190000001</v>
      </c>
      <c r="Q239" s="5">
        <f>[1]Results!T402</f>
        <v>23.76441994</v>
      </c>
      <c r="R239" s="5">
        <f>[1]Results!U402</f>
        <v>23.792060459999998</v>
      </c>
      <c r="S239" s="5">
        <f>[1]Results!V402</f>
        <v>23.825450650000001</v>
      </c>
      <c r="T239" s="5">
        <f>[1]Results!W402</f>
        <v>23.874336150000001</v>
      </c>
      <c r="U239" s="5">
        <f>[1]Results!X402</f>
        <v>23.949850250000001</v>
      </c>
      <c r="V239" s="5">
        <f>[1]Results!Y402</f>
        <v>24.06279164</v>
      </c>
      <c r="W239" s="5">
        <f>[1]Results!Z402</f>
        <v>24.214955660000001</v>
      </c>
      <c r="X239" s="5">
        <f>[1]Results!AA402</f>
        <v>24.43013023</v>
      </c>
      <c r="Y239" s="5">
        <f>[1]Results!AB402</f>
        <v>24.714462520000001</v>
      </c>
      <c r="Z239" s="5">
        <f>[1]Results!AC402</f>
        <v>25.074855230000001</v>
      </c>
      <c r="AA239" s="5">
        <f>[1]Results!AD402</f>
        <v>25.517119820000001</v>
      </c>
      <c r="AB239" s="5">
        <f>[1]Results!AE402</f>
        <v>26.022073160000001</v>
      </c>
      <c r="AC239" s="5">
        <f>[1]Results!AF402</f>
        <v>26.626522300000001</v>
      </c>
      <c r="AD239" s="5">
        <f>[1]Results!AG402</f>
        <v>27.337171210000001</v>
      </c>
      <c r="AE239" s="5">
        <f>[1]Results!AH402</f>
        <v>28.160566029999998</v>
      </c>
      <c r="AF239" s="5">
        <f>[1]Results!AI402</f>
        <v>29.098771280000001</v>
      </c>
      <c r="AG239" s="5">
        <f>[1]Results!AJ402</f>
        <v>30.152215030000001</v>
      </c>
      <c r="AH239" s="5">
        <f>[1]Results!AK402</f>
        <v>31.324590069999999</v>
      </c>
      <c r="AI239" s="5">
        <f>[1]Results!AL402</f>
        <v>32.624506570000001</v>
      </c>
      <c r="AJ239" s="5">
        <f>[1]Results!AM402</f>
        <v>34.06496224</v>
      </c>
      <c r="AK239" s="5">
        <f>[1]Results!AN402</f>
        <v>35.667430320000001</v>
      </c>
      <c r="AL239" s="5">
        <f>[1]Results!AO402</f>
        <v>37.46797274</v>
      </c>
    </row>
    <row r="240" spans="1:38" x14ac:dyDescent="0.35">
      <c r="B240" t="s">
        <v>44</v>
      </c>
      <c r="C240" s="5">
        <f>[1]Results!F353</f>
        <v>64.301440170000006</v>
      </c>
      <c r="D240" s="5">
        <f>[1]Results!G353</f>
        <v>63.959274899999997</v>
      </c>
      <c r="E240" s="5">
        <f>[1]Results!H353</f>
        <v>63.535335439999997</v>
      </c>
      <c r="F240" s="5">
        <f>[1]Results!I353</f>
        <v>63.140045450000002</v>
      </c>
      <c r="G240" s="5">
        <f>[1]Results!J353</f>
        <v>62.990036979999999</v>
      </c>
      <c r="H240" s="5">
        <f>[1]Results!K353</f>
        <v>63.008604390000002</v>
      </c>
      <c r="I240" s="5">
        <f>[1]Results!L353</f>
        <v>62.986963529999997</v>
      </c>
      <c r="J240" s="5">
        <f>[1]Results!M353</f>
        <v>62.45233837</v>
      </c>
      <c r="K240" s="5">
        <f>[1]Results!N353</f>
        <v>61.987019949999997</v>
      </c>
      <c r="L240" s="5">
        <f>[1]Results!O353</f>
        <v>61.634344460000001</v>
      </c>
      <c r="M240" s="5">
        <f>[1]Results!P353</f>
        <v>61.425074940000002</v>
      </c>
      <c r="N240" s="5">
        <f>[1]Results!Q353</f>
        <v>61.385735259999997</v>
      </c>
      <c r="O240" s="5">
        <f>[1]Results!R353</f>
        <v>61.45951135</v>
      </c>
      <c r="P240" s="5">
        <f>[1]Results!S353</f>
        <v>61.599997469999998</v>
      </c>
      <c r="Q240" s="5">
        <f>[1]Results!T353</f>
        <v>61.773071109999997</v>
      </c>
      <c r="R240" s="5">
        <f>[1]Results!U353</f>
        <v>61.956237260000002</v>
      </c>
      <c r="S240" s="5">
        <f>[1]Results!V353</f>
        <v>62.167114179999999</v>
      </c>
      <c r="T240" s="5">
        <f>[1]Results!W353</f>
        <v>62.387704169999999</v>
      </c>
      <c r="U240" s="5">
        <f>[1]Results!X353</f>
        <v>62.612347849999999</v>
      </c>
      <c r="V240" s="5">
        <f>[1]Results!Y353</f>
        <v>62.840838189999999</v>
      </c>
      <c r="W240" s="5">
        <f>[1]Results!Z353</f>
        <v>63.058136879999999</v>
      </c>
      <c r="X240" s="5">
        <f>[1]Results!AA353</f>
        <v>63.29366461</v>
      </c>
      <c r="Y240" s="5">
        <f>[1]Results!AB353</f>
        <v>63.542131849999997</v>
      </c>
      <c r="Z240" s="5">
        <f>[1]Results!AC353</f>
        <v>63.802809230000001</v>
      </c>
      <c r="AA240" s="5">
        <f>[1]Results!AD353</f>
        <v>64.077623110000005</v>
      </c>
      <c r="AB240" s="5">
        <f>[1]Results!AE353</f>
        <v>64.321485139999993</v>
      </c>
      <c r="AC240" s="5">
        <f>[1]Results!AF353</f>
        <v>64.587884439999996</v>
      </c>
      <c r="AD240" s="5">
        <f>[1]Results!AG353</f>
        <v>64.879034840000003</v>
      </c>
      <c r="AE240" s="5">
        <f>[1]Results!AH353</f>
        <v>65.198975230000002</v>
      </c>
      <c r="AF240" s="5">
        <f>[1]Results!AI353</f>
        <v>65.552790189999996</v>
      </c>
      <c r="AG240" s="5">
        <f>[1]Results!AJ353</f>
        <v>65.945512359999995</v>
      </c>
      <c r="AH240" s="5">
        <f>[1]Results!AK353</f>
        <v>66.381396460000005</v>
      </c>
      <c r="AI240" s="5">
        <f>[1]Results!AL353</f>
        <v>66.864045989999994</v>
      </c>
      <c r="AJ240" s="5">
        <f>[1]Results!AM353</f>
        <v>67.39809984</v>
      </c>
      <c r="AK240" s="5">
        <f>[1]Results!AN353</f>
        <v>67.989633769999998</v>
      </c>
      <c r="AL240" s="5">
        <f>[1]Results!AO353</f>
        <v>68.6471047</v>
      </c>
    </row>
    <row r="241" spans="1:38" x14ac:dyDescent="0.35">
      <c r="B241" t="s">
        <v>45</v>
      </c>
      <c r="C241" s="5">
        <f>[1]Results!F354</f>
        <v>42.52087745</v>
      </c>
      <c r="D241" s="5">
        <f>[1]Results!G354</f>
        <v>42.468610079999998</v>
      </c>
      <c r="E241" s="5">
        <f>[1]Results!H354</f>
        <v>42.172304869999998</v>
      </c>
      <c r="F241" s="5">
        <f>[1]Results!I354</f>
        <v>41.794756509999999</v>
      </c>
      <c r="G241" s="5">
        <f>[1]Results!J354</f>
        <v>41.570397149999998</v>
      </c>
      <c r="H241" s="5">
        <f>[1]Results!K354</f>
        <v>41.448223749999997</v>
      </c>
      <c r="I241" s="5">
        <f>[1]Results!L354</f>
        <v>41.250308220000001</v>
      </c>
      <c r="J241" s="5">
        <f>[1]Results!M354</f>
        <v>40.585188760000001</v>
      </c>
      <c r="K241" s="5">
        <f>[1]Results!N354</f>
        <v>39.993955630000002</v>
      </c>
      <c r="L241" s="5">
        <f>[1]Results!O354</f>
        <v>39.49964808</v>
      </c>
      <c r="M241" s="5">
        <f>[1]Results!P354</f>
        <v>39.126803539999997</v>
      </c>
      <c r="N241" s="5">
        <f>[1]Results!Q354</f>
        <v>38.89085386</v>
      </c>
      <c r="O241" s="5">
        <f>[1]Results!R354</f>
        <v>38.74970107</v>
      </c>
      <c r="P241" s="5">
        <f>[1]Results!S354</f>
        <v>38.672421290000003</v>
      </c>
      <c r="Q241" s="5">
        <f>[1]Results!T354</f>
        <v>38.635439249999997</v>
      </c>
      <c r="R241" s="5">
        <f>[1]Results!U354</f>
        <v>38.622242139999997</v>
      </c>
      <c r="S241" s="5">
        <f>[1]Results!V354</f>
        <v>38.658378520000007</v>
      </c>
      <c r="T241" s="5">
        <f>[1]Results!W354</f>
        <v>38.72096681</v>
      </c>
      <c r="U241" s="5">
        <f>[1]Results!X354</f>
        <v>38.800278179999999</v>
      </c>
      <c r="V241" s="5">
        <f>[1]Results!Y354</f>
        <v>38.893203210000003</v>
      </c>
      <c r="W241" s="5">
        <f>[1]Results!Z354</f>
        <v>38.984709340000002</v>
      </c>
      <c r="X241" s="5">
        <f>[1]Results!AA354</f>
        <v>39.098596200000003</v>
      </c>
      <c r="Y241" s="5">
        <f>[1]Results!AB354</f>
        <v>39.226857170000002</v>
      </c>
      <c r="Z241" s="5">
        <f>[1]Results!AC354</f>
        <v>39.365603350000001</v>
      </c>
      <c r="AA241" s="5">
        <f>[1]Results!AD354</f>
        <v>39.513994109999999</v>
      </c>
      <c r="AB241" s="5">
        <f>[1]Results!AE354</f>
        <v>39.631323739999999</v>
      </c>
      <c r="AC241" s="5">
        <f>[1]Results!AF354</f>
        <v>39.764222359999998</v>
      </c>
      <c r="AD241" s="5">
        <f>[1]Results!AG354</f>
        <v>39.912714000000001</v>
      </c>
      <c r="AE241" s="5">
        <f>[1]Results!AH354</f>
        <v>40.077693500000002</v>
      </c>
      <c r="AF241" s="5">
        <f>[1]Results!AI354</f>
        <v>40.261194630000006</v>
      </c>
      <c r="AG241" s="5">
        <f>[1]Results!AJ354</f>
        <v>40.466435990000001</v>
      </c>
      <c r="AH241" s="5">
        <f>[1]Results!AK354</f>
        <v>40.697362229999996</v>
      </c>
      <c r="AI241" s="5">
        <f>[1]Results!AL354</f>
        <v>40.958267849999999</v>
      </c>
      <c r="AJ241" s="5">
        <f>[1]Results!AM354</f>
        <v>41.254739189999995</v>
      </c>
      <c r="AK241" s="5">
        <f>[1]Results!AN354</f>
        <v>41.594044650000001</v>
      </c>
      <c r="AL241" s="5">
        <f>[1]Results!AO354</f>
        <v>41.98618252</v>
      </c>
    </row>
    <row r="242" spans="1:38" x14ac:dyDescent="0.35">
      <c r="B242" t="s">
        <v>46</v>
      </c>
      <c r="C242" s="5">
        <f>[1]Results!F362</f>
        <v>21.78056273</v>
      </c>
      <c r="D242" s="5">
        <f>[1]Results!G362</f>
        <v>21.490664819999999</v>
      </c>
      <c r="E242" s="5">
        <f>[1]Results!H362</f>
        <v>21.363030569999999</v>
      </c>
      <c r="F242" s="5">
        <f>[1]Results!I362</f>
        <v>21.34528894</v>
      </c>
      <c r="G242" s="5">
        <f>[1]Results!J362</f>
        <v>21.419639829999998</v>
      </c>
      <c r="H242" s="5">
        <f>[1]Results!K362</f>
        <v>21.560380640000002</v>
      </c>
      <c r="I242" s="5">
        <f>[1]Results!L362</f>
        <v>21.73665531</v>
      </c>
      <c r="J242" s="5">
        <f>[1]Results!M362</f>
        <v>21.867149619999999</v>
      </c>
      <c r="K242" s="5">
        <f>[1]Results!N362</f>
        <v>21.993064320000002</v>
      </c>
      <c r="L242" s="5">
        <f>[1]Results!O362</f>
        <v>22.134696379999998</v>
      </c>
      <c r="M242" s="5">
        <f>[1]Results!P362</f>
        <v>22.298271399999997</v>
      </c>
      <c r="N242" s="5">
        <f>[1]Results!Q362</f>
        <v>22.494881410000001</v>
      </c>
      <c r="O242" s="5">
        <f>[1]Results!R362</f>
        <v>22.709810280000003</v>
      </c>
      <c r="P242" s="5">
        <f>[1]Results!S362</f>
        <v>22.927576179999999</v>
      </c>
      <c r="Q242" s="5">
        <f>[1]Results!T362</f>
        <v>23.137631859999999</v>
      </c>
      <c r="R242" s="5">
        <f>[1]Results!U362</f>
        <v>23.333995120000001</v>
      </c>
      <c r="S242" s="5">
        <f>[1]Results!V362</f>
        <v>23.508735649999998</v>
      </c>
      <c r="T242" s="5">
        <f>[1]Results!W362</f>
        <v>23.666737359999999</v>
      </c>
      <c r="U242" s="5">
        <f>[1]Results!X362</f>
        <v>23.812069670000003</v>
      </c>
      <c r="V242" s="5">
        <f>[1]Results!Y362</f>
        <v>23.947634989999997</v>
      </c>
      <c r="W242" s="5">
        <f>[1]Results!Z362</f>
        <v>24.073427540000001</v>
      </c>
      <c r="X242" s="5">
        <f>[1]Results!AA362</f>
        <v>24.195068410000001</v>
      </c>
      <c r="Y242" s="5">
        <f>[1]Results!AB362</f>
        <v>24.315274679999998</v>
      </c>
      <c r="Z242" s="5">
        <f>[1]Results!AC362</f>
        <v>24.43720588</v>
      </c>
      <c r="AA242" s="5">
        <f>[1]Results!AD362</f>
        <v>24.563628989999998</v>
      </c>
      <c r="AB242" s="5">
        <f>[1]Results!AE362</f>
        <v>24.690161399999997</v>
      </c>
      <c r="AC242" s="5">
        <f>[1]Results!AF362</f>
        <v>24.823662089999999</v>
      </c>
      <c r="AD242" s="5">
        <f>[1]Results!AG362</f>
        <v>24.966320850000002</v>
      </c>
      <c r="AE242" s="5">
        <f>[1]Results!AH362</f>
        <v>25.12128173</v>
      </c>
      <c r="AF242" s="5">
        <f>[1]Results!AI362</f>
        <v>25.291595559999998</v>
      </c>
      <c r="AG242" s="5">
        <f>[1]Results!AJ362</f>
        <v>25.479076370000001</v>
      </c>
      <c r="AH242" s="5">
        <f>[1]Results!AK362</f>
        <v>25.684034230000002</v>
      </c>
      <c r="AI242" s="5">
        <f>[1]Results!AL362</f>
        <v>25.905778139999999</v>
      </c>
      <c r="AJ242" s="5">
        <f>[1]Results!AM362</f>
        <v>26.143360649999998</v>
      </c>
      <c r="AK242" s="5">
        <f>[1]Results!AN362</f>
        <v>26.39558912</v>
      </c>
      <c r="AL242" s="5">
        <f>[1]Results!AO362</f>
        <v>26.66092218</v>
      </c>
    </row>
    <row r="244" spans="1:38" x14ac:dyDescent="0.35">
      <c r="A244" s="12" t="s">
        <v>43</v>
      </c>
      <c r="B244" t="s">
        <v>26</v>
      </c>
      <c r="C244" s="5">
        <f>C245+C246+C247+C248</f>
        <v>97.392837858000007</v>
      </c>
      <c r="D244" s="5">
        <f t="shared" ref="D244:AL244" si="43">D245+D246+D247+D248</f>
        <v>98.636583370000011</v>
      </c>
      <c r="E244" s="5">
        <f t="shared" si="43"/>
        <v>100.06073050699999</v>
      </c>
      <c r="F244" s="5">
        <f t="shared" si="43"/>
        <v>101.507151843</v>
      </c>
      <c r="G244" s="5">
        <f t="shared" si="43"/>
        <v>103.33156462300001</v>
      </c>
      <c r="H244" s="5">
        <f t="shared" si="43"/>
        <v>105.499767095</v>
      </c>
      <c r="I244" s="5">
        <f t="shared" si="43"/>
        <v>107.743715897</v>
      </c>
      <c r="J244" s="5">
        <f t="shared" si="43"/>
        <v>109.99603483999999</v>
      </c>
      <c r="K244" s="5">
        <f t="shared" si="43"/>
        <v>112.242315187</v>
      </c>
      <c r="L244" s="5">
        <f t="shared" si="43"/>
        <v>114.480908828</v>
      </c>
      <c r="M244" s="5">
        <f t="shared" si="43"/>
        <v>116.64399283100001</v>
      </c>
      <c r="N244" s="5">
        <f t="shared" si="43"/>
        <v>118.340313744</v>
      </c>
      <c r="O244" s="5">
        <f t="shared" si="43"/>
        <v>119.64560645499998</v>
      </c>
      <c r="P244" s="5">
        <f t="shared" si="43"/>
        <v>120.648791313</v>
      </c>
      <c r="Q244" s="5">
        <f t="shared" si="43"/>
        <v>121.454752809</v>
      </c>
      <c r="R244" s="5">
        <f t="shared" si="43"/>
        <v>122.16394863799999</v>
      </c>
      <c r="S244" s="5">
        <f t="shared" si="43"/>
        <v>122.99535135400001</v>
      </c>
      <c r="T244" s="5">
        <f t="shared" si="43"/>
        <v>124.032893657</v>
      </c>
      <c r="U244" s="5">
        <f t="shared" si="43"/>
        <v>125.329980158</v>
      </c>
      <c r="V244" s="5">
        <f t="shared" si="43"/>
        <v>126.913617347</v>
      </c>
      <c r="W244" s="5">
        <f t="shared" si="43"/>
        <v>128.77753946299998</v>
      </c>
      <c r="X244" s="5">
        <f t="shared" si="43"/>
        <v>130.973774929</v>
      </c>
      <c r="Y244" s="5">
        <f t="shared" si="43"/>
        <v>133.51824206500001</v>
      </c>
      <c r="Z244" s="5">
        <f t="shared" si="43"/>
        <v>136.422917805</v>
      </c>
      <c r="AA244" s="5">
        <f t="shared" si="43"/>
        <v>139.68685483200002</v>
      </c>
      <c r="AB244" s="5">
        <f t="shared" si="43"/>
        <v>143.23239653900001</v>
      </c>
      <c r="AC244" s="5">
        <f t="shared" si="43"/>
        <v>147.133997878</v>
      </c>
      <c r="AD244" s="5">
        <f t="shared" si="43"/>
        <v>151.40194035499999</v>
      </c>
      <c r="AE244" s="5">
        <f t="shared" si="43"/>
        <v>156.03403098800001</v>
      </c>
      <c r="AF244" s="5">
        <f t="shared" si="43"/>
        <v>160.98323074300001</v>
      </c>
      <c r="AG244" s="5">
        <f t="shared" si="43"/>
        <v>166.17895704200001</v>
      </c>
      <c r="AH244" s="5">
        <f t="shared" si="43"/>
        <v>171.55441417700001</v>
      </c>
      <c r="AI244" s="5">
        <f t="shared" si="43"/>
        <v>177.05292763399999</v>
      </c>
      <c r="AJ244" s="5">
        <f t="shared" si="43"/>
        <v>182.62211435199998</v>
      </c>
      <c r="AK244" s="5">
        <f t="shared" si="43"/>
        <v>188.21113157399998</v>
      </c>
      <c r="AL244" s="5">
        <f t="shared" si="43"/>
        <v>193.76966118999999</v>
      </c>
    </row>
    <row r="245" spans="1:38" x14ac:dyDescent="0.35">
      <c r="A245" t="s">
        <v>38</v>
      </c>
      <c r="B245" t="s">
        <v>7</v>
      </c>
      <c r="C245" s="5">
        <f>[1]Results!F439</f>
        <v>4.8754571579999997</v>
      </c>
      <c r="D245" s="5">
        <f>[1]Results!G439</f>
        <v>4.9299593000000002</v>
      </c>
      <c r="E245" s="5">
        <f>[1]Results!H439</f>
        <v>4.9964905269999997</v>
      </c>
      <c r="F245" s="5">
        <f>[1]Results!I439</f>
        <v>5.0712299329999997</v>
      </c>
      <c r="G245" s="5">
        <f>[1]Results!J439</f>
        <v>5.1668337930000003</v>
      </c>
      <c r="H245" s="5">
        <f>[1]Results!K439</f>
        <v>5.281485215</v>
      </c>
      <c r="I245" s="5">
        <f>[1]Results!L439</f>
        <v>5.4055295470000004</v>
      </c>
      <c r="J245" s="5">
        <f>[1]Results!M439</f>
        <v>5.5333331799999996</v>
      </c>
      <c r="K245" s="5">
        <f>[1]Results!N439</f>
        <v>5.662699667</v>
      </c>
      <c r="L245" s="5">
        <f>[1]Results!O439</f>
        <v>5.7927463179999998</v>
      </c>
      <c r="M245" s="5">
        <f>[1]Results!P439</f>
        <v>5.9201463209999998</v>
      </c>
      <c r="N245" s="5">
        <f>[1]Results!Q439</f>
        <v>6.0271029540000001</v>
      </c>
      <c r="O245" s="5">
        <f>[1]Results!R439</f>
        <v>6.1146784649999999</v>
      </c>
      <c r="P245" s="5">
        <f>[1]Results!S439</f>
        <v>6.185561023</v>
      </c>
      <c r="Q245" s="5">
        <f>[1]Results!T439</f>
        <v>6.2437314989999999</v>
      </c>
      <c r="R245" s="5">
        <f>[1]Results!U439</f>
        <v>6.2935435379999998</v>
      </c>
      <c r="S245" s="5">
        <f>[1]Results!V439</f>
        <v>6.3436249739999999</v>
      </c>
      <c r="T245" s="5">
        <f>[1]Results!W439</f>
        <v>6.3998760770000001</v>
      </c>
      <c r="U245" s="5">
        <f>[1]Results!X439</f>
        <v>6.4660822680000001</v>
      </c>
      <c r="V245" s="5">
        <f>[1]Results!Y439</f>
        <v>6.5443416870000002</v>
      </c>
      <c r="W245" s="5">
        <f>[1]Results!Z439</f>
        <v>6.6348661829999998</v>
      </c>
      <c r="X245" s="5">
        <f>[1]Results!AA439</f>
        <v>6.7403248790000001</v>
      </c>
      <c r="Y245" s="5">
        <f>[1]Results!AB439</f>
        <v>6.8622473749999999</v>
      </c>
      <c r="Z245" s="5">
        <f>[1]Results!AC439</f>
        <v>7.0016431150000003</v>
      </c>
      <c r="AA245" s="5">
        <f>[1]Results!AD439</f>
        <v>7.1588298019999996</v>
      </c>
      <c r="AB245" s="5">
        <f>[1]Results!AE439</f>
        <v>7.3303283590000001</v>
      </c>
      <c r="AC245" s="5">
        <f>[1]Results!AF439</f>
        <v>7.519100978</v>
      </c>
      <c r="AD245" s="5">
        <f>[1]Results!AG439</f>
        <v>7.726555845</v>
      </c>
      <c r="AE245" s="5">
        <f>[1]Results!AH439</f>
        <v>7.9531156980000004</v>
      </c>
      <c r="AF245" s="5">
        <f>[1]Results!AI439</f>
        <v>8.1971185930000008</v>
      </c>
      <c r="AG245" s="5">
        <f>[1]Results!AJ439</f>
        <v>8.4556006719999992</v>
      </c>
      <c r="AH245" s="5">
        <f>[1]Results!AK439</f>
        <v>8.7254633570000006</v>
      </c>
      <c r="AI245" s="5">
        <f>[1]Results!AL439</f>
        <v>9.0038258039999999</v>
      </c>
      <c r="AJ245" s="5">
        <f>[1]Results!AM439</f>
        <v>9.2878508919999998</v>
      </c>
      <c r="AK245" s="5">
        <f>[1]Results!AN439</f>
        <v>9.5746775540000009</v>
      </c>
      <c r="AL245" s="5">
        <f>[1]Results!AO439</f>
        <v>9.8614085199999995</v>
      </c>
    </row>
    <row r="246" spans="1:38" x14ac:dyDescent="0.35">
      <c r="B246" t="s">
        <v>30</v>
      </c>
      <c r="C246" s="5">
        <f>[1]Results!F451</f>
        <v>43.906102959999998</v>
      </c>
      <c r="D246" s="5">
        <f>[1]Results!G451</f>
        <v>44.522432469999998</v>
      </c>
      <c r="E246" s="5">
        <f>[1]Results!H451</f>
        <v>45.219160469999998</v>
      </c>
      <c r="F246" s="5">
        <f>[1]Results!I451</f>
        <v>45.903144609999998</v>
      </c>
      <c r="G246" s="5">
        <f>[1]Results!J451</f>
        <v>46.772914370000002</v>
      </c>
      <c r="H246" s="5">
        <f>[1]Results!K451</f>
        <v>47.814313550000001</v>
      </c>
      <c r="I246" s="5">
        <f>[1]Results!L451</f>
        <v>48.881728010000003</v>
      </c>
      <c r="J246" s="5">
        <f>[1]Results!M451</f>
        <v>49.938004319999997</v>
      </c>
      <c r="K246" s="5">
        <f>[1]Results!N451</f>
        <v>50.978221670000003</v>
      </c>
      <c r="L246" s="5">
        <f>[1]Results!O451</f>
        <v>52.004582970000001</v>
      </c>
      <c r="M246" s="5">
        <f>[1]Results!P451</f>
        <v>52.969282509999999</v>
      </c>
      <c r="N246" s="5">
        <f>[1]Results!Q451</f>
        <v>53.668895050000003</v>
      </c>
      <c r="O246" s="5">
        <f>[1]Results!R451</f>
        <v>54.157355639999999</v>
      </c>
      <c r="P246" s="5">
        <f>[1]Results!S451</f>
        <v>54.492956229999997</v>
      </c>
      <c r="Q246" s="5">
        <f>[1]Results!T451</f>
        <v>54.738887609999999</v>
      </c>
      <c r="R246" s="5">
        <f>[1]Results!U451</f>
        <v>54.95164218</v>
      </c>
      <c r="S246" s="5">
        <f>[1]Results!V451</f>
        <v>55.254106800000002</v>
      </c>
      <c r="T246" s="5">
        <f>[1]Results!W451</f>
        <v>55.68816219</v>
      </c>
      <c r="U246" s="5">
        <f>[1]Results!X451</f>
        <v>56.277661289999998</v>
      </c>
      <c r="V246" s="5">
        <f>[1]Results!Y451</f>
        <v>57.031614810000001</v>
      </c>
      <c r="W246" s="5">
        <f>[1]Results!Z451</f>
        <v>57.948571270000002</v>
      </c>
      <c r="X246" s="5">
        <f>[1]Results!AA451</f>
        <v>59.041087619999999</v>
      </c>
      <c r="Y246" s="5">
        <f>[1]Results!AB451</f>
        <v>60.317030350000003</v>
      </c>
      <c r="Z246" s="5">
        <f>[1]Results!AC451</f>
        <v>61.780161</v>
      </c>
      <c r="AA246" s="5">
        <f>[1]Results!AD451</f>
        <v>63.427158040000002</v>
      </c>
      <c r="AB246" s="5">
        <f>[1]Results!AE451</f>
        <v>65.234237829999998</v>
      </c>
      <c r="AC246" s="5">
        <f>[1]Results!AF451</f>
        <v>67.218620439999995</v>
      </c>
      <c r="AD246" s="5">
        <f>[1]Results!AG451</f>
        <v>69.388499409999994</v>
      </c>
      <c r="AE246" s="5">
        <f>[1]Results!AH451</f>
        <v>71.742256319999996</v>
      </c>
      <c r="AF246" s="5">
        <f>[1]Results!AI451</f>
        <v>74.252748569999994</v>
      </c>
      <c r="AG246" s="5">
        <f>[1]Results!AJ451</f>
        <v>76.880994169999994</v>
      </c>
      <c r="AH246" s="5">
        <f>[1]Results!AK451</f>
        <v>79.591942009999997</v>
      </c>
      <c r="AI246" s="5">
        <f>[1]Results!AL451</f>
        <v>82.357328089999996</v>
      </c>
      <c r="AJ246" s="5">
        <f>[1]Results!AM451</f>
        <v>85.151603829999999</v>
      </c>
      <c r="AK246" s="5">
        <f>[1]Results!AN451</f>
        <v>87.950013970000001</v>
      </c>
      <c r="AL246" s="5">
        <f>[1]Results!AO451</f>
        <v>90.727871329999999</v>
      </c>
    </row>
    <row r="247" spans="1:38" x14ac:dyDescent="0.35">
      <c r="B247" t="s">
        <v>28</v>
      </c>
      <c r="C247" s="5">
        <f>[1]Results!F427</f>
        <v>26.32744194</v>
      </c>
      <c r="D247" s="5">
        <f>[1]Results!G427</f>
        <v>26.790589700000002</v>
      </c>
      <c r="E247" s="5">
        <f>[1]Results!H427</f>
        <v>27.31078303</v>
      </c>
      <c r="F247" s="5">
        <f>[1]Results!I427</f>
        <v>27.862159850000001</v>
      </c>
      <c r="G247" s="5">
        <f>[1]Results!J427</f>
        <v>28.457450470000001</v>
      </c>
      <c r="H247" s="5">
        <f>[1]Results!K427</f>
        <v>29.09552072</v>
      </c>
      <c r="I247" s="5">
        <f>[1]Results!L427</f>
        <v>29.750436780000001</v>
      </c>
      <c r="J247" s="5">
        <f>[1]Results!M427</f>
        <v>30.411312179999999</v>
      </c>
      <c r="K247" s="5">
        <f>[1]Results!N427</f>
        <v>31.07411346</v>
      </c>
      <c r="L247" s="5">
        <f>[1]Results!O427</f>
        <v>31.738609650000001</v>
      </c>
      <c r="M247" s="5">
        <f>[1]Results!P427</f>
        <v>32.389591150000001</v>
      </c>
      <c r="N247" s="5">
        <f>[1]Results!Q427</f>
        <v>32.929769669999999</v>
      </c>
      <c r="O247" s="5">
        <f>[1]Results!R427</f>
        <v>33.379389279999998</v>
      </c>
      <c r="P247" s="5">
        <f>[1]Results!S427</f>
        <v>33.761156630000002</v>
      </c>
      <c r="Q247" s="5">
        <f>[1]Results!T427</f>
        <v>34.100042569999999</v>
      </c>
      <c r="R247" s="5">
        <f>[1]Results!U427</f>
        <v>34.419082979999999</v>
      </c>
      <c r="S247" s="5">
        <f>[1]Results!V427</f>
        <v>34.751636840000003</v>
      </c>
      <c r="T247" s="5">
        <f>[1]Results!W427</f>
        <v>35.121709379999999</v>
      </c>
      <c r="U247" s="5">
        <f>[1]Results!X427</f>
        <v>35.544461220000002</v>
      </c>
      <c r="V247" s="5">
        <f>[1]Results!Y427</f>
        <v>36.02737106</v>
      </c>
      <c r="W247" s="5">
        <f>[1]Results!Z427</f>
        <v>36.56799659</v>
      </c>
      <c r="X247" s="5">
        <f>[1]Results!AA427</f>
        <v>37.181465009999997</v>
      </c>
      <c r="Y247" s="5">
        <f>[1]Results!AB427</f>
        <v>37.872089090000003</v>
      </c>
      <c r="Z247" s="5">
        <f>[1]Results!AC427</f>
        <v>38.642661169999997</v>
      </c>
      <c r="AA247" s="5">
        <f>[1]Results!AD427</f>
        <v>39.492142880000003</v>
      </c>
      <c r="AB247" s="5">
        <f>[1]Results!AE427</f>
        <v>40.396494480000001</v>
      </c>
      <c r="AC247" s="5">
        <f>[1]Results!AF427</f>
        <v>41.376978000000001</v>
      </c>
      <c r="AD247" s="5">
        <f>[1]Results!AG427</f>
        <v>42.436673200000001</v>
      </c>
      <c r="AE247" s="5">
        <f>[1]Results!AH427</f>
        <v>43.575388179999997</v>
      </c>
      <c r="AF247" s="5">
        <f>[1]Results!AI427</f>
        <v>44.782351069999997</v>
      </c>
      <c r="AG247" s="5">
        <f>[1]Results!AJ427</f>
        <v>46.041195109999997</v>
      </c>
      <c r="AH247" s="5">
        <f>[1]Results!AK427</f>
        <v>47.336889470000003</v>
      </c>
      <c r="AI247" s="5">
        <f>[1]Results!AL427</f>
        <v>48.657268209999998</v>
      </c>
      <c r="AJ247" s="5">
        <f>[1]Results!AM427</f>
        <v>49.991442280000001</v>
      </c>
      <c r="AK247" s="5">
        <f>[1]Results!AN427</f>
        <v>51.329051479999997</v>
      </c>
      <c r="AL247" s="5">
        <f>[1]Results!AO427</f>
        <v>52.659957120000001</v>
      </c>
    </row>
    <row r="248" spans="1:38" x14ac:dyDescent="0.35">
      <c r="B248" t="s">
        <v>10</v>
      </c>
      <c r="C248" s="5">
        <f>[1]Results!F463</f>
        <v>22.283835799999999</v>
      </c>
      <c r="D248" s="5">
        <f>[1]Results!G463</f>
        <v>22.3936019</v>
      </c>
      <c r="E248" s="5">
        <f>[1]Results!H463</f>
        <v>22.534296479999998</v>
      </c>
      <c r="F248" s="5">
        <f>[1]Results!I463</f>
        <v>22.670617450000002</v>
      </c>
      <c r="G248" s="5">
        <f>[1]Results!J463</f>
        <v>22.93436599</v>
      </c>
      <c r="H248" s="5">
        <f>[1]Results!K463</f>
        <v>23.308447610000002</v>
      </c>
      <c r="I248" s="5">
        <f>[1]Results!L463</f>
        <v>23.70602156</v>
      </c>
      <c r="J248" s="5">
        <f>[1]Results!M463</f>
        <v>24.11338516</v>
      </c>
      <c r="K248" s="5">
        <f>[1]Results!N463</f>
        <v>24.527280390000001</v>
      </c>
      <c r="L248" s="5">
        <f>[1]Results!O463</f>
        <v>24.944969889999999</v>
      </c>
      <c r="M248" s="5">
        <f>[1]Results!P463</f>
        <v>25.364972850000001</v>
      </c>
      <c r="N248" s="5">
        <f>[1]Results!Q463</f>
        <v>25.714546070000001</v>
      </c>
      <c r="O248" s="5">
        <f>[1]Results!R463</f>
        <v>25.994183069999998</v>
      </c>
      <c r="P248" s="5">
        <f>[1]Results!S463</f>
        <v>26.209117429999999</v>
      </c>
      <c r="Q248" s="5">
        <f>[1]Results!T463</f>
        <v>26.372091130000001</v>
      </c>
      <c r="R248" s="5">
        <f>[1]Results!U463</f>
        <v>26.49967994</v>
      </c>
      <c r="S248" s="5">
        <f>[1]Results!V463</f>
        <v>26.645982740000001</v>
      </c>
      <c r="T248" s="5">
        <f>[1]Results!W463</f>
        <v>26.823146009999999</v>
      </c>
      <c r="U248" s="5">
        <f>[1]Results!X463</f>
        <v>27.041775380000001</v>
      </c>
      <c r="V248" s="5">
        <f>[1]Results!Y463</f>
        <v>27.310289789999999</v>
      </c>
      <c r="W248" s="5">
        <f>[1]Results!Z463</f>
        <v>27.626105419999998</v>
      </c>
      <c r="X248" s="5">
        <f>[1]Results!AA463</f>
        <v>28.010897419999999</v>
      </c>
      <c r="Y248" s="5">
        <f>[1]Results!AB463</f>
        <v>28.466875250000001</v>
      </c>
      <c r="Z248" s="5">
        <f>[1]Results!AC463</f>
        <v>28.998452520000001</v>
      </c>
      <c r="AA248" s="5">
        <f>[1]Results!AD463</f>
        <v>29.608724110000001</v>
      </c>
      <c r="AB248" s="5">
        <f>[1]Results!AE463</f>
        <v>30.271335870000001</v>
      </c>
      <c r="AC248" s="5">
        <f>[1]Results!AF463</f>
        <v>31.019298460000002</v>
      </c>
      <c r="AD248" s="5">
        <f>[1]Results!AG463</f>
        <v>31.850211900000001</v>
      </c>
      <c r="AE248" s="5">
        <f>[1]Results!AH463</f>
        <v>32.76327079</v>
      </c>
      <c r="AF248" s="5">
        <f>[1]Results!AI463</f>
        <v>33.751012510000002</v>
      </c>
      <c r="AG248" s="5">
        <f>[1]Results!AJ463</f>
        <v>34.80116709</v>
      </c>
      <c r="AH248" s="5">
        <f>[1]Results!AK463</f>
        <v>35.900119340000003</v>
      </c>
      <c r="AI248" s="5">
        <f>[1]Results!AL463</f>
        <v>37.034505529999997</v>
      </c>
      <c r="AJ248" s="5">
        <f>[1]Results!AM463</f>
        <v>38.191217350000002</v>
      </c>
      <c r="AK248" s="5">
        <f>[1]Results!AN463</f>
        <v>39.357388569999998</v>
      </c>
      <c r="AL248" s="5">
        <f>[1]Results!AO463</f>
        <v>40.520424220000002</v>
      </c>
    </row>
    <row r="249" spans="1:38" x14ac:dyDescent="0.35">
      <c r="B249" t="s">
        <v>25</v>
      </c>
      <c r="C249" s="5">
        <f>[1]Results!F414</f>
        <v>64.301440170000006</v>
      </c>
      <c r="D249" s="5">
        <f>[1]Results!G414</f>
        <v>63.959274999999998</v>
      </c>
      <c r="E249" s="5">
        <f>[1]Results!H414</f>
        <v>63.535335609999997</v>
      </c>
      <c r="F249" s="5">
        <f>[1]Results!I414</f>
        <v>63.14004568</v>
      </c>
      <c r="G249" s="5">
        <f>[1]Results!J414</f>
        <v>62.990037229999999</v>
      </c>
      <c r="H249" s="5">
        <f>[1]Results!K414</f>
        <v>63.008604640000001</v>
      </c>
      <c r="I249" s="5">
        <f>[1]Results!L414</f>
        <v>62.986963770000003</v>
      </c>
      <c r="J249" s="5">
        <f>[1]Results!M414</f>
        <v>62.951802499999999</v>
      </c>
      <c r="K249" s="5">
        <f>[1]Results!N414</f>
        <v>62.926951080000002</v>
      </c>
      <c r="L249" s="5">
        <f>[1]Results!O414</f>
        <v>62.921980329999997</v>
      </c>
      <c r="M249" s="5">
        <f>[1]Results!P414</f>
        <v>62.966428620000002</v>
      </c>
      <c r="N249" s="5">
        <f>[1]Results!Q414</f>
        <v>63.014464709999999</v>
      </c>
      <c r="O249" s="5">
        <f>[1]Results!R414</f>
        <v>63.066609339999999</v>
      </c>
      <c r="P249" s="5">
        <f>[1]Results!S414</f>
        <v>63.119659470000002</v>
      </c>
      <c r="Q249" s="5">
        <f>[1]Results!T414</f>
        <v>63.168063009999997</v>
      </c>
      <c r="R249" s="5">
        <f>[1]Results!U414</f>
        <v>63.206469179999999</v>
      </c>
      <c r="S249" s="5">
        <f>[1]Results!V414</f>
        <v>63.321667339999998</v>
      </c>
      <c r="T249" s="5">
        <f>[1]Results!W414</f>
        <v>63.474355060000001</v>
      </c>
      <c r="U249" s="5">
        <f>[1]Results!X414</f>
        <v>63.648251520000002</v>
      </c>
      <c r="V249" s="5">
        <f>[1]Results!Y414</f>
        <v>63.828812759999998</v>
      </c>
      <c r="W249" s="5">
        <f>[1]Results!Z414</f>
        <v>63.989376550000003</v>
      </c>
      <c r="X249" s="5">
        <f>[1]Results!AA414</f>
        <v>64.153487580000004</v>
      </c>
      <c r="Y249" s="5">
        <f>[1]Results!AB414</f>
        <v>64.316103389999995</v>
      </c>
      <c r="Z249" s="5">
        <f>[1]Results!AC414</f>
        <v>64.47681944</v>
      </c>
      <c r="AA249" s="5">
        <f>[1]Results!AD414</f>
        <v>64.636800050000005</v>
      </c>
      <c r="AB249" s="5">
        <f>[1]Results!AE414</f>
        <v>64.751569779999997</v>
      </c>
      <c r="AC249" s="5">
        <f>[1]Results!AF414</f>
        <v>64.875775070000003</v>
      </c>
      <c r="AD249" s="5">
        <f>[1]Results!AG414</f>
        <v>65.011964969999994</v>
      </c>
      <c r="AE249" s="5">
        <f>[1]Results!AH414</f>
        <v>65.163461380000001</v>
      </c>
      <c r="AF249" s="5">
        <f>[1]Results!AI414</f>
        <v>65.333973040000004</v>
      </c>
      <c r="AG249" s="5">
        <f>[1]Results!AJ414</f>
        <v>65.526093270000004</v>
      </c>
      <c r="AH249" s="5">
        <f>[1]Results!AK414</f>
        <v>65.740739399999995</v>
      </c>
      <c r="AI249" s="5">
        <f>[1]Results!AL414</f>
        <v>65.975677450000006</v>
      </c>
      <c r="AJ249" s="5">
        <f>[1]Results!AM414</f>
        <v>66.227973849999998</v>
      </c>
      <c r="AK249" s="5">
        <f>[1]Results!AN414</f>
        <v>66.494305879999999</v>
      </c>
      <c r="AL249" s="5">
        <f>[1]Results!AO414</f>
        <v>66.77089325</v>
      </c>
    </row>
    <row r="250" spans="1:38" x14ac:dyDescent="0.35">
      <c r="B250" t="s">
        <v>47</v>
      </c>
      <c r="C250" s="5">
        <f>[1]Results!F415</f>
        <v>42.52087745</v>
      </c>
      <c r="D250" s="5">
        <f>[1]Results!G415</f>
        <v>42.468610179999999</v>
      </c>
      <c r="E250" s="5">
        <f>[1]Results!H415</f>
        <v>42.172305030000004</v>
      </c>
      <c r="F250" s="5">
        <f>[1]Results!I415</f>
        <v>41.794756740000004</v>
      </c>
      <c r="G250" s="5">
        <f>[1]Results!J415</f>
        <v>41.570397399999997</v>
      </c>
      <c r="H250" s="5">
        <f>[1]Results!K415</f>
        <v>41.448224009999997</v>
      </c>
      <c r="I250" s="5">
        <f>[1]Results!L415</f>
        <v>41.250308459999999</v>
      </c>
      <c r="J250" s="5">
        <f>[1]Results!M415</f>
        <v>41.018645509999999</v>
      </c>
      <c r="K250" s="5">
        <f>[1]Results!N415</f>
        <v>40.782834940000001</v>
      </c>
      <c r="L250" s="5">
        <f>[1]Results!O415</f>
        <v>40.555135039999996</v>
      </c>
      <c r="M250" s="5">
        <f>[1]Results!P415</f>
        <v>40.364747890000004</v>
      </c>
      <c r="N250" s="5">
        <f>[1]Results!Q415</f>
        <v>40.177150240000003</v>
      </c>
      <c r="O250" s="5">
        <f>[1]Results!R415</f>
        <v>39.999316239999999</v>
      </c>
      <c r="P250" s="5">
        <f>[1]Results!S415</f>
        <v>39.833517790000002</v>
      </c>
      <c r="Q250" s="5">
        <f>[1]Results!T415</f>
        <v>39.67827733</v>
      </c>
      <c r="R250" s="5">
        <f>[1]Results!U415</f>
        <v>39.530504829999998</v>
      </c>
      <c r="S250" s="5">
        <f>[1]Results!V415</f>
        <v>39.466544450000001</v>
      </c>
      <c r="T250" s="5">
        <f>[1]Results!W415</f>
        <v>39.443664439999999</v>
      </c>
      <c r="U250" s="5">
        <f>[1]Results!X415</f>
        <v>39.445675119999997</v>
      </c>
      <c r="V250" s="5">
        <f>[1]Results!Y415</f>
        <v>39.45858398</v>
      </c>
      <c r="W250" s="5">
        <f>[1]Results!Z415</f>
        <v>39.458069500000001</v>
      </c>
      <c r="X250" s="5">
        <f>[1]Results!AA415</f>
        <v>39.463365920000001</v>
      </c>
      <c r="Y250" s="5">
        <f>[1]Results!AB415</f>
        <v>39.467378289999999</v>
      </c>
      <c r="Z250" s="5">
        <f>[1]Results!AC415</f>
        <v>39.467122270000004</v>
      </c>
      <c r="AA250" s="5">
        <f>[1]Results!AD415</f>
        <v>39.461443889999998</v>
      </c>
      <c r="AB250" s="5">
        <f>[1]Results!AE415</f>
        <v>39.410571659999995</v>
      </c>
      <c r="AC250" s="5">
        <f>[1]Results!AF415</f>
        <v>39.361853609999997</v>
      </c>
      <c r="AD250" s="5">
        <f>[1]Results!AG415</f>
        <v>39.315087979999994</v>
      </c>
      <c r="AE250" s="5">
        <f>[1]Results!AH415</f>
        <v>39.270769479999998</v>
      </c>
      <c r="AF250" s="5">
        <f>[1]Results!AI415</f>
        <v>39.230156630000003</v>
      </c>
      <c r="AG250" s="5">
        <f>[1]Results!AJ415</f>
        <v>39.194645770000001</v>
      </c>
      <c r="AH250" s="5">
        <f>[1]Results!AK415</f>
        <v>39.165343310000004</v>
      </c>
      <c r="AI250" s="5">
        <f>[1]Results!AL415</f>
        <v>39.14135684</v>
      </c>
      <c r="AJ250" s="5">
        <f>[1]Results!AM415</f>
        <v>39.121995320000003</v>
      </c>
      <c r="AK250" s="5">
        <f>[1]Results!AN415</f>
        <v>39.106847359999996</v>
      </c>
      <c r="AL250" s="5">
        <f>[1]Results!AO415</f>
        <v>39.095531960000002</v>
      </c>
    </row>
    <row r="251" spans="1:38" x14ac:dyDescent="0.35">
      <c r="B251" t="s">
        <v>48</v>
      </c>
      <c r="C251" s="5">
        <f>[1]Results!F423</f>
        <v>21.78056273</v>
      </c>
      <c r="D251" s="5">
        <f>[1]Results!G423</f>
        <v>21.490664819999999</v>
      </c>
      <c r="E251" s="5">
        <f>[1]Results!H423</f>
        <v>21.363030569999999</v>
      </c>
      <c r="F251" s="5">
        <f>[1]Results!I423</f>
        <v>21.34528894</v>
      </c>
      <c r="G251" s="5">
        <f>[1]Results!J423</f>
        <v>21.419639829999998</v>
      </c>
      <c r="H251" s="5">
        <f>[1]Results!K423</f>
        <v>21.560380640000002</v>
      </c>
      <c r="I251" s="5">
        <f>[1]Results!L423</f>
        <v>21.73665531</v>
      </c>
      <c r="J251" s="5">
        <f>[1]Results!M423</f>
        <v>21.933156989999997</v>
      </c>
      <c r="K251" s="5">
        <f>[1]Results!N423</f>
        <v>22.144116140000001</v>
      </c>
      <c r="L251" s="5">
        <f>[1]Results!O423</f>
        <v>22.366845290000001</v>
      </c>
      <c r="M251" s="5">
        <f>[1]Results!P423</f>
        <v>22.601680719999997</v>
      </c>
      <c r="N251" s="5">
        <f>[1]Results!Q423</f>
        <v>22.837314460000002</v>
      </c>
      <c r="O251" s="5">
        <f>[1]Results!R423</f>
        <v>23.067293100000001</v>
      </c>
      <c r="P251" s="5">
        <f>[1]Results!S423</f>
        <v>23.28614168</v>
      </c>
      <c r="Q251" s="5">
        <f>[1]Results!T423</f>
        <v>23.489785670000003</v>
      </c>
      <c r="R251" s="5">
        <f>[1]Results!U423</f>
        <v>23.675964350000001</v>
      </c>
      <c r="S251" s="5">
        <f>[1]Results!V423</f>
        <v>23.855122899999998</v>
      </c>
      <c r="T251" s="5">
        <f>[1]Results!W423</f>
        <v>24.030690620000001</v>
      </c>
      <c r="U251" s="5">
        <f>[1]Results!X423</f>
        <v>24.202576399999998</v>
      </c>
      <c r="V251" s="5">
        <f>[1]Results!Y423</f>
        <v>24.370228780000001</v>
      </c>
      <c r="W251" s="5">
        <f>[1]Results!Z423</f>
        <v>24.53130706</v>
      </c>
      <c r="X251" s="5">
        <f>[1]Results!AA423</f>
        <v>24.690121659999999</v>
      </c>
      <c r="Y251" s="5">
        <f>[1]Results!AB423</f>
        <v>24.848725100000003</v>
      </c>
      <c r="Z251" s="5">
        <f>[1]Results!AC423</f>
        <v>25.009697160000002</v>
      </c>
      <c r="AA251" s="5">
        <f>[1]Results!AD423</f>
        <v>25.17535616</v>
      </c>
      <c r="AB251" s="5">
        <f>[1]Results!AE423</f>
        <v>25.340998120000002</v>
      </c>
      <c r="AC251" s="5">
        <f>[1]Results!AF423</f>
        <v>25.513921449999998</v>
      </c>
      <c r="AD251" s="5">
        <f>[1]Results!AG423</f>
        <v>25.696876979999999</v>
      </c>
      <c r="AE251" s="5">
        <f>[1]Results!AH423</f>
        <v>25.892691899999999</v>
      </c>
      <c r="AF251" s="5">
        <f>[1]Results!AI423</f>
        <v>26.10381641</v>
      </c>
      <c r="AG251" s="5">
        <f>[1]Results!AJ423</f>
        <v>26.331447499999999</v>
      </c>
      <c r="AH251" s="5">
        <f>[1]Results!AK423</f>
        <v>26.575396089999998</v>
      </c>
      <c r="AI251" s="5">
        <f>[1]Results!AL423</f>
        <v>26.834320609999999</v>
      </c>
      <c r="AJ251" s="5">
        <f>[1]Results!AM423</f>
        <v>27.105978530000002</v>
      </c>
      <c r="AK251" s="5">
        <f>[1]Results!AN423</f>
        <v>27.387458519999999</v>
      </c>
      <c r="AL251" s="5">
        <f>[1]Results!AO423</f>
        <v>27.675361289999998</v>
      </c>
    </row>
    <row r="253" spans="1:3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</row>
    <row r="254" spans="1:38" x14ac:dyDescent="0.35">
      <c r="A254" t="s">
        <v>39</v>
      </c>
      <c r="B254" t="s">
        <v>26</v>
      </c>
      <c r="C254" s="9">
        <f t="shared" ref="C254:AL254" si="44">(C235/C136)/(C244/C125)-1</f>
        <v>-9.781995213842265E-10</v>
      </c>
      <c r="D254" s="9">
        <f t="shared" si="44"/>
        <v>-1.6322545537406086E-9</v>
      </c>
      <c r="E254" s="9">
        <f t="shared" si="44"/>
        <v>-2.5084763155547307E-9</v>
      </c>
      <c r="F254" s="9">
        <f t="shared" si="44"/>
        <v>-3.5662512942735702E-9</v>
      </c>
      <c r="G254" s="9">
        <f t="shared" si="44"/>
        <v>-4.2774925823607646E-9</v>
      </c>
      <c r="H254" s="9">
        <f t="shared" si="44"/>
        <v>-4.8530913732136582E-9</v>
      </c>
      <c r="I254" s="9">
        <f t="shared" si="44"/>
        <v>-5.0397371831323312E-9</v>
      </c>
      <c r="J254" s="9">
        <f t="shared" si="44"/>
        <v>-1.2040661206176417E-2</v>
      </c>
      <c r="K254" s="9">
        <f t="shared" si="44"/>
        <v>-2.6287760286413664E-2</v>
      </c>
      <c r="L254" s="9">
        <f t="shared" si="44"/>
        <v>-3.9522536949380682E-2</v>
      </c>
      <c r="M254" s="9">
        <f t="shared" si="44"/>
        <v>-5.1539711074923278E-2</v>
      </c>
      <c r="N254" s="9">
        <f t="shared" si="44"/>
        <v>-6.1100240362597424E-2</v>
      </c>
      <c r="O254" s="9">
        <f t="shared" si="44"/>
        <v>-6.8840807767731604E-2</v>
      </c>
      <c r="P254" s="9">
        <f t="shared" si="44"/>
        <v>-7.5127194871501102E-2</v>
      </c>
      <c r="Q254" s="9">
        <f t="shared" si="44"/>
        <v>-8.0178708229813767E-2</v>
      </c>
      <c r="R254" s="9">
        <f t="shared" si="44"/>
        <v>-8.423941946804081E-2</v>
      </c>
      <c r="S254" s="9">
        <f t="shared" si="44"/>
        <v>-8.8354348660141024E-2</v>
      </c>
      <c r="T254" s="9">
        <f t="shared" si="44"/>
        <v>-9.2696784386683939E-2</v>
      </c>
      <c r="U254" s="9">
        <f t="shared" si="44"/>
        <v>-9.7209717869365386E-2</v>
      </c>
      <c r="V254" s="9">
        <f t="shared" si="44"/>
        <v>-0.10180332262388192</v>
      </c>
      <c r="W254" s="9">
        <f t="shared" si="44"/>
        <v>-0.10637615347990848</v>
      </c>
      <c r="X254" s="9">
        <f t="shared" si="44"/>
        <v>-0.11080199242305344</v>
      </c>
      <c r="Y254" s="9">
        <f t="shared" si="44"/>
        <v>-0.11498227689112972</v>
      </c>
      <c r="Z254" s="9">
        <f t="shared" si="44"/>
        <v>-0.11887517581867724</v>
      </c>
      <c r="AA254" s="9">
        <f t="shared" si="44"/>
        <v>-0.12245814434439839</v>
      </c>
      <c r="AB254" s="9">
        <f t="shared" si="44"/>
        <v>-0.12571346738690081</v>
      </c>
      <c r="AC254" s="9">
        <f t="shared" si="44"/>
        <v>-0.12857731194140742</v>
      </c>
      <c r="AD254" s="9">
        <f t="shared" si="44"/>
        <v>-0.13084512649028068</v>
      </c>
      <c r="AE254" s="9">
        <f t="shared" si="44"/>
        <v>-0.1324771468574456</v>
      </c>
      <c r="AF254" s="9">
        <f t="shared" si="44"/>
        <v>-0.13345445738012651</v>
      </c>
      <c r="AG254" s="9">
        <f t="shared" si="44"/>
        <v>-0.13373301288638428</v>
      </c>
      <c r="AH254" s="9">
        <f t="shared" si="44"/>
        <v>-0.133196445013124</v>
      </c>
      <c r="AI254" s="9">
        <f t="shared" si="44"/>
        <v>-0.131674987015997</v>
      </c>
      <c r="AJ254" s="9">
        <f t="shared" si="44"/>
        <v>-0.12899304019040025</v>
      </c>
      <c r="AK254" s="9">
        <f t="shared" si="44"/>
        <v>-0.12490635007636608</v>
      </c>
      <c r="AL254" s="9">
        <f t="shared" si="44"/>
        <v>-0.11902429043640483</v>
      </c>
    </row>
    <row r="255" spans="1:38" x14ac:dyDescent="0.35">
      <c r="B255" t="s">
        <v>7</v>
      </c>
      <c r="C255" s="9">
        <f t="shared" ref="C255:AL255" si="45">(C236/C137)/(C245/C126)-1</f>
        <v>0</v>
      </c>
      <c r="D255" s="9">
        <f t="shared" si="45"/>
        <v>-2.0284141033499736E-10</v>
      </c>
      <c r="E255" s="9">
        <f t="shared" si="45"/>
        <v>-2.0014057078299174E-10</v>
      </c>
      <c r="F255" s="9">
        <f t="shared" si="45"/>
        <v>-3.9438152743542787E-10</v>
      </c>
      <c r="G255" s="9">
        <f t="shared" si="45"/>
        <v>-3.870843645614741E-10</v>
      </c>
      <c r="H255" s="9">
        <f t="shared" si="45"/>
        <v>-3.7868130853269122E-10</v>
      </c>
      <c r="I255" s="9">
        <f t="shared" si="45"/>
        <v>-5.5498727835612272E-10</v>
      </c>
      <c r="J255" s="9">
        <f t="shared" si="45"/>
        <v>-8.4348488652998821E-3</v>
      </c>
      <c r="K255" s="9">
        <f t="shared" si="45"/>
        <v>-1.9598352729625068E-2</v>
      </c>
      <c r="L255" s="9">
        <f t="shared" si="45"/>
        <v>-3.1622562543164645E-2</v>
      </c>
      <c r="M255" s="9">
        <f t="shared" si="45"/>
        <v>-4.279987622095982E-2</v>
      </c>
      <c r="N255" s="9">
        <f t="shared" si="45"/>
        <v>-5.1526430101819676E-2</v>
      </c>
      <c r="O255" s="9">
        <f t="shared" si="45"/>
        <v>-5.8173128912904382E-2</v>
      </c>
      <c r="P255" s="9">
        <f t="shared" si="45"/>
        <v>-6.3183054250740889E-2</v>
      </c>
      <c r="Q255" s="9">
        <f t="shared" si="45"/>
        <v>-6.6898243116184974E-2</v>
      </c>
      <c r="R255" s="9">
        <f t="shared" si="45"/>
        <v>-6.9562025821546469E-2</v>
      </c>
      <c r="S255" s="9">
        <f t="shared" si="45"/>
        <v>-7.2152446492872002E-2</v>
      </c>
      <c r="T255" s="9">
        <f t="shared" si="45"/>
        <v>-7.4835092387642854E-2</v>
      </c>
      <c r="U255" s="9">
        <f t="shared" si="45"/>
        <v>-7.7575235154434874E-2</v>
      </c>
      <c r="V255" s="9">
        <f t="shared" si="45"/>
        <v>-8.0267765995621576E-2</v>
      </c>
      <c r="W255" s="9">
        <f t="shared" si="45"/>
        <v>-8.2783950017573438E-2</v>
      </c>
      <c r="X255" s="9">
        <f t="shared" si="45"/>
        <v>-8.4989064345253995E-2</v>
      </c>
      <c r="Y255" s="9">
        <f t="shared" si="45"/>
        <v>-8.6767286010946854E-2</v>
      </c>
      <c r="Z255" s="9">
        <f t="shared" si="45"/>
        <v>-8.8036273218123684E-2</v>
      </c>
      <c r="AA255" s="9">
        <f t="shared" si="45"/>
        <v>-8.8724291312171188E-2</v>
      </c>
      <c r="AB255" s="9">
        <f t="shared" si="45"/>
        <v>-8.8757251933267112E-2</v>
      </c>
      <c r="AC255" s="9">
        <f t="shared" si="45"/>
        <v>-8.8026944573041721E-2</v>
      </c>
      <c r="AD255" s="9">
        <f t="shared" si="45"/>
        <v>-8.6409647487341923E-2</v>
      </c>
      <c r="AE255" s="9">
        <f t="shared" si="45"/>
        <v>-8.3811728615377667E-2</v>
      </c>
      <c r="AF255" s="9">
        <f t="shared" si="45"/>
        <v>-8.0147767227608191E-2</v>
      </c>
      <c r="AG255" s="9">
        <f t="shared" si="45"/>
        <v>-7.5303495272487919E-2</v>
      </c>
      <c r="AH255" s="9">
        <f t="shared" si="45"/>
        <v>-6.9108805384346828E-2</v>
      </c>
      <c r="AI255" s="9">
        <f t="shared" si="45"/>
        <v>-6.1341332497791723E-2</v>
      </c>
      <c r="AJ255" s="9">
        <f t="shared" si="45"/>
        <v>-5.1732791250007404E-2</v>
      </c>
      <c r="AK255" s="9">
        <f t="shared" si="45"/>
        <v>-3.9921325089762538E-2</v>
      </c>
      <c r="AL255" s="9">
        <f t="shared" si="45"/>
        <v>-2.5392137188359309E-2</v>
      </c>
    </row>
    <row r="256" spans="1:38" x14ac:dyDescent="0.35">
      <c r="B256" t="s">
        <v>30</v>
      </c>
      <c r="C256" s="9">
        <f t="shared" ref="C256:AL256" si="46">(C237/C138)/(C246/C127)-1</f>
        <v>-6.853191347744314E-10</v>
      </c>
      <c r="D256" s="9">
        <f t="shared" si="46"/>
        <v>-1.5642513950808734E-9</v>
      </c>
      <c r="E256" s="9">
        <f t="shared" si="46"/>
        <v>-2.6254831642091858E-9</v>
      </c>
      <c r="F256" s="9">
        <f t="shared" si="46"/>
        <v>-3.7509356731746379E-9</v>
      </c>
      <c r="G256" s="9">
        <f t="shared" si="46"/>
        <v>-4.415789622846944E-9</v>
      </c>
      <c r="H256" s="9">
        <f t="shared" si="46"/>
        <v>-5.1205470974480249E-9</v>
      </c>
      <c r="I256" s="9">
        <f t="shared" si="46"/>
        <v>-5.1525028688104157E-9</v>
      </c>
      <c r="J256" s="9">
        <f t="shared" si="46"/>
        <v>-1.3246767995983122E-2</v>
      </c>
      <c r="K256" s="9">
        <f t="shared" si="46"/>
        <v>-2.954452517629147E-2</v>
      </c>
      <c r="L256" s="9">
        <f t="shared" si="46"/>
        <v>-4.5394420976268668E-2</v>
      </c>
      <c r="M256" s="9">
        <f t="shared" si="46"/>
        <v>-5.9632295125754076E-2</v>
      </c>
      <c r="N256" s="9">
        <f t="shared" si="46"/>
        <v>-7.083285501974268E-2</v>
      </c>
      <c r="O256" s="9">
        <f t="shared" si="46"/>
        <v>-7.9725200632651316E-2</v>
      </c>
      <c r="P256" s="9">
        <f t="shared" si="46"/>
        <v>-8.6828531091986183E-2</v>
      </c>
      <c r="Q256" s="9">
        <f t="shared" si="46"/>
        <v>-9.2479309519143849E-2</v>
      </c>
      <c r="R256" s="9">
        <f t="shared" si="46"/>
        <v>-9.6984980797935938E-2</v>
      </c>
      <c r="S256" s="9">
        <f t="shared" si="46"/>
        <v>-0.10146143839408195</v>
      </c>
      <c r="T256" s="9">
        <f t="shared" si="46"/>
        <v>-0.10622928128135412</v>
      </c>
      <c r="U256" s="9">
        <f t="shared" si="46"/>
        <v>-0.11123664361190444</v>
      </c>
      <c r="V256" s="9">
        <f t="shared" si="46"/>
        <v>-0.11638325856656606</v>
      </c>
      <c r="W256" s="9">
        <f t="shared" si="46"/>
        <v>-0.12155405930655949</v>
      </c>
      <c r="X256" s="9">
        <f t="shared" si="46"/>
        <v>-0.12661525729075429</v>
      </c>
      <c r="Y256" s="9">
        <f t="shared" si="46"/>
        <v>-0.13145548900124671</v>
      </c>
      <c r="Z256" s="9">
        <f t="shared" si="46"/>
        <v>-0.13602696082124488</v>
      </c>
      <c r="AA256" s="9">
        <f t="shared" si="46"/>
        <v>-0.14030789196278548</v>
      </c>
      <c r="AB256" s="9">
        <f t="shared" si="46"/>
        <v>-0.14427367495528598</v>
      </c>
      <c r="AC256" s="9">
        <f t="shared" si="46"/>
        <v>-0.14791696880912142</v>
      </c>
      <c r="AD256" s="9">
        <f t="shared" si="46"/>
        <v>-0.15095910916193456</v>
      </c>
      <c r="AE256" s="9">
        <f t="shared" si="46"/>
        <v>-0.15333288193186834</v>
      </c>
      <c r="AF256" s="9">
        <f t="shared" si="46"/>
        <v>-0.15500408441552205</v>
      </c>
      <c r="AG256" s="9">
        <f t="shared" si="46"/>
        <v>-0.15590988469699274</v>
      </c>
      <c r="AH256" s="9">
        <f t="shared" si="46"/>
        <v>-0.15590045933890651</v>
      </c>
      <c r="AI256" s="9">
        <f t="shared" si="46"/>
        <v>-0.15475084538875383</v>
      </c>
      <c r="AJ256" s="9">
        <f t="shared" si="46"/>
        <v>-0.15220664168593234</v>
      </c>
      <c r="AK256" s="9">
        <f t="shared" si="46"/>
        <v>-0.14791178717071307</v>
      </c>
      <c r="AL256" s="9">
        <f t="shared" si="46"/>
        <v>-0.14130307381941742</v>
      </c>
    </row>
    <row r="257" spans="1:38" x14ac:dyDescent="0.35">
      <c r="B257" t="s">
        <v>28</v>
      </c>
      <c r="C257" s="9">
        <f t="shared" ref="C257:AL257" si="47">(C238/C139)/(C247/C128)-1</f>
        <v>0</v>
      </c>
      <c r="D257" s="9">
        <f t="shared" si="47"/>
        <v>0</v>
      </c>
      <c r="E257" s="9">
        <f t="shared" si="47"/>
        <v>0</v>
      </c>
      <c r="F257" s="9">
        <f t="shared" si="47"/>
        <v>7.7467365855454773E-11</v>
      </c>
      <c r="G257" s="9">
        <f t="shared" si="47"/>
        <v>-8.3254847460523251E-11</v>
      </c>
      <c r="H257" s="9">
        <f t="shared" si="47"/>
        <v>7.3890005225507593E-11</v>
      </c>
      <c r="I257" s="9">
        <f t="shared" si="47"/>
        <v>-4.0826486635836545E-10</v>
      </c>
      <c r="J257" s="9">
        <f t="shared" si="47"/>
        <v>-5.0623641469960123E-4</v>
      </c>
      <c r="K257" s="9">
        <f t="shared" si="47"/>
        <v>-2.1511903532152044E-3</v>
      </c>
      <c r="L257" s="9">
        <f t="shared" si="47"/>
        <v>-5.6050334171608984E-3</v>
      </c>
      <c r="M257" s="9">
        <f t="shared" si="47"/>
        <v>-8.7867752901128471E-3</v>
      </c>
      <c r="N257" s="9">
        <f t="shared" si="47"/>
        <v>-1.1634917028397473E-2</v>
      </c>
      <c r="O257" s="9">
        <f t="shared" si="47"/>
        <v>-1.3941415744432195E-2</v>
      </c>
      <c r="P257" s="9">
        <f t="shared" si="47"/>
        <v>-1.5792842048858557E-2</v>
      </c>
      <c r="Q257" s="9">
        <f t="shared" si="47"/>
        <v>-1.7289055965118427E-2</v>
      </c>
      <c r="R257" s="9">
        <f t="shared" si="47"/>
        <v>-1.842171925220093E-2</v>
      </c>
      <c r="S257" s="9">
        <f t="shared" si="47"/>
        <v>-1.9369391152197601E-2</v>
      </c>
      <c r="T257" s="9">
        <f t="shared" si="47"/>
        <v>-2.0262190109203715E-2</v>
      </c>
      <c r="U257" s="9">
        <f t="shared" si="47"/>
        <v>-2.1151262587772224E-2</v>
      </c>
      <c r="V257" s="9">
        <f t="shared" si="47"/>
        <v>-2.2037718582386567E-2</v>
      </c>
      <c r="W257" s="9">
        <f t="shared" si="47"/>
        <v>-2.2912157681226897E-2</v>
      </c>
      <c r="X257" s="9">
        <f t="shared" si="47"/>
        <v>-2.3776768599505727E-2</v>
      </c>
      <c r="Y257" s="9">
        <f t="shared" si="47"/>
        <v>-2.4631776747782164E-2</v>
      </c>
      <c r="Z257" s="9">
        <f t="shared" si="47"/>
        <v>-2.542998899309723E-2</v>
      </c>
      <c r="AA257" s="9">
        <f t="shared" si="47"/>
        <v>-2.6118153381625264E-2</v>
      </c>
      <c r="AB257" s="9">
        <f t="shared" si="47"/>
        <v>-2.6661676869948914E-2</v>
      </c>
      <c r="AC257" s="9">
        <f t="shared" si="47"/>
        <v>-2.7121565424234606E-2</v>
      </c>
      <c r="AD257" s="9">
        <f t="shared" si="47"/>
        <v>-2.7577112219909439E-2</v>
      </c>
      <c r="AE257" s="9">
        <f t="shared" si="47"/>
        <v>-2.7979716251757991E-2</v>
      </c>
      <c r="AF257" s="9">
        <f t="shared" si="47"/>
        <v>-2.8260093847713996E-2</v>
      </c>
      <c r="AG257" s="9">
        <f t="shared" si="47"/>
        <v>-2.8348178270907076E-2</v>
      </c>
      <c r="AH257" s="9">
        <f t="shared" si="47"/>
        <v>-2.8222154973353231E-2</v>
      </c>
      <c r="AI257" s="9">
        <f t="shared" si="47"/>
        <v>-2.7871005025400297E-2</v>
      </c>
      <c r="AJ257" s="9">
        <f t="shared" si="47"/>
        <v>-2.7214751733926623E-2</v>
      </c>
      <c r="AK257" s="9">
        <f t="shared" si="47"/>
        <v>-2.6138312841955447E-2</v>
      </c>
      <c r="AL257" s="9">
        <f t="shared" si="47"/>
        <v>-2.4483509491501576E-2</v>
      </c>
    </row>
    <row r="258" spans="1:38" x14ac:dyDescent="0.35">
      <c r="B258" t="s">
        <v>10</v>
      </c>
      <c r="C258" s="9">
        <f t="shared" ref="C258:AL258" si="48">(C239/C140)/(C248/C129)-1</f>
        <v>-1.7950231301355757E-9</v>
      </c>
      <c r="D258" s="9">
        <f t="shared" si="48"/>
        <v>-4.4415254807361748E-9</v>
      </c>
      <c r="E258" s="9">
        <f t="shared" si="48"/>
        <v>-5.7689840682328963E-9</v>
      </c>
      <c r="F258" s="9">
        <f t="shared" si="48"/>
        <v>-8.7493120526360713E-9</v>
      </c>
      <c r="G258" s="9">
        <f t="shared" si="48"/>
        <v>-1.0028618269153355E-8</v>
      </c>
      <c r="H258" s="9">
        <f t="shared" si="48"/>
        <v>-1.1154754009368162E-8</v>
      </c>
      <c r="I258" s="9">
        <f t="shared" si="48"/>
        <v>-1.1423878287786238E-8</v>
      </c>
      <c r="J258" s="9">
        <f t="shared" si="48"/>
        <v>-1.5804725639724571E-2</v>
      </c>
      <c r="K258" s="9">
        <f t="shared" si="48"/>
        <v>-3.3758048254014406E-2</v>
      </c>
      <c r="L258" s="9">
        <f t="shared" si="48"/>
        <v>-5.1411536048758033E-2</v>
      </c>
      <c r="M258" s="9">
        <f t="shared" si="48"/>
        <v>-6.7195624531784626E-2</v>
      </c>
      <c r="N258" s="9">
        <f t="shared" si="48"/>
        <v>-7.9413440087026554E-2</v>
      </c>
      <c r="O258" s="9">
        <f t="shared" si="48"/>
        <v>-8.8790609507628182E-2</v>
      </c>
      <c r="P258" s="9">
        <f t="shared" si="48"/>
        <v>-9.5927671219874E-2</v>
      </c>
      <c r="Q258" s="9">
        <f t="shared" si="48"/>
        <v>-0.10128896374119167</v>
      </c>
      <c r="R258" s="9">
        <f t="shared" si="48"/>
        <v>-0.1052421188016418</v>
      </c>
      <c r="S258" s="9">
        <f t="shared" si="48"/>
        <v>-0.10932572447343514</v>
      </c>
      <c r="T258" s="9">
        <f t="shared" si="48"/>
        <v>-0.11357581799813099</v>
      </c>
      <c r="U258" s="9">
        <f t="shared" si="48"/>
        <v>-0.11794486639883417</v>
      </c>
      <c r="V258" s="9">
        <f t="shared" si="48"/>
        <v>-0.12233929702125101</v>
      </c>
      <c r="W258" s="9">
        <f t="shared" si="48"/>
        <v>-0.1266320497528084</v>
      </c>
      <c r="X258" s="9">
        <f t="shared" si="48"/>
        <v>-0.13066020398932776</v>
      </c>
      <c r="Y258" s="9">
        <f t="shared" si="48"/>
        <v>-0.13428463780928757</v>
      </c>
      <c r="Z258" s="9">
        <f t="shared" si="48"/>
        <v>-0.1374221901931626</v>
      </c>
      <c r="AA258" s="9">
        <f t="shared" si="48"/>
        <v>-0.14000066745396156</v>
      </c>
      <c r="AB258" s="9">
        <f t="shared" si="48"/>
        <v>-0.14194058365978246</v>
      </c>
      <c r="AC258" s="9">
        <f t="shared" si="48"/>
        <v>-0.14304006084622856</v>
      </c>
      <c r="AD258" s="9">
        <f t="shared" si="48"/>
        <v>-0.14307923201691419</v>
      </c>
      <c r="AE258" s="9">
        <f t="shared" si="48"/>
        <v>-0.1419594498020067</v>
      </c>
      <c r="AF258" s="9">
        <f t="shared" si="48"/>
        <v>-0.13958373480734154</v>
      </c>
      <c r="AG258" s="9">
        <f t="shared" si="48"/>
        <v>-0.13580811967686801</v>
      </c>
      <c r="AH258" s="9">
        <f t="shared" si="48"/>
        <v>-0.13038657337238679</v>
      </c>
      <c r="AI258" s="9">
        <f t="shared" si="48"/>
        <v>-0.12298611845493246</v>
      </c>
      <c r="AJ258" s="9">
        <f t="shared" si="48"/>
        <v>-0.11322372244304513</v>
      </c>
      <c r="AK258" s="9">
        <f t="shared" si="48"/>
        <v>-0.10056617287958802</v>
      </c>
      <c r="AL258" s="9">
        <f t="shared" si="48"/>
        <v>-8.4199798966631101E-2</v>
      </c>
    </row>
    <row r="259" spans="1:38" x14ac:dyDescent="0.35">
      <c r="B259" t="s">
        <v>25</v>
      </c>
      <c r="C259" s="9">
        <f t="shared" ref="C259:AL259" si="49">(C240/C59)/(C249/C58)-1</f>
        <v>0</v>
      </c>
      <c r="D259" s="9">
        <f t="shared" si="49"/>
        <v>-1.5634950001341963E-9</v>
      </c>
      <c r="E259" s="9">
        <f t="shared" si="49"/>
        <v>-2.6756763471524891E-9</v>
      </c>
      <c r="F259" s="9">
        <f t="shared" si="49"/>
        <v>-4.427807231976999E-9</v>
      </c>
      <c r="G259" s="9">
        <f t="shared" si="49"/>
        <v>-4.7355249721547921E-9</v>
      </c>
      <c r="H259" s="9">
        <f t="shared" si="49"/>
        <v>-3.967712047803218E-9</v>
      </c>
      <c r="I259" s="9">
        <f t="shared" si="49"/>
        <v>-3.8103122879107332E-9</v>
      </c>
      <c r="J259" s="9">
        <f t="shared" si="49"/>
        <v>-7.5050771540925432E-3</v>
      </c>
      <c r="K259" s="9">
        <f t="shared" si="49"/>
        <v>-1.3695339841878207E-2</v>
      </c>
      <c r="L259" s="9">
        <f t="shared" si="49"/>
        <v>-1.9800080896986594E-2</v>
      </c>
      <c r="M259" s="9">
        <f t="shared" si="49"/>
        <v>-2.5924657734355039E-2</v>
      </c>
      <c r="N259" s="9">
        <f t="shared" si="49"/>
        <v>-3.0417214671688453E-2</v>
      </c>
      <c r="O259" s="9">
        <f t="shared" si="49"/>
        <v>-3.3901930731230712E-2</v>
      </c>
      <c r="P259" s="9">
        <f t="shared" si="49"/>
        <v>-3.6529383017222083E-2</v>
      </c>
      <c r="Q259" s="9">
        <f t="shared" si="49"/>
        <v>-3.844387589868925E-2</v>
      </c>
      <c r="R259" s="9">
        <f t="shared" si="49"/>
        <v>-3.9786841495770164E-2</v>
      </c>
      <c r="S259" s="9">
        <f t="shared" si="49"/>
        <v>-4.1431366886195309E-2</v>
      </c>
      <c r="T259" s="9">
        <f t="shared" si="49"/>
        <v>-4.292020200590263E-2</v>
      </c>
      <c r="U259" s="9">
        <f t="shared" si="49"/>
        <v>-4.42113165513216E-2</v>
      </c>
      <c r="V259" s="9">
        <f t="shared" si="49"/>
        <v>-4.519630261205454E-2</v>
      </c>
      <c r="W259" s="9">
        <f t="shared" si="49"/>
        <v>-4.5765643599061656E-2</v>
      </c>
      <c r="X259" s="9">
        <f t="shared" si="49"/>
        <v>-4.58128515016899E-2</v>
      </c>
      <c r="Y259" s="9">
        <f t="shared" si="49"/>
        <v>-4.5346429644714914E-2</v>
      </c>
      <c r="Z259" s="9">
        <f t="shared" si="49"/>
        <v>-4.4411186510405321E-2</v>
      </c>
      <c r="AA259" s="9">
        <f t="shared" si="49"/>
        <v>-4.3032398724484722E-2</v>
      </c>
      <c r="AB259" s="9">
        <f t="shared" si="49"/>
        <v>-4.1253513146570553E-2</v>
      </c>
      <c r="AC259" s="9">
        <f t="shared" si="49"/>
        <v>-3.9007506306571682E-2</v>
      </c>
      <c r="AD259" s="9">
        <f t="shared" si="49"/>
        <v>-3.6259934019903794E-2</v>
      </c>
      <c r="AE259" s="9">
        <f t="shared" si="49"/>
        <v>-3.309477678467454E-2</v>
      </c>
      <c r="AF259" s="9">
        <f t="shared" si="49"/>
        <v>-2.958735050610295E-2</v>
      </c>
      <c r="AG259" s="9">
        <f t="shared" si="49"/>
        <v>-2.577089565690216E-2</v>
      </c>
      <c r="AH259" s="9">
        <f t="shared" si="49"/>
        <v>-2.1613679809324715E-2</v>
      </c>
      <c r="AI259" s="9">
        <f t="shared" si="49"/>
        <v>-1.704485325576599E-2</v>
      </c>
      <c r="AJ259" s="9">
        <f t="shared" si="49"/>
        <v>-1.2030995058184168E-2</v>
      </c>
      <c r="AK259" s="9">
        <f t="shared" si="49"/>
        <v>-6.5215663334196039E-3</v>
      </c>
      <c r="AL259" s="9">
        <f t="shared" si="49"/>
        <v>-4.1035100747888187E-4</v>
      </c>
    </row>
    <row r="260" spans="1:38" x14ac:dyDescent="0.35">
      <c r="B260" t="s">
        <v>47</v>
      </c>
      <c r="C260" s="9">
        <f t="shared" ref="C260:AL260" si="50">(C241/C59)/(C250/C58)-1</f>
        <v>0</v>
      </c>
      <c r="D260" s="9">
        <f t="shared" si="50"/>
        <v>-2.3546802285778767E-9</v>
      </c>
      <c r="E260" s="9">
        <f t="shared" si="50"/>
        <v>-3.7939592578695169E-9</v>
      </c>
      <c r="F260" s="9">
        <f t="shared" si="50"/>
        <v>-6.288194076553566E-9</v>
      </c>
      <c r="G260" s="9">
        <f t="shared" si="50"/>
        <v>-6.7805383530128438E-9</v>
      </c>
      <c r="H260" s="9">
        <f t="shared" si="50"/>
        <v>-6.2728864325123368E-9</v>
      </c>
      <c r="I260" s="9">
        <f t="shared" si="50"/>
        <v>-5.818138193447453E-9</v>
      </c>
      <c r="J260" s="9">
        <f t="shared" si="50"/>
        <v>-1.0139454064042264E-2</v>
      </c>
      <c r="K260" s="9">
        <f t="shared" si="50"/>
        <v>-1.8107447710365876E-2</v>
      </c>
      <c r="L260" s="9">
        <f t="shared" si="50"/>
        <v>-2.536581912259761E-2</v>
      </c>
      <c r="M260" s="9">
        <f t="shared" si="50"/>
        <v>-3.2105456587906089E-2</v>
      </c>
      <c r="N260" s="9">
        <f t="shared" si="50"/>
        <v>-3.6556979929700972E-2</v>
      </c>
      <c r="O260" s="9">
        <f t="shared" si="50"/>
        <v>-3.9610544973886386E-2</v>
      </c>
      <c r="P260" s="9">
        <f t="shared" si="50"/>
        <v>-4.1537490709489755E-2</v>
      </c>
      <c r="Q260" s="9">
        <f t="shared" si="50"/>
        <v>-4.2572162934999769E-2</v>
      </c>
      <c r="R260" s="9">
        <f t="shared" si="50"/>
        <v>-4.291772950342021E-2</v>
      </c>
      <c r="S260" s="9">
        <f t="shared" si="50"/>
        <v>-4.3622436447598223E-2</v>
      </c>
      <c r="T260" s="9">
        <f t="shared" si="50"/>
        <v>-4.4091377577350044E-2</v>
      </c>
      <c r="U260" s="9">
        <f t="shared" si="50"/>
        <v>-4.4295087703826619E-2</v>
      </c>
      <c r="V260" s="9">
        <f t="shared" si="50"/>
        <v>-4.4080972839885435E-2</v>
      </c>
      <c r="W260" s="9">
        <f t="shared" si="50"/>
        <v>-4.3290117718080556E-2</v>
      </c>
      <c r="X260" s="9">
        <f t="shared" si="50"/>
        <v>-4.1790145980677762E-2</v>
      </c>
      <c r="Y260" s="9">
        <f t="shared" si="50"/>
        <v>-3.9607012749687032E-2</v>
      </c>
      <c r="Z260" s="9">
        <f t="shared" si="50"/>
        <v>-3.6800356473540075E-2</v>
      </c>
      <c r="AA260" s="9">
        <f t="shared" si="50"/>
        <v>-3.3395867239983779E-2</v>
      </c>
      <c r="AB260" s="9">
        <f t="shared" si="50"/>
        <v>-2.9436694305022271E-2</v>
      </c>
      <c r="AC260" s="9">
        <f t="shared" si="50"/>
        <v>-2.4856686675272965E-2</v>
      </c>
      <c r="AD260" s="9">
        <f t="shared" si="50"/>
        <v>-1.9605570824215435E-2</v>
      </c>
      <c r="AE260" s="9">
        <f t="shared" si="50"/>
        <v>-1.3764592310593571E-2</v>
      </c>
      <c r="AF260" s="9">
        <f t="shared" si="50"/>
        <v>-7.4075870384882059E-3</v>
      </c>
      <c r="AG260" s="9">
        <f t="shared" si="50"/>
        <v>-5.5628549432884533E-4</v>
      </c>
      <c r="AH260" s="9">
        <f t="shared" si="50"/>
        <v>6.845644349078972E-3</v>
      </c>
      <c r="AI260" s="9">
        <f t="shared" si="50"/>
        <v>1.491719877287867E-2</v>
      </c>
      <c r="AJ260" s="9">
        <f t="shared" si="50"/>
        <v>2.3740736528329753E-2</v>
      </c>
      <c r="AK260" s="9">
        <f t="shared" si="50"/>
        <v>3.34240074193628E-2</v>
      </c>
      <c r="AL260" s="9">
        <f t="shared" si="50"/>
        <v>4.4157408209301474E-2</v>
      </c>
    </row>
    <row r="261" spans="1:38" x14ac:dyDescent="0.35">
      <c r="B261" t="s">
        <v>48</v>
      </c>
      <c r="C261" s="9">
        <f t="shared" ref="C261:AL261" si="51">(C242/C59)/(C251/C58)-1</f>
        <v>0</v>
      </c>
      <c r="D261" s="9">
        <f t="shared" si="51"/>
        <v>0</v>
      </c>
      <c r="E261" s="9">
        <f t="shared" si="51"/>
        <v>0</v>
      </c>
      <c r="F261" s="9">
        <f t="shared" si="51"/>
        <v>-7.8511130929825867E-10</v>
      </c>
      <c r="G261" s="9">
        <f t="shared" si="51"/>
        <v>-7.6664330439513151E-10</v>
      </c>
      <c r="H261" s="9">
        <f t="shared" si="51"/>
        <v>0</v>
      </c>
      <c r="I261" s="9">
        <f t="shared" si="51"/>
        <v>0</v>
      </c>
      <c r="J261" s="9">
        <f t="shared" si="51"/>
        <v>-2.5783544455211249E-3</v>
      </c>
      <c r="K261" s="9">
        <f t="shared" si="51"/>
        <v>-5.5695575437545441E-3</v>
      </c>
      <c r="L261" s="9">
        <f t="shared" si="51"/>
        <v>-9.7083910582835831E-3</v>
      </c>
      <c r="M261" s="9">
        <f t="shared" si="51"/>
        <v>-1.4886257523597068E-2</v>
      </c>
      <c r="N261" s="9">
        <f t="shared" si="51"/>
        <v>-1.9615669188288054E-2</v>
      </c>
      <c r="O261" s="9">
        <f t="shared" si="51"/>
        <v>-2.4003037723096865E-2</v>
      </c>
      <c r="P261" s="9">
        <f t="shared" si="51"/>
        <v>-2.7962461558287521E-2</v>
      </c>
      <c r="Q261" s="9">
        <f t="shared" si="51"/>
        <v>-3.1470490537011786E-2</v>
      </c>
      <c r="R261" s="9">
        <f t="shared" si="51"/>
        <v>-3.4559363464507387E-2</v>
      </c>
      <c r="S261" s="9">
        <f t="shared" si="51"/>
        <v>-3.7806404430489327E-2</v>
      </c>
      <c r="T261" s="9">
        <f t="shared" si="51"/>
        <v>-4.0997849587031232E-2</v>
      </c>
      <c r="U261" s="9">
        <f t="shared" si="51"/>
        <v>-4.4074785232856128E-2</v>
      </c>
      <c r="V261" s="9">
        <f t="shared" si="51"/>
        <v>-4.700216681545144E-2</v>
      </c>
      <c r="W261" s="9">
        <f t="shared" si="51"/>
        <v>-4.9747473085938076E-2</v>
      </c>
      <c r="X261" s="9">
        <f t="shared" si="51"/>
        <v>-5.2242528201958183E-2</v>
      </c>
      <c r="Y261" s="9">
        <f t="shared" si="51"/>
        <v>-5.4462379732636346E-2</v>
      </c>
      <c r="Z261" s="9">
        <f t="shared" si="51"/>
        <v>-5.6421629826195363E-2</v>
      </c>
      <c r="AA261" s="9">
        <f t="shared" si="51"/>
        <v>-5.8137307417981066E-2</v>
      </c>
      <c r="AB261" s="9">
        <f t="shared" si="51"/>
        <v>-5.9631147032289777E-2</v>
      </c>
      <c r="AC261" s="9">
        <f t="shared" si="51"/>
        <v>-6.0838821912741925E-2</v>
      </c>
      <c r="AD261" s="9">
        <f t="shared" si="51"/>
        <v>-6.1740374133479436E-2</v>
      </c>
      <c r="AE261" s="9">
        <f t="shared" si="51"/>
        <v>-6.2412362666407706E-2</v>
      </c>
      <c r="AF261" s="9">
        <f t="shared" si="51"/>
        <v>-6.2920238739164192E-2</v>
      </c>
      <c r="AG261" s="9">
        <f t="shared" si="51"/>
        <v>-6.3303116912520108E-2</v>
      </c>
      <c r="AH261" s="9">
        <f t="shared" si="51"/>
        <v>-6.3555451712167033E-2</v>
      </c>
      <c r="AI261" s="9">
        <f t="shared" si="51"/>
        <v>-6.3665675223794405E-2</v>
      </c>
      <c r="AJ261" s="9">
        <f t="shared" si="51"/>
        <v>-6.3660251466213569E-2</v>
      </c>
      <c r="AK261" s="9">
        <f t="shared" si="51"/>
        <v>-6.3560281857786283E-2</v>
      </c>
      <c r="AL261" s="9">
        <f t="shared" si="51"/>
        <v>-6.3368887901984028E-2</v>
      </c>
    </row>
    <row r="263" spans="1:38" x14ac:dyDescent="0.35">
      <c r="A263" s="12" t="s">
        <v>21</v>
      </c>
      <c r="B263" t="s">
        <v>26</v>
      </c>
      <c r="C263" s="6">
        <f>[1]Results!F1600</f>
        <v>472737.799</v>
      </c>
      <c r="D263" s="6">
        <f>[1]Results!G1600</f>
        <v>480955.98100000003</v>
      </c>
      <c r="E263" s="6">
        <f>[1]Results!H1600</f>
        <v>491172.66460000002</v>
      </c>
      <c r="F263" s="6">
        <f>[1]Results!I1600</f>
        <v>502861.18800000002</v>
      </c>
      <c r="G263" s="6">
        <f>[1]Results!J1600</f>
        <v>515821.41320000001</v>
      </c>
      <c r="H263" s="6">
        <f>[1]Results!K1600</f>
        <v>529876.69039999996</v>
      </c>
      <c r="I263" s="6">
        <f>[1]Results!L1600</f>
        <v>544676.01699999999</v>
      </c>
      <c r="J263" s="6">
        <f>[1]Results!M1600</f>
        <v>558722.41370000003</v>
      </c>
      <c r="K263" s="6">
        <f>[1]Results!N1600</f>
        <v>572924.31099999999</v>
      </c>
      <c r="L263" s="6">
        <f>[1]Results!O1600</f>
        <v>589173.20979999995</v>
      </c>
      <c r="M263" s="6">
        <f>[1]Results!P1600</f>
        <v>606842.96259999997</v>
      </c>
      <c r="N263" s="6">
        <f>[1]Results!Q1600</f>
        <v>624500.06510000001</v>
      </c>
      <c r="O263" s="6">
        <f>[1]Results!R1600</f>
        <v>641756.42099999997</v>
      </c>
      <c r="P263" s="6">
        <f>[1]Results!S1600</f>
        <v>658679.08759999997</v>
      </c>
      <c r="Q263" s="6">
        <f>[1]Results!T1600</f>
        <v>675585.08270000003</v>
      </c>
      <c r="R263" s="6">
        <f>[1]Results!U1600</f>
        <v>692774.06070000003</v>
      </c>
      <c r="S263" s="6">
        <f>[1]Results!V1600</f>
        <v>710390.27099999995</v>
      </c>
      <c r="T263" s="6">
        <f>[1]Results!W1600</f>
        <v>728765.6139</v>
      </c>
      <c r="U263" s="6">
        <f>[1]Results!X1600</f>
        <v>748189.45400000003</v>
      </c>
      <c r="V263" s="6">
        <f>[1]Results!Y1600</f>
        <v>768871.18240000005</v>
      </c>
      <c r="W263" s="6">
        <f>[1]Results!Z1600</f>
        <v>790828.56449999998</v>
      </c>
      <c r="X263" s="6">
        <f>[1]Results!AA1600</f>
        <v>814358.9227</v>
      </c>
      <c r="Y263" s="6">
        <f>[1]Results!AB1600</f>
        <v>839629.14350000001</v>
      </c>
      <c r="Z263" s="6">
        <f>[1]Results!AC1600</f>
        <v>866788.93660000002</v>
      </c>
      <c r="AA263" s="6">
        <f>[1]Results!AD1600</f>
        <v>895931.77800000005</v>
      </c>
      <c r="AB263" s="6">
        <f>[1]Results!AE1600</f>
        <v>926671.65720000002</v>
      </c>
      <c r="AC263" s="6">
        <f>[1]Results!AF1600</f>
        <v>959360.71089999995</v>
      </c>
      <c r="AD263" s="6">
        <f>[1]Results!AG1600</f>
        <v>994125.33030000003</v>
      </c>
      <c r="AE263" s="6">
        <f>[1]Results!AH1600</f>
        <v>1031128.068</v>
      </c>
      <c r="AF263" s="6">
        <f>[1]Results!AI1600</f>
        <v>1070469.358</v>
      </c>
      <c r="AG263" s="6">
        <f>[1]Results!AJ1600</f>
        <v>1112175.4839999999</v>
      </c>
      <c r="AH263" s="6">
        <f>[1]Results!AK1600</f>
        <v>1156249.932</v>
      </c>
      <c r="AI263" s="6">
        <f>[1]Results!AL1600</f>
        <v>1202722.635</v>
      </c>
      <c r="AJ263" s="6">
        <f>[1]Results!AM1600</f>
        <v>1251678.976</v>
      </c>
      <c r="AK263" s="6">
        <f>[1]Results!AN1600</f>
        <v>1303254.31</v>
      </c>
      <c r="AL263" s="6">
        <f>[1]Results!AO1600</f>
        <v>1357636.1270000001</v>
      </c>
    </row>
    <row r="264" spans="1:38" x14ac:dyDescent="0.35">
      <c r="A264" t="s">
        <v>39</v>
      </c>
      <c r="B264" t="s">
        <v>7</v>
      </c>
      <c r="C264" s="6">
        <f>[1]Results!F1601</f>
        <v>4444.1839890000001</v>
      </c>
      <c r="D264" s="6">
        <f>[1]Results!G1601</f>
        <v>4518.9939240000003</v>
      </c>
      <c r="E264" s="6">
        <f>[1]Results!H1601</f>
        <v>4611.4327409999996</v>
      </c>
      <c r="F264" s="6">
        <f>[1]Results!I1601</f>
        <v>4721.7407759999996</v>
      </c>
      <c r="G264" s="6">
        <f>[1]Results!J1601</f>
        <v>4843.9571550000001</v>
      </c>
      <c r="H264" s="6">
        <f>[1]Results!K1601</f>
        <v>4976.6862270000001</v>
      </c>
      <c r="I264" s="6">
        <f>[1]Results!L1601</f>
        <v>5117.7255510000005</v>
      </c>
      <c r="J264" s="6">
        <f>[1]Results!M1601</f>
        <v>5267.9525919999996</v>
      </c>
      <c r="K264" s="6">
        <f>[1]Results!N1601</f>
        <v>5426.045419</v>
      </c>
      <c r="L264" s="6">
        <f>[1]Results!O1601</f>
        <v>5610.7226600000004</v>
      </c>
      <c r="M264" s="6">
        <f>[1]Results!P1601</f>
        <v>5811.8204230000001</v>
      </c>
      <c r="N264" s="6">
        <f>[1]Results!Q1601</f>
        <v>6005.7216129999997</v>
      </c>
      <c r="O264" s="6">
        <f>[1]Results!R1601</f>
        <v>6188.5543369999996</v>
      </c>
      <c r="P264" s="6">
        <f>[1]Results!S1601</f>
        <v>6361.4840649999996</v>
      </c>
      <c r="Q264" s="6">
        <f>[1]Results!T1601</f>
        <v>6528.0413289999997</v>
      </c>
      <c r="R264" s="6">
        <f>[1]Results!U1601</f>
        <v>6691.3310949999996</v>
      </c>
      <c r="S264" s="6">
        <f>[1]Results!V1601</f>
        <v>6856.9897369999999</v>
      </c>
      <c r="T264" s="6">
        <f>[1]Results!W1601</f>
        <v>7027.0010860000002</v>
      </c>
      <c r="U264" s="6">
        <f>[1]Results!X1601</f>
        <v>7203.465252</v>
      </c>
      <c r="V264" s="6">
        <f>[1]Results!Y1601</f>
        <v>7387.867542</v>
      </c>
      <c r="W264" s="6">
        <f>[1]Results!Z1601</f>
        <v>7580.0697749999999</v>
      </c>
      <c r="X264" s="6">
        <f>[1]Results!AA1601</f>
        <v>7781.8434429999998</v>
      </c>
      <c r="Y264" s="6">
        <f>[1]Results!AB1601</f>
        <v>7994.4114749999999</v>
      </c>
      <c r="Z264" s="6">
        <f>[1]Results!AC1601</f>
        <v>8218.5230670000001</v>
      </c>
      <c r="AA264" s="6">
        <f>[1]Results!AD1601</f>
        <v>8453.9626659999994</v>
      </c>
      <c r="AB264" s="6">
        <f>[1]Results!AE1601</f>
        <v>8696.3357379999998</v>
      </c>
      <c r="AC264" s="6">
        <f>[1]Results!AF1601</f>
        <v>8944.9859730000007</v>
      </c>
      <c r="AD264" s="6">
        <f>[1]Results!AG1601</f>
        <v>9200.7923250000003</v>
      </c>
      <c r="AE264" s="6">
        <f>[1]Results!AH1601</f>
        <v>9464.4833589999998</v>
      </c>
      <c r="AF264" s="6">
        <f>[1]Results!AI1601</f>
        <v>9735.4028089999993</v>
      </c>
      <c r="AG264" s="6">
        <f>[1]Results!AJ1601</f>
        <v>10011.42712</v>
      </c>
      <c r="AH264" s="6">
        <f>[1]Results!AK1601</f>
        <v>10289.626190000001</v>
      </c>
      <c r="AI264" s="6">
        <f>[1]Results!AL1601</f>
        <v>10566.89991</v>
      </c>
      <c r="AJ264" s="6">
        <f>[1]Results!AM1601</f>
        <v>10840.266750000001</v>
      </c>
      <c r="AK264" s="6">
        <f>[1]Results!AN1601</f>
        <v>11106.55804</v>
      </c>
      <c r="AL264" s="6">
        <f>[1]Results!AO1601</f>
        <v>11362.21963</v>
      </c>
    </row>
    <row r="265" spans="1:38" x14ac:dyDescent="0.35">
      <c r="B265" t="s">
        <v>30</v>
      </c>
      <c r="C265" s="6">
        <f>[1]Results!F1604</f>
        <v>234875.91560000001</v>
      </c>
      <c r="D265" s="6">
        <f>[1]Results!G1604</f>
        <v>239167.17610000001</v>
      </c>
      <c r="E265" s="6">
        <f>[1]Results!H1604</f>
        <v>244572.22519999999</v>
      </c>
      <c r="F265" s="6">
        <f>[1]Results!I1604</f>
        <v>250779.04860000001</v>
      </c>
      <c r="G265" s="6">
        <f>[1]Results!J1604</f>
        <v>257667.68599999999</v>
      </c>
      <c r="H265" s="6">
        <f>[1]Results!K1604</f>
        <v>265156.87290000002</v>
      </c>
      <c r="I265" s="6">
        <f>[1]Results!L1604</f>
        <v>273105.04920000001</v>
      </c>
      <c r="J265" s="6">
        <f>[1]Results!M1604</f>
        <v>280653.86700000003</v>
      </c>
      <c r="K265" s="6">
        <f>[1]Results!N1604</f>
        <v>288284.08270000003</v>
      </c>
      <c r="L265" s="6">
        <f>[1]Results!O1604</f>
        <v>297070.81770000001</v>
      </c>
      <c r="M265" s="6">
        <f>[1]Results!P1604</f>
        <v>306623.9191</v>
      </c>
      <c r="N265" s="6">
        <f>[1]Results!Q1604</f>
        <v>316233.5442</v>
      </c>
      <c r="O265" s="6">
        <f>[1]Results!R1604</f>
        <v>325712.35649999999</v>
      </c>
      <c r="P265" s="6">
        <f>[1]Results!S1604</f>
        <v>335125.99200000003</v>
      </c>
      <c r="Q265" s="6">
        <f>[1]Results!T1604</f>
        <v>344678.45289999997</v>
      </c>
      <c r="R265" s="6">
        <f>[1]Results!U1604</f>
        <v>354554.76520000002</v>
      </c>
      <c r="S265" s="6">
        <f>[1]Results!V1604</f>
        <v>364814.73940000002</v>
      </c>
      <c r="T265" s="6">
        <f>[1]Results!W1604</f>
        <v>375644.0796</v>
      </c>
      <c r="U265" s="6">
        <f>[1]Results!X1604</f>
        <v>387206.03580000001</v>
      </c>
      <c r="V265" s="6">
        <f>[1]Results!Y1604</f>
        <v>399619.98729999998</v>
      </c>
      <c r="W265" s="6">
        <f>[1]Results!Z1604</f>
        <v>412930.0295</v>
      </c>
      <c r="X265" s="6">
        <f>[1]Results!AA1604</f>
        <v>427259.24320000003</v>
      </c>
      <c r="Y265" s="6">
        <f>[1]Results!AB1604</f>
        <v>442712.61249999999</v>
      </c>
      <c r="Z265" s="6">
        <f>[1]Results!AC1604</f>
        <v>459381.59980000003</v>
      </c>
      <c r="AA265" s="6">
        <f>[1]Results!AD1604</f>
        <v>477327.02419999999</v>
      </c>
      <c r="AB265" s="6">
        <f>[1]Results!AE1604</f>
        <v>496431.86859999999</v>
      </c>
      <c r="AC265" s="6">
        <f>[1]Results!AF1604</f>
        <v>516812.37819999998</v>
      </c>
      <c r="AD265" s="6">
        <f>[1]Results!AG1604</f>
        <v>538537.74159999995</v>
      </c>
      <c r="AE265" s="6">
        <f>[1]Results!AH1604</f>
        <v>561692.77379999997</v>
      </c>
      <c r="AF265" s="6">
        <f>[1]Results!AI1604</f>
        <v>586329.80330000003</v>
      </c>
      <c r="AG265" s="6">
        <f>[1]Results!AJ1604</f>
        <v>612467.96589999995</v>
      </c>
      <c r="AH265" s="6">
        <f>[1]Results!AK1604</f>
        <v>640121.56539999996</v>
      </c>
      <c r="AI265" s="6">
        <f>[1]Results!AL1604</f>
        <v>669322.35719999997</v>
      </c>
      <c r="AJ265" s="6">
        <f>[1]Results!AM1604</f>
        <v>700132.58319999999</v>
      </c>
      <c r="AK265" s="6">
        <f>[1]Results!AN1604</f>
        <v>732643.51699999999</v>
      </c>
      <c r="AL265" s="6">
        <f>[1]Results!AO1604</f>
        <v>766975.47889999999</v>
      </c>
    </row>
    <row r="266" spans="1:38" x14ac:dyDescent="0.35">
      <c r="B266" t="s">
        <v>28</v>
      </c>
      <c r="C266" s="6">
        <f>[1]Results!F1616</f>
        <v>8012.3261389999998</v>
      </c>
      <c r="D266" s="6">
        <f>[1]Results!G1616</f>
        <v>8182.3741120000004</v>
      </c>
      <c r="E266" s="6">
        <f>[1]Results!H1616</f>
        <v>8389.0211390000004</v>
      </c>
      <c r="F266" s="6">
        <f>[1]Results!I1616</f>
        <v>8615.7071269999997</v>
      </c>
      <c r="G266" s="6">
        <f>[1]Results!J1616</f>
        <v>8857.5838349999995</v>
      </c>
      <c r="H266" s="6">
        <f>[1]Results!K1616</f>
        <v>9113.8315060000004</v>
      </c>
      <c r="I266" s="6">
        <f>[1]Results!L1616</f>
        <v>9380.4875549999997</v>
      </c>
      <c r="J266" s="6">
        <f>[1]Results!M1616</f>
        <v>9628.3591319999996</v>
      </c>
      <c r="K266" s="6">
        <f>[1]Results!N1616</f>
        <v>9885.4603950000001</v>
      </c>
      <c r="L266" s="6">
        <f>[1]Results!O1616</f>
        <v>10211.94688</v>
      </c>
      <c r="M266" s="6">
        <f>[1]Results!P1616</f>
        <v>10574.50009</v>
      </c>
      <c r="N266" s="6">
        <f>[1]Results!Q1616</f>
        <v>10920.95724</v>
      </c>
      <c r="O266" s="6">
        <f>[1]Results!R1616</f>
        <v>11236.0254</v>
      </c>
      <c r="P266" s="6">
        <f>[1]Results!S1616</f>
        <v>11521.14018</v>
      </c>
      <c r="Q266" s="6">
        <f>[1]Results!T1616</f>
        <v>11786.83906</v>
      </c>
      <c r="R266" s="6">
        <f>[1]Results!U1616</f>
        <v>12042.22301</v>
      </c>
      <c r="S266" s="6">
        <f>[1]Results!V1616</f>
        <v>12298.17578</v>
      </c>
      <c r="T266" s="6">
        <f>[1]Results!W1616</f>
        <v>12564.047710000001</v>
      </c>
      <c r="U266" s="6">
        <f>[1]Results!X1616</f>
        <v>12848.00215</v>
      </c>
      <c r="V266" s="6">
        <f>[1]Results!Y1616</f>
        <v>13155.01123</v>
      </c>
      <c r="W266" s="6">
        <f>[1]Results!Z1616</f>
        <v>13487.042149999999</v>
      </c>
      <c r="X266" s="6">
        <f>[1]Results!AA1616</f>
        <v>13849.110559999999</v>
      </c>
      <c r="Y266" s="6">
        <f>[1]Results!AB1616</f>
        <v>14245.409149999999</v>
      </c>
      <c r="Z266" s="6">
        <f>[1]Results!AC1616</f>
        <v>14677.6448</v>
      </c>
      <c r="AA266" s="6">
        <f>[1]Results!AD1616</f>
        <v>15144.535819999999</v>
      </c>
      <c r="AB266" s="6">
        <f>[1]Results!AE1616</f>
        <v>15639.367099999999</v>
      </c>
      <c r="AC266" s="6">
        <f>[1]Results!AF1616</f>
        <v>16167.22229</v>
      </c>
      <c r="AD266" s="6">
        <f>[1]Results!AG1616</f>
        <v>16735.554540000001</v>
      </c>
      <c r="AE266" s="6">
        <f>[1]Results!AH1616</f>
        <v>17347.57949</v>
      </c>
      <c r="AF266" s="6">
        <f>[1]Results!AI1616</f>
        <v>18000.1057</v>
      </c>
      <c r="AG266" s="6">
        <f>[1]Results!AJ1616</f>
        <v>18686.079730000001</v>
      </c>
      <c r="AH266" s="6">
        <f>[1]Results!AK1616</f>
        <v>19400.245029999998</v>
      </c>
      <c r="AI266" s="6">
        <f>[1]Results!AL1616</f>
        <v>20140.509760000001</v>
      </c>
      <c r="AJ266" s="6">
        <f>[1]Results!AM1616</f>
        <v>20904.310229999999</v>
      </c>
      <c r="AK266" s="6">
        <f>[1]Results!AN1616</f>
        <v>21688.138749999998</v>
      </c>
      <c r="AL266" s="6">
        <f>[1]Results!AO1616</f>
        <v>22487.735240000002</v>
      </c>
    </row>
    <row r="267" spans="1:38" x14ac:dyDescent="0.35">
      <c r="B267" t="s">
        <v>10</v>
      </c>
      <c r="C267" s="6">
        <f>[1]Results!F1621</f>
        <v>219508.55739999999</v>
      </c>
      <c r="D267" s="6">
        <f>[1]Results!G1621</f>
        <v>223116.7781</v>
      </c>
      <c r="E267" s="6">
        <f>[1]Results!H1621</f>
        <v>227553.2697</v>
      </c>
      <c r="F267" s="6">
        <f>[1]Results!I1621</f>
        <v>232616.18590000001</v>
      </c>
      <c r="G267" s="6">
        <f>[1]Results!J1621</f>
        <v>238237.49179999999</v>
      </c>
      <c r="H267" s="6">
        <f>[1]Results!K1621</f>
        <v>244321.37729999999</v>
      </c>
      <c r="I267" s="6">
        <f>[1]Results!L1621</f>
        <v>250664.7169</v>
      </c>
      <c r="J267" s="6">
        <f>[1]Results!M1621</f>
        <v>256595.93160000001</v>
      </c>
      <c r="K267" s="6">
        <f>[1]Results!N1621</f>
        <v>262540.74060000002</v>
      </c>
      <c r="L267" s="6">
        <f>[1]Results!O1621</f>
        <v>269232.19650000002</v>
      </c>
      <c r="M267" s="6">
        <f>[1]Results!P1621</f>
        <v>276491.90919999999</v>
      </c>
      <c r="N267" s="6">
        <f>[1]Results!Q1621</f>
        <v>283697.95480000001</v>
      </c>
      <c r="O267" s="6">
        <f>[1]Results!R1621</f>
        <v>290672.61780000001</v>
      </c>
      <c r="P267" s="6">
        <f>[1]Results!S1621</f>
        <v>297410.31079999998</v>
      </c>
      <c r="Q267" s="6">
        <f>[1]Results!T1621</f>
        <v>304002.40100000001</v>
      </c>
      <c r="R267" s="6">
        <f>[1]Results!U1621</f>
        <v>310544.44660000002</v>
      </c>
      <c r="S267" s="6">
        <f>[1]Results!V1621</f>
        <v>317099.8836</v>
      </c>
      <c r="T267" s="6">
        <f>[1]Results!W1621</f>
        <v>323795.2879</v>
      </c>
      <c r="U267" s="6">
        <f>[1]Results!X1621</f>
        <v>330739.913</v>
      </c>
      <c r="V267" s="6">
        <f>[1]Results!Y1621</f>
        <v>338010.89360000001</v>
      </c>
      <c r="W267" s="6">
        <f>[1]Results!Z1621</f>
        <v>345574.39120000001</v>
      </c>
      <c r="X267" s="6">
        <f>[1]Results!AA1621</f>
        <v>353587.8027</v>
      </c>
      <c r="Y267" s="6">
        <f>[1]Results!AB1621</f>
        <v>362097.0209</v>
      </c>
      <c r="Z267" s="6">
        <f>[1]Results!AC1621</f>
        <v>371146.53470000002</v>
      </c>
      <c r="AA267" s="6">
        <f>[1]Results!AD1621</f>
        <v>380758.28840000002</v>
      </c>
      <c r="AB267" s="6">
        <f>[1]Results!AE1621</f>
        <v>390665.82860000001</v>
      </c>
      <c r="AC267" s="6">
        <f>[1]Results!AF1621</f>
        <v>401077.84240000002</v>
      </c>
      <c r="AD267" s="6">
        <f>[1]Results!AG1621</f>
        <v>412019.7035</v>
      </c>
      <c r="AE267" s="6">
        <f>[1]Results!AH1621</f>
        <v>423538.70520000003</v>
      </c>
      <c r="AF267" s="6">
        <f>[1]Results!AI1621</f>
        <v>435658.25420000002</v>
      </c>
      <c r="AG267" s="6">
        <f>[1]Results!AJ1621</f>
        <v>448362.60729999997</v>
      </c>
      <c r="AH267" s="6">
        <f>[1]Results!AK1621</f>
        <v>461609.43540000002</v>
      </c>
      <c r="AI267" s="6">
        <f>[1]Results!AL1621</f>
        <v>475350.8688</v>
      </c>
      <c r="AJ267" s="6">
        <f>[1]Results!AM1621</f>
        <v>489550.21779999998</v>
      </c>
      <c r="AK267" s="6">
        <f>[1]Results!AN1621</f>
        <v>504173.73950000003</v>
      </c>
      <c r="AL267" s="6">
        <f>[1]Results!AO1621</f>
        <v>519184.96899999998</v>
      </c>
    </row>
    <row r="268" spans="1:38" x14ac:dyDescent="0.35">
      <c r="B268" t="s">
        <v>31</v>
      </c>
      <c r="C268" s="6">
        <f>[1]Results!F1624</f>
        <v>2246.653448</v>
      </c>
      <c r="D268" s="6">
        <f>[1]Results!G1624</f>
        <v>2266.7999749999999</v>
      </c>
      <c r="E268" s="6">
        <f>[1]Results!H1624</f>
        <v>2286.6528029999999</v>
      </c>
      <c r="F268" s="6">
        <f>[1]Results!I1624</f>
        <v>2307.3812379999999</v>
      </c>
      <c r="G268" s="6">
        <f>[1]Results!J1624</f>
        <v>2333.3932199999999</v>
      </c>
      <c r="H268" s="6">
        <f>[1]Results!K1624</f>
        <v>2365.682374</v>
      </c>
      <c r="I268" s="6">
        <f>[1]Results!L1624</f>
        <v>2402.345679</v>
      </c>
      <c r="J268" s="6">
        <f>[1]Results!M1624</f>
        <v>2427.0174590000001</v>
      </c>
      <c r="K268" s="6">
        <f>[1]Results!N1624</f>
        <v>2448.103865</v>
      </c>
      <c r="L268" s="6">
        <f>[1]Results!O1624</f>
        <v>2476.1024520000001</v>
      </c>
      <c r="M268" s="6">
        <f>[1]Results!P1624</f>
        <v>2508.3855659999999</v>
      </c>
      <c r="N268" s="6">
        <f>[1]Results!Q1624</f>
        <v>2541.4640840000002</v>
      </c>
      <c r="O268" s="6">
        <f>[1]Results!R1624</f>
        <v>2574.4563170000001</v>
      </c>
      <c r="P268" s="6">
        <f>[1]Results!S1624</f>
        <v>2607.9507880000001</v>
      </c>
      <c r="Q268" s="6">
        <f>[1]Results!T1624</f>
        <v>2643.343327</v>
      </c>
      <c r="R268" s="6">
        <f>[1]Results!U1624</f>
        <v>2681.7267040000002</v>
      </c>
      <c r="S268" s="6">
        <f>[1]Results!V1624</f>
        <v>2721.8431479999999</v>
      </c>
      <c r="T268" s="6">
        <f>[1]Results!W1624</f>
        <v>2765.3863799999999</v>
      </c>
      <c r="U268" s="6">
        <f>[1]Results!X1624</f>
        <v>2813.5842769999999</v>
      </c>
      <c r="V268" s="6">
        <f>[1]Results!Y1624</f>
        <v>2867.2266089999998</v>
      </c>
      <c r="W268" s="6">
        <f>[1]Results!Z1624</f>
        <v>2926.698038</v>
      </c>
      <c r="X268" s="6">
        <f>[1]Results!AA1624</f>
        <v>2992.7256309999998</v>
      </c>
      <c r="Y268" s="6">
        <f>[1]Results!AB1624</f>
        <v>3065.9614769999998</v>
      </c>
      <c r="Z268" s="6">
        <f>[1]Results!AC1624</f>
        <v>3146.917637</v>
      </c>
      <c r="AA268" s="6">
        <f>[1]Results!AD1624</f>
        <v>3235.9361880000001</v>
      </c>
      <c r="AB268" s="6">
        <f>[1]Results!AE1624</f>
        <v>3332.7310910000001</v>
      </c>
      <c r="AC268" s="6">
        <f>[1]Results!AF1624</f>
        <v>3438.6415189999998</v>
      </c>
      <c r="AD268" s="6">
        <f>[1]Results!AG1624</f>
        <v>3554.4731830000001</v>
      </c>
      <c r="AE268" s="6">
        <f>[1]Results!AH1624</f>
        <v>3681.0795170000001</v>
      </c>
      <c r="AF268" s="6">
        <f>[1]Results!AI1624</f>
        <v>3818.9616169999999</v>
      </c>
      <c r="AG268" s="6">
        <f>[1]Results!AJ1624</f>
        <v>3968.3928219999998</v>
      </c>
      <c r="AH268" s="6">
        <f>[1]Results!AK1624</f>
        <v>4129.843922</v>
      </c>
      <c r="AI268" s="6">
        <f>[1]Results!AL1624</f>
        <v>4304.2242059999999</v>
      </c>
      <c r="AJ268" s="6">
        <f>[1]Results!AM1624</f>
        <v>4492.8830150000003</v>
      </c>
      <c r="AK268" s="6">
        <f>[1]Results!AN1624</f>
        <v>4697.7950559999999</v>
      </c>
      <c r="AL268" s="6">
        <f>[1]Results!AO1624</f>
        <v>4921.970969</v>
      </c>
    </row>
    <row r="269" spans="1:38" x14ac:dyDescent="0.35">
      <c r="B269" t="s">
        <v>33</v>
      </c>
      <c r="C269" s="6">
        <f>[1]Results!F1629</f>
        <v>3650.1624750000001</v>
      </c>
      <c r="D269" s="6">
        <f>[1]Results!G1629</f>
        <v>3703.858745</v>
      </c>
      <c r="E269" s="6">
        <f>[1]Results!H1629</f>
        <v>3760.063036</v>
      </c>
      <c r="F269" s="6">
        <f>[1]Results!I1629</f>
        <v>3821.1244190000002</v>
      </c>
      <c r="G269" s="6">
        <f>[1]Results!J1629</f>
        <v>3881.3011879999999</v>
      </c>
      <c r="H269" s="6">
        <f>[1]Results!K1629</f>
        <v>3942.2400739999998</v>
      </c>
      <c r="I269" s="6">
        <f>[1]Results!L1629</f>
        <v>4005.692153</v>
      </c>
      <c r="J269" s="6">
        <f>[1]Results!M1629</f>
        <v>4149.2859509999998</v>
      </c>
      <c r="K269" s="6">
        <f>[1]Results!N1629</f>
        <v>4339.8780260000003</v>
      </c>
      <c r="L269" s="6">
        <f>[1]Results!O1629</f>
        <v>4571.4235550000003</v>
      </c>
      <c r="M269" s="6">
        <f>[1]Results!P1629</f>
        <v>4832.428242</v>
      </c>
      <c r="N269" s="6">
        <f>[1]Results!Q1629</f>
        <v>5100.4231890000001</v>
      </c>
      <c r="O269" s="6">
        <f>[1]Results!R1629</f>
        <v>5372.410723</v>
      </c>
      <c r="P269" s="6">
        <f>[1]Results!S1629</f>
        <v>5652.2097190000004</v>
      </c>
      <c r="Q269" s="6">
        <f>[1]Results!T1629</f>
        <v>5946.0050689999998</v>
      </c>
      <c r="R269" s="6">
        <f>[1]Results!U1629</f>
        <v>6259.5680599999996</v>
      </c>
      <c r="S269" s="6">
        <f>[1]Results!V1629</f>
        <v>6598.6393470000003</v>
      </c>
      <c r="T269" s="6">
        <f>[1]Results!W1629</f>
        <v>6969.811205</v>
      </c>
      <c r="U269" s="6">
        <f>[1]Results!X1629</f>
        <v>7378.4535539999997</v>
      </c>
      <c r="V269" s="6">
        <f>[1]Results!Y1629</f>
        <v>7830.1960609999996</v>
      </c>
      <c r="W269" s="6">
        <f>[1]Results!Z1629</f>
        <v>8330.3338999999996</v>
      </c>
      <c r="X269" s="6">
        <f>[1]Results!AA1629</f>
        <v>8888.1972229999992</v>
      </c>
      <c r="Y269" s="6">
        <f>[1]Results!AB1629</f>
        <v>9513.7279930000004</v>
      </c>
      <c r="Z269" s="6">
        <f>[1]Results!AC1629</f>
        <v>10217.71665</v>
      </c>
      <c r="AA269" s="6">
        <f>[1]Results!AD1629</f>
        <v>11012.030710000001</v>
      </c>
      <c r="AB269" s="6">
        <f>[1]Results!AE1629</f>
        <v>11905.52614</v>
      </c>
      <c r="AC269" s="6">
        <f>[1]Results!AF1629</f>
        <v>12919.64055</v>
      </c>
      <c r="AD269" s="6">
        <f>[1]Results!AG1629</f>
        <v>14077.065189999999</v>
      </c>
      <c r="AE269" s="6">
        <f>[1]Results!AH1629</f>
        <v>15403.44635</v>
      </c>
      <c r="AF269" s="6">
        <f>[1]Results!AI1629</f>
        <v>16926.830480000001</v>
      </c>
      <c r="AG269" s="6">
        <f>[1]Results!AJ1629</f>
        <v>18679.011170000002</v>
      </c>
      <c r="AH269" s="6">
        <f>[1]Results!AK1629</f>
        <v>20699.21587</v>
      </c>
      <c r="AI269" s="6">
        <f>[1]Results!AL1629</f>
        <v>23037.775379999999</v>
      </c>
      <c r="AJ269" s="6">
        <f>[1]Results!AM1629</f>
        <v>25758.71545</v>
      </c>
      <c r="AK269" s="6">
        <f>[1]Results!AN1629</f>
        <v>28944.562109999999</v>
      </c>
      <c r="AL269" s="6">
        <f>[1]Results!AO1629</f>
        <v>32703.753550000001</v>
      </c>
    </row>
    <row r="271" spans="1:38" x14ac:dyDescent="0.35">
      <c r="A271" s="12" t="s">
        <v>21</v>
      </c>
      <c r="B271" t="s">
        <v>26</v>
      </c>
      <c r="C271" s="6">
        <f>[1]Results!F1639</f>
        <v>472737.799</v>
      </c>
      <c r="D271" s="6">
        <f>[1]Results!G1639</f>
        <v>480955.98100000003</v>
      </c>
      <c r="E271" s="6">
        <f>[1]Results!H1639</f>
        <v>491172.66450000001</v>
      </c>
      <c r="F271" s="6">
        <f>[1]Results!I1639</f>
        <v>502861.18800000002</v>
      </c>
      <c r="G271" s="6">
        <f>[1]Results!J1639</f>
        <v>515821.41310000001</v>
      </c>
      <c r="H271" s="6">
        <f>[1]Results!K1639</f>
        <v>529876.69030000002</v>
      </c>
      <c r="I271" s="6">
        <f>[1]Results!L1639</f>
        <v>544676.01690000005</v>
      </c>
      <c r="J271" s="6">
        <f>[1]Results!M1639</f>
        <v>560102.46479999996</v>
      </c>
      <c r="K271" s="6">
        <f>[1]Results!N1639</f>
        <v>576153.02850000001</v>
      </c>
      <c r="L271" s="6">
        <f>[1]Results!O1639</f>
        <v>592875.74800000002</v>
      </c>
      <c r="M271" s="6">
        <f>[1]Results!P1639</f>
        <v>610228.99040000001</v>
      </c>
      <c r="N271" s="6">
        <f>[1]Results!Q1639</f>
        <v>627102.92169999995</v>
      </c>
      <c r="O271" s="6">
        <f>[1]Results!R1639</f>
        <v>643371.72530000005</v>
      </c>
      <c r="P271" s="6">
        <f>[1]Results!S1639</f>
        <v>659157.01289999997</v>
      </c>
      <c r="Q271" s="6">
        <f>[1]Results!T1639</f>
        <v>674682.83470000001</v>
      </c>
      <c r="R271" s="6">
        <f>[1]Results!U1639</f>
        <v>690193.88670000003</v>
      </c>
      <c r="S271" s="6">
        <f>[1]Results!V1639</f>
        <v>706101.25</v>
      </c>
      <c r="T271" s="6">
        <f>[1]Results!W1639</f>
        <v>722746.53780000005</v>
      </c>
      <c r="U271" s="6">
        <f>[1]Results!X1639</f>
        <v>740361.11219999997</v>
      </c>
      <c r="V271" s="6">
        <f>[1]Results!Y1639</f>
        <v>759070.07990000001</v>
      </c>
      <c r="W271" s="6">
        <f>[1]Results!Z1639</f>
        <v>778805.40449999995</v>
      </c>
      <c r="X271" s="6">
        <f>[1]Results!AA1639</f>
        <v>799788.48670000001</v>
      </c>
      <c r="Y271" s="6">
        <f>[1]Results!AB1639</f>
        <v>822114.34299999999</v>
      </c>
      <c r="Z271" s="6">
        <f>[1]Results!AC1639</f>
        <v>845850.01670000004</v>
      </c>
      <c r="AA271" s="6">
        <f>[1]Results!AD1639</f>
        <v>871000.49809999997</v>
      </c>
      <c r="AB271" s="6">
        <f>[1]Results!AE1639</f>
        <v>897107.93709999998</v>
      </c>
      <c r="AC271" s="6">
        <f>[1]Results!AF1639</f>
        <v>924434.54879999999</v>
      </c>
      <c r="AD271" s="6">
        <f>[1]Results!AG1639</f>
        <v>953085.54850000003</v>
      </c>
      <c r="AE271" s="6">
        <f>[1]Results!AH1639</f>
        <v>983145.46470000001</v>
      </c>
      <c r="AF271" s="6">
        <f>[1]Results!AI1639</f>
        <v>1014605.395</v>
      </c>
      <c r="AG271" s="6">
        <f>[1]Results!AJ1639</f>
        <v>1047366.051</v>
      </c>
      <c r="AH271" s="6">
        <f>[1]Results!AK1639</f>
        <v>1081306.6459999999</v>
      </c>
      <c r="AI271" s="6">
        <f>[1]Results!AL1639</f>
        <v>1116317.8230000001</v>
      </c>
      <c r="AJ271" s="6">
        <f>[1]Results!AM1639</f>
        <v>1152292.446</v>
      </c>
      <c r="AK271" s="6">
        <f>[1]Results!AN1639</f>
        <v>1189114.581</v>
      </c>
      <c r="AL271" s="6">
        <f>[1]Results!AO1639</f>
        <v>1226651.4129999999</v>
      </c>
    </row>
    <row r="272" spans="1:38" x14ac:dyDescent="0.35">
      <c r="A272" t="s">
        <v>38</v>
      </c>
      <c r="B272" t="s">
        <v>7</v>
      </c>
      <c r="C272" s="6">
        <f>[1]Results!F1640</f>
        <v>4444.1839890000001</v>
      </c>
      <c r="D272" s="6">
        <f>[1]Results!G1640</f>
        <v>4518.993923</v>
      </c>
      <c r="E272" s="6">
        <f>[1]Results!H1640</f>
        <v>4611.4327409999996</v>
      </c>
      <c r="F272" s="6">
        <f>[1]Results!I1640</f>
        <v>4721.7407750000002</v>
      </c>
      <c r="G272" s="6">
        <f>[1]Results!J1640</f>
        <v>4843.9571539999997</v>
      </c>
      <c r="H272" s="6">
        <f>[1]Results!K1640</f>
        <v>4976.6862259999998</v>
      </c>
      <c r="I272" s="6">
        <f>[1]Results!L1640</f>
        <v>5117.7255500000001</v>
      </c>
      <c r="J272" s="6">
        <f>[1]Results!M1640</f>
        <v>5265.9805729999998</v>
      </c>
      <c r="K272" s="6">
        <f>[1]Results!N1640</f>
        <v>5420.6799140000003</v>
      </c>
      <c r="L272" s="6">
        <f>[1]Results!O1640</f>
        <v>5581.5673210000004</v>
      </c>
      <c r="M272" s="6">
        <f>[1]Results!P1640</f>
        <v>5746.5874960000001</v>
      </c>
      <c r="N272" s="6">
        <f>[1]Results!Q1640</f>
        <v>5903.2416620000004</v>
      </c>
      <c r="O272" s="6">
        <f>[1]Results!R1640</f>
        <v>6049.7345859999996</v>
      </c>
      <c r="P272" s="6">
        <f>[1]Results!S1640</f>
        <v>6187.2266689999997</v>
      </c>
      <c r="Q272" s="6">
        <f>[1]Results!T1640</f>
        <v>6318.1309080000001</v>
      </c>
      <c r="R272" s="6">
        <f>[1]Results!U1640</f>
        <v>6445.2497919999996</v>
      </c>
      <c r="S272" s="6">
        <f>[1]Results!V1640</f>
        <v>6571.8877080000002</v>
      </c>
      <c r="T272" s="6">
        <f>[1]Results!W1640</f>
        <v>6701.7122529999997</v>
      </c>
      <c r="U272" s="6">
        <f>[1]Results!X1640</f>
        <v>6837.5601559999996</v>
      </c>
      <c r="V272" s="6">
        <f>[1]Results!Y1640</f>
        <v>6981.2233489999999</v>
      </c>
      <c r="W272" s="6">
        <f>[1]Results!Z1640</f>
        <v>7132.8907639999998</v>
      </c>
      <c r="X272" s="6">
        <f>[1]Results!AA1640</f>
        <v>7294.6703109999999</v>
      </c>
      <c r="Y272" s="6">
        <f>[1]Results!AB1640</f>
        <v>7468.1797800000004</v>
      </c>
      <c r="Z272" s="6">
        <f>[1]Results!AC1640</f>
        <v>7654.4614970000002</v>
      </c>
      <c r="AA272" s="6">
        <f>[1]Results!AD1640</f>
        <v>7853.6957759999996</v>
      </c>
      <c r="AB272" s="6">
        <f>[1]Results!AE1640</f>
        <v>8062.452706</v>
      </c>
      <c r="AC272" s="6">
        <f>[1]Results!AF1640</f>
        <v>8282.2303900000006</v>
      </c>
      <c r="AD272" s="6">
        <f>[1]Results!AG1640</f>
        <v>8514.5995870000006</v>
      </c>
      <c r="AE272" s="6">
        <f>[1]Results!AH1640</f>
        <v>8760.6333809999996</v>
      </c>
      <c r="AF272" s="6">
        <f>[1]Results!AI1640</f>
        <v>9020.098215</v>
      </c>
      <c r="AG272" s="6">
        <f>[1]Results!AJ1640</f>
        <v>9291.5637360000001</v>
      </c>
      <c r="AH272" s="6">
        <f>[1]Results!AK1640</f>
        <v>9573.2795900000001</v>
      </c>
      <c r="AI272" s="6">
        <f>[1]Results!AL1640</f>
        <v>9863.5770140000004</v>
      </c>
      <c r="AJ272" s="6">
        <f>[1]Results!AM1640</f>
        <v>10160.782219999999</v>
      </c>
      <c r="AK272" s="6">
        <f>[1]Results!AN1640</f>
        <v>10463.133809999999</v>
      </c>
      <c r="AL272" s="6">
        <f>[1]Results!AO1640</f>
        <v>10768.740750000001</v>
      </c>
    </row>
    <row r="273" spans="1:38" x14ac:dyDescent="0.35">
      <c r="B273" t="s">
        <v>30</v>
      </c>
      <c r="C273" s="6">
        <f>[1]Results!F1643</f>
        <v>234875.91560000001</v>
      </c>
      <c r="D273" s="6">
        <f>[1]Results!G1643</f>
        <v>239167.17610000001</v>
      </c>
      <c r="E273" s="6">
        <f>[1]Results!H1643</f>
        <v>244572.22519999999</v>
      </c>
      <c r="F273" s="6">
        <f>[1]Results!I1643</f>
        <v>250779.04860000001</v>
      </c>
      <c r="G273" s="6">
        <f>[1]Results!J1643</f>
        <v>257667.68590000001</v>
      </c>
      <c r="H273" s="6">
        <f>[1]Results!K1643</f>
        <v>265156.87290000002</v>
      </c>
      <c r="I273" s="6">
        <f>[1]Results!L1643</f>
        <v>273105.0491</v>
      </c>
      <c r="J273" s="6">
        <f>[1]Results!M1643</f>
        <v>281450.82160000002</v>
      </c>
      <c r="K273" s="6">
        <f>[1]Results!N1643</f>
        <v>290198.15470000001</v>
      </c>
      <c r="L273" s="6">
        <f>[1]Results!O1643</f>
        <v>299382.25290000002</v>
      </c>
      <c r="M273" s="6">
        <f>[1]Results!P1643</f>
        <v>308950.6593</v>
      </c>
      <c r="N273" s="6">
        <f>[1]Results!Q1643</f>
        <v>318356.05680000002</v>
      </c>
      <c r="O273" s="6">
        <f>[1]Results!R1643</f>
        <v>327536.14880000002</v>
      </c>
      <c r="P273" s="6">
        <f>[1]Results!S1643</f>
        <v>336567.05180000002</v>
      </c>
      <c r="Q273" s="6">
        <f>[1]Results!T1643</f>
        <v>345581.8799</v>
      </c>
      <c r="R273" s="6">
        <f>[1]Results!U1643</f>
        <v>354720.17940000002</v>
      </c>
      <c r="S273" s="6">
        <f>[1]Results!V1643</f>
        <v>364192.5919</v>
      </c>
      <c r="T273" s="6">
        <f>[1]Results!W1643</f>
        <v>374184.58519999997</v>
      </c>
      <c r="U273" s="6">
        <f>[1]Results!X1643</f>
        <v>384824.31890000001</v>
      </c>
      <c r="V273" s="6">
        <f>[1]Results!Y1643</f>
        <v>396180.51809999999</v>
      </c>
      <c r="W273" s="6">
        <f>[1]Results!Z1643</f>
        <v>408242.21279999998</v>
      </c>
      <c r="X273" s="6">
        <f>[1]Results!AA1643</f>
        <v>421079.97389999998</v>
      </c>
      <c r="Y273" s="6">
        <f>[1]Results!AB1643</f>
        <v>434747.83740000002</v>
      </c>
      <c r="Z273" s="6">
        <f>[1]Results!AC1643</f>
        <v>449280.1347</v>
      </c>
      <c r="AA273" s="6">
        <f>[1]Results!AD1643</f>
        <v>464674.88860000001</v>
      </c>
      <c r="AB273" s="6">
        <f>[1]Results!AE1643</f>
        <v>480757.3297</v>
      </c>
      <c r="AC273" s="6">
        <f>[1]Results!AF1643</f>
        <v>497568.89449999999</v>
      </c>
      <c r="AD273" s="6">
        <f>[1]Results!AG1643</f>
        <v>515160.36839999998</v>
      </c>
      <c r="AE273" s="6">
        <f>[1]Results!AH1643</f>
        <v>533570.58589999995</v>
      </c>
      <c r="AF273" s="6">
        <f>[1]Results!AI1643</f>
        <v>552785.25820000004</v>
      </c>
      <c r="AG273" s="6">
        <f>[1]Results!AJ1643</f>
        <v>572743.70920000004</v>
      </c>
      <c r="AH273" s="6">
        <f>[1]Results!AK1643</f>
        <v>593378.72089999996</v>
      </c>
      <c r="AI273" s="6">
        <f>[1]Results!AL1643</f>
        <v>614634.3395</v>
      </c>
      <c r="AJ273" s="6">
        <f>[1]Results!AM1643</f>
        <v>636459.21070000005</v>
      </c>
      <c r="AK273" s="6">
        <f>[1]Results!AN1643</f>
        <v>658798.77910000004</v>
      </c>
      <c r="AL273" s="6">
        <f>[1]Results!AO1643</f>
        <v>681589.31200000003</v>
      </c>
    </row>
    <row r="274" spans="1:38" x14ac:dyDescent="0.35">
      <c r="B274" t="s">
        <v>28</v>
      </c>
      <c r="C274" s="6">
        <f>[1]Results!F1655</f>
        <v>8012.3261389999998</v>
      </c>
      <c r="D274" s="6">
        <f>[1]Results!G1655</f>
        <v>8182.3741129999999</v>
      </c>
      <c r="E274" s="6">
        <f>[1]Results!H1655</f>
        <v>8389.0211390000004</v>
      </c>
      <c r="F274" s="6">
        <f>[1]Results!I1655</f>
        <v>8615.707128</v>
      </c>
      <c r="G274" s="6">
        <f>[1]Results!J1655</f>
        <v>8857.5838370000001</v>
      </c>
      <c r="H274" s="6">
        <f>[1]Results!K1655</f>
        <v>9113.8315079999993</v>
      </c>
      <c r="I274" s="6">
        <f>[1]Results!L1655</f>
        <v>9380.4875570000004</v>
      </c>
      <c r="J274" s="6">
        <f>[1]Results!M1655</f>
        <v>9655.6865890000008</v>
      </c>
      <c r="K274" s="6">
        <f>[1]Results!N1655</f>
        <v>9938.5631300000005</v>
      </c>
      <c r="L274" s="6">
        <f>[1]Results!O1655</f>
        <v>10229.12355</v>
      </c>
      <c r="M274" s="6">
        <f>[1]Results!P1655</f>
        <v>10520.05796</v>
      </c>
      <c r="N274" s="6">
        <f>[1]Results!Q1655</f>
        <v>10778.796039999999</v>
      </c>
      <c r="O274" s="6">
        <f>[1]Results!R1655</f>
        <v>11006.55521</v>
      </c>
      <c r="P274" s="6">
        <f>[1]Results!S1655</f>
        <v>11210.919519999999</v>
      </c>
      <c r="Q274" s="6">
        <f>[1]Results!T1655</f>
        <v>11401.38947</v>
      </c>
      <c r="R274" s="6">
        <f>[1]Results!U1655</f>
        <v>11586.84663</v>
      </c>
      <c r="S274" s="6">
        <f>[1]Results!V1655</f>
        <v>11777.49899</v>
      </c>
      <c r="T274" s="6">
        <f>[1]Results!W1655</f>
        <v>11981.755069999999</v>
      </c>
      <c r="U274" s="6">
        <f>[1]Results!X1655</f>
        <v>12205.56331</v>
      </c>
      <c r="V274" s="6">
        <f>[1]Results!Y1655</f>
        <v>12452.068219999999</v>
      </c>
      <c r="W274" s="6">
        <f>[1]Results!Z1655</f>
        <v>12721.869989999999</v>
      </c>
      <c r="X274" s="6">
        <f>[1]Results!AA1655</f>
        <v>13018.17986</v>
      </c>
      <c r="Y274" s="6">
        <f>[1]Results!AB1655</f>
        <v>13343.36742</v>
      </c>
      <c r="Z274" s="6">
        <f>[1]Results!AC1655</f>
        <v>13698.822609999999</v>
      </c>
      <c r="AA274" s="6">
        <f>[1]Results!AD1655</f>
        <v>14084.12991</v>
      </c>
      <c r="AB274" s="6">
        <f>[1]Results!AE1655</f>
        <v>14494.09577</v>
      </c>
      <c r="AC274" s="6">
        <f>[1]Results!AF1655</f>
        <v>14931.47766</v>
      </c>
      <c r="AD274" s="6">
        <f>[1]Results!AG1655</f>
        <v>15398.56503</v>
      </c>
      <c r="AE274" s="6">
        <f>[1]Results!AH1655</f>
        <v>15896.348620000001</v>
      </c>
      <c r="AF274" s="6">
        <f>[1]Results!AI1655</f>
        <v>16421.911680000001</v>
      </c>
      <c r="AG274" s="6">
        <f>[1]Results!AJ1655</f>
        <v>16969.67296</v>
      </c>
      <c r="AH274" s="6">
        <f>[1]Results!AK1655</f>
        <v>17534.213530000001</v>
      </c>
      <c r="AI274" s="6">
        <f>[1]Results!AL1655</f>
        <v>18111.27058</v>
      </c>
      <c r="AJ274" s="6">
        <f>[1]Results!AM1655</f>
        <v>18697.22438</v>
      </c>
      <c r="AK274" s="6">
        <f>[1]Results!AN1655</f>
        <v>19288.665929999999</v>
      </c>
      <c r="AL274" s="6">
        <f>[1]Results!AO1655</f>
        <v>19882.145670000002</v>
      </c>
    </row>
    <row r="275" spans="1:38" x14ac:dyDescent="0.35">
      <c r="B275" t="s">
        <v>10</v>
      </c>
      <c r="C275" s="6">
        <f>[1]Results!F1660</f>
        <v>219508.55739999999</v>
      </c>
      <c r="D275" s="6">
        <f>[1]Results!G1660</f>
        <v>223116.7781</v>
      </c>
      <c r="E275" s="6">
        <f>[1]Results!H1660</f>
        <v>227553.2697</v>
      </c>
      <c r="F275" s="6">
        <f>[1]Results!I1660</f>
        <v>232616.18580000001</v>
      </c>
      <c r="G275" s="6">
        <f>[1]Results!J1660</f>
        <v>238237.49179999999</v>
      </c>
      <c r="H275" s="6">
        <f>[1]Results!K1660</f>
        <v>244321.37729999999</v>
      </c>
      <c r="I275" s="6">
        <f>[1]Results!L1660</f>
        <v>250664.71679999999</v>
      </c>
      <c r="J275" s="6">
        <f>[1]Results!M1660</f>
        <v>257216.12460000001</v>
      </c>
      <c r="K275" s="6">
        <f>[1]Results!N1660</f>
        <v>263971.95409999997</v>
      </c>
      <c r="L275" s="6">
        <f>[1]Results!O1660</f>
        <v>270946.46779999998</v>
      </c>
      <c r="M275" s="6">
        <f>[1]Results!P1660</f>
        <v>278162.1165</v>
      </c>
      <c r="N275" s="6">
        <f>[1]Results!Q1660</f>
        <v>285114.38809999998</v>
      </c>
      <c r="O275" s="6">
        <f>[1]Results!R1660</f>
        <v>291742.87670000002</v>
      </c>
      <c r="P275" s="6">
        <f>[1]Results!S1660</f>
        <v>298083.11379999999</v>
      </c>
      <c r="Q275" s="6">
        <f>[1]Results!T1660</f>
        <v>304211.14130000002</v>
      </c>
      <c r="R275" s="6">
        <f>[1]Results!U1660</f>
        <v>310216.87530000001</v>
      </c>
      <c r="S275" s="6">
        <f>[1]Results!V1660</f>
        <v>316283.22899999999</v>
      </c>
      <c r="T275" s="6">
        <f>[1]Results!W1660</f>
        <v>322549.6765</v>
      </c>
      <c r="U275" s="6">
        <f>[1]Results!X1660</f>
        <v>329106.6777</v>
      </c>
      <c r="V275" s="6">
        <f>[1]Results!Y1660</f>
        <v>336002.97830000002</v>
      </c>
      <c r="W275" s="6">
        <f>[1]Results!Z1660</f>
        <v>343179.78399999999</v>
      </c>
      <c r="X275" s="6">
        <f>[1]Results!AA1660</f>
        <v>350779.84830000001</v>
      </c>
      <c r="Y275" s="6">
        <f>[1]Results!AB1660</f>
        <v>358838.41210000002</v>
      </c>
      <c r="Z275" s="6">
        <f>[1]Results!AC1660</f>
        <v>367384.50459999999</v>
      </c>
      <c r="AA275" s="6">
        <f>[1]Results!AD1660</f>
        <v>376424.614</v>
      </c>
      <c r="AB275" s="6">
        <f>[1]Results!AE1660</f>
        <v>385686.74329999997</v>
      </c>
      <c r="AC275" s="6">
        <f>[1]Results!AF1660</f>
        <v>395384.94059999997</v>
      </c>
      <c r="AD275" s="6">
        <f>[1]Results!AG1660</f>
        <v>405568.34100000001</v>
      </c>
      <c r="AE275" s="6">
        <f>[1]Results!AH1660</f>
        <v>416279.93479999999</v>
      </c>
      <c r="AF275" s="6">
        <f>[1]Results!AI1660</f>
        <v>427529.19900000002</v>
      </c>
      <c r="AG275" s="6">
        <f>[1]Results!AJ1660</f>
        <v>439286.7023</v>
      </c>
      <c r="AH275" s="6">
        <f>[1]Results!AK1660</f>
        <v>451508.55829999998</v>
      </c>
      <c r="AI275" s="6">
        <f>[1]Results!AL1660</f>
        <v>464149.7096</v>
      </c>
      <c r="AJ275" s="6">
        <f>[1]Results!AM1660</f>
        <v>477162.0036</v>
      </c>
      <c r="AK275" s="6">
        <f>[1]Results!AN1660</f>
        <v>490491.56319999998</v>
      </c>
      <c r="AL275" s="6">
        <f>[1]Results!AO1660</f>
        <v>504077.02409999998</v>
      </c>
    </row>
    <row r="276" spans="1:38" x14ac:dyDescent="0.35">
      <c r="B276" t="s">
        <v>31</v>
      </c>
      <c r="C276" s="6">
        <f>[1]Results!F1663</f>
        <v>2246.6534470000001</v>
      </c>
      <c r="D276" s="6">
        <f>[1]Results!G1663</f>
        <v>2266.7999730000001</v>
      </c>
      <c r="E276" s="6">
        <f>[1]Results!H1663</f>
        <v>2286.6528010000002</v>
      </c>
      <c r="F276" s="6">
        <f>[1]Results!I1663</f>
        <v>2307.3812370000001</v>
      </c>
      <c r="G276" s="6">
        <f>[1]Results!J1663</f>
        <v>2333.393219</v>
      </c>
      <c r="H276" s="6">
        <f>[1]Results!K1663</f>
        <v>2365.6823730000001</v>
      </c>
      <c r="I276" s="6">
        <f>[1]Results!L1663</f>
        <v>2402.3456780000001</v>
      </c>
      <c r="J276" s="6">
        <f>[1]Results!M1663</f>
        <v>2441.4988149999999</v>
      </c>
      <c r="K276" s="6">
        <f>[1]Results!N1663</f>
        <v>2482.1345999999999</v>
      </c>
      <c r="L276" s="6">
        <f>[1]Results!O1663</f>
        <v>2523.810383</v>
      </c>
      <c r="M276" s="6">
        <f>[1]Results!P1663</f>
        <v>2565.5097190000001</v>
      </c>
      <c r="N276" s="6">
        <f>[1]Results!Q1663</f>
        <v>2602.800549</v>
      </c>
      <c r="O276" s="6">
        <f>[1]Results!R1663</f>
        <v>2635.0246029999998</v>
      </c>
      <c r="P276" s="6">
        <f>[1]Results!S1663</f>
        <v>2662.7331370000002</v>
      </c>
      <c r="Q276" s="6">
        <f>[1]Results!T1663</f>
        <v>2686.955324</v>
      </c>
      <c r="R276" s="6">
        <f>[1]Results!U1663</f>
        <v>2708.8068109999999</v>
      </c>
      <c r="S276" s="6">
        <f>[1]Results!V1663</f>
        <v>2730.4966359999999</v>
      </c>
      <c r="T276" s="6">
        <f>[1]Results!W1663</f>
        <v>2753.811831</v>
      </c>
      <c r="U276" s="6">
        <f>[1]Results!X1663</f>
        <v>2779.9115750000001</v>
      </c>
      <c r="V276" s="6">
        <f>[1]Results!Y1663</f>
        <v>2809.3954560000002</v>
      </c>
      <c r="W276" s="6">
        <f>[1]Results!Z1663</f>
        <v>2842.4012910000001</v>
      </c>
      <c r="X276" s="6">
        <f>[1]Results!AA1663</f>
        <v>2879.414119</v>
      </c>
      <c r="Y276" s="6">
        <f>[1]Results!AB1663</f>
        <v>2920.8421990000002</v>
      </c>
      <c r="Z276" s="6">
        <f>[1]Results!AC1663</f>
        <v>2967.0180249999999</v>
      </c>
      <c r="AA276" s="6">
        <f>[1]Results!AD1663</f>
        <v>3018.1121469999998</v>
      </c>
      <c r="AB276" s="6">
        <f>[1]Results!AE1663</f>
        <v>3073.6417040000001</v>
      </c>
      <c r="AC276" s="6">
        <f>[1]Results!AF1663</f>
        <v>3134.138273</v>
      </c>
      <c r="AD276" s="6">
        <f>[1]Results!AG1663</f>
        <v>3200.11123</v>
      </c>
      <c r="AE276" s="6">
        <f>[1]Results!AH1663</f>
        <v>3271.8819210000001</v>
      </c>
      <c r="AF276" s="6">
        <f>[1]Results!AI1663</f>
        <v>3349.2415179999998</v>
      </c>
      <c r="AG276" s="6">
        <f>[1]Results!AJ1663</f>
        <v>3431.558751</v>
      </c>
      <c r="AH276" s="6">
        <f>[1]Results!AK1663</f>
        <v>3518.0964840000001</v>
      </c>
      <c r="AI276" s="6">
        <f>[1]Results!AL1663</f>
        <v>3608.151406</v>
      </c>
      <c r="AJ276" s="6">
        <f>[1]Results!AM1663</f>
        <v>3701.0265089999998</v>
      </c>
      <c r="AK276" s="6">
        <f>[1]Results!AN1663</f>
        <v>3795.9929590000002</v>
      </c>
      <c r="AL276" s="6">
        <f>[1]Results!AO1663</f>
        <v>3892.2653180000002</v>
      </c>
    </row>
    <row r="277" spans="1:38" x14ac:dyDescent="0.35">
      <c r="B277" t="s">
        <v>33</v>
      </c>
      <c r="C277" s="6">
        <f>[1]Results!F1668</f>
        <v>3650.1624750000001</v>
      </c>
      <c r="D277" s="6">
        <f>[1]Results!G1668</f>
        <v>3703.8587440000001</v>
      </c>
      <c r="E277" s="6">
        <f>[1]Results!H1668</f>
        <v>3760.0630350000001</v>
      </c>
      <c r="F277" s="6">
        <f>[1]Results!I1668</f>
        <v>3821.1244190000002</v>
      </c>
      <c r="G277" s="6">
        <f>[1]Results!J1668</f>
        <v>3881.3011879999999</v>
      </c>
      <c r="H277" s="6">
        <f>[1]Results!K1668</f>
        <v>3942.2400729999999</v>
      </c>
      <c r="I277" s="6">
        <f>[1]Results!L1668</f>
        <v>4005.692153</v>
      </c>
      <c r="J277" s="6">
        <f>[1]Results!M1668</f>
        <v>4072.3525989999998</v>
      </c>
      <c r="K277" s="6">
        <f>[1]Results!N1668</f>
        <v>4141.5419879999999</v>
      </c>
      <c r="L277" s="6">
        <f>[1]Results!O1668</f>
        <v>4212.5260090000002</v>
      </c>
      <c r="M277" s="6">
        <f>[1]Results!P1668</f>
        <v>4284.0594380000002</v>
      </c>
      <c r="N277" s="6">
        <f>[1]Results!Q1668</f>
        <v>4347.6385899999996</v>
      </c>
      <c r="O277" s="6">
        <f>[1]Results!R1668</f>
        <v>4401.3853790000003</v>
      </c>
      <c r="P277" s="6">
        <f>[1]Results!S1668</f>
        <v>4445.9679470000001</v>
      </c>
      <c r="Q277" s="6">
        <f>[1]Results!T1668</f>
        <v>4483.3377909999999</v>
      </c>
      <c r="R277" s="6">
        <f>[1]Results!U1668</f>
        <v>4515.92875</v>
      </c>
      <c r="S277" s="6">
        <f>[1]Results!V1668</f>
        <v>4545.5457720000004</v>
      </c>
      <c r="T277" s="6">
        <f>[1]Results!W1668</f>
        <v>4574.99694</v>
      </c>
      <c r="U277" s="6">
        <f>[1]Results!X1668</f>
        <v>4607.0805110000001</v>
      </c>
      <c r="V277" s="6">
        <f>[1]Results!Y1668</f>
        <v>4643.8964900000001</v>
      </c>
      <c r="W277" s="6">
        <f>[1]Results!Z1668</f>
        <v>4686.2457549999999</v>
      </c>
      <c r="X277" s="6">
        <f>[1]Results!AA1668</f>
        <v>4736.400181</v>
      </c>
      <c r="Y277" s="6">
        <f>[1]Results!AB1668</f>
        <v>4795.7040989999996</v>
      </c>
      <c r="Z277" s="6">
        <f>[1]Results!AC1668</f>
        <v>4865.0751540000001</v>
      </c>
      <c r="AA277" s="6">
        <f>[1]Results!AD1668</f>
        <v>4945.0575559999997</v>
      </c>
      <c r="AB277" s="6">
        <f>[1]Results!AE1668</f>
        <v>5033.673941</v>
      </c>
      <c r="AC277" s="6">
        <f>[1]Results!AF1668</f>
        <v>5132.867373</v>
      </c>
      <c r="AD277" s="6">
        <f>[1]Results!AG1668</f>
        <v>5243.563204</v>
      </c>
      <c r="AE277" s="6">
        <f>[1]Results!AH1668</f>
        <v>5366.080046</v>
      </c>
      <c r="AF277" s="6">
        <f>[1]Results!AI1668</f>
        <v>5499.6860070000002</v>
      </c>
      <c r="AG277" s="6">
        <f>[1]Results!AJ1668</f>
        <v>5642.8440689999998</v>
      </c>
      <c r="AH277" s="6">
        <f>[1]Results!AK1668</f>
        <v>5793.7774719999998</v>
      </c>
      <c r="AI277" s="6">
        <f>[1]Results!AL1668</f>
        <v>5950.7749739999999</v>
      </c>
      <c r="AJ277" s="6">
        <f>[1]Results!AM1668</f>
        <v>6112.1986150000002</v>
      </c>
      <c r="AK277" s="6">
        <f>[1]Results!AN1668</f>
        <v>6276.4455429999998</v>
      </c>
      <c r="AL277" s="6">
        <f>[1]Results!AO1668</f>
        <v>6441.924841</v>
      </c>
    </row>
    <row r="279" spans="1:38" x14ac:dyDescent="0.35">
      <c r="A279" s="12" t="s">
        <v>21</v>
      </c>
      <c r="B279" t="s">
        <v>26</v>
      </c>
      <c r="C279" s="4">
        <f>C263/C271-1</f>
        <v>0</v>
      </c>
      <c r="D279" s="4">
        <f t="shared" ref="D279:AK279" si="52">D263/D271-1</f>
        <v>0</v>
      </c>
      <c r="E279" s="4">
        <f t="shared" si="52"/>
        <v>2.0359447461260061E-10</v>
      </c>
      <c r="F279" s="4">
        <f t="shared" si="52"/>
        <v>0</v>
      </c>
      <c r="G279" s="4">
        <f t="shared" si="52"/>
        <v>1.9386559024781036E-10</v>
      </c>
      <c r="H279" s="4">
        <f t="shared" si="52"/>
        <v>1.8872303719774663E-10</v>
      </c>
      <c r="I279" s="4">
        <f t="shared" si="52"/>
        <v>1.8359536113621289E-10</v>
      </c>
      <c r="J279" s="4">
        <f t="shared" si="52"/>
        <v>-2.4639261326813156E-3</v>
      </c>
      <c r="K279" s="4">
        <f t="shared" si="52"/>
        <v>-5.6039235069299531E-3</v>
      </c>
      <c r="L279" s="4">
        <f t="shared" si="52"/>
        <v>-6.2450491734400426E-3</v>
      </c>
      <c r="M279" s="4">
        <f t="shared" si="52"/>
        <v>-5.5487822657860342E-3</v>
      </c>
      <c r="N279" s="4">
        <f t="shared" si="52"/>
        <v>-4.1506051238668906E-3</v>
      </c>
      <c r="O279" s="4">
        <f t="shared" si="52"/>
        <v>-2.5106858702049761E-3</v>
      </c>
      <c r="P279" s="4">
        <f t="shared" si="52"/>
        <v>-7.2505532164079955E-4</v>
      </c>
      <c r="Q279" s="4">
        <f t="shared" si="52"/>
        <v>1.3372920631680163E-3</v>
      </c>
      <c r="R279" s="4">
        <f t="shared" si="52"/>
        <v>3.7383321552391102E-3</v>
      </c>
      <c r="S279" s="4">
        <f t="shared" si="52"/>
        <v>6.0742294394748875E-3</v>
      </c>
      <c r="T279" s="4">
        <f t="shared" si="52"/>
        <v>8.3280594028463106E-3</v>
      </c>
      <c r="U279" s="4">
        <f t="shared" si="52"/>
        <v>1.0573680425674858E-2</v>
      </c>
      <c r="V279" s="4">
        <f t="shared" si="52"/>
        <v>1.2911986336348935E-2</v>
      </c>
      <c r="W279" s="4">
        <f t="shared" si="52"/>
        <v>1.543795141960902E-2</v>
      </c>
      <c r="X279" s="4">
        <f t="shared" si="52"/>
        <v>1.8217861650045686E-2</v>
      </c>
      <c r="Y279" s="4">
        <f t="shared" si="52"/>
        <v>2.1304579647748678E-2</v>
      </c>
      <c r="Z279" s="4">
        <f t="shared" si="52"/>
        <v>2.4754885011046168E-2</v>
      </c>
      <c r="AA279" s="4">
        <f t="shared" si="52"/>
        <v>2.8623726340438527E-2</v>
      </c>
      <c r="AB279" s="4">
        <f t="shared" si="52"/>
        <v>3.2954473901510628E-2</v>
      </c>
      <c r="AC279" s="4">
        <f t="shared" si="52"/>
        <v>3.7781108619682424E-2</v>
      </c>
      <c r="AD279" s="4">
        <f t="shared" si="52"/>
        <v>4.3059914049258019E-2</v>
      </c>
      <c r="AE279" s="4">
        <f t="shared" si="52"/>
        <v>4.8805192133639652E-2</v>
      </c>
      <c r="AF279" s="4">
        <f t="shared" si="52"/>
        <v>5.5059792974982091E-2</v>
      </c>
      <c r="AG279" s="4">
        <f t="shared" si="52"/>
        <v>6.1878493138212143E-2</v>
      </c>
      <c r="AH279" s="4">
        <f t="shared" si="52"/>
        <v>6.9308078589207289E-2</v>
      </c>
      <c r="AI279" s="4">
        <f>AI263/AI271-1</f>
        <v>7.7401623641370376E-2</v>
      </c>
      <c r="AJ279" s="4">
        <f t="shared" si="52"/>
        <v>8.625113385495542E-2</v>
      </c>
      <c r="AK279" s="4">
        <f t="shared" si="52"/>
        <v>9.5987157859937167E-2</v>
      </c>
      <c r="AL279" s="4">
        <f>AL263/AL271-1</f>
        <v>0.10678234469208592</v>
      </c>
    </row>
    <row r="280" spans="1:38" x14ac:dyDescent="0.35">
      <c r="A280" t="s">
        <v>88</v>
      </c>
      <c r="B280" t="s">
        <v>7</v>
      </c>
      <c r="C280" s="4">
        <f>(C264-C272)/C$271</f>
        <v>0</v>
      </c>
      <c r="D280" s="4">
        <f t="shared" ref="D280:AL280" si="53">(D264-D272)/D$271</f>
        <v>2.0791930614035877E-12</v>
      </c>
      <c r="E280" s="4">
        <f t="shared" si="53"/>
        <v>0</v>
      </c>
      <c r="F280" s="4">
        <f t="shared" si="53"/>
        <v>1.9886192311208041E-12</v>
      </c>
      <c r="G280" s="4">
        <f t="shared" si="53"/>
        <v>1.9386561184537144E-12</v>
      </c>
      <c r="H280" s="4">
        <f t="shared" si="53"/>
        <v>1.8872321746585722E-12</v>
      </c>
      <c r="I280" s="4">
        <f t="shared" si="53"/>
        <v>1.8359544160347182E-12</v>
      </c>
      <c r="J280" s="4">
        <f t="shared" si="53"/>
        <v>3.5208182858184388E-6</v>
      </c>
      <c r="K280" s="4">
        <f t="shared" si="53"/>
        <v>9.3126387167810523E-6</v>
      </c>
      <c r="L280" s="4">
        <f t="shared" si="53"/>
        <v>4.9176136987138008E-5</v>
      </c>
      <c r="M280" s="4">
        <f t="shared" si="53"/>
        <v>1.06899095300668E-4</v>
      </c>
      <c r="N280" s="4">
        <f t="shared" si="53"/>
        <v>1.6341807294118266E-4</v>
      </c>
      <c r="O280" s="4">
        <f t="shared" si="53"/>
        <v>2.1576911999865903E-4</v>
      </c>
      <c r="P280" s="4">
        <f t="shared" si="53"/>
        <v>2.6436401735808638E-4</v>
      </c>
      <c r="Q280" s="4">
        <f t="shared" si="53"/>
        <v>3.1112459099887573E-4</v>
      </c>
      <c r="R280" s="4">
        <f t="shared" si="53"/>
        <v>3.5653938370358492E-4</v>
      </c>
      <c r="S280" s="4">
        <f t="shared" si="53"/>
        <v>4.0376933053156284E-4</v>
      </c>
      <c r="T280" s="4">
        <f t="shared" si="53"/>
        <v>4.5007318055118121E-4</v>
      </c>
      <c r="U280" s="4">
        <f t="shared" si="53"/>
        <v>4.9422516927274181E-4</v>
      </c>
      <c r="V280" s="4">
        <f t="shared" si="53"/>
        <v>5.3571363668236194E-4</v>
      </c>
      <c r="W280" s="4">
        <f t="shared" si="53"/>
        <v>5.7418580869645242E-4</v>
      </c>
      <c r="X280" s="4">
        <f t="shared" si="53"/>
        <v>6.0912746319982734E-4</v>
      </c>
      <c r="Y280" s="4">
        <f t="shared" si="53"/>
        <v>6.4009550433059348E-4</v>
      </c>
      <c r="Z280" s="4">
        <f t="shared" si="53"/>
        <v>6.6685766845596352E-4</v>
      </c>
      <c r="AA280" s="4">
        <f t="shared" si="53"/>
        <v>6.8916939922470972E-4</v>
      </c>
      <c r="AB280" s="4">
        <f t="shared" si="53"/>
        <v>7.0658502258835916E-4</v>
      </c>
      <c r="AC280" s="4">
        <f t="shared" si="53"/>
        <v>7.1693078094097308E-4</v>
      </c>
      <c r="AD280" s="4">
        <f t="shared" si="53"/>
        <v>7.1996972263397999E-4</v>
      </c>
      <c r="AE280" s="4">
        <f t="shared" si="53"/>
        <v>7.1591641651398469E-4</v>
      </c>
      <c r="AF280" s="4">
        <f t="shared" si="53"/>
        <v>7.0500767837923756E-4</v>
      </c>
      <c r="AG280" s="4">
        <f t="shared" si="53"/>
        <v>6.873083038281525E-4</v>
      </c>
      <c r="AH280" s="4">
        <f t="shared" si="53"/>
        <v>6.6248237967456343E-4</v>
      </c>
      <c r="AI280" s="4">
        <f t="shared" si="53"/>
        <v>6.3003822165078841E-4</v>
      </c>
      <c r="AJ280" s="4">
        <f t="shared" si="53"/>
        <v>5.8968062522558754E-4</v>
      </c>
      <c r="AK280" s="4">
        <f t="shared" si="53"/>
        <v>5.4109523193206937E-4</v>
      </c>
      <c r="AL280" s="4">
        <f t="shared" si="53"/>
        <v>4.8382032067980735E-4</v>
      </c>
    </row>
    <row r="281" spans="1:38" x14ac:dyDescent="0.35">
      <c r="B281" t="s">
        <v>30</v>
      </c>
      <c r="C281" s="4">
        <f t="shared" ref="C281:AL281" si="54">(C265-C273)/C$271</f>
        <v>0</v>
      </c>
      <c r="D281" s="4">
        <f t="shared" si="54"/>
        <v>0</v>
      </c>
      <c r="E281" s="4">
        <f t="shared" si="54"/>
        <v>0</v>
      </c>
      <c r="F281" s="4">
        <f t="shared" si="54"/>
        <v>0</v>
      </c>
      <c r="G281" s="4">
        <f t="shared" si="54"/>
        <v>1.9386549900077165E-10</v>
      </c>
      <c r="H281" s="4">
        <f t="shared" si="54"/>
        <v>0</v>
      </c>
      <c r="I281" s="4">
        <f t="shared" si="54"/>
        <v>1.8359538817018385E-10</v>
      </c>
      <c r="J281" s="4">
        <f t="shared" si="54"/>
        <v>-1.4228728671718521E-3</v>
      </c>
      <c r="K281" s="4">
        <f t="shared" si="54"/>
        <v>-3.3221590537903171E-3</v>
      </c>
      <c r="L281" s="4">
        <f t="shared" si="54"/>
        <v>-3.898684012286512E-3</v>
      </c>
      <c r="M281" s="4">
        <f t="shared" si="54"/>
        <v>-3.8128968577432571E-3</v>
      </c>
      <c r="N281" s="4">
        <f t="shared" si="54"/>
        <v>-3.3846319743593956E-3</v>
      </c>
      <c r="O281" s="4">
        <f t="shared" si="54"/>
        <v>-2.8347411430765124E-3</v>
      </c>
      <c r="P281" s="4">
        <f t="shared" si="54"/>
        <v>-2.1862162911078817E-3</v>
      </c>
      <c r="Q281" s="4">
        <f t="shared" si="54"/>
        <v>-1.3390395509346802E-3</v>
      </c>
      <c r="R281" s="4">
        <f t="shared" si="54"/>
        <v>-2.3966338037401114E-4</v>
      </c>
      <c r="S281" s="4">
        <f t="shared" si="54"/>
        <v>8.8110239147717265E-4</v>
      </c>
      <c r="T281" s="4">
        <f t="shared" si="54"/>
        <v>2.0193723852938049E-3</v>
      </c>
      <c r="U281" s="4">
        <f t="shared" si="54"/>
        <v>3.2169665056051813E-3</v>
      </c>
      <c r="V281" s="4">
        <f t="shared" si="54"/>
        <v>4.5311616029617557E-3</v>
      </c>
      <c r="W281" s="4">
        <f t="shared" si="54"/>
        <v>6.0192400732114147E-3</v>
      </c>
      <c r="X281" s="4">
        <f t="shared" si="54"/>
        <v>7.7261293488935685E-3</v>
      </c>
      <c r="Y281" s="4">
        <f t="shared" si="54"/>
        <v>9.6881597649002092E-3</v>
      </c>
      <c r="Z281" s="4">
        <f t="shared" si="54"/>
        <v>1.194238328375271E-2</v>
      </c>
      <c r="AA281" s="4">
        <f t="shared" si="54"/>
        <v>1.4525979752708916E-2</v>
      </c>
      <c r="AB281" s="4">
        <f t="shared" si="54"/>
        <v>1.747229987806111E-2</v>
      </c>
      <c r="AC281" s="4">
        <f t="shared" si="54"/>
        <v>2.0816491254010111E-2</v>
      </c>
      <c r="AD281" s="4">
        <f t="shared" si="54"/>
        <v>2.4528095339177176E-2</v>
      </c>
      <c r="AE281" s="4">
        <f t="shared" si="54"/>
        <v>2.8604300085523265E-2</v>
      </c>
      <c r="AF281" s="4">
        <f t="shared" si="54"/>
        <v>3.3061666402828448E-2</v>
      </c>
      <c r="AG281" s="4">
        <f t="shared" si="54"/>
        <v>3.7927768101775061E-2</v>
      </c>
      <c r="AH281" s="4">
        <f t="shared" si="54"/>
        <v>4.3228111722897901E-2</v>
      </c>
      <c r="AI281" s="4">
        <f t="shared" si="54"/>
        <v>4.8989648443514965E-2</v>
      </c>
      <c r="AJ281" s="4">
        <f t="shared" si="54"/>
        <v>5.5257996979006435E-2</v>
      </c>
      <c r="AK281" s="4">
        <f t="shared" si="54"/>
        <v>6.2100607527576811E-2</v>
      </c>
      <c r="AL281" s="4">
        <f t="shared" si="54"/>
        <v>6.9609153827306564E-2</v>
      </c>
    </row>
    <row r="282" spans="1:38" x14ac:dyDescent="0.35">
      <c r="B282" t="s">
        <v>28</v>
      </c>
      <c r="C282" s="4">
        <f t="shared" ref="C282:AL282" si="55">(C266-C274)/C$271</f>
        <v>0</v>
      </c>
      <c r="D282" s="4">
        <f t="shared" si="55"/>
        <v>-2.0791911703891547E-12</v>
      </c>
      <c r="E282" s="4">
        <f t="shared" si="55"/>
        <v>0</v>
      </c>
      <c r="F282" s="4">
        <f t="shared" si="55"/>
        <v>-1.988621039760491E-12</v>
      </c>
      <c r="G282" s="4">
        <f t="shared" si="55"/>
        <v>-3.8773122369074287E-12</v>
      </c>
      <c r="H282" s="4">
        <f t="shared" si="55"/>
        <v>-3.7744609164629793E-12</v>
      </c>
      <c r="I282" s="4">
        <f t="shared" si="55"/>
        <v>-3.6719088320694365E-12</v>
      </c>
      <c r="J282" s="4">
        <f t="shared" si="55"/>
        <v>-4.8790103092581915E-5</v>
      </c>
      <c r="K282" s="4">
        <f t="shared" si="55"/>
        <v>-9.2167761641819424E-5</v>
      </c>
      <c r="L282" s="4">
        <f t="shared" si="55"/>
        <v>-2.8971787188031076E-5</v>
      </c>
      <c r="M282" s="4">
        <f t="shared" si="55"/>
        <v>8.9215902319411428E-5</v>
      </c>
      <c r="N282" s="4">
        <f t="shared" si="55"/>
        <v>2.2669516451082495E-4</v>
      </c>
      <c r="O282" s="4">
        <f t="shared" si="55"/>
        <v>3.5666812975500213E-4</v>
      </c>
      <c r="P282" s="4">
        <f t="shared" si="55"/>
        <v>4.7063241978594273E-4</v>
      </c>
      <c r="Q282" s="4">
        <f t="shared" si="55"/>
        <v>5.7130487123092683E-4</v>
      </c>
      <c r="R282" s="4">
        <f t="shared" si="55"/>
        <v>6.5978037298660363E-4</v>
      </c>
      <c r="S282" s="4">
        <f t="shared" si="55"/>
        <v>7.373967826852021E-4</v>
      </c>
      <c r="T282" s="4">
        <f t="shared" si="55"/>
        <v>8.0566645365395676E-4</v>
      </c>
      <c r="U282" s="4">
        <f t="shared" si="55"/>
        <v>8.6773714801278393E-4</v>
      </c>
      <c r="V282" s="4">
        <f t="shared" si="55"/>
        <v>9.2605811849757883E-4</v>
      </c>
      <c r="W282" s="4">
        <f t="shared" si="55"/>
        <v>9.8249467142725775E-4</v>
      </c>
      <c r="X282" s="4">
        <f t="shared" si="55"/>
        <v>1.0389380615223589E-3</v>
      </c>
      <c r="Y282" s="4">
        <f t="shared" si="55"/>
        <v>1.0972217401150476E-3</v>
      </c>
      <c r="Z282" s="4">
        <f t="shared" si="55"/>
        <v>1.1572053800019753E-3</v>
      </c>
      <c r="AA282" s="4">
        <f t="shared" si="55"/>
        <v>1.2174572945861321E-3</v>
      </c>
      <c r="AB282" s="4">
        <f t="shared" si="55"/>
        <v>1.2766260141474335E-3</v>
      </c>
      <c r="AC282" s="4">
        <f t="shared" si="55"/>
        <v>1.3367572983983647E-3</v>
      </c>
      <c r="AD282" s="4">
        <f t="shared" si="55"/>
        <v>1.4028011568365537E-3</v>
      </c>
      <c r="AE282" s="4">
        <f t="shared" si="55"/>
        <v>1.4761100184120083E-3</v>
      </c>
      <c r="AF282" s="4">
        <f t="shared" si="55"/>
        <v>1.5554756832334791E-3</v>
      </c>
      <c r="AG282" s="4">
        <f t="shared" si="55"/>
        <v>1.638784041511769E-3</v>
      </c>
      <c r="AH282" s="4">
        <f t="shared" si="55"/>
        <v>1.7257190704439611E-3</v>
      </c>
      <c r="AI282" s="4">
        <f t="shared" si="55"/>
        <v>1.8177969913143637E-3</v>
      </c>
      <c r="AJ282" s="4">
        <f t="shared" si="55"/>
        <v>1.915386894760568E-3</v>
      </c>
      <c r="AK282" s="4">
        <f t="shared" si="55"/>
        <v>2.0178651059699678E-3</v>
      </c>
      <c r="AL282" s="4">
        <f t="shared" si="55"/>
        <v>2.1241483459653425E-3</v>
      </c>
    </row>
    <row r="283" spans="1:38" x14ac:dyDescent="0.35">
      <c r="B283" t="s">
        <v>10</v>
      </c>
      <c r="C283" s="4">
        <f t="shared" ref="C283:AL283" si="56">(C267-C275)/C$271</f>
        <v>0</v>
      </c>
      <c r="D283" s="4">
        <f t="shared" si="56"/>
        <v>0</v>
      </c>
      <c r="E283" s="4">
        <f t="shared" si="56"/>
        <v>0</v>
      </c>
      <c r="F283" s="4">
        <f t="shared" si="56"/>
        <v>1.9886204609957913E-10</v>
      </c>
      <c r="G283" s="4">
        <f t="shared" si="56"/>
        <v>0</v>
      </c>
      <c r="H283" s="4">
        <f t="shared" si="56"/>
        <v>0</v>
      </c>
      <c r="I283" s="4">
        <f t="shared" si="56"/>
        <v>1.8359538817018385E-10</v>
      </c>
      <c r="J283" s="4">
        <f t="shared" si="56"/>
        <v>-1.1072848969187385E-3</v>
      </c>
      <c r="K283" s="4">
        <f t="shared" si="56"/>
        <v>-2.4840857015471789E-3</v>
      </c>
      <c r="L283" s="4">
        <f t="shared" si="56"/>
        <v>-2.8914512117975246E-3</v>
      </c>
      <c r="M283" s="4">
        <f t="shared" si="56"/>
        <v>-2.7370172939591123E-3</v>
      </c>
      <c r="N283" s="4">
        <f t="shared" si="56"/>
        <v>-2.2586935110431258E-3</v>
      </c>
      <c r="O283" s="4">
        <f t="shared" si="56"/>
        <v>-1.6635155974580023E-3</v>
      </c>
      <c r="P283" s="4">
        <f t="shared" si="56"/>
        <v>-1.0207021799555438E-3</v>
      </c>
      <c r="Q283" s="4">
        <f t="shared" si="56"/>
        <v>-3.0939026348998785E-4</v>
      </c>
      <c r="R283" s="4">
        <f t="shared" si="56"/>
        <v>4.7460765201241605E-4</v>
      </c>
      <c r="S283" s="4">
        <f t="shared" si="56"/>
        <v>1.156568693229206E-3</v>
      </c>
      <c r="T283" s="4">
        <f t="shared" si="56"/>
        <v>1.7234415315105702E-3</v>
      </c>
      <c r="U283" s="4">
        <f t="shared" si="56"/>
        <v>2.20599822584793E-3</v>
      </c>
      <c r="V283" s="4">
        <f t="shared" si="56"/>
        <v>2.6452304644447536E-3</v>
      </c>
      <c r="W283" s="4">
        <f t="shared" si="56"/>
        <v>3.0747182623076259E-3</v>
      </c>
      <c r="X283" s="4">
        <f t="shared" si="56"/>
        <v>3.5108712449536039E-3</v>
      </c>
      <c r="Y283" s="4">
        <f t="shared" si="56"/>
        <v>3.963692919051757E-3</v>
      </c>
      <c r="Z283" s="4">
        <f t="shared" si="56"/>
        <v>4.4476325893770385E-3</v>
      </c>
      <c r="AA283" s="4">
        <f t="shared" si="56"/>
        <v>4.9755131133145079E-3</v>
      </c>
      <c r="AB283" s="4">
        <f t="shared" si="56"/>
        <v>5.5501518759219493E-3</v>
      </c>
      <c r="AC283" s="4">
        <f t="shared" si="56"/>
        <v>6.1582529638144253E-3</v>
      </c>
      <c r="AD283" s="4">
        <f t="shared" si="56"/>
        <v>6.7689228004279072E-3</v>
      </c>
      <c r="AE283" s="4">
        <f t="shared" si="56"/>
        <v>7.3832109902627696E-3</v>
      </c>
      <c r="AF283" s="4">
        <f t="shared" si="56"/>
        <v>8.0120362458746854E-3</v>
      </c>
      <c r="AG283" s="4">
        <f t="shared" si="56"/>
        <v>8.6654565434257803E-3</v>
      </c>
      <c r="AH283" s="4">
        <f t="shared" si="56"/>
        <v>9.3413622651497535E-3</v>
      </c>
      <c r="AI283" s="4">
        <f t="shared" si="56"/>
        <v>1.0034023437785776E-2</v>
      </c>
      <c r="AJ283" s="4">
        <f t="shared" si="56"/>
        <v>1.0750928935621944E-2</v>
      </c>
      <c r="AK283" s="4">
        <f t="shared" si="56"/>
        <v>1.1506188317440243E-2</v>
      </c>
      <c r="AL283" s="4">
        <f t="shared" si="56"/>
        <v>1.2316412584607689E-2</v>
      </c>
    </row>
    <row r="284" spans="1:38" x14ac:dyDescent="0.35">
      <c r="B284" t="s">
        <v>31</v>
      </c>
      <c r="C284" s="4">
        <f t="shared" ref="C284:AL284" si="57">(C268-C276)/C$271</f>
        <v>2.1153372670933915E-12</v>
      </c>
      <c r="D284" s="4">
        <f t="shared" si="57"/>
        <v>4.1583842317927429E-12</v>
      </c>
      <c r="E284" s="4">
        <f t="shared" si="57"/>
        <v>4.0718873669664688E-12</v>
      </c>
      <c r="F284" s="4">
        <f t="shared" si="57"/>
        <v>1.9886201354406476E-12</v>
      </c>
      <c r="G284" s="4">
        <f t="shared" si="57"/>
        <v>1.9386552368552784E-12</v>
      </c>
      <c r="H284" s="4">
        <f t="shared" si="57"/>
        <v>1.8872313164450309E-12</v>
      </c>
      <c r="I284" s="4">
        <f t="shared" si="57"/>
        <v>1.8359535811395939E-12</v>
      </c>
      <c r="J284" s="4">
        <f t="shared" si="57"/>
        <v>-2.5854833552947755E-5</v>
      </c>
      <c r="K284" s="4">
        <f t="shared" si="57"/>
        <v>-5.9065444971447931E-5</v>
      </c>
      <c r="L284" s="4">
        <f t="shared" si="57"/>
        <v>-8.0468683633859675E-5</v>
      </c>
      <c r="M284" s="4">
        <f t="shared" si="57"/>
        <v>-9.3611011437781409E-5</v>
      </c>
      <c r="N284" s="4">
        <f t="shared" si="57"/>
        <v>-9.7809247696891831E-5</v>
      </c>
      <c r="O284" s="4">
        <f t="shared" si="57"/>
        <v>-9.4141976742538879E-5</v>
      </c>
      <c r="P284" s="4">
        <f t="shared" si="57"/>
        <v>-8.3109711234022842E-5</v>
      </c>
      <c r="Q284" s="4">
        <f t="shared" si="57"/>
        <v>-6.4640738962022342E-5</v>
      </c>
      <c r="R284" s="4">
        <f t="shared" si="57"/>
        <v>-3.9235506894268421E-5</v>
      </c>
      <c r="S284" s="4">
        <f t="shared" si="57"/>
        <v>-1.2255307578056156E-5</v>
      </c>
      <c r="T284" s="4">
        <f t="shared" si="57"/>
        <v>1.6014672356967925E-5</v>
      </c>
      <c r="U284" s="4">
        <f t="shared" si="57"/>
        <v>4.5481456879792944E-5</v>
      </c>
      <c r="V284" s="4">
        <f t="shared" si="57"/>
        <v>7.6186842995601037E-5</v>
      </c>
      <c r="W284" s="4">
        <f t="shared" si="57"/>
        <v>1.0823852340125853E-4</v>
      </c>
      <c r="X284" s="4">
        <f t="shared" si="57"/>
        <v>1.4167684817211282E-4</v>
      </c>
      <c r="Y284" s="4">
        <f t="shared" si="57"/>
        <v>1.7651957934518078E-4</v>
      </c>
      <c r="Z284" s="4">
        <f t="shared" si="57"/>
        <v>2.1268500141651667E-4</v>
      </c>
      <c r="AA284" s="4">
        <f t="shared" si="57"/>
        <v>2.5008486387224986E-4</v>
      </c>
      <c r="AB284" s="4">
        <f t="shared" si="57"/>
        <v>2.888051440471421E-4</v>
      </c>
      <c r="AC284" s="4">
        <f t="shared" si="57"/>
        <v>3.2939405650218574E-4</v>
      </c>
      <c r="AD284" s="4">
        <f t="shared" si="57"/>
        <v>3.7180497968698355E-4</v>
      </c>
      <c r="AE284" s="4">
        <f t="shared" si="57"/>
        <v>4.1621266708977167E-4</v>
      </c>
      <c r="AF284" s="4">
        <f t="shared" si="57"/>
        <v>4.6295840857420249E-4</v>
      </c>
      <c r="AG284" s="4">
        <f t="shared" si="57"/>
        <v>5.1255630301119985E-4</v>
      </c>
      <c r="AH284" s="4">
        <f t="shared" si="57"/>
        <v>5.6574833814532937E-4</v>
      </c>
      <c r="AI284" s="4">
        <f t="shared" si="57"/>
        <v>6.2354356945530903E-4</v>
      </c>
      <c r="AJ284" s="4">
        <f t="shared" si="57"/>
        <v>6.8720098682309731E-4</v>
      </c>
      <c r="AK284" s="4">
        <f t="shared" si="57"/>
        <v>7.5838116141980073E-4</v>
      </c>
      <c r="AL284" s="4">
        <f t="shared" si="57"/>
        <v>8.3944439315621598E-4</v>
      </c>
    </row>
    <row r="285" spans="1:38" x14ac:dyDescent="0.35">
      <c r="B285" t="s">
        <v>33</v>
      </c>
      <c r="C285" s="4">
        <f t="shared" ref="C285:AL285" si="58">(C269-C277)/C$271</f>
        <v>0</v>
      </c>
      <c r="D285" s="4">
        <f t="shared" si="58"/>
        <v>2.0791921158963714E-12</v>
      </c>
      <c r="E285" s="4">
        <f t="shared" si="58"/>
        <v>2.0359436834832344E-12</v>
      </c>
      <c r="F285" s="4">
        <f t="shared" si="58"/>
        <v>0</v>
      </c>
      <c r="G285" s="4">
        <f t="shared" si="58"/>
        <v>0</v>
      </c>
      <c r="H285" s="4">
        <f t="shared" si="58"/>
        <v>1.8872313164450309E-12</v>
      </c>
      <c r="I285" s="4">
        <f t="shared" si="58"/>
        <v>0</v>
      </c>
      <c r="J285" s="4">
        <f t="shared" si="58"/>
        <v>1.3735585332135824E-4</v>
      </c>
      <c r="K285" s="4">
        <f t="shared" si="58"/>
        <v>3.4424194300664056E-4</v>
      </c>
      <c r="L285" s="4">
        <f t="shared" si="58"/>
        <v>6.0535035749176931E-4</v>
      </c>
      <c r="M285" s="4">
        <f t="shared" si="58"/>
        <v>8.9862791284391215E-4</v>
      </c>
      <c r="N285" s="4">
        <f t="shared" si="58"/>
        <v>1.2004163478608787E-3</v>
      </c>
      <c r="O285" s="4">
        <f t="shared" si="58"/>
        <v>1.5092757511953403E-3</v>
      </c>
      <c r="P285" s="4">
        <f t="shared" si="58"/>
        <v>1.829976391653741E-3</v>
      </c>
      <c r="Q285" s="4">
        <f t="shared" si="58"/>
        <v>2.1679331424674228E-3</v>
      </c>
      <c r="R285" s="4">
        <f t="shared" si="58"/>
        <v>2.5263036135205448E-3</v>
      </c>
      <c r="S285" s="4">
        <f t="shared" si="58"/>
        <v>2.9076475576271816E-3</v>
      </c>
      <c r="T285" s="4">
        <f t="shared" si="58"/>
        <v>3.3134911614930464E-3</v>
      </c>
      <c r="U285" s="4">
        <f t="shared" si="58"/>
        <v>3.7432720294624891E-3</v>
      </c>
      <c r="V285" s="4">
        <f t="shared" si="58"/>
        <v>4.1976355745964363E-3</v>
      </c>
      <c r="W285" s="4">
        <f t="shared" si="58"/>
        <v>4.6790740330564821E-3</v>
      </c>
      <c r="X285" s="4">
        <f t="shared" si="58"/>
        <v>5.1911187908326752E-3</v>
      </c>
      <c r="Y285" s="4">
        <f t="shared" si="58"/>
        <v>5.7388901363566169E-3</v>
      </c>
      <c r="Z285" s="4">
        <f t="shared" si="58"/>
        <v>6.3281212866588337E-3</v>
      </c>
      <c r="AA285" s="4">
        <f t="shared" si="58"/>
        <v>6.9655220258019292E-3</v>
      </c>
      <c r="AB285" s="4">
        <f t="shared" si="58"/>
        <v>7.660006020249935E-3</v>
      </c>
      <c r="AC285" s="4">
        <f t="shared" si="58"/>
        <v>8.42328230495922E-3</v>
      </c>
      <c r="AD285" s="4">
        <f t="shared" si="58"/>
        <v>9.2683201417779124E-3</v>
      </c>
      <c r="AE285" s="4">
        <f t="shared" si="58"/>
        <v>1.0209441699517815E-2</v>
      </c>
      <c r="AF285" s="4">
        <f t="shared" si="58"/>
        <v>1.1262649035096054E-2</v>
      </c>
      <c r="AG285" s="4">
        <f t="shared" si="58"/>
        <v>1.2446619869484392E-2</v>
      </c>
      <c r="AH285" s="4">
        <f t="shared" si="58"/>
        <v>1.3784654383785228E-2</v>
      </c>
      <c r="AI285" s="4">
        <f t="shared" si="58"/>
        <v>1.5306573140685221E-2</v>
      </c>
      <c r="AJ285" s="4">
        <f t="shared" si="58"/>
        <v>1.7049939798876368E-2</v>
      </c>
      <c r="AK285" s="4">
        <f t="shared" si="58"/>
        <v>1.9063021284237366E-2</v>
      </c>
      <c r="AL285" s="4">
        <f t="shared" si="58"/>
        <v>2.1409365717658863E-2</v>
      </c>
    </row>
    <row r="287" spans="1:3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38" x14ac:dyDescent="0.35">
      <c r="A288" t="s">
        <v>88</v>
      </c>
      <c r="B288" t="s">
        <v>26</v>
      </c>
      <c r="C288" s="4">
        <f>R279</f>
        <v>3.7383321552391102E-3</v>
      </c>
      <c r="D288" s="4">
        <f>AB279</f>
        <v>3.2954473901510628E-2</v>
      </c>
      <c r="E288" s="4">
        <f>AL279</f>
        <v>0.10678234469208592</v>
      </c>
    </row>
    <row r="289" spans="1:38" x14ac:dyDescent="0.35">
      <c r="B289" t="s">
        <v>7</v>
      </c>
      <c r="C289" s="4">
        <f t="shared" ref="C289:C294" si="59">R280</f>
        <v>3.5653938370358492E-4</v>
      </c>
      <c r="D289" s="4">
        <f t="shared" ref="D289:D294" si="60">AB280</f>
        <v>7.0658502258835916E-4</v>
      </c>
      <c r="E289" s="4">
        <f t="shared" ref="E289:E294" si="61">AL280</f>
        <v>4.8382032067980735E-4</v>
      </c>
    </row>
    <row r="290" spans="1:38" x14ac:dyDescent="0.35">
      <c r="B290" t="s">
        <v>30</v>
      </c>
      <c r="C290" s="4">
        <f t="shared" si="59"/>
        <v>-2.3966338037401114E-4</v>
      </c>
      <c r="D290" s="4">
        <f t="shared" si="60"/>
        <v>1.747229987806111E-2</v>
      </c>
      <c r="E290" s="4">
        <f t="shared" si="61"/>
        <v>6.9609153827306564E-2</v>
      </c>
    </row>
    <row r="291" spans="1:38" x14ac:dyDescent="0.35">
      <c r="B291" t="s">
        <v>28</v>
      </c>
      <c r="C291" s="4">
        <f t="shared" si="59"/>
        <v>6.5978037298660363E-4</v>
      </c>
      <c r="D291" s="4">
        <f t="shared" si="60"/>
        <v>1.2766260141474335E-3</v>
      </c>
      <c r="E291" s="4">
        <f t="shared" si="61"/>
        <v>2.1241483459653425E-3</v>
      </c>
    </row>
    <row r="292" spans="1:38" x14ac:dyDescent="0.35">
      <c r="B292" t="s">
        <v>10</v>
      </c>
      <c r="C292" s="4">
        <f t="shared" si="59"/>
        <v>4.7460765201241605E-4</v>
      </c>
      <c r="D292" s="4">
        <f t="shared" si="60"/>
        <v>5.5501518759219493E-3</v>
      </c>
      <c r="E292" s="4">
        <f t="shared" si="61"/>
        <v>1.2316412584607689E-2</v>
      </c>
    </row>
    <row r="293" spans="1:38" x14ac:dyDescent="0.35">
      <c r="B293" t="s">
        <v>31</v>
      </c>
      <c r="C293" s="4">
        <f t="shared" si="59"/>
        <v>-3.9235506894268421E-5</v>
      </c>
      <c r="D293" s="4">
        <f t="shared" si="60"/>
        <v>2.888051440471421E-4</v>
      </c>
      <c r="E293" s="4">
        <f t="shared" si="61"/>
        <v>8.3944439315621598E-4</v>
      </c>
    </row>
    <row r="294" spans="1:38" x14ac:dyDescent="0.35">
      <c r="B294" t="s">
        <v>33</v>
      </c>
      <c r="C294" s="4">
        <f t="shared" si="59"/>
        <v>2.5263036135205448E-3</v>
      </c>
      <c r="D294" s="4">
        <f t="shared" si="60"/>
        <v>7.660006020249935E-3</v>
      </c>
      <c r="E294" s="4">
        <f t="shared" si="61"/>
        <v>2.1409365717658863E-2</v>
      </c>
    </row>
    <row r="295" spans="1:38" x14ac:dyDescent="0.35">
      <c r="C295" s="4"/>
      <c r="D295" s="4"/>
      <c r="E295" s="4"/>
    </row>
    <row r="296" spans="1:3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</row>
    <row r="297" spans="1:3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31921.419839999999</v>
      </c>
      <c r="E297" s="6">
        <f>[1]Results!H3</f>
        <v>31768.992969999999</v>
      </c>
      <c r="F297" s="6">
        <f>[1]Results!I3</f>
        <v>31782.617679999999</v>
      </c>
      <c r="G297" s="6">
        <f>[1]Results!J3</f>
        <v>31936.073619999999</v>
      </c>
      <c r="H297" s="6">
        <f>[1]Results!K3</f>
        <v>32190.709719999999</v>
      </c>
      <c r="I297" s="6">
        <f>[1]Results!L3</f>
        <v>32500.024669999999</v>
      </c>
      <c r="J297" s="6">
        <f>[1]Results!M3</f>
        <v>32741.72004</v>
      </c>
      <c r="K297" s="6">
        <f>[1]Results!N3</f>
        <v>32980.807979999998</v>
      </c>
      <c r="L297" s="6">
        <f>[1]Results!O3</f>
        <v>33250.028919999997</v>
      </c>
      <c r="M297" s="6">
        <f>[1]Results!P3</f>
        <v>33561.155859999999</v>
      </c>
      <c r="N297" s="6">
        <f>[1]Results!Q3</f>
        <v>33932.661950000002</v>
      </c>
      <c r="O297" s="6">
        <f>[1]Results!R3</f>
        <v>34341.515330000002</v>
      </c>
      <c r="P297" s="6">
        <f>[1]Results!S3</f>
        <v>34763.296829999999</v>
      </c>
      <c r="Q297" s="6">
        <f>[1]Results!T3</f>
        <v>35181.124819999997</v>
      </c>
      <c r="R297" s="6">
        <f>[1]Results!U3</f>
        <v>35585.203650000003</v>
      </c>
      <c r="S297" s="6">
        <f>[1]Results!V3</f>
        <v>35962.901019999998</v>
      </c>
      <c r="T297" s="6">
        <f>[1]Results!W3</f>
        <v>36321.962390000001</v>
      </c>
      <c r="U297" s="6">
        <f>[1]Results!X3</f>
        <v>36668.757510000003</v>
      </c>
      <c r="V297" s="6">
        <f>[1]Results!Y3</f>
        <v>37007.82647</v>
      </c>
      <c r="W297" s="6">
        <f>[1]Results!Z3</f>
        <v>37339.127500000002</v>
      </c>
      <c r="X297" s="6">
        <f>[1]Results!AA3</f>
        <v>37671.700779999999</v>
      </c>
      <c r="Y297" s="6">
        <f>[1]Results!AB3</f>
        <v>38010.074719999997</v>
      </c>
      <c r="Z297" s="6">
        <f>[1]Results!AC3</f>
        <v>38359.605490000002</v>
      </c>
      <c r="AA297" s="6">
        <f>[1]Results!AD3</f>
        <v>38725.137840000003</v>
      </c>
      <c r="AB297" s="6">
        <f>[1]Results!AE3</f>
        <v>39099.919450000001</v>
      </c>
      <c r="AC297" s="6">
        <f>[1]Results!AF3</f>
        <v>39495.658130000003</v>
      </c>
      <c r="AD297" s="6">
        <f>[1]Results!AG3</f>
        <v>39916.594120000002</v>
      </c>
      <c r="AE297" s="6">
        <f>[1]Results!AH3</f>
        <v>40368.6728</v>
      </c>
      <c r="AF297" s="6">
        <f>[1]Results!AI3</f>
        <v>40857.802790000002</v>
      </c>
      <c r="AG297" s="6">
        <f>[1]Results!AJ3</f>
        <v>41387.927009999999</v>
      </c>
      <c r="AH297" s="6">
        <f>[1]Results!AK3</f>
        <v>41960.529210000001</v>
      </c>
      <c r="AI297" s="6">
        <f>[1]Results!AL3</f>
        <v>42575.43331</v>
      </c>
      <c r="AJ297" s="6">
        <f>[1]Results!AM3</f>
        <v>43232.028230000004</v>
      </c>
      <c r="AK297" s="6">
        <f>[1]Results!AN3</f>
        <v>43929.262909999998</v>
      </c>
      <c r="AL297" s="6">
        <f>[1]Results!AO3</f>
        <v>44665.444560000004</v>
      </c>
    </row>
    <row r="298" spans="1:38" x14ac:dyDescent="0.35">
      <c r="B298" t="s">
        <v>53</v>
      </c>
      <c r="C298" s="6">
        <f>[1]Results!F4</f>
        <v>32271.24</v>
      </c>
      <c r="D298" s="6">
        <f>[1]Results!G4</f>
        <v>31856.513869999999</v>
      </c>
      <c r="E298" s="6">
        <f>[1]Results!H4</f>
        <v>31683.95378</v>
      </c>
      <c r="F298" s="6">
        <f>[1]Results!I4</f>
        <v>31675.776519999999</v>
      </c>
      <c r="G298" s="6">
        <f>[1]Results!J4</f>
        <v>31805.6397</v>
      </c>
      <c r="H298" s="6">
        <f>[1]Results!K4</f>
        <v>32035.25808</v>
      </c>
      <c r="I298" s="6">
        <f>[1]Results!L4</f>
        <v>32318.527699999999</v>
      </c>
      <c r="J298" s="6">
        <f>[1]Results!M4</f>
        <v>32533.17758</v>
      </c>
      <c r="K298" s="6">
        <f>[1]Results!N4</f>
        <v>32738.881659999999</v>
      </c>
      <c r="L298" s="6">
        <f>[1]Results!O4</f>
        <v>32963.088510000001</v>
      </c>
      <c r="M298" s="6">
        <f>[1]Results!P4</f>
        <v>33211.344550000002</v>
      </c>
      <c r="N298" s="6">
        <f>[1]Results!Q4</f>
        <v>33497.155579999999</v>
      </c>
      <c r="O298" s="6">
        <f>[1]Results!R4</f>
        <v>33797.588380000001</v>
      </c>
      <c r="P298" s="6">
        <f>[1]Results!S4</f>
        <v>34088.966869999997</v>
      </c>
      <c r="Q298" s="6">
        <f>[1]Results!T4</f>
        <v>34355.270420000001</v>
      </c>
      <c r="R298" s="6">
        <f>[1]Results!U4</f>
        <v>34587.474779999997</v>
      </c>
      <c r="S298" s="6">
        <f>[1]Results!V4</f>
        <v>34773.642549999997</v>
      </c>
      <c r="T298" s="6">
        <f>[1]Results!W4</f>
        <v>34920.423970000003</v>
      </c>
      <c r="U298" s="6">
        <f>[1]Results!X4</f>
        <v>35033.475570000002</v>
      </c>
      <c r="V298" s="6">
        <f>[1]Results!Y4</f>
        <v>35116.864679999999</v>
      </c>
      <c r="W298" s="6">
        <f>[1]Results!Z4</f>
        <v>35170.556759999999</v>
      </c>
      <c r="X298" s="6">
        <f>[1]Results!AA4</f>
        <v>35202.530590000002</v>
      </c>
      <c r="Y298" s="6">
        <f>[1]Results!AB4</f>
        <v>35216.540849999998</v>
      </c>
      <c r="Z298" s="6">
        <f>[1]Results!AC4</f>
        <v>35216.87068</v>
      </c>
      <c r="AA298" s="6">
        <f>[1]Results!AD4</f>
        <v>35207.138140000003</v>
      </c>
      <c r="AB298" s="6">
        <f>[1]Results!AE4</f>
        <v>35181.05629</v>
      </c>
      <c r="AC298" s="6">
        <f>[1]Results!AF4</f>
        <v>35147.717559999997</v>
      </c>
      <c r="AD298" s="6">
        <f>[1]Results!AG4</f>
        <v>35109.600810000004</v>
      </c>
      <c r="AE298" s="6">
        <f>[1]Results!AH4</f>
        <v>35070.276270000002</v>
      </c>
      <c r="AF298" s="6">
        <f>[1]Results!AI4</f>
        <v>35032.94657</v>
      </c>
      <c r="AG298" s="6">
        <f>[1]Results!AJ4</f>
        <v>34998.9473</v>
      </c>
      <c r="AH298" s="6">
        <f>[1]Results!AK4</f>
        <v>34967.472750000001</v>
      </c>
      <c r="AI298" s="6">
        <f>[1]Results!AL4</f>
        <v>34936.314579999998</v>
      </c>
      <c r="AJ298" s="6">
        <f>[1]Results!AM4</f>
        <v>34902.872779999998</v>
      </c>
      <c r="AK298" s="6">
        <f>[1]Results!AN4</f>
        <v>34864.201370000002</v>
      </c>
      <c r="AL298" s="6">
        <f>[1]Results!AO4</f>
        <v>34816.919390000003</v>
      </c>
    </row>
    <row r="299" spans="1:38" x14ac:dyDescent="0.35">
      <c r="B299" t="s">
        <v>54</v>
      </c>
      <c r="C299" s="6">
        <f>[1]Results!F20</f>
        <v>1.9359999999999999</v>
      </c>
      <c r="D299" s="6">
        <f>[1]Results!G20</f>
        <v>1.991142024</v>
      </c>
      <c r="E299" s="6">
        <f>[1]Results!H20</f>
        <v>2.0604708770000002</v>
      </c>
      <c r="F299" s="6">
        <f>[1]Results!I20</f>
        <v>2.1381484749999999</v>
      </c>
      <c r="G299" s="6">
        <f>[1]Results!J20</f>
        <v>2.2225146750000002</v>
      </c>
      <c r="H299" s="6">
        <f>[1]Results!K20</f>
        <v>2.310837545</v>
      </c>
      <c r="I299" s="6">
        <f>[1]Results!L20</f>
        <v>2.3996487320000002</v>
      </c>
      <c r="J299" s="6">
        <f>[1]Results!M20</f>
        <v>2.4789963739999998</v>
      </c>
      <c r="K299" s="6">
        <f>[1]Results!N20</f>
        <v>2.554036585</v>
      </c>
      <c r="L299" s="6">
        <f>[1]Results!O20</f>
        <v>2.6272860759999999</v>
      </c>
      <c r="M299" s="6">
        <f>[1]Results!P20</f>
        <v>2.6994436940000002</v>
      </c>
      <c r="N299" s="6">
        <f>[1]Results!Q20</f>
        <v>2.771869546</v>
      </c>
      <c r="O299" s="6">
        <f>[1]Results!R20</f>
        <v>2.8428657529999999</v>
      </c>
      <c r="P299" s="6">
        <f>[1]Results!S20</f>
        <v>2.9106282110000001</v>
      </c>
      <c r="Q299" s="6">
        <f>[1]Results!T20</f>
        <v>2.9739539260000001</v>
      </c>
      <c r="R299" s="6">
        <f>[1]Results!U20</f>
        <v>3.032198121</v>
      </c>
      <c r="S299" s="6">
        <f>[1]Results!V20</f>
        <v>3.0844525850000002</v>
      </c>
      <c r="T299" s="6">
        <f>[1]Results!W20</f>
        <v>3.13134939</v>
      </c>
      <c r="U299" s="6">
        <f>[1]Results!X20</f>
        <v>3.1734410990000002</v>
      </c>
      <c r="V299" s="6">
        <f>[1]Results!Y20</f>
        <v>3.211149212</v>
      </c>
      <c r="W299" s="6">
        <f>[1]Results!Z20</f>
        <v>3.2445508740000002</v>
      </c>
      <c r="X299" s="6">
        <f>[1]Results!AA20</f>
        <v>3.2743913899999999</v>
      </c>
      <c r="Y299" s="6">
        <f>[1]Results!AB20</f>
        <v>3.3010667749999998</v>
      </c>
      <c r="Z299" s="6">
        <f>[1]Results!AC20</f>
        <v>3.3250172390000001</v>
      </c>
      <c r="AA299" s="6">
        <f>[1]Results!AD20</f>
        <v>3.3466276050000001</v>
      </c>
      <c r="AB299" s="6">
        <f>[1]Results!AE20</f>
        <v>3.3654501720000001</v>
      </c>
      <c r="AC299" s="6">
        <f>[1]Results!AF20</f>
        <v>3.3823161530000001</v>
      </c>
      <c r="AD299" s="6">
        <f>[1]Results!AG20</f>
        <v>3.3975086409999999</v>
      </c>
      <c r="AE299" s="6">
        <f>[1]Results!AH20</f>
        <v>3.411400929</v>
      </c>
      <c r="AF299" s="6">
        <f>[1]Results!AI20</f>
        <v>3.4243354429999999</v>
      </c>
      <c r="AG299" s="6">
        <f>[1]Results!AJ20</f>
        <v>3.4364972859999998</v>
      </c>
      <c r="AH299" s="6">
        <f>[1]Results!AK20</f>
        <v>3.4478888379999999</v>
      </c>
      <c r="AI299" s="6">
        <f>[1]Results!AL20</f>
        <v>3.458389221</v>
      </c>
      <c r="AJ299" s="6">
        <f>[1]Results!AM20</f>
        <v>3.467837775</v>
      </c>
      <c r="AK299" s="6">
        <f>[1]Results!AN20</f>
        <v>3.4760378119999999</v>
      </c>
      <c r="AL299" s="6">
        <f>[1]Results!AO20</f>
        <v>3.482749139</v>
      </c>
    </row>
    <row r="300" spans="1:38" x14ac:dyDescent="0.35">
      <c r="B300" t="s">
        <v>55</v>
      </c>
      <c r="C300" s="6">
        <f>[1]Results!F12</f>
        <v>44.765000000000001</v>
      </c>
      <c r="D300" s="6">
        <f>[1]Results!G12</f>
        <v>62.914827690000003</v>
      </c>
      <c r="E300" s="6">
        <f>[1]Results!H12</f>
        <v>82.978712590000001</v>
      </c>
      <c r="F300" s="6">
        <f>[1]Results!I12</f>
        <v>104.7030018</v>
      </c>
      <c r="G300" s="6">
        <f>[1]Results!J12</f>
        <v>128.21140159999999</v>
      </c>
      <c r="H300" s="6">
        <f>[1]Results!K12</f>
        <v>153.14079100000001</v>
      </c>
      <c r="I300" s="6">
        <f>[1]Results!L12</f>
        <v>179.09732740000001</v>
      </c>
      <c r="J300" s="6">
        <f>[1]Results!M12</f>
        <v>206.06346389999999</v>
      </c>
      <c r="K300" s="6">
        <f>[1]Results!N12</f>
        <v>239.3722894</v>
      </c>
      <c r="L300" s="6">
        <f>[1]Results!O12</f>
        <v>284.31310860000002</v>
      </c>
      <c r="M300" s="6">
        <f>[1]Results!P12</f>
        <v>347.11184939999998</v>
      </c>
      <c r="N300" s="6">
        <f>[1]Results!Q12</f>
        <v>432.73447529999999</v>
      </c>
      <c r="O300" s="6">
        <f>[1]Results!R12</f>
        <v>541.08405889999995</v>
      </c>
      <c r="P300" s="6">
        <f>[1]Results!S12</f>
        <v>671.41931199999999</v>
      </c>
      <c r="Q300" s="6">
        <f>[1]Results!T12</f>
        <v>822.88042310000003</v>
      </c>
      <c r="R300" s="6">
        <f>[1]Results!U12</f>
        <v>994.69664880000005</v>
      </c>
      <c r="S300" s="6">
        <f>[1]Results!V12</f>
        <v>1186.1739950000001</v>
      </c>
      <c r="T300" s="6">
        <f>[1]Results!W12</f>
        <v>1398.407044</v>
      </c>
      <c r="U300" s="6">
        <f>[1]Results!X12</f>
        <v>1632.1084699999999</v>
      </c>
      <c r="V300" s="6">
        <f>[1]Results!Y12</f>
        <v>1887.750616</v>
      </c>
      <c r="W300" s="6">
        <f>[1]Results!Z12</f>
        <v>2165.3261649999999</v>
      </c>
      <c r="X300" s="6">
        <f>[1]Results!AA12</f>
        <v>2465.8957639999999</v>
      </c>
      <c r="Y300" s="6">
        <f>[1]Results!AB12</f>
        <v>2790.232771</v>
      </c>
      <c r="Z300" s="6">
        <f>[1]Results!AC12</f>
        <v>3139.4097609999999</v>
      </c>
      <c r="AA300" s="6">
        <f>[1]Results!AD12</f>
        <v>3514.6530419999999</v>
      </c>
      <c r="AB300" s="6">
        <f>[1]Results!AE12</f>
        <v>3915.4976769999998</v>
      </c>
      <c r="AC300" s="6">
        <f>[1]Results!AF12</f>
        <v>4344.5582249999998</v>
      </c>
      <c r="AD300" s="6">
        <f>[1]Results!AG12</f>
        <v>4803.5957589999998</v>
      </c>
      <c r="AE300" s="6">
        <f>[1]Results!AH12</f>
        <v>5294.9850930000002</v>
      </c>
      <c r="AF300" s="6">
        <f>[1]Results!AI12</f>
        <v>5821.4318389999999</v>
      </c>
      <c r="AG300" s="6">
        <f>[1]Results!AJ12</f>
        <v>6385.543173</v>
      </c>
      <c r="AH300" s="6">
        <f>[1]Results!AK12</f>
        <v>6989.6085329999996</v>
      </c>
      <c r="AI300" s="6">
        <f>[1]Results!AL12</f>
        <v>7635.6603059999998</v>
      </c>
      <c r="AJ300" s="6">
        <f>[1]Results!AM12</f>
        <v>8325.6875770000006</v>
      </c>
      <c r="AK300" s="6">
        <f>[1]Results!AN12</f>
        <v>9061.5854710000003</v>
      </c>
      <c r="AL300" s="6">
        <f>[1]Results!AO12</f>
        <v>9845.0423879999998</v>
      </c>
    </row>
    <row r="302" spans="1:3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</row>
    <row r="303" spans="1:3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31921.419839999999</v>
      </c>
      <c r="E303" s="6">
        <f>[1]Results!H28</f>
        <v>31768.99296</v>
      </c>
      <c r="F303" s="6">
        <f>[1]Results!I28</f>
        <v>31782.617679999999</v>
      </c>
      <c r="G303" s="6">
        <f>[1]Results!J28</f>
        <v>31936.073609999999</v>
      </c>
      <c r="H303" s="6">
        <f>[1]Results!K28</f>
        <v>32190.709709999999</v>
      </c>
      <c r="I303" s="6">
        <f>[1]Results!L28</f>
        <v>32500.024669999999</v>
      </c>
      <c r="J303" s="6">
        <f>[1]Results!M28</f>
        <v>32841.095459999997</v>
      </c>
      <c r="K303" s="6">
        <f>[1]Results!N28</f>
        <v>33205.422839999999</v>
      </c>
      <c r="L303" s="6">
        <f>[1]Results!O28</f>
        <v>33589.121350000001</v>
      </c>
      <c r="M303" s="6">
        <f>[1]Results!P28</f>
        <v>33992.859880000004</v>
      </c>
      <c r="N303" s="6">
        <f>[1]Results!Q28</f>
        <v>34399.432330000003</v>
      </c>
      <c r="O303" s="6">
        <f>[1]Results!R28</f>
        <v>34798.891439999999</v>
      </c>
      <c r="P303" s="6">
        <f>[1]Results!S28</f>
        <v>35182.698929999999</v>
      </c>
      <c r="Q303" s="6">
        <f>[1]Results!T28</f>
        <v>35544.444080000001</v>
      </c>
      <c r="R303" s="6">
        <f>[1]Results!U28</f>
        <v>35880.532180000002</v>
      </c>
      <c r="S303" s="6">
        <f>[1]Results!V28</f>
        <v>36206.867890000001</v>
      </c>
      <c r="T303" s="6">
        <f>[1]Results!W28</f>
        <v>36528.513200000001</v>
      </c>
      <c r="U303" s="6">
        <f>[1]Results!X28</f>
        <v>36845.176299999999</v>
      </c>
      <c r="V303" s="6">
        <f>[1]Results!Y28</f>
        <v>37155.961810000001</v>
      </c>
      <c r="W303" s="6">
        <f>[1]Results!Z28</f>
        <v>37457.313750000001</v>
      </c>
      <c r="X303" s="6">
        <f>[1]Results!AA28</f>
        <v>37756.048719999999</v>
      </c>
      <c r="Y303" s="6">
        <f>[1]Results!AB28</f>
        <v>38055.579510000003</v>
      </c>
      <c r="Z303" s="6">
        <f>[1]Results!AC28</f>
        <v>38360.208599999998</v>
      </c>
      <c r="AA303" s="6">
        <f>[1]Results!AD28</f>
        <v>38673.905709999999</v>
      </c>
      <c r="AB303" s="6">
        <f>[1]Results!AE28</f>
        <v>38989.769970000001</v>
      </c>
      <c r="AC303" s="6">
        <f>[1]Results!AF28</f>
        <v>39319.614390000002</v>
      </c>
      <c r="AD303" s="6">
        <f>[1]Results!AG28</f>
        <v>39668.229959999997</v>
      </c>
      <c r="AE303" s="6">
        <f>[1]Results!AH28</f>
        <v>40040.566229999997</v>
      </c>
      <c r="AF303" s="6">
        <f>[1]Results!AI28</f>
        <v>40441.00619</v>
      </c>
      <c r="AG303" s="6">
        <f>[1]Results!AJ28</f>
        <v>40871.981299999999</v>
      </c>
      <c r="AH303" s="6">
        <f>[1]Results!AK28</f>
        <v>41333.747340000002</v>
      </c>
      <c r="AI303" s="6">
        <f>[1]Results!AL28</f>
        <v>41824.736409999998</v>
      </c>
      <c r="AJ303" s="6">
        <f>[1]Results!AM28</f>
        <v>42341.940779999997</v>
      </c>
      <c r="AK303" s="6">
        <f>[1]Results!AN28</f>
        <v>42881.26872</v>
      </c>
      <c r="AL303" s="6">
        <f>[1]Results!AO28</f>
        <v>43437.821259999997</v>
      </c>
    </row>
    <row r="304" spans="1:38" x14ac:dyDescent="0.35">
      <c r="B304" t="s">
        <v>53</v>
      </c>
      <c r="C304" s="6">
        <f>[1]Results!F29</f>
        <v>32271.24</v>
      </c>
      <c r="D304" s="6">
        <f>[1]Results!G29</f>
        <v>31856.513869999999</v>
      </c>
      <c r="E304" s="6">
        <f>[1]Results!H29</f>
        <v>31683.95378</v>
      </c>
      <c r="F304" s="6">
        <f>[1]Results!I29</f>
        <v>31675.776519999999</v>
      </c>
      <c r="G304" s="6">
        <f>[1]Results!J29</f>
        <v>31805.63969</v>
      </c>
      <c r="H304" s="6">
        <f>[1]Results!K29</f>
        <v>32035.25808</v>
      </c>
      <c r="I304" s="6">
        <f>[1]Results!L29</f>
        <v>32318.527689999999</v>
      </c>
      <c r="J304" s="6">
        <f>[1]Results!M29</f>
        <v>32632.500260000001</v>
      </c>
      <c r="K304" s="6">
        <f>[1]Results!N29</f>
        <v>32968.369570000003</v>
      </c>
      <c r="L304" s="6">
        <f>[1]Results!O29</f>
        <v>33321.829830000002</v>
      </c>
      <c r="M304" s="6">
        <f>[1]Results!P29</f>
        <v>33693.028729999998</v>
      </c>
      <c r="N304" s="6">
        <f>[1]Results!Q29</f>
        <v>34064.487639999999</v>
      </c>
      <c r="O304" s="6">
        <f>[1]Results!R29</f>
        <v>34425.927830000001</v>
      </c>
      <c r="P304" s="6">
        <f>[1]Results!S29</f>
        <v>34768.503850000001</v>
      </c>
      <c r="Q304" s="6">
        <f>[1]Results!T29</f>
        <v>35085.504970000002</v>
      </c>
      <c r="R304" s="6">
        <f>[1]Results!U29</f>
        <v>35373.013599999998</v>
      </c>
      <c r="S304" s="6">
        <f>[1]Results!V29</f>
        <v>35646.326739999997</v>
      </c>
      <c r="T304" s="6">
        <f>[1]Results!W29</f>
        <v>35910.336580000003</v>
      </c>
      <c r="U304" s="6">
        <f>[1]Results!X29</f>
        <v>36164.767079999998</v>
      </c>
      <c r="V304" s="6">
        <f>[1]Results!Y29</f>
        <v>36408.731879999999</v>
      </c>
      <c r="W304" s="6">
        <f>[1]Results!Z29</f>
        <v>36638.71168</v>
      </c>
      <c r="X304" s="6">
        <f>[1]Results!AA29</f>
        <v>36861.161820000001</v>
      </c>
      <c r="Y304" s="6">
        <f>[1]Results!AB29</f>
        <v>37079.134859999998</v>
      </c>
      <c r="Z304" s="6">
        <f>[1]Results!AC29</f>
        <v>37296.443950000001</v>
      </c>
      <c r="AA304" s="6">
        <f>[1]Results!AD29</f>
        <v>37516.479950000001</v>
      </c>
      <c r="AB304" s="6">
        <f>[1]Results!AE29</f>
        <v>37732.145689999998</v>
      </c>
      <c r="AC304" s="6">
        <f>[1]Results!AF29</f>
        <v>37954.178110000001</v>
      </c>
      <c r="AD304" s="6">
        <f>[1]Results!AG29</f>
        <v>38186.457999999999</v>
      </c>
      <c r="AE304" s="6">
        <f>[1]Results!AH29</f>
        <v>38432.892090000001</v>
      </c>
      <c r="AF304" s="6">
        <f>[1]Results!AI29</f>
        <v>38696.721819999999</v>
      </c>
      <c r="AG304" s="6">
        <f>[1]Results!AJ29</f>
        <v>38979.226150000002</v>
      </c>
      <c r="AH304" s="6">
        <f>[1]Results!AK29</f>
        <v>39279.539360000002</v>
      </c>
      <c r="AI304" s="6">
        <f>[1]Results!AL29</f>
        <v>39595.014589999999</v>
      </c>
      <c r="AJ304" s="6">
        <f>[1]Results!AM29</f>
        <v>39921.614379999999</v>
      </c>
      <c r="AK304" s="6">
        <f>[1]Results!AN29</f>
        <v>40254.27162</v>
      </c>
      <c r="AL304" s="6">
        <f>[1]Results!AO29</f>
        <v>40587.17411</v>
      </c>
    </row>
    <row r="305" spans="1:38" x14ac:dyDescent="0.35">
      <c r="B305" t="s">
        <v>54</v>
      </c>
      <c r="C305" s="6">
        <f>[1]Results!F45</f>
        <v>1.9359999999999999</v>
      </c>
      <c r="D305" s="6">
        <f>[1]Results!G45</f>
        <v>1.991142024</v>
      </c>
      <c r="E305" s="6">
        <f>[1]Results!H45</f>
        <v>2.0604708760000001</v>
      </c>
      <c r="F305" s="6">
        <f>[1]Results!I45</f>
        <v>2.1381484739999999</v>
      </c>
      <c r="G305" s="6">
        <f>[1]Results!J45</f>
        <v>2.2225146750000002</v>
      </c>
      <c r="H305" s="6">
        <f>[1]Results!K45</f>
        <v>2.310837544</v>
      </c>
      <c r="I305" s="6">
        <f>[1]Results!L45</f>
        <v>2.3996487310000001</v>
      </c>
      <c r="J305" s="6">
        <f>[1]Results!M45</f>
        <v>2.4873405719999999</v>
      </c>
      <c r="K305" s="6">
        <f>[1]Results!N45</f>
        <v>2.5734439349999998</v>
      </c>
      <c r="L305" s="6">
        <f>[1]Results!O45</f>
        <v>2.6578395239999999</v>
      </c>
      <c r="M305" s="6">
        <f>[1]Results!P45</f>
        <v>2.7407614900000001</v>
      </c>
      <c r="N305" s="6">
        <f>[1]Results!Q45</f>
        <v>2.820949508</v>
      </c>
      <c r="O305" s="6">
        <f>[1]Results!R45</f>
        <v>2.897712625</v>
      </c>
      <c r="P305" s="6">
        <f>[1]Results!S45</f>
        <v>2.970456279</v>
      </c>
      <c r="Q305" s="6">
        <f>[1]Results!T45</f>
        <v>3.0387445830000002</v>
      </c>
      <c r="R305" s="6">
        <f>[1]Results!U45</f>
        <v>3.102359672</v>
      </c>
      <c r="S305" s="6">
        <f>[1]Results!V45</f>
        <v>3.1626859199999999</v>
      </c>
      <c r="T305" s="6">
        <f>[1]Results!W45</f>
        <v>3.2202470700000001</v>
      </c>
      <c r="U305" s="6">
        <f>[1]Results!X45</f>
        <v>3.275131928</v>
      </c>
      <c r="V305" s="6">
        <f>[1]Results!Y45</f>
        <v>3.327370669</v>
      </c>
      <c r="W305" s="6">
        <f>[1]Results!Z45</f>
        <v>3.3767645929999999</v>
      </c>
      <c r="X305" s="6">
        <f>[1]Results!AA45</f>
        <v>3.423942389</v>
      </c>
      <c r="Y305" s="6">
        <f>[1]Results!AB45</f>
        <v>3.4692497859999998</v>
      </c>
      <c r="Z305" s="6">
        <f>[1]Results!AC45</f>
        <v>3.5130947610000001</v>
      </c>
      <c r="AA305" s="6">
        <f>[1]Results!AD45</f>
        <v>3.5558492429999999</v>
      </c>
      <c r="AB305" s="6">
        <f>[1]Results!AE45</f>
        <v>3.5970029760000002</v>
      </c>
      <c r="AC305" s="6">
        <f>[1]Results!AF45</f>
        <v>3.6375294560000002</v>
      </c>
      <c r="AD305" s="6">
        <f>[1]Results!AG45</f>
        <v>3.6778355390000002</v>
      </c>
      <c r="AE305" s="6">
        <f>[1]Results!AH45</f>
        <v>3.7183302039999999</v>
      </c>
      <c r="AF305" s="6">
        <f>[1]Results!AI45</f>
        <v>3.7593665199999999</v>
      </c>
      <c r="AG305" s="6">
        <f>[1]Results!AJ45</f>
        <v>3.8011318090000001</v>
      </c>
      <c r="AH305" s="6">
        <f>[1]Results!AK45</f>
        <v>3.8436298720000002</v>
      </c>
      <c r="AI305" s="6">
        <f>[1]Results!AL45</f>
        <v>3.886708976</v>
      </c>
      <c r="AJ305" s="6">
        <f>[1]Results!AM45</f>
        <v>3.9300927419999998</v>
      </c>
      <c r="AK305" s="6">
        <f>[1]Results!AN45</f>
        <v>3.9734091660000002</v>
      </c>
      <c r="AL305" s="6">
        <f>[1]Results!AO45</f>
        <v>4.0162137710000003</v>
      </c>
    </row>
    <row r="306" spans="1:38" x14ac:dyDescent="0.35">
      <c r="B306" t="s">
        <v>55</v>
      </c>
      <c r="C306" s="6">
        <f>[1]Results!F37</f>
        <v>44.765000000000001</v>
      </c>
      <c r="D306" s="6">
        <f>[1]Results!G37</f>
        <v>62.914827699999996</v>
      </c>
      <c r="E306" s="6">
        <f>[1]Results!H37</f>
        <v>82.978712590000001</v>
      </c>
      <c r="F306" s="6">
        <f>[1]Results!I37</f>
        <v>104.7030018</v>
      </c>
      <c r="G306" s="6">
        <f>[1]Results!J37</f>
        <v>128.21140170000001</v>
      </c>
      <c r="H306" s="6">
        <f>[1]Results!K37</f>
        <v>153.1407911</v>
      </c>
      <c r="I306" s="6">
        <f>[1]Results!L37</f>
        <v>179.0973276</v>
      </c>
      <c r="J306" s="6">
        <f>[1]Results!M37</f>
        <v>206.10785229999999</v>
      </c>
      <c r="K306" s="6">
        <f>[1]Results!N37</f>
        <v>234.479826</v>
      </c>
      <c r="L306" s="6">
        <f>[1]Results!O37</f>
        <v>264.6336834</v>
      </c>
      <c r="M306" s="6">
        <f>[1]Results!P37</f>
        <v>297.09038870000001</v>
      </c>
      <c r="N306" s="6">
        <f>[1]Results!Q37</f>
        <v>332.12374110000002</v>
      </c>
      <c r="O306" s="6">
        <f>[1]Results!R37</f>
        <v>370.0659053</v>
      </c>
      <c r="P306" s="6">
        <f>[1]Results!S37</f>
        <v>411.22462739999997</v>
      </c>
      <c r="Q306" s="6">
        <f>[1]Results!T37</f>
        <v>455.90036809999998</v>
      </c>
      <c r="R306" s="6">
        <f>[1]Results!U37</f>
        <v>504.41621750000002</v>
      </c>
      <c r="S306" s="6">
        <f>[1]Results!V37</f>
        <v>557.37845730000004</v>
      </c>
      <c r="T306" s="6">
        <f>[1]Results!W37</f>
        <v>614.95637120000004</v>
      </c>
      <c r="U306" s="6">
        <f>[1]Results!X37</f>
        <v>677.13408349999997</v>
      </c>
      <c r="V306" s="6">
        <f>[1]Results!Y37</f>
        <v>743.9025603</v>
      </c>
      <c r="W306" s="6">
        <f>[1]Results!Z37</f>
        <v>815.22530059999997</v>
      </c>
      <c r="X306" s="6">
        <f>[1]Results!AA37</f>
        <v>891.46296229999996</v>
      </c>
      <c r="Y306" s="6">
        <f>[1]Results!AB37</f>
        <v>972.97540049999998</v>
      </c>
      <c r="Z306" s="6">
        <f>[1]Results!AC37</f>
        <v>1060.2515599999999</v>
      </c>
      <c r="AA306" s="6">
        <f>[1]Results!AD37</f>
        <v>1153.8699200000001</v>
      </c>
      <c r="AB306" s="6">
        <f>[1]Results!AE37</f>
        <v>1254.0272769999999</v>
      </c>
      <c r="AC306" s="6">
        <f>[1]Results!AF37</f>
        <v>1361.798753</v>
      </c>
      <c r="AD306" s="6">
        <f>[1]Results!AG37</f>
        <v>1478.09413</v>
      </c>
      <c r="AE306" s="6">
        <f>[1]Results!AH37</f>
        <v>1603.955821</v>
      </c>
      <c r="AF306" s="6">
        <f>[1]Results!AI37</f>
        <v>1740.5250120000001</v>
      </c>
      <c r="AG306" s="6">
        <f>[1]Results!AJ37</f>
        <v>1888.954031</v>
      </c>
      <c r="AH306" s="6">
        <f>[1]Results!AK37</f>
        <v>2050.3643699999998</v>
      </c>
      <c r="AI306" s="6">
        <f>[1]Results!AL37</f>
        <v>2225.8351360000001</v>
      </c>
      <c r="AJ306" s="6">
        <f>[1]Results!AM37</f>
        <v>2416.3963370000001</v>
      </c>
      <c r="AK306" s="6">
        <f>[1]Results!AN37</f>
        <v>2623.0237259999999</v>
      </c>
      <c r="AL306" s="6">
        <f>[1]Results!AO37</f>
        <v>2846.630979</v>
      </c>
    </row>
    <row r="308" spans="1:3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7139.7161619999997</v>
      </c>
      <c r="E308" s="5">
        <f>[1]Hybrid!D18</f>
        <v>7244.7187759999997</v>
      </c>
      <c r="F308" s="5">
        <f>[1]Hybrid!E18</f>
        <v>7390.783402</v>
      </c>
      <c r="G308" s="5">
        <f>[1]Hybrid!F18</f>
        <v>7572.0227359999999</v>
      </c>
      <c r="H308" s="5">
        <f>[1]Hybrid!G18</f>
        <v>7778.2006119999996</v>
      </c>
      <c r="I308" s="5">
        <f>[1]Hybrid!H18</f>
        <v>7996.7153760000001</v>
      </c>
      <c r="J308" s="5">
        <f>[1]Hybrid!I18</f>
        <v>8193.3824810000006</v>
      </c>
      <c r="K308" s="5">
        <f>[1]Hybrid!J18</f>
        <v>8388.8671209999993</v>
      </c>
      <c r="L308" s="5">
        <f>[1]Hybrid!K18</f>
        <v>8591.9146959999998</v>
      </c>
      <c r="M308" s="5">
        <f>[1]Hybrid!L18</f>
        <v>8804.4030070000008</v>
      </c>
      <c r="N308" s="5">
        <f>[1]Hybrid!M18</f>
        <v>9029.8931439999997</v>
      </c>
      <c r="O308" s="5">
        <f>[1]Hybrid!N18</f>
        <v>9259.4160919999995</v>
      </c>
      <c r="P308" s="5">
        <f>[1]Hybrid!O18</f>
        <v>9483.9557569999997</v>
      </c>
      <c r="Q308" s="5">
        <f>[1]Hybrid!P18</f>
        <v>9697.1716539999998</v>
      </c>
      <c r="R308" s="5">
        <f>[1]Hybrid!Q18</f>
        <v>9895.2384060000004</v>
      </c>
      <c r="S308" s="5">
        <f>[1]Hybrid!R18</f>
        <v>10073.71739</v>
      </c>
      <c r="T308" s="5">
        <f>[1]Hybrid!S18</f>
        <v>10234.57351</v>
      </c>
      <c r="U308" s="5">
        <f>[1]Hybrid!T18</f>
        <v>10379.38853</v>
      </c>
      <c r="V308" s="5">
        <f>[1]Hybrid!U18</f>
        <v>10509.320180000001</v>
      </c>
      <c r="W308" s="5">
        <f>[1]Hybrid!V18</f>
        <v>10624.309740000001</v>
      </c>
      <c r="X308" s="5">
        <f>[1]Hybrid!W18</f>
        <v>10727.13106</v>
      </c>
      <c r="Y308" s="5">
        <f>[1]Hybrid!X18</f>
        <v>10819.279619999999</v>
      </c>
      <c r="Z308" s="5">
        <f>[1]Hybrid!Y18</f>
        <v>10902.52722</v>
      </c>
      <c r="AA308" s="5">
        <f>[1]Hybrid!Z18</f>
        <v>10978.50958</v>
      </c>
      <c r="AB308" s="5">
        <f>[1]Hybrid!AA18</f>
        <v>11045.57366</v>
      </c>
      <c r="AC308" s="5">
        <f>[1]Hybrid!AB18</f>
        <v>11107.359909999999</v>
      </c>
      <c r="AD308" s="5">
        <f>[1]Hybrid!AC18</f>
        <v>11165.341329999999</v>
      </c>
      <c r="AE308" s="5">
        <f>[1]Hybrid!AD18</f>
        <v>11221.372859999999</v>
      </c>
      <c r="AF308" s="5">
        <f>[1]Hybrid!AE18</f>
        <v>11277.11268</v>
      </c>
      <c r="AG308" s="5">
        <f>[1]Hybrid!AF18</f>
        <v>11333.48525</v>
      </c>
      <c r="AH308" s="5">
        <f>[1]Hybrid!AG18</f>
        <v>11390.59172</v>
      </c>
      <c r="AI308" s="5">
        <f>[1]Hybrid!AH18</f>
        <v>11447.973969999999</v>
      </c>
      <c r="AJ308" s="5">
        <f>[1]Hybrid!AI18</f>
        <v>11504.95225</v>
      </c>
      <c r="AK308" s="5">
        <f>[1]Hybrid!AJ18</f>
        <v>11560.62789</v>
      </c>
      <c r="AL308" s="5">
        <f>[1]Hybrid!AK18</f>
        <v>11613.852940000001</v>
      </c>
    </row>
    <row r="309" spans="1:3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8180.830328</v>
      </c>
      <c r="E309" s="5">
        <f>[1]Hybrid!D20</f>
        <v>8176.5895499999997</v>
      </c>
      <c r="F309" s="5">
        <f>[1]Hybrid!E20</f>
        <v>8218.4194220000008</v>
      </c>
      <c r="G309" s="5">
        <f>[1]Hybrid!F20</f>
        <v>8299.8524209999996</v>
      </c>
      <c r="H309" s="5">
        <f>[1]Hybrid!G20</f>
        <v>8410.5837379999994</v>
      </c>
      <c r="I309" s="5">
        <f>[1]Hybrid!H20</f>
        <v>8538.0037360000006</v>
      </c>
      <c r="J309" s="5">
        <f>[1]Hybrid!I20</f>
        <v>8648.3613170000008</v>
      </c>
      <c r="K309" s="5">
        <f>[1]Hybrid!J20</f>
        <v>8759.3571009999996</v>
      </c>
      <c r="L309" s="5">
        <f>[1]Hybrid!K20</f>
        <v>8878.5477050000009</v>
      </c>
      <c r="M309" s="5">
        <f>[1]Hybrid!L20</f>
        <v>9007.1432050000003</v>
      </c>
      <c r="N309" s="5">
        <f>[1]Hybrid!M20</f>
        <v>9148.4261449999995</v>
      </c>
      <c r="O309" s="5">
        <f>[1]Hybrid!N20</f>
        <v>9294.7177019999999</v>
      </c>
      <c r="P309" s="5">
        <f>[1]Hybrid!O20</f>
        <v>9438.1466299999993</v>
      </c>
      <c r="Q309" s="5">
        <f>[1]Hybrid!P20</f>
        <v>9573.1984740000007</v>
      </c>
      <c r="R309" s="5">
        <f>[1]Hybrid!Q20</f>
        <v>9696.5755379999991</v>
      </c>
      <c r="S309" s="5">
        <f>[1]Hybrid!R20</f>
        <v>9804.2614950000007</v>
      </c>
      <c r="T309" s="5">
        <f>[1]Hybrid!S20</f>
        <v>9897.9537849999997</v>
      </c>
      <c r="U309" s="5">
        <f>[1]Hybrid!T20</f>
        <v>9979.1090999999997</v>
      </c>
      <c r="V309" s="5">
        <f>[1]Hybrid!U20</f>
        <v>10048.795980000001</v>
      </c>
      <c r="W309" s="5">
        <f>[1]Hybrid!V20</f>
        <v>10106.94154</v>
      </c>
      <c r="X309" s="5">
        <f>[1]Hybrid!W20</f>
        <v>10155.972169999999</v>
      </c>
      <c r="Y309" s="5">
        <f>[1]Hybrid!X20</f>
        <v>10197.11059</v>
      </c>
      <c r="Z309" s="5">
        <f>[1]Hybrid!Y20</f>
        <v>10231.78872</v>
      </c>
      <c r="AA309" s="5">
        <f>[1]Hybrid!Z20</f>
        <v>10261.28081</v>
      </c>
      <c r="AB309" s="5">
        <f>[1]Hybrid!AA20</f>
        <v>10283.898160000001</v>
      </c>
      <c r="AC309" s="5">
        <f>[1]Hybrid!AB20</f>
        <v>10302.639810000001</v>
      </c>
      <c r="AD309" s="5">
        <f>[1]Hybrid!AC20</f>
        <v>10318.531080000001</v>
      </c>
      <c r="AE309" s="5">
        <f>[1]Hybrid!AD20</f>
        <v>10332.91951</v>
      </c>
      <c r="AF309" s="5">
        <f>[1]Hybrid!AE20</f>
        <v>10346.991739999999</v>
      </c>
      <c r="AG309" s="5">
        <f>[1]Hybrid!AF20</f>
        <v>10361.310240000001</v>
      </c>
      <c r="AH309" s="5">
        <f>[1]Hybrid!AG20</f>
        <v>10375.737150000001</v>
      </c>
      <c r="AI309" s="5">
        <f>[1]Hybrid!AH20</f>
        <v>10389.667450000001</v>
      </c>
      <c r="AJ309" s="5">
        <f>[1]Hybrid!AI20</f>
        <v>10402.334349999999</v>
      </c>
      <c r="AK309" s="5">
        <f>[1]Hybrid!AJ20</f>
        <v>10412.82178</v>
      </c>
      <c r="AL309" s="5">
        <f>[1]Hybrid!AK20</f>
        <v>10420.04263</v>
      </c>
    </row>
    <row r="310" spans="1:3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6645.4047959999998</v>
      </c>
      <c r="E310" s="5">
        <f>[1]Hybrid!D22</f>
        <v>6564.7364379999999</v>
      </c>
      <c r="F310" s="5">
        <f>[1]Hybrid!E22</f>
        <v>6520.9660329999997</v>
      </c>
      <c r="G310" s="5">
        <f>[1]Hybrid!F22</f>
        <v>6509.0302110000002</v>
      </c>
      <c r="H310" s="5">
        <f>[1]Hybrid!G22</f>
        <v>6521.4424980000003</v>
      </c>
      <c r="I310" s="5">
        <f>[1]Hybrid!H22</f>
        <v>6549.1014519999999</v>
      </c>
      <c r="J310" s="5">
        <f>[1]Hybrid!I22</f>
        <v>6567.9978069999997</v>
      </c>
      <c r="K310" s="5">
        <f>[1]Hybrid!J22</f>
        <v>6588.9466080000002</v>
      </c>
      <c r="L310" s="5">
        <f>[1]Hybrid!K22</f>
        <v>6616.6212750000004</v>
      </c>
      <c r="M310" s="5">
        <f>[1]Hybrid!L22</f>
        <v>6651.4767009999996</v>
      </c>
      <c r="N310" s="5">
        <f>[1]Hybrid!M22</f>
        <v>6695.6982070000004</v>
      </c>
      <c r="O310" s="5">
        <f>[1]Hybrid!N22</f>
        <v>6744.5659109999997</v>
      </c>
      <c r="P310" s="5">
        <f>[1]Hybrid!O22</f>
        <v>6793.124401</v>
      </c>
      <c r="Q310" s="5">
        <f>[1]Hybrid!P22</f>
        <v>6837.9065909999999</v>
      </c>
      <c r="R310" s="5">
        <f>[1]Hybrid!Q22</f>
        <v>6876.8483779999997</v>
      </c>
      <c r="S310" s="5">
        <f>[1]Hybrid!R22</f>
        <v>6907.3055690000001</v>
      </c>
      <c r="T310" s="5">
        <f>[1]Hybrid!S22</f>
        <v>6930.3109409999997</v>
      </c>
      <c r="U310" s="5">
        <f>[1]Hybrid!T22</f>
        <v>6946.8098579999996</v>
      </c>
      <c r="V310" s="5">
        <f>[1]Hybrid!U22</f>
        <v>6957.4915300000002</v>
      </c>
      <c r="W310" s="5">
        <f>[1]Hybrid!V22</f>
        <v>6962.2736699999996</v>
      </c>
      <c r="X310" s="5">
        <f>[1]Hybrid!W22</f>
        <v>6962.66608</v>
      </c>
      <c r="Y310" s="5">
        <f>[1]Hybrid!X22</f>
        <v>6959.3635530000001</v>
      </c>
      <c r="Z310" s="5">
        <f>[1]Hybrid!Y22</f>
        <v>6953.173143</v>
      </c>
      <c r="AA310" s="5">
        <f>[1]Hybrid!Z22</f>
        <v>6944.7789400000001</v>
      </c>
      <c r="AB310" s="5">
        <f>[1]Hybrid!AA22</f>
        <v>6932.9394329999996</v>
      </c>
      <c r="AC310" s="5">
        <f>[1]Hybrid!AB22</f>
        <v>6919.4141710000004</v>
      </c>
      <c r="AD310" s="5">
        <f>[1]Hybrid!AC22</f>
        <v>6904.6686929999996</v>
      </c>
      <c r="AE310" s="5">
        <f>[1]Hybrid!AD22</f>
        <v>6889.3683090000004</v>
      </c>
      <c r="AF310" s="5">
        <f>[1]Hybrid!AE22</f>
        <v>6874.0878519999997</v>
      </c>
      <c r="AG310" s="5">
        <f>[1]Hybrid!AF22</f>
        <v>6859.0228029999998</v>
      </c>
      <c r="AH310" s="5">
        <f>[1]Hybrid!AG22</f>
        <v>6843.9421050000001</v>
      </c>
      <c r="AI310" s="5">
        <f>[1]Hybrid!AH22</f>
        <v>6828.3366379999998</v>
      </c>
      <c r="AJ310" s="5">
        <f>[1]Hybrid!AI22</f>
        <v>6811.6182609999996</v>
      </c>
      <c r="AK310" s="5">
        <f>[1]Hybrid!AJ22</f>
        <v>6793.1333350000004</v>
      </c>
      <c r="AL310" s="5">
        <f>[1]Hybrid!AK22</f>
        <v>6772.1511250000003</v>
      </c>
    </row>
    <row r="311" spans="1:3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4054.0469210000001</v>
      </c>
      <c r="E311" s="5">
        <f>[1]Hybrid!D24</f>
        <v>3977.8566150000001</v>
      </c>
      <c r="F311" s="5">
        <f>[1]Hybrid!E24</f>
        <v>3922.3955540000002</v>
      </c>
      <c r="G311" s="5">
        <f>[1]Hybrid!F24</f>
        <v>3884.398686</v>
      </c>
      <c r="H311" s="5">
        <f>[1]Hybrid!G24</f>
        <v>3859.522962</v>
      </c>
      <c r="I311" s="5">
        <f>[1]Hybrid!H24</f>
        <v>3842.604562</v>
      </c>
      <c r="J311" s="5">
        <f>[1]Hybrid!I24</f>
        <v>3820.4096690000001</v>
      </c>
      <c r="K311" s="5">
        <f>[1]Hybrid!J24</f>
        <v>3798.0932210000001</v>
      </c>
      <c r="L311" s="5">
        <f>[1]Hybrid!K24</f>
        <v>3778.1946939999998</v>
      </c>
      <c r="M311" s="5">
        <f>[1]Hybrid!L24</f>
        <v>3761.1585660000001</v>
      </c>
      <c r="N311" s="5">
        <f>[1]Hybrid!M24</f>
        <v>3748.4244279999998</v>
      </c>
      <c r="O311" s="5">
        <f>[1]Hybrid!N24</f>
        <v>3738.103803</v>
      </c>
      <c r="P311" s="5">
        <f>[1]Hybrid!O24</f>
        <v>3728.20973</v>
      </c>
      <c r="Q311" s="5">
        <f>[1]Hybrid!P24</f>
        <v>3717.4667279999999</v>
      </c>
      <c r="R311" s="5">
        <f>[1]Hybrid!Q24</f>
        <v>3705.2282340000002</v>
      </c>
      <c r="S311" s="5">
        <f>[1]Hybrid!R24</f>
        <v>3690.4940000000001</v>
      </c>
      <c r="T311" s="5">
        <f>[1]Hybrid!S24</f>
        <v>3673.9634190000002</v>
      </c>
      <c r="U311" s="5">
        <f>[1]Hybrid!T24</f>
        <v>3656.2772209999998</v>
      </c>
      <c r="V311" s="5">
        <f>[1]Hybrid!U24</f>
        <v>3637.89867</v>
      </c>
      <c r="W311" s="5">
        <f>[1]Hybrid!V24</f>
        <v>3618.851099</v>
      </c>
      <c r="X311" s="5">
        <f>[1]Hybrid!W24</f>
        <v>3599.8634390000002</v>
      </c>
      <c r="Y311" s="5">
        <f>[1]Hybrid!X24</f>
        <v>3581.2169690000001</v>
      </c>
      <c r="Z311" s="5">
        <f>[1]Hybrid!Y24</f>
        <v>3563.2071449999999</v>
      </c>
      <c r="AA311" s="5">
        <f>[1]Hybrid!Z24</f>
        <v>3546.0322660000002</v>
      </c>
      <c r="AB311" s="5">
        <f>[1]Hybrid!AA24</f>
        <v>3528.915219</v>
      </c>
      <c r="AC311" s="5">
        <f>[1]Hybrid!AB24</f>
        <v>3512.5050590000001</v>
      </c>
      <c r="AD311" s="5">
        <f>[1]Hybrid!AC24</f>
        <v>3496.7844530000002</v>
      </c>
      <c r="AE311" s="5">
        <f>[1]Hybrid!AD24</f>
        <v>3481.8324859999998</v>
      </c>
      <c r="AF311" s="5">
        <f>[1]Hybrid!AE24</f>
        <v>3467.7256619999998</v>
      </c>
      <c r="AG311" s="5">
        <f>[1]Hybrid!AF24</f>
        <v>3454.4049559999999</v>
      </c>
      <c r="AH311" s="5">
        <f>[1]Hybrid!AG24</f>
        <v>3441.643673</v>
      </c>
      <c r="AI311" s="5">
        <f>[1]Hybrid!AH24</f>
        <v>3429.1102380000002</v>
      </c>
      <c r="AJ311" s="5">
        <f>[1]Hybrid!AI24</f>
        <v>3416.471477</v>
      </c>
      <c r="AK311" s="5">
        <f>[1]Hybrid!AJ24</f>
        <v>3403.4050820000002</v>
      </c>
      <c r="AL311" s="5">
        <f>[1]Hybrid!AK24</f>
        <v>3389.5908920000002</v>
      </c>
    </row>
    <row r="312" spans="1:3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2442.4856709999999</v>
      </c>
      <c r="E312" s="5">
        <f>[1]Hybrid!D26</f>
        <v>2398.1217489999999</v>
      </c>
      <c r="F312" s="5">
        <f>[1]Hybrid!E26</f>
        <v>2365.0982180000001</v>
      </c>
      <c r="G312" s="5">
        <f>[1]Hybrid!F26</f>
        <v>2341.28917</v>
      </c>
      <c r="H312" s="5">
        <f>[1]Hybrid!G26</f>
        <v>2324.059393</v>
      </c>
      <c r="I312" s="5">
        <f>[1]Hybrid!H26</f>
        <v>2310.298393</v>
      </c>
      <c r="J312" s="5">
        <f>[1]Hybrid!I26</f>
        <v>2291.9884269999998</v>
      </c>
      <c r="K312" s="5">
        <f>[1]Hybrid!J26</f>
        <v>2271.8134289999998</v>
      </c>
      <c r="L312" s="5">
        <f>[1]Hybrid!K26</f>
        <v>2251.261606</v>
      </c>
      <c r="M312" s="5">
        <f>[1]Hybrid!L26</f>
        <v>2230.6302449999998</v>
      </c>
      <c r="N312" s="5">
        <f>[1]Hybrid!M26</f>
        <v>2210.8933710000001</v>
      </c>
      <c r="O312" s="5">
        <f>[1]Hybrid!N26</f>
        <v>2191.3595639999999</v>
      </c>
      <c r="P312" s="5">
        <f>[1]Hybrid!O26</f>
        <v>2171.281622</v>
      </c>
      <c r="Q312" s="5">
        <f>[1]Hybrid!P26</f>
        <v>2150.2734180000002</v>
      </c>
      <c r="R312" s="5">
        <f>[1]Hybrid!Q26</f>
        <v>2128.243262</v>
      </c>
      <c r="S312" s="5">
        <f>[1]Hybrid!R26</f>
        <v>2104.8577369999998</v>
      </c>
      <c r="T312" s="5">
        <f>[1]Hybrid!S26</f>
        <v>2080.6128840000001</v>
      </c>
      <c r="U312" s="5">
        <f>[1]Hybrid!T26</f>
        <v>2055.960724</v>
      </c>
      <c r="V312" s="5">
        <f>[1]Hybrid!U26</f>
        <v>2031.229525</v>
      </c>
      <c r="W312" s="5">
        <f>[1]Hybrid!V26</f>
        <v>2006.4865809999999</v>
      </c>
      <c r="X312" s="5">
        <f>[1]Hybrid!W26</f>
        <v>1982.1199979999999</v>
      </c>
      <c r="Y312" s="5">
        <f>[1]Hybrid!X26</f>
        <v>1958.258898</v>
      </c>
      <c r="Z312" s="5">
        <f>[1]Hybrid!Y26</f>
        <v>1935.0142519999999</v>
      </c>
      <c r="AA312" s="5">
        <f>[1]Hybrid!Z26</f>
        <v>1912.425244</v>
      </c>
      <c r="AB312" s="5">
        <f>[1]Hybrid!AA26</f>
        <v>1890.0341129999999</v>
      </c>
      <c r="AC312" s="5">
        <f>[1]Hybrid!AB26</f>
        <v>1868.062275</v>
      </c>
      <c r="AD312" s="5">
        <f>[1]Hybrid!AC26</f>
        <v>1846.385857</v>
      </c>
      <c r="AE312" s="5">
        <f>[1]Hybrid!AD26</f>
        <v>1824.924008</v>
      </c>
      <c r="AF312" s="5">
        <f>[1]Hybrid!AE26</f>
        <v>1803.6090280000001</v>
      </c>
      <c r="AG312" s="5">
        <f>[1]Hybrid!AF26</f>
        <v>1782.328624</v>
      </c>
      <c r="AH312" s="5">
        <f>[1]Hybrid!AG26</f>
        <v>1760.9109269999999</v>
      </c>
      <c r="AI312" s="5">
        <f>[1]Hybrid!AH26</f>
        <v>1739.153333</v>
      </c>
      <c r="AJ312" s="5">
        <f>[1]Hybrid!AI26</f>
        <v>1716.873754</v>
      </c>
      <c r="AK312" s="5">
        <f>[1]Hybrid!AJ26</f>
        <v>1693.9190020000001</v>
      </c>
      <c r="AL312" s="5">
        <f>[1]Hybrid!AK26</f>
        <v>1670.160482</v>
      </c>
    </row>
    <row r="313" spans="1:3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1210.5867760000001</v>
      </c>
      <c r="E313" s="5">
        <f>[1]Hybrid!D28</f>
        <v>1184.4484</v>
      </c>
      <c r="F313" s="5">
        <f>[1]Hybrid!E28</f>
        <v>1162.2686229999999</v>
      </c>
      <c r="G313" s="5">
        <f>[1]Hybrid!F28</f>
        <v>1142.8394949999999</v>
      </c>
      <c r="H313" s="5">
        <f>[1]Hybrid!G28</f>
        <v>1124.9236109999999</v>
      </c>
      <c r="I313" s="5">
        <f>[1]Hybrid!H28</f>
        <v>1107.1504199999999</v>
      </c>
      <c r="J313" s="5">
        <f>[1]Hybrid!I28</f>
        <v>1086.062711</v>
      </c>
      <c r="K313" s="5">
        <f>[1]Hybrid!J28</f>
        <v>1062.633491</v>
      </c>
      <c r="L313" s="5">
        <f>[1]Hybrid!K28</f>
        <v>1037.617745</v>
      </c>
      <c r="M313" s="5">
        <f>[1]Hybrid!L28</f>
        <v>1011.311602</v>
      </c>
      <c r="N313" s="5">
        <f>[1]Hybrid!M28</f>
        <v>984.32134610000003</v>
      </c>
      <c r="O313" s="5">
        <f>[1]Hybrid!N28</f>
        <v>956.7896283</v>
      </c>
      <c r="P313" s="5">
        <f>[1]Hybrid!O28</f>
        <v>928.84628859999998</v>
      </c>
      <c r="Q313" s="5">
        <f>[1]Hybrid!P28</f>
        <v>900.70108330000005</v>
      </c>
      <c r="R313" s="5">
        <f>[1]Hybrid!Q28</f>
        <v>872.59481410000001</v>
      </c>
      <c r="S313" s="5">
        <f>[1]Hybrid!R28</f>
        <v>844.63665760000004</v>
      </c>
      <c r="T313" s="5">
        <f>[1]Hybrid!S28</f>
        <v>817.10705329999996</v>
      </c>
      <c r="U313" s="5">
        <f>[1]Hybrid!T28</f>
        <v>790.23393369999997</v>
      </c>
      <c r="V313" s="5">
        <f>[1]Hybrid!U28</f>
        <v>764.16943019999997</v>
      </c>
      <c r="W313" s="5">
        <f>[1]Hybrid!V28</f>
        <v>738.95823919999998</v>
      </c>
      <c r="X313" s="5">
        <f>[1]Hybrid!W28</f>
        <v>714.6944992</v>
      </c>
      <c r="Y313" s="5">
        <f>[1]Hybrid!X28</f>
        <v>691.37810579999996</v>
      </c>
      <c r="Z313" s="5">
        <f>[1]Hybrid!Y28</f>
        <v>668.98498359999996</v>
      </c>
      <c r="AA313" s="5">
        <f>[1]Hybrid!Z28</f>
        <v>647.45695260000002</v>
      </c>
      <c r="AB313" s="5">
        <f>[1]Hybrid!AA28</f>
        <v>626.60724040000002</v>
      </c>
      <c r="AC313" s="5">
        <f>[1]Hybrid!AB28</f>
        <v>606.39902729999994</v>
      </c>
      <c r="AD313" s="5">
        <f>[1]Hybrid!AC28</f>
        <v>586.70752789999995</v>
      </c>
      <c r="AE313" s="5">
        <f>[1]Hybrid!AD28</f>
        <v>567.42446040000004</v>
      </c>
      <c r="AF313" s="5">
        <f>[1]Hybrid!AE28</f>
        <v>548.46492780000005</v>
      </c>
      <c r="AG313" s="5">
        <f>[1]Hybrid!AF28</f>
        <v>529.75747520000004</v>
      </c>
      <c r="AH313" s="5">
        <f>[1]Hybrid!AG28</f>
        <v>511.23893320000002</v>
      </c>
      <c r="AI313" s="5">
        <f>[1]Hybrid!AH28</f>
        <v>492.8578349</v>
      </c>
      <c r="AJ313" s="5">
        <f>[1]Hybrid!AI28</f>
        <v>474.58447050000001</v>
      </c>
      <c r="AK313" s="5">
        <f>[1]Hybrid!AJ28</f>
        <v>456.41128939999999</v>
      </c>
      <c r="AL313" s="5">
        <f>[1]Hybrid!AK28</f>
        <v>438.34885980000001</v>
      </c>
    </row>
    <row r="314" spans="1:3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2183.4432149999998</v>
      </c>
      <c r="E314" s="5">
        <f>[1]Hybrid!D30</f>
        <v>2137.4822509999999</v>
      </c>
      <c r="F314" s="5">
        <f>[1]Hybrid!E30</f>
        <v>2095.845272</v>
      </c>
      <c r="G314" s="5">
        <f>[1]Hybrid!F30</f>
        <v>2056.2069809999998</v>
      </c>
      <c r="H314" s="5">
        <f>[1]Hybrid!G30</f>
        <v>2016.5252700000001</v>
      </c>
      <c r="I314" s="5">
        <f>[1]Hybrid!H30</f>
        <v>1974.6537579999999</v>
      </c>
      <c r="J314" s="5">
        <f>[1]Hybrid!I30</f>
        <v>1924.9751659999999</v>
      </c>
      <c r="K314" s="5">
        <f>[1]Hybrid!J30</f>
        <v>1869.1706839999999</v>
      </c>
      <c r="L314" s="5">
        <f>[1]Hybrid!K30</f>
        <v>1808.9307899999999</v>
      </c>
      <c r="M314" s="5">
        <f>[1]Hybrid!L30</f>
        <v>1745.2212280000001</v>
      </c>
      <c r="N314" s="5">
        <f>[1]Hybrid!M30</f>
        <v>1679.498938</v>
      </c>
      <c r="O314" s="5">
        <f>[1]Hybrid!N30</f>
        <v>1612.635683</v>
      </c>
      <c r="P314" s="5">
        <f>[1]Hybrid!O30</f>
        <v>1545.4024400000001</v>
      </c>
      <c r="Q314" s="5">
        <f>[1]Hybrid!P30</f>
        <v>1478.5524700000001</v>
      </c>
      <c r="R314" s="5">
        <f>[1]Hybrid!Q30</f>
        <v>1412.746144</v>
      </c>
      <c r="S314" s="5">
        <f>[1]Hybrid!R30</f>
        <v>1348.3697</v>
      </c>
      <c r="T314" s="5">
        <f>[1]Hybrid!S30</f>
        <v>1285.902382</v>
      </c>
      <c r="U314" s="5">
        <f>[1]Hybrid!T30</f>
        <v>1225.6962120000001</v>
      </c>
      <c r="V314" s="5">
        <f>[1]Hybrid!U30</f>
        <v>1167.9593589999999</v>
      </c>
      <c r="W314" s="5">
        <f>[1]Hybrid!V30</f>
        <v>1112.735889</v>
      </c>
      <c r="X314" s="5">
        <f>[1]Hybrid!W30</f>
        <v>1060.0833439999999</v>
      </c>
      <c r="Y314" s="5">
        <f>[1]Hybrid!X30</f>
        <v>1009.9331110000001</v>
      </c>
      <c r="Z314" s="5">
        <f>[1]Hybrid!Y30</f>
        <v>962.17521199999999</v>
      </c>
      <c r="AA314" s="5">
        <f>[1]Hybrid!Z30</f>
        <v>916.65434660000005</v>
      </c>
      <c r="AB314" s="5">
        <f>[1]Hybrid!AA30</f>
        <v>873.0884595</v>
      </c>
      <c r="AC314" s="5">
        <f>[1]Hybrid!AB30</f>
        <v>831.33731190000003</v>
      </c>
      <c r="AD314" s="5">
        <f>[1]Hybrid!AC30</f>
        <v>791.18187039999998</v>
      </c>
      <c r="AE314" s="5">
        <f>[1]Hybrid!AD30</f>
        <v>752.43463480000003</v>
      </c>
      <c r="AF314" s="5">
        <f>[1]Hybrid!AE30</f>
        <v>714.95468189999997</v>
      </c>
      <c r="AG314" s="5">
        <f>[1]Hybrid!AF30</f>
        <v>678.63795400000004</v>
      </c>
      <c r="AH314" s="5">
        <f>[1]Hybrid!AG30</f>
        <v>643.40824259999999</v>
      </c>
      <c r="AI314" s="5">
        <f>[1]Hybrid!AH30</f>
        <v>609.21511450000003</v>
      </c>
      <c r="AJ314" s="5">
        <f>[1]Hybrid!AI30</f>
        <v>576.03821019999998</v>
      </c>
      <c r="AK314" s="5">
        <f>[1]Hybrid!AJ30</f>
        <v>543.88299140000004</v>
      </c>
      <c r="AL314" s="5">
        <f>[1]Hybrid!AK30</f>
        <v>512.77246649999995</v>
      </c>
    </row>
    <row r="315" spans="1:3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15.130629320000001</v>
      </c>
      <c r="E315" s="5">
        <f>[1]Hybrid!D32</f>
        <v>21.017923889999999</v>
      </c>
      <c r="F315" s="5">
        <f>[1]Hybrid!E32</f>
        <v>27.457126939999998</v>
      </c>
      <c r="G315" s="5">
        <f>[1]Hybrid!F32</f>
        <v>34.503908269999997</v>
      </c>
      <c r="H315" s="5">
        <f>[1]Hybrid!G32</f>
        <v>42.057561620000001</v>
      </c>
      <c r="I315" s="5">
        <f>[1]Hybrid!H32</f>
        <v>50.009741820000002</v>
      </c>
      <c r="J315" s="5">
        <f>[1]Hybrid!I32</f>
        <v>58.404292120000001</v>
      </c>
      <c r="K315" s="5">
        <f>[1]Hybrid!J32</f>
        <v>69.027944210000001</v>
      </c>
      <c r="L315" s="5">
        <f>[1]Hybrid!K32</f>
        <v>83.708955459999999</v>
      </c>
      <c r="M315" s="5">
        <f>[1]Hybrid!L32</f>
        <v>104.6657731</v>
      </c>
      <c r="N315" s="5">
        <f>[1]Hybrid!M32</f>
        <v>133.70714989999999</v>
      </c>
      <c r="O315" s="5">
        <f>[1]Hybrid!N32</f>
        <v>170.86091630000001</v>
      </c>
      <c r="P315" s="5">
        <f>[1]Hybrid!O32</f>
        <v>215.9126445</v>
      </c>
      <c r="Q315" s="5">
        <f>[1]Hybrid!P32</f>
        <v>268.58917869999999</v>
      </c>
      <c r="R315" s="5">
        <f>[1]Hybrid!Q32</f>
        <v>328.63628319999998</v>
      </c>
      <c r="S315" s="5">
        <f>[1]Hybrid!R32</f>
        <v>395.83318259999999</v>
      </c>
      <c r="T315" s="5">
        <f>[1]Hybrid!S32</f>
        <v>470.59199799999999</v>
      </c>
      <c r="U315" s="5">
        <f>[1]Hybrid!T32</f>
        <v>553.17460000000005</v>
      </c>
      <c r="V315" s="5">
        <f>[1]Hybrid!U32</f>
        <v>643.75327059999995</v>
      </c>
      <c r="W315" s="5">
        <f>[1]Hybrid!V32</f>
        <v>742.33424720000005</v>
      </c>
      <c r="X315" s="5">
        <f>[1]Hybrid!W32</f>
        <v>849.30772839999997</v>
      </c>
      <c r="Y315" s="5">
        <f>[1]Hybrid!X32</f>
        <v>964.97553809999999</v>
      </c>
      <c r="Z315" s="5">
        <f>[1]Hybrid!Y32</f>
        <v>1089.759781</v>
      </c>
      <c r="AA315" s="5">
        <f>[1]Hybrid!Z32</f>
        <v>1224.1556800000001</v>
      </c>
      <c r="AB315" s="5">
        <f>[1]Hybrid!AA32</f>
        <v>1368.0783140000001</v>
      </c>
      <c r="AC315" s="5">
        <f>[1]Hybrid!AB32</f>
        <v>1522.567941</v>
      </c>
      <c r="AD315" s="5">
        <f>[1]Hybrid!AC32</f>
        <v>1688.3981799999999</v>
      </c>
      <c r="AE315" s="5">
        <f>[1]Hybrid!AD32</f>
        <v>1866.5963200000001</v>
      </c>
      <c r="AF315" s="5">
        <f>[1]Hybrid!AE32</f>
        <v>2058.333149</v>
      </c>
      <c r="AG315" s="5">
        <f>[1]Hybrid!AF32</f>
        <v>2264.7654560000001</v>
      </c>
      <c r="AH315" s="5">
        <f>[1]Hybrid!AG32</f>
        <v>2486.9574250000001</v>
      </c>
      <c r="AI315" s="5">
        <f>[1]Hybrid!AH32</f>
        <v>2725.9039560000001</v>
      </c>
      <c r="AJ315" s="5">
        <f>[1]Hybrid!AI32</f>
        <v>2982.6043100000002</v>
      </c>
      <c r="AK315" s="5">
        <f>[1]Hybrid!AJ32</f>
        <v>3258.0376470000001</v>
      </c>
      <c r="AL315" s="5">
        <f>[1]Hybrid!AK32</f>
        <v>3553.1173779999999</v>
      </c>
    </row>
    <row r="316" spans="1:3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16.448995610000001</v>
      </c>
      <c r="E316" s="5">
        <f>[1]Hybrid!D34</f>
        <v>22.035707649999999</v>
      </c>
      <c r="F316" s="5">
        <f>[1]Hybrid!E34</f>
        <v>28.16328743</v>
      </c>
      <c r="G316" s="5">
        <f>[1]Hybrid!F34</f>
        <v>34.887207519999997</v>
      </c>
      <c r="H316" s="5">
        <f>[1]Hybrid!G34</f>
        <v>42.108072239999998</v>
      </c>
      <c r="I316" s="5">
        <f>[1]Hybrid!H34</f>
        <v>49.719354320000001</v>
      </c>
      <c r="J316" s="5">
        <f>[1]Hybrid!I34</f>
        <v>57.771959709999997</v>
      </c>
      <c r="K316" s="5">
        <f>[1]Hybrid!J34</f>
        <v>68.013119399999994</v>
      </c>
      <c r="L316" s="5">
        <f>[1]Hybrid!K34</f>
        <v>82.204010339999996</v>
      </c>
      <c r="M316" s="5">
        <f>[1]Hybrid!L34</f>
        <v>102.4451201</v>
      </c>
      <c r="N316" s="5">
        <f>[1]Hybrid!M34</f>
        <v>130.4153603</v>
      </c>
      <c r="O316" s="5">
        <f>[1]Hybrid!N34</f>
        <v>166.09932810000001</v>
      </c>
      <c r="P316" s="5">
        <f>[1]Hybrid!O34</f>
        <v>209.26091719999999</v>
      </c>
      <c r="Q316" s="5">
        <f>[1]Hybrid!P34</f>
        <v>259.61702359999998</v>
      </c>
      <c r="R316" s="5">
        <f>[1]Hybrid!Q34</f>
        <v>316.90891269999997</v>
      </c>
      <c r="S316" s="5">
        <f>[1]Hybrid!R34</f>
        <v>380.90460180000002</v>
      </c>
      <c r="T316" s="5">
        <f>[1]Hybrid!S34</f>
        <v>451.96782139999999</v>
      </c>
      <c r="U316" s="5">
        <f>[1]Hybrid!T34</f>
        <v>530.33067159999996</v>
      </c>
      <c r="V316" s="5">
        <f>[1]Hybrid!U34</f>
        <v>616.1435649</v>
      </c>
      <c r="W316" s="5">
        <f>[1]Hybrid!V34</f>
        <v>709.39716650000003</v>
      </c>
      <c r="X316" s="5">
        <f>[1]Hybrid!W34</f>
        <v>810.44021410000005</v>
      </c>
      <c r="Y316" s="5">
        <f>[1]Hybrid!X34</f>
        <v>919.52816600000006</v>
      </c>
      <c r="Z316" s="5">
        <f>[1]Hybrid!Y34</f>
        <v>1037.0191870000001</v>
      </c>
      <c r="AA316" s="5">
        <f>[1]Hybrid!Z34</f>
        <v>1163.3263730000001</v>
      </c>
      <c r="AB316" s="5">
        <f>[1]Hybrid!AA34</f>
        <v>1298.2998689999999</v>
      </c>
      <c r="AC316" s="5">
        <f>[1]Hybrid!AB34</f>
        <v>1442.8273360000001</v>
      </c>
      <c r="AD316" s="5">
        <f>[1]Hybrid!AC34</f>
        <v>1597.5168570000001</v>
      </c>
      <c r="AE316" s="5">
        <f>[1]Hybrid!AD34</f>
        <v>1763.186477</v>
      </c>
      <c r="AF316" s="5">
        <f>[1]Hybrid!AE34</f>
        <v>1940.7648979999999</v>
      </c>
      <c r="AG316" s="5">
        <f>[1]Hybrid!AF34</f>
        <v>2131.1451630000001</v>
      </c>
      <c r="AH316" s="5">
        <f>[1]Hybrid!AG34</f>
        <v>2335.1102270000001</v>
      </c>
      <c r="AI316" s="5">
        <f>[1]Hybrid!AH34</f>
        <v>2553.3529100000001</v>
      </c>
      <c r="AJ316" s="5">
        <f>[1]Hybrid!AI34</f>
        <v>2786.545783</v>
      </c>
      <c r="AK316" s="5">
        <f>[1]Hybrid!AJ34</f>
        <v>3035.321833</v>
      </c>
      <c r="AL316" s="5">
        <f>[1]Hybrid!AK34</f>
        <v>3300.2349939999999</v>
      </c>
    </row>
    <row r="317" spans="1:3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12.809561970000001</v>
      </c>
      <c r="E317" s="5">
        <f>[1]Hybrid!D36</f>
        <v>16.626379450000002</v>
      </c>
      <c r="F317" s="5">
        <f>[1]Hybrid!E36</f>
        <v>20.824251830000001</v>
      </c>
      <c r="G317" s="5">
        <f>[1]Hybrid!F36</f>
        <v>25.442596980000001</v>
      </c>
      <c r="H317" s="5">
        <f>[1]Hybrid!G36</f>
        <v>30.410760740000001</v>
      </c>
      <c r="I317" s="5">
        <f>[1]Hybrid!H36</f>
        <v>35.653234769999997</v>
      </c>
      <c r="J317" s="5">
        <f>[1]Hybrid!I36</f>
        <v>41.209820919999999</v>
      </c>
      <c r="K317" s="5">
        <f>[1]Hybrid!J36</f>
        <v>48.305779809999997</v>
      </c>
      <c r="L317" s="5">
        <f>[1]Hybrid!K36</f>
        <v>58.157868980000003</v>
      </c>
      <c r="M317" s="5">
        <f>[1]Hybrid!L36</f>
        <v>72.192798640000007</v>
      </c>
      <c r="N317" s="5">
        <f>[1]Hybrid!M36</f>
        <v>91.528051250000004</v>
      </c>
      <c r="O317" s="5">
        <f>[1]Hybrid!N36</f>
        <v>116.12393849999999</v>
      </c>
      <c r="P317" s="5">
        <f>[1]Hybrid!O36</f>
        <v>145.7972919</v>
      </c>
      <c r="Q317" s="5">
        <f>[1]Hybrid!P36</f>
        <v>180.33929649999999</v>
      </c>
      <c r="R317" s="5">
        <f>[1]Hybrid!Q36</f>
        <v>219.56236749999999</v>
      </c>
      <c r="S317" s="5">
        <f>[1]Hybrid!R36</f>
        <v>263.29391950000002</v>
      </c>
      <c r="T317" s="5">
        <f>[1]Hybrid!S36</f>
        <v>311.7639648</v>
      </c>
      <c r="U317" s="5">
        <f>[1]Hybrid!T36</f>
        <v>365.12049430000002</v>
      </c>
      <c r="V317" s="5">
        <f>[1]Hybrid!U36</f>
        <v>423.45828640000002</v>
      </c>
      <c r="W317" s="5">
        <f>[1]Hybrid!V36</f>
        <v>486.76202749999999</v>
      </c>
      <c r="X317" s="5">
        <f>[1]Hybrid!W36</f>
        <v>555.25625769999999</v>
      </c>
      <c r="Y317" s="5">
        <f>[1]Hybrid!X36</f>
        <v>629.09593240000004</v>
      </c>
      <c r="Z317" s="5">
        <f>[1]Hybrid!Y36</f>
        <v>708.49865190000003</v>
      </c>
      <c r="AA317" s="5">
        <f>[1]Hybrid!Z36</f>
        <v>793.71023460000004</v>
      </c>
      <c r="AB317" s="5">
        <f>[1]Hybrid!AA36</f>
        <v>884.58531819999996</v>
      </c>
      <c r="AC317" s="5">
        <f>[1]Hybrid!AB36</f>
        <v>981.66597190000005</v>
      </c>
      <c r="AD317" s="5">
        <f>[1]Hybrid!AC36</f>
        <v>1085.2873259999999</v>
      </c>
      <c r="AE317" s="5">
        <f>[1]Hybrid!AD36</f>
        <v>1195.90869</v>
      </c>
      <c r="AF317" s="5">
        <f>[1]Hybrid!AE36</f>
        <v>1314.0498279999999</v>
      </c>
      <c r="AG317" s="5">
        <f>[1]Hybrid!AF36</f>
        <v>1440.193767</v>
      </c>
      <c r="AH317" s="5">
        <f>[1]Hybrid!AG36</f>
        <v>1574.736639</v>
      </c>
      <c r="AI317" s="5">
        <f>[1]Hybrid!AH36</f>
        <v>1718.000346</v>
      </c>
      <c r="AJ317" s="5">
        <f>[1]Hybrid!AI36</f>
        <v>1870.2806680000001</v>
      </c>
      <c r="AK317" s="5">
        <f>[1]Hybrid!AJ36</f>
        <v>2031.8370279999999</v>
      </c>
      <c r="AL317" s="5">
        <f>[1]Hybrid!AK36</f>
        <v>2202.8684400000002</v>
      </c>
    </row>
    <row r="318" spans="1:3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7.5897061490000004</v>
      </c>
      <c r="E318" s="5">
        <f>[1]Hybrid!D38</f>
        <v>9.5751188579999997</v>
      </c>
      <c r="F318" s="5">
        <f>[1]Hybrid!E38</f>
        <v>11.68180757</v>
      </c>
      <c r="G318" s="5">
        <f>[1]Hybrid!F38</f>
        <v>13.907260300000001</v>
      </c>
      <c r="H318" s="5">
        <f>[1]Hybrid!G38</f>
        <v>16.215637539999999</v>
      </c>
      <c r="I318" s="5">
        <f>[1]Hybrid!H38</f>
        <v>18.564836629999999</v>
      </c>
      <c r="J318" s="5">
        <f>[1]Hybrid!I38</f>
        <v>20.897747519999999</v>
      </c>
      <c r="K318" s="5">
        <f>[1]Hybrid!J38</f>
        <v>23.513173370000001</v>
      </c>
      <c r="L318" s="5">
        <f>[1]Hybrid!K38</f>
        <v>26.679362050000002</v>
      </c>
      <c r="M318" s="5">
        <f>[1]Hybrid!L38</f>
        <v>30.683684249999999</v>
      </c>
      <c r="N318" s="5">
        <f>[1]Hybrid!M38</f>
        <v>35.751172009999998</v>
      </c>
      <c r="O318" s="5">
        <f>[1]Hybrid!N38</f>
        <v>41.858178819999999</v>
      </c>
      <c r="P318" s="5">
        <f>[1]Hybrid!O38</f>
        <v>48.952681759999997</v>
      </c>
      <c r="Q318" s="5">
        <f>[1]Hybrid!P38</f>
        <v>56.983893940000002</v>
      </c>
      <c r="R318" s="5">
        <f>[1]Hybrid!Q38</f>
        <v>65.911464910000007</v>
      </c>
      <c r="S318" s="5">
        <f>[1]Hybrid!R38</f>
        <v>75.696220210000007</v>
      </c>
      <c r="T318" s="5">
        <f>[1]Hybrid!S38</f>
        <v>86.390949610000007</v>
      </c>
      <c r="U318" s="5">
        <f>[1]Hybrid!T38</f>
        <v>98.036774550000004</v>
      </c>
      <c r="V318" s="5">
        <f>[1]Hybrid!U38</f>
        <v>110.6662108</v>
      </c>
      <c r="W318" s="5">
        <f>[1]Hybrid!V38</f>
        <v>124.28805269999999</v>
      </c>
      <c r="X318" s="5">
        <f>[1]Hybrid!W38</f>
        <v>138.96474280000001</v>
      </c>
      <c r="Y318" s="5">
        <f>[1]Hybrid!X38</f>
        <v>154.74138450000001</v>
      </c>
      <c r="Z318" s="5">
        <f>[1]Hybrid!Y38</f>
        <v>171.6752664</v>
      </c>
      <c r="AA318" s="5">
        <f>[1]Hybrid!Z38</f>
        <v>189.8271546</v>
      </c>
      <c r="AB318" s="5">
        <f>[1]Hybrid!AA38</f>
        <v>209.16824629999999</v>
      </c>
      <c r="AC318" s="5">
        <f>[1]Hybrid!AB38</f>
        <v>229.81507189999999</v>
      </c>
      <c r="AD318" s="5">
        <f>[1]Hybrid!AC38</f>
        <v>251.83097549999999</v>
      </c>
      <c r="AE318" s="5">
        <f>[1]Hybrid!AD38</f>
        <v>275.30081180000002</v>
      </c>
      <c r="AF318" s="5">
        <f>[1]Hybrid!AE38</f>
        <v>300.32182820000003</v>
      </c>
      <c r="AG318" s="5">
        <f>[1]Hybrid!AF38</f>
        <v>326.9847967</v>
      </c>
      <c r="AH318" s="5">
        <f>[1]Hybrid!AG38</f>
        <v>355.36349899999999</v>
      </c>
      <c r="AI318" s="5">
        <f>[1]Hybrid!AH38</f>
        <v>385.51738419999998</v>
      </c>
      <c r="AJ318" s="5">
        <f>[1]Hybrid!AI38</f>
        <v>417.50427939999997</v>
      </c>
      <c r="AK318" s="5">
        <f>[1]Hybrid!AJ38</f>
        <v>451.3813159</v>
      </c>
      <c r="AL318" s="5">
        <f>[1]Hybrid!AK38</f>
        <v>487.2019808</v>
      </c>
    </row>
    <row r="319" spans="1:3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4.5933005749999998</v>
      </c>
      <c r="E319" s="5">
        <f>[1]Hybrid!D40</f>
        <v>5.8100829870000004</v>
      </c>
      <c r="F319" s="5">
        <f>[1]Hybrid!E40</f>
        <v>7.0945435110000004</v>
      </c>
      <c r="G319" s="5">
        <f>[1]Hybrid!F40</f>
        <v>8.4435847279999994</v>
      </c>
      <c r="H319" s="5">
        <f>[1]Hybrid!G40</f>
        <v>9.8336161369999999</v>
      </c>
      <c r="I319" s="5">
        <f>[1]Hybrid!H40</f>
        <v>11.237641930000001</v>
      </c>
      <c r="J319" s="5">
        <f>[1]Hybrid!I40</f>
        <v>12.62133304</v>
      </c>
      <c r="K319" s="5">
        <f>[1]Hybrid!J40</f>
        <v>14.159592099999999</v>
      </c>
      <c r="L319" s="5">
        <f>[1]Hybrid!K40</f>
        <v>16.000319730000001</v>
      </c>
      <c r="M319" s="5">
        <f>[1]Hybrid!L40</f>
        <v>18.291680400000001</v>
      </c>
      <c r="N319" s="5">
        <f>[1]Hybrid!M40</f>
        <v>21.142536079999999</v>
      </c>
      <c r="O319" s="5">
        <f>[1]Hybrid!N40</f>
        <v>24.528760210000002</v>
      </c>
      <c r="P319" s="5">
        <f>[1]Hybrid!O40</f>
        <v>28.413850960000001</v>
      </c>
      <c r="Q319" s="5">
        <f>[1]Hybrid!P40</f>
        <v>32.764923940000003</v>
      </c>
      <c r="R319" s="5">
        <f>[1]Hybrid!Q40</f>
        <v>37.55680503</v>
      </c>
      <c r="S319" s="5">
        <f>[1]Hybrid!R40</f>
        <v>42.764984550000001</v>
      </c>
      <c r="T319" s="5">
        <f>[1]Hybrid!S40</f>
        <v>48.413698910000001</v>
      </c>
      <c r="U319" s="5">
        <f>[1]Hybrid!T40</f>
        <v>54.522340700000001</v>
      </c>
      <c r="V319" s="5">
        <f>[1]Hybrid!U40</f>
        <v>61.105838769999998</v>
      </c>
      <c r="W319" s="5">
        <f>[1]Hybrid!V40</f>
        <v>68.165684600000006</v>
      </c>
      <c r="X319" s="5">
        <f>[1]Hybrid!W40</f>
        <v>75.729961840000001</v>
      </c>
      <c r="Y319" s="5">
        <f>[1]Hybrid!X40</f>
        <v>83.815183430000005</v>
      </c>
      <c r="Z319" s="5">
        <f>[1]Hybrid!Y40</f>
        <v>92.441446760000005</v>
      </c>
      <c r="AA319" s="5">
        <f>[1]Hybrid!Z40</f>
        <v>101.6270949</v>
      </c>
      <c r="AB319" s="5">
        <f>[1]Hybrid!AA40</f>
        <v>111.3404298</v>
      </c>
      <c r="AC319" s="5">
        <f>[1]Hybrid!AB40</f>
        <v>121.6190544</v>
      </c>
      <c r="AD319" s="5">
        <f>[1]Hybrid!AC40</f>
        <v>132.46691269999999</v>
      </c>
      <c r="AE319" s="5">
        <f>[1]Hybrid!AD40</f>
        <v>143.8931695</v>
      </c>
      <c r="AF319" s="5">
        <f>[1]Hybrid!AE40</f>
        <v>155.9093087</v>
      </c>
      <c r="AG319" s="5">
        <f>[1]Hybrid!AF40</f>
        <v>168.52042879999999</v>
      </c>
      <c r="AH319" s="5">
        <f>[1]Hybrid!AG40</f>
        <v>181.72019760000001</v>
      </c>
      <c r="AI319" s="5">
        <f>[1]Hybrid!AH40</f>
        <v>195.49224380000001</v>
      </c>
      <c r="AJ319" s="5">
        <f>[1]Hybrid!AI40</f>
        <v>209.81721680000001</v>
      </c>
      <c r="AK319" s="5">
        <f>[1]Hybrid!AJ40</f>
        <v>224.6743199</v>
      </c>
      <c r="AL319" s="5">
        <f>[1]Hybrid!AK40</f>
        <v>240.04070010000001</v>
      </c>
    </row>
    <row r="320" spans="1:3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2.2525967260000002</v>
      </c>
      <c r="E320" s="5">
        <f>[1]Hybrid!D42</f>
        <v>2.8080324289999998</v>
      </c>
      <c r="F320" s="5">
        <f>[1]Hybrid!E42</f>
        <v>3.3713034230000001</v>
      </c>
      <c r="G320" s="5">
        <f>[1]Hybrid!F42</f>
        <v>3.936064762</v>
      </c>
      <c r="H320" s="5">
        <f>[1]Hybrid!G42</f>
        <v>4.4908866859999996</v>
      </c>
      <c r="I320" s="5">
        <f>[1]Hybrid!H42</f>
        <v>5.0232424169999996</v>
      </c>
      <c r="J320" s="5">
        <f>[1]Hybrid!I42</f>
        <v>5.5105068289999997</v>
      </c>
      <c r="K320" s="5">
        <f>[1]Hybrid!J42</f>
        <v>5.9922101420000002</v>
      </c>
      <c r="L320" s="5">
        <f>[1]Hybrid!K42</f>
        <v>6.4963676970000002</v>
      </c>
      <c r="M320" s="5">
        <f>[1]Hybrid!L42</f>
        <v>7.0440393339999998</v>
      </c>
      <c r="N320" s="5">
        <f>[1]Hybrid!M42</f>
        <v>7.6490560399999996</v>
      </c>
      <c r="O320" s="5">
        <f>[1]Hybrid!N42</f>
        <v>8.3028212799999999</v>
      </c>
      <c r="P320" s="5">
        <f>[1]Hybrid!O42</f>
        <v>8.9966757279999996</v>
      </c>
      <c r="Q320" s="5">
        <f>[1]Hybrid!P42</f>
        <v>9.7246623499999991</v>
      </c>
      <c r="R320" s="5">
        <f>[1]Hybrid!Q42</f>
        <v>10.48335767</v>
      </c>
      <c r="S320" s="5">
        <f>[1]Hybrid!R42</f>
        <v>11.269251390000001</v>
      </c>
      <c r="T320" s="5">
        <f>[1]Hybrid!S42</f>
        <v>12.086868129999999</v>
      </c>
      <c r="U320" s="5">
        <f>[1]Hybrid!T42</f>
        <v>12.940161870000001</v>
      </c>
      <c r="V320" s="5">
        <f>[1]Hybrid!U42</f>
        <v>13.832055520000001</v>
      </c>
      <c r="W320" s="5">
        <f>[1]Hybrid!V42</f>
        <v>14.76268292</v>
      </c>
      <c r="X320" s="5">
        <f>[1]Hybrid!W42</f>
        <v>15.73545262</v>
      </c>
      <c r="Y320" s="5">
        <f>[1]Hybrid!X42</f>
        <v>16.75080908</v>
      </c>
      <c r="Z320" s="5">
        <f>[1]Hybrid!Y42</f>
        <v>17.808582269999999</v>
      </c>
      <c r="AA320" s="5">
        <f>[1]Hybrid!Z42</f>
        <v>18.906978559999999</v>
      </c>
      <c r="AB320" s="5">
        <f>[1]Hybrid!AA42</f>
        <v>20.03586275</v>
      </c>
      <c r="AC320" s="5">
        <f>[1]Hybrid!AB42</f>
        <v>21.19301441</v>
      </c>
      <c r="AD320" s="5">
        <f>[1]Hybrid!AC42</f>
        <v>22.36970796</v>
      </c>
      <c r="AE320" s="5">
        <f>[1]Hybrid!AD42</f>
        <v>23.55673333</v>
      </c>
      <c r="AF320" s="5">
        <f>[1]Hybrid!AE42</f>
        <v>24.745060240000001</v>
      </c>
      <c r="AG320" s="5">
        <f>[1]Hybrid!AF42</f>
        <v>25.925262870000001</v>
      </c>
      <c r="AH320" s="5">
        <f>[1]Hybrid!AG42</f>
        <v>27.08714183</v>
      </c>
      <c r="AI320" s="5">
        <f>[1]Hybrid!AH42</f>
        <v>28.22007224</v>
      </c>
      <c r="AJ320" s="5">
        <f>[1]Hybrid!AI42</f>
        <v>29.314222390000001</v>
      </c>
      <c r="AK320" s="5">
        <f>[1]Hybrid!AJ42</f>
        <v>30.361092320000001</v>
      </c>
      <c r="AL320" s="5">
        <f>[1]Hybrid!AK42</f>
        <v>31.353620729999999</v>
      </c>
    </row>
    <row r="321" spans="1:3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4.0900373480000001</v>
      </c>
      <c r="E321" s="5">
        <f>[1]Hybrid!D44</f>
        <v>5.1054673140000002</v>
      </c>
      <c r="F321" s="5">
        <f>[1]Hybrid!E44</f>
        <v>6.1106810759999997</v>
      </c>
      <c r="G321" s="5">
        <f>[1]Hybrid!F44</f>
        <v>7.0907790899999998</v>
      </c>
      <c r="H321" s="5">
        <f>[1]Hybrid!G44</f>
        <v>8.0242560419999993</v>
      </c>
      <c r="I321" s="5">
        <f>[1]Hybrid!H44</f>
        <v>8.8892754810000003</v>
      </c>
      <c r="J321" s="5">
        <f>[1]Hybrid!I44</f>
        <v>9.6478038060000006</v>
      </c>
      <c r="K321" s="5">
        <f>[1]Hybrid!J44</f>
        <v>10.360470380000001</v>
      </c>
      <c r="L321" s="5">
        <f>[1]Hybrid!K44</f>
        <v>11.06622434</v>
      </c>
      <c r="M321" s="5">
        <f>[1]Hybrid!L44</f>
        <v>11.78875352</v>
      </c>
      <c r="N321" s="5">
        <f>[1]Hybrid!M44</f>
        <v>12.54114979</v>
      </c>
      <c r="O321" s="5">
        <f>[1]Hybrid!N44</f>
        <v>13.31011567</v>
      </c>
      <c r="P321" s="5">
        <f>[1]Hybrid!O44</f>
        <v>14.08525006</v>
      </c>
      <c r="Q321" s="5">
        <f>[1]Hybrid!P44</f>
        <v>14.86144412</v>
      </c>
      <c r="R321" s="5">
        <f>[1]Hybrid!Q44</f>
        <v>15.63745786</v>
      </c>
      <c r="S321" s="5">
        <f>[1]Hybrid!R44</f>
        <v>16.411834809999998</v>
      </c>
      <c r="T321" s="5">
        <f>[1]Hybrid!S44</f>
        <v>17.191742820000002</v>
      </c>
      <c r="U321" s="5">
        <f>[1]Hybrid!T44</f>
        <v>17.98342714</v>
      </c>
      <c r="V321" s="5">
        <f>[1]Hybrid!U44</f>
        <v>18.791388550000001</v>
      </c>
      <c r="W321" s="5">
        <f>[1]Hybrid!V44</f>
        <v>19.616303370000001</v>
      </c>
      <c r="X321" s="5">
        <f>[1]Hybrid!W44</f>
        <v>20.461406329999999</v>
      </c>
      <c r="Y321" s="5">
        <f>[1]Hybrid!X44</f>
        <v>21.325757110000001</v>
      </c>
      <c r="Z321" s="5">
        <f>[1]Hybrid!Y44</f>
        <v>22.206846509999998</v>
      </c>
      <c r="AA321" s="5">
        <f>[1]Hybrid!Z44</f>
        <v>23.099525809999999</v>
      </c>
      <c r="AB321" s="5">
        <f>[1]Hybrid!AA44</f>
        <v>23.989636099999998</v>
      </c>
      <c r="AC321" s="5">
        <f>[1]Hybrid!AB44</f>
        <v>24.869835599999998</v>
      </c>
      <c r="AD321" s="5">
        <f>[1]Hybrid!AC44</f>
        <v>25.72579957</v>
      </c>
      <c r="AE321" s="5">
        <f>[1]Hybrid!AD44</f>
        <v>26.542891789999999</v>
      </c>
      <c r="AF321" s="5">
        <f>[1]Hybrid!AE44</f>
        <v>27.307767649999999</v>
      </c>
      <c r="AG321" s="5">
        <f>[1]Hybrid!AF44</f>
        <v>28.008299829999999</v>
      </c>
      <c r="AH321" s="5">
        <f>[1]Hybrid!AG44</f>
        <v>28.633403009999999</v>
      </c>
      <c r="AI321" s="5">
        <f>[1]Hybrid!AH44</f>
        <v>29.173393770000001</v>
      </c>
      <c r="AJ321" s="5">
        <f>[1]Hybrid!AI44</f>
        <v>29.621097890000001</v>
      </c>
      <c r="AK321" s="5">
        <f>[1]Hybrid!AJ44</f>
        <v>29.97223619</v>
      </c>
      <c r="AL321" s="5">
        <f>[1]Hybrid!AK44</f>
        <v>30.225275060000001</v>
      </c>
    </row>
    <row r="322" spans="1:3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0.44916480609999998</v>
      </c>
      <c r="E322" s="5">
        <f>[1]Hybrid!D46</f>
        <v>0.47659156349999998</v>
      </c>
      <c r="F322" s="5">
        <f>[1]Hybrid!E46</f>
        <v>0.50644029739999996</v>
      </c>
      <c r="G322" s="5">
        <f>[1]Hybrid!F46</f>
        <v>0.53833349190000002</v>
      </c>
      <c r="H322" s="5">
        <f>[1]Hybrid!G46</f>
        <v>0.57151338380000005</v>
      </c>
      <c r="I322" s="5">
        <f>[1]Hybrid!H46</f>
        <v>0.60500392069999998</v>
      </c>
      <c r="J322" s="5">
        <f>[1]Hybrid!I46</f>
        <v>0.63599446569999996</v>
      </c>
      <c r="K322" s="5">
        <f>[1]Hybrid!J46</f>
        <v>0.66623453590000004</v>
      </c>
      <c r="L322" s="5">
        <f>[1]Hybrid!K46</f>
        <v>0.69649801489999996</v>
      </c>
      <c r="M322" s="5">
        <f>[1]Hybrid!L46</f>
        <v>0.72699064069999997</v>
      </c>
      <c r="N322" s="5">
        <f>[1]Hybrid!M46</f>
        <v>0.75805898419999995</v>
      </c>
      <c r="O322" s="5">
        <f>[1]Hybrid!N46</f>
        <v>0.78899857080000002</v>
      </c>
      <c r="P322" s="5">
        <f>[1]Hybrid!O46</f>
        <v>0.81908636260000001</v>
      </c>
      <c r="Q322" s="5">
        <f>[1]Hybrid!P46</f>
        <v>0.84781034629999996</v>
      </c>
      <c r="R322" s="5">
        <f>[1]Hybrid!Q46</f>
        <v>0.87486035370000004</v>
      </c>
      <c r="S322" s="5">
        <f>[1]Hybrid!R46</f>
        <v>0.89986907279999995</v>
      </c>
      <c r="T322" s="5">
        <f>[1]Hybrid!S46</f>
        <v>0.92300109590000001</v>
      </c>
      <c r="U322" s="5">
        <f>[1]Hybrid!T46</f>
        <v>0.94439138690000002</v>
      </c>
      <c r="V322" s="5">
        <f>[1]Hybrid!U46</f>
        <v>0.96414119369999995</v>
      </c>
      <c r="W322" s="5">
        <f>[1]Hybrid!V46</f>
        <v>0.982250807</v>
      </c>
      <c r="X322" s="5">
        <f>[1]Hybrid!W46</f>
        <v>0.9989580844</v>
      </c>
      <c r="Y322" s="5">
        <f>[1]Hybrid!X46</f>
        <v>1.0143967549999999</v>
      </c>
      <c r="Z322" s="5">
        <f>[1]Hybrid!Y46</f>
        <v>1.028725181</v>
      </c>
      <c r="AA322" s="5">
        <f>[1]Hybrid!Z46</f>
        <v>1.0420919790000001</v>
      </c>
      <c r="AB322" s="5">
        <f>[1]Hybrid!AA46</f>
        <v>1.054370877</v>
      </c>
      <c r="AC322" s="5">
        <f>[1]Hybrid!AB46</f>
        <v>1.0658774</v>
      </c>
      <c r="AD322" s="5">
        <f>[1]Hybrid!AC46</f>
        <v>1.0767490669999999</v>
      </c>
      <c r="AE322" s="5">
        <f>[1]Hybrid!AD46</f>
        <v>1.087156513</v>
      </c>
      <c r="AF322" s="5">
        <f>[1]Hybrid!AE46</f>
        <v>1.097255313</v>
      </c>
      <c r="AG322" s="5">
        <f>[1]Hybrid!AF46</f>
        <v>1.1071405110000001</v>
      </c>
      <c r="AH322" s="5">
        <f>[1]Hybrid!AG46</f>
        <v>1.116838094</v>
      </c>
      <c r="AI322" s="5">
        <f>[1]Hybrid!AH46</f>
        <v>1.1263261</v>
      </c>
      <c r="AJ322" s="5">
        <f>[1]Hybrid!AI46</f>
        <v>1.1355623210000001</v>
      </c>
      <c r="AK322" s="5">
        <f>[1]Hybrid!AJ46</f>
        <v>1.144484356</v>
      </c>
      <c r="AL322" s="5">
        <f>[1]Hybrid!AK46</f>
        <v>1.1530068840000001</v>
      </c>
    </row>
    <row r="323" spans="1:3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0.51209606730000001</v>
      </c>
      <c r="E323" s="5">
        <f>[1]Hybrid!D48</f>
        <v>0.53321859250000003</v>
      </c>
      <c r="F323" s="5">
        <f>[1]Hybrid!E48</f>
        <v>0.55686367560000005</v>
      </c>
      <c r="G323" s="5">
        <f>[1]Hybrid!F48</f>
        <v>0.58263151530000001</v>
      </c>
      <c r="H323" s="5">
        <f>[1]Hybrid!G48</f>
        <v>0.60978264029999996</v>
      </c>
      <c r="I323" s="5">
        <f>[1]Hybrid!H48</f>
        <v>0.63736279409999996</v>
      </c>
      <c r="J323" s="5">
        <f>[1]Hybrid!I48</f>
        <v>0.66261880669999995</v>
      </c>
      <c r="K323" s="5">
        <f>[1]Hybrid!J48</f>
        <v>0.68707143270000004</v>
      </c>
      <c r="L323" s="5">
        <f>[1]Hybrid!K48</f>
        <v>0.71140989509999997</v>
      </c>
      <c r="M323" s="5">
        <f>[1]Hybrid!L48</f>
        <v>0.73579656510000002</v>
      </c>
      <c r="N323" s="5">
        <f>[1]Hybrid!M48</f>
        <v>0.76056568700000005</v>
      </c>
      <c r="O323" s="5">
        <f>[1]Hybrid!N48</f>
        <v>0.78513120020000005</v>
      </c>
      <c r="P323" s="5">
        <f>[1]Hybrid!O48</f>
        <v>0.80887730440000005</v>
      </c>
      <c r="Q323" s="5">
        <f>[1]Hybrid!P48</f>
        <v>0.83137322260000002</v>
      </c>
      <c r="R323" s="5">
        <f>[1]Hybrid!Q48</f>
        <v>0.85236528069999995</v>
      </c>
      <c r="S323" s="5">
        <f>[1]Hybrid!R48</f>
        <v>0.87153372689999997</v>
      </c>
      <c r="T323" s="5">
        <f>[1]Hybrid!S48</f>
        <v>0.88903255469999998</v>
      </c>
      <c r="U323" s="5">
        <f>[1]Hybrid!T48</f>
        <v>0.90499700530000005</v>
      </c>
      <c r="V323" s="5">
        <f>[1]Hybrid!U48</f>
        <v>0.91953078249999998</v>
      </c>
      <c r="W323" s="5">
        <f>[1]Hybrid!V48</f>
        <v>0.93264220009999999</v>
      </c>
      <c r="X323" s="5">
        <f>[1]Hybrid!W48</f>
        <v>0.94454854600000004</v>
      </c>
      <c r="Y323" s="5">
        <f>[1]Hybrid!X48</f>
        <v>0.95536826600000002</v>
      </c>
      <c r="Z323" s="5">
        <f>[1]Hybrid!Y48</f>
        <v>0.96523797389999999</v>
      </c>
      <c r="AA323" s="5">
        <f>[1]Hybrid!Z48</f>
        <v>0.97428185990000005</v>
      </c>
      <c r="AB323" s="5">
        <f>[1]Hybrid!AA48</f>
        <v>0.98237576329999998</v>
      </c>
      <c r="AC323" s="5">
        <f>[1]Hybrid!AB48</f>
        <v>0.98978606449999995</v>
      </c>
      <c r="AD323" s="5">
        <f>[1]Hybrid!AC48</f>
        <v>0.99661628820000003</v>
      </c>
      <c r="AE323" s="5">
        <f>[1]Hybrid!AD48</f>
        <v>1.0029972620000001</v>
      </c>
      <c r="AF323" s="5">
        <f>[1]Hybrid!AE48</f>
        <v>1.00904693</v>
      </c>
      <c r="AG323" s="5">
        <f>[1]Hybrid!AF48</f>
        <v>1.0148311839999999</v>
      </c>
      <c r="AH323" s="5">
        <f>[1]Hybrid!AG48</f>
        <v>1.0203566420000001</v>
      </c>
      <c r="AI323" s="5">
        <f>[1]Hybrid!AH48</f>
        <v>1.025589359</v>
      </c>
      <c r="AJ323" s="5">
        <f>[1]Hybrid!AI48</f>
        <v>1.0304799650000001</v>
      </c>
      <c r="AK323" s="5">
        <f>[1]Hybrid!AJ48</f>
        <v>1.034964623</v>
      </c>
      <c r="AL323" s="5">
        <f>[1]Hybrid!AK48</f>
        <v>1.0389631260000001</v>
      </c>
    </row>
    <row r="324" spans="1:3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0.41439080290000002</v>
      </c>
      <c r="E324" s="5">
        <f>[1]Hybrid!D50</f>
        <v>0.4251608133</v>
      </c>
      <c r="F324" s="5">
        <f>[1]Hybrid!E50</f>
        <v>0.43783013659999998</v>
      </c>
      <c r="G324" s="5">
        <f>[1]Hybrid!F50</f>
        <v>0.45209591910000002</v>
      </c>
      <c r="H324" s="5">
        <f>[1]Hybrid!G50</f>
        <v>0.46743756489999999</v>
      </c>
      <c r="I324" s="5">
        <f>[1]Hybrid!H50</f>
        <v>0.48318239470000002</v>
      </c>
      <c r="J324" s="5">
        <f>[1]Hybrid!I50</f>
        <v>0.49738784730000002</v>
      </c>
      <c r="K324" s="5">
        <f>[1]Hybrid!J50</f>
        <v>0.51100142820000005</v>
      </c>
      <c r="L324" s="5">
        <f>[1]Hybrid!K50</f>
        <v>0.52446616629999998</v>
      </c>
      <c r="M324" s="5">
        <f>[1]Hybrid!L50</f>
        <v>0.53787355309999996</v>
      </c>
      <c r="N324" s="5">
        <f>[1]Hybrid!M50</f>
        <v>0.55145771050000003</v>
      </c>
      <c r="O324" s="5">
        <f>[1]Hybrid!N50</f>
        <v>0.56487230200000005</v>
      </c>
      <c r="P324" s="5">
        <f>[1]Hybrid!O50</f>
        <v>0.57774199240000002</v>
      </c>
      <c r="Q324" s="5">
        <f>[1]Hybrid!P50</f>
        <v>0.58980754319999995</v>
      </c>
      <c r="R324" s="5">
        <f>[1]Hybrid!Q50</f>
        <v>0.60092111690000005</v>
      </c>
      <c r="S324" s="5">
        <f>[1]Hybrid!R50</f>
        <v>0.61088188730000004</v>
      </c>
      <c r="T324" s="5">
        <f>[1]Hybrid!S50</f>
        <v>0.61979319850000003</v>
      </c>
      <c r="U324" s="5">
        <f>[1]Hybrid!T50</f>
        <v>0.62775134399999999</v>
      </c>
      <c r="V324" s="5">
        <f>[1]Hybrid!U50</f>
        <v>0.63483125979999999</v>
      </c>
      <c r="W324" s="5">
        <f>[1]Hybrid!V50</f>
        <v>0.64104289010000004</v>
      </c>
      <c r="X324" s="5">
        <f>[1]Hybrid!W50</f>
        <v>0.64652877279999998</v>
      </c>
      <c r="Y324" s="5">
        <f>[1]Hybrid!X50</f>
        <v>0.65136393800000003</v>
      </c>
      <c r="Z324" s="5">
        <f>[1]Hybrid!Y50</f>
        <v>0.65563269999999996</v>
      </c>
      <c r="AA324" s="5">
        <f>[1]Hybrid!Z50</f>
        <v>0.65940904980000004</v>
      </c>
      <c r="AB324" s="5">
        <f>[1]Hybrid!AA50</f>
        <v>0.66260505459999997</v>
      </c>
      <c r="AC324" s="5">
        <f>[1]Hybrid!AB50</f>
        <v>0.66538228239999997</v>
      </c>
      <c r="AD324" s="5">
        <f>[1]Hybrid!AC50</f>
        <v>0.66779499630000005</v>
      </c>
      <c r="AE324" s="5">
        <f>[1]Hybrid!AD50</f>
        <v>0.66991389410000002</v>
      </c>
      <c r="AF324" s="5">
        <f>[1]Hybrid!AE50</f>
        <v>0.67180200369999998</v>
      </c>
      <c r="AG324" s="5">
        <f>[1]Hybrid!AF50</f>
        <v>0.67349030219999995</v>
      </c>
      <c r="AH324" s="5">
        <f>[1]Hybrid!AG50</f>
        <v>0.67497327470000001</v>
      </c>
      <c r="AI324" s="5">
        <f>[1]Hybrid!AH50</f>
        <v>0.67622088020000004</v>
      </c>
      <c r="AJ324" s="5">
        <f>[1]Hybrid!AI50</f>
        <v>0.67719498789999999</v>
      </c>
      <c r="AK324" s="5">
        <f>[1]Hybrid!AJ50</f>
        <v>0.67785050260000002</v>
      </c>
      <c r="AL324" s="5">
        <f>[1]Hybrid!AK50</f>
        <v>0.67813439730000002</v>
      </c>
    </row>
    <row r="325" spans="1:3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0.25227008449999999</v>
      </c>
      <c r="E325" s="5">
        <f>[1]Hybrid!D52</f>
        <v>0.2566070124</v>
      </c>
      <c r="F325" s="5">
        <f>[1]Hybrid!E52</f>
        <v>0.26191624829999999</v>
      </c>
      <c r="G325" s="5">
        <f>[1]Hybrid!F52</f>
        <v>0.2679982467</v>
      </c>
      <c r="H325" s="5">
        <f>[1]Hybrid!G52</f>
        <v>0.27455402379999999</v>
      </c>
      <c r="I325" s="5">
        <f>[1]Hybrid!H52</f>
        <v>0.28120593459999998</v>
      </c>
      <c r="J325" s="5">
        <f>[1]Hybrid!I52</f>
        <v>0.28688820809999999</v>
      </c>
      <c r="K325" s="5">
        <f>[1]Hybrid!J52</f>
        <v>0.29206002129999997</v>
      </c>
      <c r="L325" s="5">
        <f>[1]Hybrid!K52</f>
        <v>0.29696582719999998</v>
      </c>
      <c r="M325" s="5">
        <f>[1]Hybrid!L52</f>
        <v>0.3016754002</v>
      </c>
      <c r="N325" s="5">
        <f>[1]Hybrid!M52</f>
        <v>0.3063406602</v>
      </c>
      <c r="O325" s="5">
        <f>[1]Hybrid!N52</f>
        <v>0.31083384959999999</v>
      </c>
      <c r="P325" s="5">
        <f>[1]Hybrid!O52</f>
        <v>0.31501457529999999</v>
      </c>
      <c r="Q325" s="5">
        <f>[1]Hybrid!P52</f>
        <v>0.31879800050000001</v>
      </c>
      <c r="R325" s="5">
        <f>[1]Hybrid!Q52</f>
        <v>0.32214908819999999</v>
      </c>
      <c r="S325" s="5">
        <f>[1]Hybrid!R52</f>
        <v>0.32500105010000002</v>
      </c>
      <c r="T325" s="5">
        <f>[1]Hybrid!S52</f>
        <v>0.32742752180000001</v>
      </c>
      <c r="U325" s="5">
        <f>[1]Hybrid!T52</f>
        <v>0.32949718049999999</v>
      </c>
      <c r="V325" s="5">
        <f>[1]Hybrid!U52</f>
        <v>0.33126369100000003</v>
      </c>
      <c r="W325" s="5">
        <f>[1]Hybrid!V52</f>
        <v>0.332743434</v>
      </c>
      <c r="X325" s="5">
        <f>[1]Hybrid!W52</f>
        <v>0.3340111966</v>
      </c>
      <c r="Y325" s="5">
        <f>[1]Hybrid!X52</f>
        <v>0.33510424979999998</v>
      </c>
      <c r="Z325" s="5">
        <f>[1]Hybrid!Y52</f>
        <v>0.33606056519999999</v>
      </c>
      <c r="AA325" s="5">
        <f>[1]Hybrid!Z52</f>
        <v>0.3369095104</v>
      </c>
      <c r="AB325" s="5">
        <f>[1]Hybrid!AA52</f>
        <v>0.33759796879999998</v>
      </c>
      <c r="AC325" s="5">
        <f>[1]Hybrid!AB52</f>
        <v>0.33819087660000002</v>
      </c>
      <c r="AD325" s="5">
        <f>[1]Hybrid!AC52</f>
        <v>0.33869737109999998</v>
      </c>
      <c r="AE325" s="5">
        <f>[1]Hybrid!AD52</f>
        <v>0.33913400539999999</v>
      </c>
      <c r="AF325" s="5">
        <f>[1]Hybrid!AE52</f>
        <v>0.339516598</v>
      </c>
      <c r="AG325" s="5">
        <f>[1]Hybrid!AF52</f>
        <v>0.33984909330000002</v>
      </c>
      <c r="AH325" s="5">
        <f>[1]Hybrid!AG52</f>
        <v>0.34012071690000001</v>
      </c>
      <c r="AI325" s="5">
        <f>[1]Hybrid!AH52</f>
        <v>0.3403110748</v>
      </c>
      <c r="AJ325" s="5">
        <f>[1]Hybrid!AI52</f>
        <v>0.34039874549999999</v>
      </c>
      <c r="AK325" s="5">
        <f>[1]Hybrid!AJ52</f>
        <v>0.34036238070000002</v>
      </c>
      <c r="AL325" s="5">
        <f>[1]Hybrid!AK52</f>
        <v>0.34018004019999998</v>
      </c>
    </row>
    <row r="326" spans="1:3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0.15203861069999999</v>
      </c>
      <c r="E326" s="5">
        <f>[1]Hybrid!D54</f>
        <v>0.1547776736</v>
      </c>
      <c r="F326" s="5">
        <f>[1]Hybrid!E54</f>
        <v>0.15800821919999999</v>
      </c>
      <c r="G326" s="5">
        <f>[1]Hybrid!F54</f>
        <v>0.1615950716</v>
      </c>
      <c r="H326" s="5">
        <f>[1]Hybrid!G54</f>
        <v>0.16535481760000001</v>
      </c>
      <c r="I326" s="5">
        <f>[1]Hybrid!H54</f>
        <v>0.16905834959999999</v>
      </c>
      <c r="J326" s="5">
        <f>[1]Hybrid!I54</f>
        <v>0.1720582809</v>
      </c>
      <c r="K326" s="5">
        <f>[1]Hybrid!J54</f>
        <v>0.17459432590000001</v>
      </c>
      <c r="L326" s="5">
        <f>[1]Hybrid!K54</f>
        <v>0.17680831020000001</v>
      </c>
      <c r="M326" s="5">
        <f>[1]Hybrid!L54</f>
        <v>0.17874287420000001</v>
      </c>
      <c r="N326" s="5">
        <f>[1]Hybrid!M54</f>
        <v>0.18049679060000001</v>
      </c>
      <c r="O326" s="5">
        <f>[1]Hybrid!N54</f>
        <v>0.18202911090000001</v>
      </c>
      <c r="P326" s="5">
        <f>[1]Hybrid!O54</f>
        <v>0.1832922394</v>
      </c>
      <c r="Q326" s="5">
        <f>[1]Hybrid!P54</f>
        <v>0.18426700409999999</v>
      </c>
      <c r="R326" s="5">
        <f>[1]Hybrid!Q54</f>
        <v>0.184957643</v>
      </c>
      <c r="S326" s="5">
        <f>[1]Hybrid!R54</f>
        <v>0.18534722179999999</v>
      </c>
      <c r="T326" s="5">
        <f>[1]Hybrid!S54</f>
        <v>0.1854873685</v>
      </c>
      <c r="U326" s="5">
        <f>[1]Hybrid!T54</f>
        <v>0.1854260294</v>
      </c>
      <c r="V326" s="5">
        <f>[1]Hybrid!U54</f>
        <v>0.18520071239999999</v>
      </c>
      <c r="W326" s="5">
        <f>[1]Hybrid!V54</f>
        <v>0.1848268028</v>
      </c>
      <c r="X326" s="5">
        <f>[1]Hybrid!W54</f>
        <v>0.18434611619999999</v>
      </c>
      <c r="Y326" s="5">
        <f>[1]Hybrid!X54</f>
        <v>0.18377863420000001</v>
      </c>
      <c r="Z326" s="5">
        <f>[1]Hybrid!Y54</f>
        <v>0.18314240919999999</v>
      </c>
      <c r="AA326" s="5">
        <f>[1]Hybrid!Z54</f>
        <v>0.18244905959999999</v>
      </c>
      <c r="AB326" s="5">
        <f>[1]Hybrid!AA54</f>
        <v>0.18166798549999999</v>
      </c>
      <c r="AC326" s="5">
        <f>[1]Hybrid!AB54</f>
        <v>0.1808245644</v>
      </c>
      <c r="AD326" s="5">
        <f>[1]Hybrid!AC54</f>
        <v>0.1799150279</v>
      </c>
      <c r="AE326" s="5">
        <f>[1]Hybrid!AD54</f>
        <v>0.17893864679999999</v>
      </c>
      <c r="AF326" s="5">
        <f>[1]Hybrid!AE54</f>
        <v>0.17789531459999999</v>
      </c>
      <c r="AG326" s="5">
        <f>[1]Hybrid!AF54</f>
        <v>0.17678074190000001</v>
      </c>
      <c r="AH326" s="5">
        <f>[1]Hybrid!AG54</f>
        <v>0.17558516830000001</v>
      </c>
      <c r="AI326" s="5">
        <f>[1]Hybrid!AH54</f>
        <v>0.17429573800000001</v>
      </c>
      <c r="AJ326" s="5">
        <f>[1]Hybrid!AI54</f>
        <v>0.17290079729999999</v>
      </c>
      <c r="AK326" s="5">
        <f>[1]Hybrid!AJ54</f>
        <v>0.1713906586</v>
      </c>
      <c r="AL326" s="5">
        <f>[1]Hybrid!AK54</f>
        <v>0.16975730410000001</v>
      </c>
    </row>
    <row r="327" spans="1:3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7.5298127399999998E-2</v>
      </c>
      <c r="E327" s="5">
        <f>[1]Hybrid!D56</f>
        <v>7.6310682599999999E-2</v>
      </c>
      <c r="F327" s="5">
        <f>[1]Hybrid!E56</f>
        <v>7.7421631099999999E-2</v>
      </c>
      <c r="G327" s="5">
        <f>[1]Hybrid!F56</f>
        <v>7.8549222500000002E-2</v>
      </c>
      <c r="H327" s="5">
        <f>[1]Hybrid!G56</f>
        <v>7.9606444499999998E-2</v>
      </c>
      <c r="I327" s="5">
        <f>[1]Hybrid!H56</f>
        <v>8.0492446999999995E-2</v>
      </c>
      <c r="J327" s="5">
        <f>[1]Hybrid!I56</f>
        <v>8.0928420500000001E-2</v>
      </c>
      <c r="K327" s="5">
        <f>[1]Hybrid!J56</f>
        <v>8.1002565400000004E-2</v>
      </c>
      <c r="L327" s="5">
        <f>[1]Hybrid!K56</f>
        <v>8.0785614500000005E-2</v>
      </c>
      <c r="M327" s="5">
        <f>[1]Hybrid!L56</f>
        <v>8.0310267099999999E-2</v>
      </c>
      <c r="N327" s="5">
        <f>[1]Hybrid!M56</f>
        <v>7.9635171000000005E-2</v>
      </c>
      <c r="O327" s="5">
        <f>[1]Hybrid!N56</f>
        <v>7.8780322200000003E-2</v>
      </c>
      <c r="P327" s="5">
        <f>[1]Hybrid!O56</f>
        <v>7.7764323299999993E-2</v>
      </c>
      <c r="Q327" s="5">
        <f>[1]Hybrid!P56</f>
        <v>7.6612176800000001E-2</v>
      </c>
      <c r="R327" s="5">
        <f>[1]Hybrid!Q56</f>
        <v>7.5351302199999998E-2</v>
      </c>
      <c r="S327" s="5">
        <f>[1]Hybrid!R56</f>
        <v>7.3997921699999997E-2</v>
      </c>
      <c r="T327" s="5">
        <f>[1]Hybrid!S56</f>
        <v>7.2582345100000001E-2</v>
      </c>
      <c r="U327" s="5">
        <f>[1]Hybrid!T56</f>
        <v>7.1130410399999996E-2</v>
      </c>
      <c r="V327" s="5">
        <f>[1]Hybrid!U56</f>
        <v>6.9661462600000001E-2</v>
      </c>
      <c r="W327" s="5">
        <f>[1]Hybrid!V56</f>
        <v>6.8185606600000004E-2</v>
      </c>
      <c r="X327" s="5">
        <f>[1]Hybrid!W56</f>
        <v>6.6716761700000002E-2</v>
      </c>
      <c r="Y327" s="5">
        <f>[1]Hybrid!X56</f>
        <v>6.5260675099999998E-2</v>
      </c>
      <c r="Z327" s="5">
        <f>[1]Hybrid!Y56</f>
        <v>6.3820720499999997E-2</v>
      </c>
      <c r="AA327" s="5">
        <f>[1]Hybrid!Z56</f>
        <v>6.2397038000000002E-2</v>
      </c>
      <c r="AB327" s="5">
        <f>[1]Hybrid!AA56</f>
        <v>6.0978575399999999E-2</v>
      </c>
      <c r="AC327" s="5">
        <f>[1]Hybrid!AB56</f>
        <v>5.9566348099999999E-2</v>
      </c>
      <c r="AD327" s="5">
        <f>[1]Hybrid!AC56</f>
        <v>5.8153677000000001E-2</v>
      </c>
      <c r="AE327" s="5">
        <f>[1]Hybrid!AD56</f>
        <v>5.6734871100000001E-2</v>
      </c>
      <c r="AF327" s="5">
        <f>[1]Hybrid!AE56</f>
        <v>5.53058518E-2</v>
      </c>
      <c r="AG327" s="5">
        <f>[1]Hybrid!AF56</f>
        <v>5.3863369699999997E-2</v>
      </c>
      <c r="AH327" s="5">
        <f>[1]Hybrid!AG56</f>
        <v>5.2404607300000003E-2</v>
      </c>
      <c r="AI327" s="5">
        <f>[1]Hybrid!AH56</f>
        <v>5.0927493400000003E-2</v>
      </c>
      <c r="AJ327" s="5">
        <f>[1]Hybrid!AI56</f>
        <v>4.94315777E-2</v>
      </c>
      <c r="AK327" s="5">
        <f>[1]Hybrid!AJ56</f>
        <v>4.7918105199999998E-2</v>
      </c>
      <c r="AL327" s="5">
        <f>[1]Hybrid!AK56</f>
        <v>4.6389716099999999E-2</v>
      </c>
    </row>
    <row r="328" spans="1:3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0.13588352519999999</v>
      </c>
      <c r="E328" s="5">
        <f>[1]Hybrid!D58</f>
        <v>0.13780453870000001</v>
      </c>
      <c r="F328" s="5">
        <f>[1]Hybrid!E58</f>
        <v>0.13966826660000001</v>
      </c>
      <c r="G328" s="5">
        <f>[1]Hybrid!F58</f>
        <v>0.1413112081</v>
      </c>
      <c r="H328" s="5">
        <f>[1]Hybrid!G58</f>
        <v>0.14258867010000001</v>
      </c>
      <c r="I328" s="5">
        <f>[1]Hybrid!H58</f>
        <v>0.1433428913</v>
      </c>
      <c r="J328" s="5">
        <f>[1]Hybrid!I58</f>
        <v>0.14312034470000001</v>
      </c>
      <c r="K328" s="5">
        <f>[1]Hybrid!J58</f>
        <v>0.14207227550000001</v>
      </c>
      <c r="L328" s="5">
        <f>[1]Hybrid!K58</f>
        <v>0.1403522475</v>
      </c>
      <c r="M328" s="5">
        <f>[1]Hybrid!L58</f>
        <v>0.1380543934</v>
      </c>
      <c r="N328" s="5">
        <f>[1]Hybrid!M58</f>
        <v>0.1353145422</v>
      </c>
      <c r="O328" s="5">
        <f>[1]Hybrid!N58</f>
        <v>0.1322203975</v>
      </c>
      <c r="P328" s="5">
        <f>[1]Hybrid!O58</f>
        <v>0.12885141389999999</v>
      </c>
      <c r="Q328" s="5">
        <f>[1]Hybrid!P58</f>
        <v>0.12528563200000001</v>
      </c>
      <c r="R328" s="5">
        <f>[1]Hybrid!Q58</f>
        <v>0.1215933359</v>
      </c>
      <c r="S328" s="5">
        <f>[1]Hybrid!R58</f>
        <v>0.1178217042</v>
      </c>
      <c r="T328" s="5">
        <f>[1]Hybrid!S58</f>
        <v>0.1140253054</v>
      </c>
      <c r="U328" s="5">
        <f>[1]Hybrid!T58</f>
        <v>0.1102477427</v>
      </c>
      <c r="V328" s="5">
        <f>[1]Hybrid!U58</f>
        <v>0.1065201102</v>
      </c>
      <c r="W328" s="5">
        <f>[1]Hybrid!V58</f>
        <v>0.10285913350000001</v>
      </c>
      <c r="X328" s="5">
        <f>[1]Hybrid!W58</f>
        <v>9.9281912599999994E-2</v>
      </c>
      <c r="Y328" s="5">
        <f>[1]Hybrid!X58</f>
        <v>9.5794256800000005E-2</v>
      </c>
      <c r="Z328" s="5">
        <f>[1]Hybrid!Y58</f>
        <v>9.2397688699999994E-2</v>
      </c>
      <c r="AA328" s="5">
        <f>[1]Hybrid!Z58</f>
        <v>8.9089108900000005E-2</v>
      </c>
      <c r="AB328" s="5">
        <f>[1]Hybrid!AA58</f>
        <v>8.5853947799999997E-2</v>
      </c>
      <c r="AC328" s="5">
        <f>[1]Hybrid!AB58</f>
        <v>8.2688616399999998E-2</v>
      </c>
      <c r="AD328" s="5">
        <f>[1]Hybrid!AC58</f>
        <v>7.9582213499999999E-2</v>
      </c>
      <c r="AE328" s="5">
        <f>[1]Hybrid!AD58</f>
        <v>7.6525736499999997E-2</v>
      </c>
      <c r="AF328" s="5">
        <f>[1]Hybrid!AE58</f>
        <v>7.3513432500000003E-2</v>
      </c>
      <c r="AG328" s="5">
        <f>[1]Hybrid!AF58</f>
        <v>7.0542084000000005E-2</v>
      </c>
      <c r="AH328" s="5">
        <f>[1]Hybrid!AG58</f>
        <v>6.7610333800000005E-2</v>
      </c>
      <c r="AI328" s="5">
        <f>[1]Hybrid!AH58</f>
        <v>6.4718576900000005E-2</v>
      </c>
      <c r="AJ328" s="5">
        <f>[1]Hybrid!AI58</f>
        <v>6.1869380299999999E-2</v>
      </c>
      <c r="AK328" s="5">
        <f>[1]Hybrid!AJ58</f>
        <v>5.9067186600000002E-2</v>
      </c>
      <c r="AL328" s="5">
        <f>[1]Hybrid!AK58</f>
        <v>5.6317670700000003E-2</v>
      </c>
    </row>
    <row r="330" spans="1:3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</row>
    <row r="331" spans="1:38" x14ac:dyDescent="0.35">
      <c r="A331" t="s">
        <v>39</v>
      </c>
      <c r="B331" t="s">
        <v>96</v>
      </c>
      <c r="C331" s="6">
        <f t="shared" ref="C331:AL331" si="62">C308+C322+C315</f>
        <v>7105.9689965623002</v>
      </c>
      <c r="D331" s="6">
        <f t="shared" si="62"/>
        <v>7155.2959561260996</v>
      </c>
      <c r="E331" s="6">
        <f t="shared" si="62"/>
        <v>7266.2132914534996</v>
      </c>
      <c r="F331" s="6">
        <f t="shared" si="62"/>
        <v>7418.7469692374007</v>
      </c>
      <c r="G331" s="6">
        <f t="shared" si="62"/>
        <v>7607.0649777618992</v>
      </c>
      <c r="H331" s="6">
        <f t="shared" si="62"/>
        <v>7820.8296870038002</v>
      </c>
      <c r="I331" s="6">
        <f t="shared" si="62"/>
        <v>8047.3301217407006</v>
      </c>
      <c r="J331" s="6">
        <f t="shared" si="62"/>
        <v>8252.4227675857001</v>
      </c>
      <c r="K331" s="6">
        <f t="shared" si="62"/>
        <v>8458.5612997458993</v>
      </c>
      <c r="L331" s="6">
        <f t="shared" si="62"/>
        <v>8676.320149474901</v>
      </c>
      <c r="M331" s="6">
        <f t="shared" si="62"/>
        <v>8909.7957707407004</v>
      </c>
      <c r="N331" s="6">
        <f t="shared" si="62"/>
        <v>9164.3583528841991</v>
      </c>
      <c r="O331" s="6">
        <f t="shared" si="62"/>
        <v>9431.0660068708003</v>
      </c>
      <c r="P331" s="6">
        <f t="shared" si="62"/>
        <v>9700.6874878626004</v>
      </c>
      <c r="Q331" s="6">
        <f t="shared" si="62"/>
        <v>9966.6086430463001</v>
      </c>
      <c r="R331" s="6">
        <f t="shared" si="62"/>
        <v>10224.7495495537</v>
      </c>
      <c r="S331" s="6">
        <f t="shared" si="62"/>
        <v>10470.4504416728</v>
      </c>
      <c r="T331" s="6">
        <f t="shared" si="62"/>
        <v>10706.0885090959</v>
      </c>
      <c r="U331" s="6">
        <f t="shared" si="62"/>
        <v>10933.5075213869</v>
      </c>
      <c r="V331" s="6">
        <f t="shared" si="62"/>
        <v>11154.0375917937</v>
      </c>
      <c r="W331" s="6">
        <f t="shared" si="62"/>
        <v>11367.626238007</v>
      </c>
      <c r="X331" s="6">
        <f t="shared" si="62"/>
        <v>11577.437746484398</v>
      </c>
      <c r="Y331" s="6">
        <f t="shared" si="62"/>
        <v>11785.269554854998</v>
      </c>
      <c r="Z331" s="6">
        <f t="shared" si="62"/>
        <v>11993.315726181001</v>
      </c>
      <c r="AA331" s="6">
        <f t="shared" si="62"/>
        <v>12203.707351978999</v>
      </c>
      <c r="AB331" s="6">
        <f t="shared" si="62"/>
        <v>12414.706344877</v>
      </c>
      <c r="AC331" s="6">
        <f t="shared" si="62"/>
        <v>12630.993728399999</v>
      </c>
      <c r="AD331" s="6">
        <f t="shared" si="62"/>
        <v>12854.816259067</v>
      </c>
      <c r="AE331" s="6">
        <f t="shared" si="62"/>
        <v>13089.056336513</v>
      </c>
      <c r="AF331" s="6">
        <f t="shared" si="62"/>
        <v>13336.543084313</v>
      </c>
      <c r="AG331" s="6">
        <f t="shared" si="62"/>
        <v>13599.357846511</v>
      </c>
      <c r="AH331" s="6">
        <f t="shared" si="62"/>
        <v>13878.665983094001</v>
      </c>
      <c r="AI331" s="6">
        <f t="shared" si="62"/>
        <v>14175.0042521</v>
      </c>
      <c r="AJ331" s="6">
        <f t="shared" si="62"/>
        <v>14488.692122321001</v>
      </c>
      <c r="AK331" s="6">
        <f t="shared" si="62"/>
        <v>14819.810021355999</v>
      </c>
      <c r="AL331" s="6">
        <f t="shared" si="62"/>
        <v>15168.123324884</v>
      </c>
    </row>
    <row r="332" spans="1:38" x14ac:dyDescent="0.35">
      <c r="B332" t="s">
        <v>97</v>
      </c>
      <c r="C332" s="6">
        <f t="shared" ref="C332:AL332" si="63">C309+C323+C316</f>
        <v>8263.1971436354015</v>
      </c>
      <c r="D332" s="6">
        <f t="shared" si="63"/>
        <v>8197.7914196772999</v>
      </c>
      <c r="E332" s="6">
        <f t="shared" si="63"/>
        <v>8199.1584762424991</v>
      </c>
      <c r="F332" s="6">
        <f t="shared" si="63"/>
        <v>8247.1395731056</v>
      </c>
      <c r="G332" s="6">
        <f t="shared" si="63"/>
        <v>8335.3222600353001</v>
      </c>
      <c r="H332" s="6">
        <f t="shared" si="63"/>
        <v>8453.3015928802997</v>
      </c>
      <c r="I332" s="6">
        <f t="shared" si="63"/>
        <v>8588.3604531140991</v>
      </c>
      <c r="J332" s="6">
        <f t="shared" si="63"/>
        <v>8706.7958955167014</v>
      </c>
      <c r="K332" s="6">
        <f t="shared" si="63"/>
        <v>8828.0572918326998</v>
      </c>
      <c r="L332" s="6">
        <f t="shared" si="63"/>
        <v>8961.463125235101</v>
      </c>
      <c r="M332" s="6">
        <f t="shared" si="63"/>
        <v>9110.3241216651004</v>
      </c>
      <c r="N332" s="6">
        <f t="shared" si="63"/>
        <v>9279.602070986999</v>
      </c>
      <c r="O332" s="6">
        <f t="shared" si="63"/>
        <v>9461.6021613001994</v>
      </c>
      <c r="P332" s="6">
        <f t="shared" si="63"/>
        <v>9648.2164245043987</v>
      </c>
      <c r="Q332" s="6">
        <f t="shared" si="63"/>
        <v>9833.6468708226002</v>
      </c>
      <c r="R332" s="6">
        <f t="shared" si="63"/>
        <v>10014.3368159807</v>
      </c>
      <c r="S332" s="6">
        <f t="shared" si="63"/>
        <v>10186.037630526902</v>
      </c>
      <c r="T332" s="6">
        <f t="shared" si="63"/>
        <v>10350.810638954699</v>
      </c>
      <c r="U332" s="6">
        <f t="shared" si="63"/>
        <v>10510.3447686053</v>
      </c>
      <c r="V332" s="6">
        <f t="shared" si="63"/>
        <v>10665.8590756825</v>
      </c>
      <c r="W332" s="6">
        <f t="shared" si="63"/>
        <v>10817.2713487001</v>
      </c>
      <c r="X332" s="6">
        <f t="shared" si="63"/>
        <v>10967.356932645998</v>
      </c>
      <c r="Y332" s="6">
        <f t="shared" si="63"/>
        <v>11117.594124266001</v>
      </c>
      <c r="Z332" s="6">
        <f t="shared" si="63"/>
        <v>11269.7731449739</v>
      </c>
      <c r="AA332" s="6">
        <f t="shared" si="63"/>
        <v>11425.581464859901</v>
      </c>
      <c r="AB332" s="6">
        <f t="shared" si="63"/>
        <v>11583.180404763301</v>
      </c>
      <c r="AC332" s="6">
        <f t="shared" si="63"/>
        <v>11746.456932064501</v>
      </c>
      <c r="AD332" s="6">
        <f t="shared" si="63"/>
        <v>11917.0445532882</v>
      </c>
      <c r="AE332" s="6">
        <f t="shared" si="63"/>
        <v>12097.108984261999</v>
      </c>
      <c r="AF332" s="6">
        <f t="shared" si="63"/>
        <v>12288.765684929998</v>
      </c>
      <c r="AG332" s="6">
        <f t="shared" si="63"/>
        <v>12493.470234184002</v>
      </c>
      <c r="AH332" s="6">
        <f t="shared" si="63"/>
        <v>12711.867733642001</v>
      </c>
      <c r="AI332" s="6">
        <f t="shared" si="63"/>
        <v>12944.045949359001</v>
      </c>
      <c r="AJ332" s="6">
        <f t="shared" si="63"/>
        <v>13189.910612964999</v>
      </c>
      <c r="AK332" s="6">
        <f t="shared" si="63"/>
        <v>13449.178577623001</v>
      </c>
      <c r="AL332" s="6">
        <f t="shared" si="63"/>
        <v>13721.316587126001</v>
      </c>
    </row>
    <row r="333" spans="1:38" x14ac:dyDescent="0.35">
      <c r="B333" t="s">
        <v>98</v>
      </c>
      <c r="C333" s="6">
        <f t="shared" ref="C333:AL333" si="64">C310+C324+C317</f>
        <v>6787.4105911386005</v>
      </c>
      <c r="D333" s="6">
        <f t="shared" si="64"/>
        <v>6658.6287487728996</v>
      </c>
      <c r="E333" s="6">
        <f t="shared" si="64"/>
        <v>6581.7879782632999</v>
      </c>
      <c r="F333" s="6">
        <f t="shared" si="64"/>
        <v>6542.2281149665996</v>
      </c>
      <c r="G333" s="6">
        <f t="shared" si="64"/>
        <v>6534.9249038991011</v>
      </c>
      <c r="H333" s="6">
        <f t="shared" si="64"/>
        <v>6552.3206963049006</v>
      </c>
      <c r="I333" s="6">
        <f t="shared" si="64"/>
        <v>6585.2378691647</v>
      </c>
      <c r="J333" s="6">
        <f t="shared" si="64"/>
        <v>6609.7050157673002</v>
      </c>
      <c r="K333" s="6">
        <f t="shared" si="64"/>
        <v>6637.7633892382</v>
      </c>
      <c r="L333" s="6">
        <f t="shared" si="64"/>
        <v>6675.3036101463003</v>
      </c>
      <c r="M333" s="6">
        <f t="shared" si="64"/>
        <v>6724.2073731930996</v>
      </c>
      <c r="N333" s="6">
        <f t="shared" si="64"/>
        <v>6787.7777159605002</v>
      </c>
      <c r="O333" s="6">
        <f t="shared" si="64"/>
        <v>6861.2547218019999</v>
      </c>
      <c r="P333" s="6">
        <f t="shared" si="64"/>
        <v>6939.4994348924001</v>
      </c>
      <c r="Q333" s="6">
        <f t="shared" si="64"/>
        <v>7018.8356950431998</v>
      </c>
      <c r="R333" s="6">
        <f t="shared" si="64"/>
        <v>7097.0116666168997</v>
      </c>
      <c r="S333" s="6">
        <f t="shared" si="64"/>
        <v>7171.2103703872999</v>
      </c>
      <c r="T333" s="6">
        <f t="shared" si="64"/>
        <v>7242.6946989984999</v>
      </c>
      <c r="U333" s="6">
        <f t="shared" si="64"/>
        <v>7312.5581036439999</v>
      </c>
      <c r="V333" s="6">
        <f t="shared" si="64"/>
        <v>7381.5846476598008</v>
      </c>
      <c r="W333" s="6">
        <f t="shared" si="64"/>
        <v>7449.6767403900994</v>
      </c>
      <c r="X333" s="6">
        <f t="shared" si="64"/>
        <v>7518.5688664727995</v>
      </c>
      <c r="Y333" s="6">
        <f t="shared" si="64"/>
        <v>7589.1108493379998</v>
      </c>
      <c r="Z333" s="6">
        <f t="shared" si="64"/>
        <v>7662.3274276000002</v>
      </c>
      <c r="AA333" s="6">
        <f t="shared" si="64"/>
        <v>7739.1485836498005</v>
      </c>
      <c r="AB333" s="6">
        <f t="shared" si="64"/>
        <v>7818.1873562545998</v>
      </c>
      <c r="AC333" s="6">
        <f t="shared" si="64"/>
        <v>7901.7455251824003</v>
      </c>
      <c r="AD333" s="6">
        <f t="shared" si="64"/>
        <v>7990.6238139962988</v>
      </c>
      <c r="AE333" s="6">
        <f t="shared" si="64"/>
        <v>8085.9469128941009</v>
      </c>
      <c r="AF333" s="6">
        <f t="shared" si="64"/>
        <v>8188.8094820036995</v>
      </c>
      <c r="AG333" s="6">
        <f t="shared" si="64"/>
        <v>8299.8900603021993</v>
      </c>
      <c r="AH333" s="6">
        <f t="shared" si="64"/>
        <v>8419.3537172747001</v>
      </c>
      <c r="AI333" s="6">
        <f t="shared" si="64"/>
        <v>8547.0132048802006</v>
      </c>
      <c r="AJ333" s="6">
        <f t="shared" si="64"/>
        <v>8682.5761239878993</v>
      </c>
      <c r="AK333" s="6">
        <f t="shared" si="64"/>
        <v>8825.6482135026017</v>
      </c>
      <c r="AL333" s="6">
        <f t="shared" si="64"/>
        <v>8975.6976993973003</v>
      </c>
    </row>
    <row r="334" spans="1:38" x14ac:dyDescent="0.35">
      <c r="B334" t="s">
        <v>99</v>
      </c>
      <c r="C334" s="6">
        <f t="shared" ref="C334:AL334" si="65">C311+C325+C318</f>
        <v>4165.6835237371006</v>
      </c>
      <c r="D334" s="6">
        <f t="shared" si="65"/>
        <v>4061.8888972335003</v>
      </c>
      <c r="E334" s="6">
        <f t="shared" si="65"/>
        <v>3987.6883408704002</v>
      </c>
      <c r="F334" s="6">
        <f t="shared" si="65"/>
        <v>3934.3392778183002</v>
      </c>
      <c r="G334" s="6">
        <f t="shared" si="65"/>
        <v>3898.5739445466997</v>
      </c>
      <c r="H334" s="6">
        <f t="shared" si="65"/>
        <v>3876.0131535638002</v>
      </c>
      <c r="I334" s="6">
        <f t="shared" si="65"/>
        <v>3861.4506045646003</v>
      </c>
      <c r="J334" s="6">
        <f t="shared" si="65"/>
        <v>3841.5943047281003</v>
      </c>
      <c r="K334" s="6">
        <f t="shared" si="65"/>
        <v>3821.8984543913002</v>
      </c>
      <c r="L334" s="6">
        <f t="shared" si="65"/>
        <v>3805.1710218771996</v>
      </c>
      <c r="M334" s="6">
        <f t="shared" si="65"/>
        <v>3792.1439256502003</v>
      </c>
      <c r="N334" s="6">
        <f t="shared" si="65"/>
        <v>3784.4819406701999</v>
      </c>
      <c r="O334" s="6">
        <f t="shared" si="65"/>
        <v>3780.2728156695998</v>
      </c>
      <c r="P334" s="6">
        <f t="shared" si="65"/>
        <v>3777.4774263353002</v>
      </c>
      <c r="Q334" s="6">
        <f t="shared" si="65"/>
        <v>3774.7694199405</v>
      </c>
      <c r="R334" s="6">
        <f t="shared" si="65"/>
        <v>3771.4618479982005</v>
      </c>
      <c r="S334" s="6">
        <f t="shared" si="65"/>
        <v>3766.5152212601001</v>
      </c>
      <c r="T334" s="6">
        <f t="shared" si="65"/>
        <v>3760.6817961318002</v>
      </c>
      <c r="U334" s="6">
        <f t="shared" si="65"/>
        <v>3754.6434927304995</v>
      </c>
      <c r="V334" s="6">
        <f t="shared" si="65"/>
        <v>3748.8961444910001</v>
      </c>
      <c r="W334" s="6">
        <f t="shared" si="65"/>
        <v>3743.4718951340001</v>
      </c>
      <c r="X334" s="6">
        <f t="shared" si="65"/>
        <v>3739.1621929966</v>
      </c>
      <c r="Y334" s="6">
        <f t="shared" si="65"/>
        <v>3736.2934577498004</v>
      </c>
      <c r="Z334" s="6">
        <f t="shared" si="65"/>
        <v>3735.2184719652</v>
      </c>
      <c r="AA334" s="6">
        <f t="shared" si="65"/>
        <v>3736.1963301104001</v>
      </c>
      <c r="AB334" s="6">
        <f t="shared" si="65"/>
        <v>3738.4210632688</v>
      </c>
      <c r="AC334" s="6">
        <f t="shared" si="65"/>
        <v>3742.6583217766001</v>
      </c>
      <c r="AD334" s="6">
        <f t="shared" si="65"/>
        <v>3748.9541258711001</v>
      </c>
      <c r="AE334" s="6">
        <f t="shared" si="65"/>
        <v>3757.4724318053995</v>
      </c>
      <c r="AF334" s="6">
        <f t="shared" si="65"/>
        <v>3768.3870067979997</v>
      </c>
      <c r="AG334" s="6">
        <f t="shared" si="65"/>
        <v>3781.7296017932999</v>
      </c>
      <c r="AH334" s="6">
        <f t="shared" si="65"/>
        <v>3797.3472927169</v>
      </c>
      <c r="AI334" s="6">
        <f t="shared" si="65"/>
        <v>3814.9679332748001</v>
      </c>
      <c r="AJ334" s="6">
        <f t="shared" si="65"/>
        <v>3834.3161551455</v>
      </c>
      <c r="AK334" s="6">
        <f t="shared" si="65"/>
        <v>3855.1267602807002</v>
      </c>
      <c r="AL334" s="6">
        <f t="shared" si="65"/>
        <v>3877.1330528402</v>
      </c>
    </row>
    <row r="335" spans="1:38" x14ac:dyDescent="0.35">
      <c r="B335" t="s">
        <v>100</v>
      </c>
      <c r="C335" s="6">
        <f t="shared" ref="C335:AL335" si="66">C312+C326+C319</f>
        <v>2507.3524895615005</v>
      </c>
      <c r="D335" s="6">
        <f t="shared" si="66"/>
        <v>2447.2310101856997</v>
      </c>
      <c r="E335" s="6">
        <f t="shared" si="66"/>
        <v>2404.0866096606001</v>
      </c>
      <c r="F335" s="6">
        <f t="shared" si="66"/>
        <v>2372.3507697302002</v>
      </c>
      <c r="G335" s="6">
        <f t="shared" si="66"/>
        <v>2349.8943497996001</v>
      </c>
      <c r="H335" s="6">
        <f t="shared" si="66"/>
        <v>2334.0583639545998</v>
      </c>
      <c r="I335" s="6">
        <f t="shared" si="66"/>
        <v>2321.7050932796001</v>
      </c>
      <c r="J335" s="6">
        <f t="shared" si="66"/>
        <v>2304.7818183208997</v>
      </c>
      <c r="K335" s="6">
        <f t="shared" si="66"/>
        <v>2286.1476154258999</v>
      </c>
      <c r="L335" s="6">
        <f t="shared" si="66"/>
        <v>2267.4387340402</v>
      </c>
      <c r="M335" s="6">
        <f t="shared" si="66"/>
        <v>2249.1006682742</v>
      </c>
      <c r="N335" s="6">
        <f t="shared" si="66"/>
        <v>2232.2164038706001</v>
      </c>
      <c r="O335" s="6">
        <f t="shared" si="66"/>
        <v>2216.0703533209003</v>
      </c>
      <c r="P335" s="6">
        <f t="shared" si="66"/>
        <v>2199.8787651994003</v>
      </c>
      <c r="Q335" s="6">
        <f t="shared" si="66"/>
        <v>2183.2226089441001</v>
      </c>
      <c r="R335" s="6">
        <f t="shared" si="66"/>
        <v>2165.9850246729998</v>
      </c>
      <c r="S335" s="6">
        <f t="shared" si="66"/>
        <v>2147.8080687717998</v>
      </c>
      <c r="T335" s="6">
        <f t="shared" si="66"/>
        <v>2129.2120702785005</v>
      </c>
      <c r="U335" s="6">
        <f t="shared" si="66"/>
        <v>2110.6684907293998</v>
      </c>
      <c r="V335" s="6">
        <f t="shared" si="66"/>
        <v>2092.5205644824</v>
      </c>
      <c r="W335" s="6">
        <f t="shared" si="66"/>
        <v>2074.8370924028</v>
      </c>
      <c r="X335" s="6">
        <f t="shared" si="66"/>
        <v>2058.0343059562001</v>
      </c>
      <c r="Y335" s="6">
        <f t="shared" si="66"/>
        <v>2042.2578600642</v>
      </c>
      <c r="Z335" s="6">
        <f t="shared" si="66"/>
        <v>2027.6388411691998</v>
      </c>
      <c r="AA335" s="6">
        <f t="shared" si="66"/>
        <v>2014.2347879596</v>
      </c>
      <c r="AB335" s="6">
        <f t="shared" si="66"/>
        <v>2001.5562107855001</v>
      </c>
      <c r="AC335" s="6">
        <f t="shared" si="66"/>
        <v>1989.8621539644</v>
      </c>
      <c r="AD335" s="6">
        <f t="shared" si="66"/>
        <v>1979.0326847279</v>
      </c>
      <c r="AE335" s="6">
        <f t="shared" si="66"/>
        <v>1968.9961161468</v>
      </c>
      <c r="AF335" s="6">
        <f t="shared" si="66"/>
        <v>1959.6962320145999</v>
      </c>
      <c r="AG335" s="6">
        <f t="shared" si="66"/>
        <v>1951.0258335419001</v>
      </c>
      <c r="AH335" s="6">
        <f t="shared" si="66"/>
        <v>1942.8067097682997</v>
      </c>
      <c r="AI335" s="6">
        <f t="shared" si="66"/>
        <v>1934.819872538</v>
      </c>
      <c r="AJ335" s="6">
        <f t="shared" si="66"/>
        <v>1926.8638715973</v>
      </c>
      <c r="AK335" s="6">
        <f t="shared" si="66"/>
        <v>1918.7647125586002</v>
      </c>
      <c r="AL335" s="6">
        <f t="shared" si="66"/>
        <v>1910.3709394041</v>
      </c>
    </row>
    <row r="336" spans="1:38" x14ac:dyDescent="0.35">
      <c r="B336" t="s">
        <v>101</v>
      </c>
      <c r="C336" s="6">
        <f t="shared" ref="C336:AL336" si="67">C313+C327+C320</f>
        <v>1245.466605953</v>
      </c>
      <c r="D336" s="6">
        <f t="shared" si="67"/>
        <v>1212.9146708534001</v>
      </c>
      <c r="E336" s="6">
        <f t="shared" si="67"/>
        <v>1187.3327431115999</v>
      </c>
      <c r="F336" s="6">
        <f t="shared" si="67"/>
        <v>1165.7173480540998</v>
      </c>
      <c r="G336" s="6">
        <f t="shared" si="67"/>
        <v>1146.8541089844998</v>
      </c>
      <c r="H336" s="6">
        <f t="shared" si="67"/>
        <v>1129.4941041305001</v>
      </c>
      <c r="I336" s="6">
        <f t="shared" si="67"/>
        <v>1112.2541548639999</v>
      </c>
      <c r="J336" s="6">
        <f t="shared" si="67"/>
        <v>1091.6541462494999</v>
      </c>
      <c r="K336" s="6">
        <f t="shared" si="67"/>
        <v>1068.7067037074</v>
      </c>
      <c r="L336" s="6">
        <f t="shared" si="67"/>
        <v>1044.1948983115001</v>
      </c>
      <c r="M336" s="6">
        <f t="shared" si="67"/>
        <v>1018.4359516011</v>
      </c>
      <c r="N336" s="6">
        <f t="shared" si="67"/>
        <v>992.05003731099998</v>
      </c>
      <c r="O336" s="6">
        <f t="shared" si="67"/>
        <v>965.17122990220003</v>
      </c>
      <c r="P336" s="6">
        <f t="shared" si="67"/>
        <v>937.92072865130001</v>
      </c>
      <c r="Q336" s="6">
        <f t="shared" si="67"/>
        <v>910.50235782680011</v>
      </c>
      <c r="R336" s="6">
        <f t="shared" si="67"/>
        <v>883.15352307220007</v>
      </c>
      <c r="S336" s="6">
        <f t="shared" si="67"/>
        <v>855.97990691170003</v>
      </c>
      <c r="T336" s="6">
        <f t="shared" si="67"/>
        <v>829.26650377509998</v>
      </c>
      <c r="U336" s="6">
        <f t="shared" si="67"/>
        <v>803.24522598039994</v>
      </c>
      <c r="V336" s="6">
        <f t="shared" si="67"/>
        <v>778.07114718260004</v>
      </c>
      <c r="W336" s="6">
        <f t="shared" si="67"/>
        <v>753.78910772659992</v>
      </c>
      <c r="X336" s="6">
        <f t="shared" si="67"/>
        <v>730.49666858170008</v>
      </c>
      <c r="Y336" s="6">
        <f t="shared" si="67"/>
        <v>708.19417555509995</v>
      </c>
      <c r="Z336" s="6">
        <f t="shared" si="67"/>
        <v>686.85738659049991</v>
      </c>
      <c r="AA336" s="6">
        <f t="shared" si="67"/>
        <v>666.42632819799996</v>
      </c>
      <c r="AB336" s="6">
        <f t="shared" si="67"/>
        <v>646.70408172539999</v>
      </c>
      <c r="AC336" s="6">
        <f t="shared" si="67"/>
        <v>627.65160805810001</v>
      </c>
      <c r="AD336" s="6">
        <f t="shared" si="67"/>
        <v>609.13538953699992</v>
      </c>
      <c r="AE336" s="6">
        <f t="shared" si="67"/>
        <v>591.03792860110013</v>
      </c>
      <c r="AF336" s="6">
        <f t="shared" si="67"/>
        <v>573.26529389180007</v>
      </c>
      <c r="AG336" s="6">
        <f t="shared" si="67"/>
        <v>555.73660143970005</v>
      </c>
      <c r="AH336" s="6">
        <f t="shared" si="67"/>
        <v>538.37847963729996</v>
      </c>
      <c r="AI336" s="6">
        <f t="shared" si="67"/>
        <v>521.12883463340006</v>
      </c>
      <c r="AJ336" s="6">
        <f t="shared" si="67"/>
        <v>503.94812446769998</v>
      </c>
      <c r="AK336" s="6">
        <f t="shared" si="67"/>
        <v>486.82029982519998</v>
      </c>
      <c r="AL336" s="6">
        <f t="shared" si="67"/>
        <v>469.74887024610001</v>
      </c>
    </row>
    <row r="337" spans="1:38" x14ac:dyDescent="0.35">
      <c r="B337" t="s">
        <v>102</v>
      </c>
      <c r="C337" s="6">
        <f t="shared" ref="C337:AL337" si="68">C314+C328+C321</f>
        <v>2242.8616504070001</v>
      </c>
      <c r="D337" s="6">
        <f t="shared" si="68"/>
        <v>2187.6691358731996</v>
      </c>
      <c r="E337" s="6">
        <f t="shared" si="68"/>
        <v>2142.7255228527001</v>
      </c>
      <c r="F337" s="6">
        <f t="shared" si="68"/>
        <v>2102.0956213426002</v>
      </c>
      <c r="G337" s="6">
        <f t="shared" si="68"/>
        <v>2063.4390712980999</v>
      </c>
      <c r="H337" s="6">
        <f t="shared" si="68"/>
        <v>2024.6921147121</v>
      </c>
      <c r="I337" s="6">
        <f t="shared" si="68"/>
        <v>1983.6863763722999</v>
      </c>
      <c r="J337" s="6">
        <f t="shared" si="68"/>
        <v>1934.7660901506999</v>
      </c>
      <c r="K337" s="6">
        <f t="shared" si="68"/>
        <v>1879.6732266554998</v>
      </c>
      <c r="L337" s="6">
        <f t="shared" si="68"/>
        <v>1820.1373665874999</v>
      </c>
      <c r="M337" s="6">
        <f t="shared" si="68"/>
        <v>1757.1480359134</v>
      </c>
      <c r="N337" s="6">
        <f t="shared" si="68"/>
        <v>1692.1754023321998</v>
      </c>
      <c r="O337" s="6">
        <f t="shared" si="68"/>
        <v>1626.0780190675</v>
      </c>
      <c r="P337" s="6">
        <f t="shared" si="68"/>
        <v>1559.6165414739</v>
      </c>
      <c r="Q337" s="6">
        <f t="shared" si="68"/>
        <v>1493.5391997520001</v>
      </c>
      <c r="R337" s="6">
        <f t="shared" si="68"/>
        <v>1428.5051951958999</v>
      </c>
      <c r="S337" s="6">
        <f t="shared" si="68"/>
        <v>1364.8993565142</v>
      </c>
      <c r="T337" s="6">
        <f t="shared" si="68"/>
        <v>1303.2081501253999</v>
      </c>
      <c r="U337" s="6">
        <f t="shared" si="68"/>
        <v>1243.7898868827001</v>
      </c>
      <c r="V337" s="6">
        <f t="shared" si="68"/>
        <v>1186.8572676602</v>
      </c>
      <c r="W337" s="6">
        <f t="shared" si="68"/>
        <v>1132.4550515035</v>
      </c>
      <c r="X337" s="6">
        <f t="shared" si="68"/>
        <v>1080.6440322425999</v>
      </c>
      <c r="Y337" s="6">
        <f t="shared" si="68"/>
        <v>1031.3546623668001</v>
      </c>
      <c r="Z337" s="6">
        <f t="shared" si="68"/>
        <v>984.47445619869995</v>
      </c>
      <c r="AA337" s="6">
        <f t="shared" si="68"/>
        <v>939.8429615189001</v>
      </c>
      <c r="AB337" s="6">
        <f t="shared" si="68"/>
        <v>897.16394954780003</v>
      </c>
      <c r="AC337" s="6">
        <f t="shared" si="68"/>
        <v>856.28983611640001</v>
      </c>
      <c r="AD337" s="6">
        <f t="shared" si="68"/>
        <v>816.9872521835</v>
      </c>
      <c r="AE337" s="6">
        <f t="shared" si="68"/>
        <v>779.05405232650003</v>
      </c>
      <c r="AF337" s="6">
        <f t="shared" si="68"/>
        <v>742.33596298249995</v>
      </c>
      <c r="AG337" s="6">
        <f t="shared" si="68"/>
        <v>706.71679591399993</v>
      </c>
      <c r="AH337" s="6">
        <f t="shared" si="68"/>
        <v>672.10925594380001</v>
      </c>
      <c r="AI337" s="6">
        <f t="shared" si="68"/>
        <v>638.45322684689995</v>
      </c>
      <c r="AJ337" s="6">
        <f t="shared" si="68"/>
        <v>605.72117747029995</v>
      </c>
      <c r="AK337" s="6">
        <f t="shared" si="68"/>
        <v>573.91429477660006</v>
      </c>
      <c r="AL337" s="6">
        <f t="shared" si="68"/>
        <v>543.05405923069998</v>
      </c>
    </row>
    <row r="339" spans="1:3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7139.7161619999997</v>
      </c>
      <c r="E339" s="6">
        <f>[1]Hybrid!D19</f>
        <v>7244.7187759999997</v>
      </c>
      <c r="F339" s="6">
        <f>[1]Hybrid!E19</f>
        <v>7390.7834009999997</v>
      </c>
      <c r="G339" s="6">
        <f>[1]Hybrid!F19</f>
        <v>7572.0227349999996</v>
      </c>
      <c r="H339" s="6">
        <f>[1]Hybrid!G19</f>
        <v>7778.2006099999999</v>
      </c>
      <c r="I339" s="6">
        <f>[1]Hybrid!H19</f>
        <v>7996.7153740000003</v>
      </c>
      <c r="J339" s="6">
        <f>[1]Hybrid!I19</f>
        <v>8221.7650740000008</v>
      </c>
      <c r="K339" s="6">
        <f>[1]Hybrid!J19</f>
        <v>8451.5357000000004</v>
      </c>
      <c r="L339" s="6">
        <f>[1]Hybrid!K19</f>
        <v>8685.2987030000004</v>
      </c>
      <c r="M339" s="6">
        <f>[1]Hybrid!L19</f>
        <v>8923.4700389999998</v>
      </c>
      <c r="N339" s="6">
        <f>[1]Hybrid!M19</f>
        <v>9160.6917140000005</v>
      </c>
      <c r="O339" s="6">
        <f>[1]Hybrid!N19</f>
        <v>9393.4270589999996</v>
      </c>
      <c r="P339" s="6">
        <f>[1]Hybrid!O19</f>
        <v>9618.3346610000008</v>
      </c>
      <c r="Q339" s="6">
        <f>[1]Hybrid!P19</f>
        <v>9832.6757909999997</v>
      </c>
      <c r="R339" s="6">
        <f>[1]Hybrid!Q19</f>
        <v>10034.66207</v>
      </c>
      <c r="S339" s="6">
        <f>[1]Hybrid!R19</f>
        <v>10228.643179999999</v>
      </c>
      <c r="T339" s="6">
        <f>[1]Hybrid!S19</f>
        <v>10415.597019999999</v>
      </c>
      <c r="U339" s="6">
        <f>[1]Hybrid!T19</f>
        <v>10595.074259999999</v>
      </c>
      <c r="V339" s="6">
        <f>[1]Hybrid!U19</f>
        <v>10766.71963</v>
      </c>
      <c r="W339" s="6">
        <f>[1]Hybrid!V19</f>
        <v>10929.572840000001</v>
      </c>
      <c r="X339" s="6">
        <f>[1]Hybrid!W19</f>
        <v>11086.114890000001</v>
      </c>
      <c r="Y339" s="6">
        <f>[1]Hybrid!X19</f>
        <v>11237.850549999999</v>
      </c>
      <c r="Z339" s="6">
        <f>[1]Hybrid!Y19</f>
        <v>11386.63501</v>
      </c>
      <c r="AA339" s="6">
        <f>[1]Hybrid!Z19</f>
        <v>11534.282880000001</v>
      </c>
      <c r="AB339" s="6">
        <f>[1]Hybrid!AA19</f>
        <v>11679.201349999999</v>
      </c>
      <c r="AC339" s="6">
        <f>[1]Hybrid!AB19</f>
        <v>11825.75628</v>
      </c>
      <c r="AD339" s="6">
        <f>[1]Hybrid!AC19</f>
        <v>11976.05733</v>
      </c>
      <c r="AE339" s="6">
        <f>[1]Hybrid!AD19</f>
        <v>12132.21588</v>
      </c>
      <c r="AF339" s="6">
        <f>[1]Hybrid!AE19</f>
        <v>12296.058639999999</v>
      </c>
      <c r="AG339" s="6">
        <f>[1]Hybrid!AF19</f>
        <v>12468.660449999999</v>
      </c>
      <c r="AH339" s="6">
        <f>[1]Hybrid!AG19</f>
        <v>12650.2621</v>
      </c>
      <c r="AI339" s="6">
        <f>[1]Hybrid!AH19</f>
        <v>12840.37948</v>
      </c>
      <c r="AJ339" s="6">
        <f>[1]Hybrid!AI19</f>
        <v>13037.92787</v>
      </c>
      <c r="AK339" s="6">
        <f>[1]Hybrid!AJ19</f>
        <v>13241.339190000001</v>
      </c>
      <c r="AL339" s="6">
        <f>[1]Hybrid!AK19</f>
        <v>13448.655339999999</v>
      </c>
    </row>
    <row r="340" spans="1:3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8180.830328</v>
      </c>
      <c r="E340" s="6">
        <f>[1]Hybrid!D21</f>
        <v>8176.5895490000003</v>
      </c>
      <c r="F340" s="6">
        <f>[1]Hybrid!E21</f>
        <v>8218.4194210000005</v>
      </c>
      <c r="G340" s="6">
        <f>[1]Hybrid!F21</f>
        <v>8299.8524199999993</v>
      </c>
      <c r="H340" s="6">
        <f>[1]Hybrid!G21</f>
        <v>8410.5837360000005</v>
      </c>
      <c r="I340" s="6">
        <f>[1]Hybrid!H21</f>
        <v>8538.0037329999996</v>
      </c>
      <c r="J340" s="6">
        <f>[1]Hybrid!I21</f>
        <v>8675.9037380000009</v>
      </c>
      <c r="K340" s="6">
        <f>[1]Hybrid!J21</f>
        <v>8821.9112330000007</v>
      </c>
      <c r="L340" s="6">
        <f>[1]Hybrid!K21</f>
        <v>8974.7845620000007</v>
      </c>
      <c r="M340" s="6">
        <f>[1]Hybrid!L21</f>
        <v>9134.4539050000003</v>
      </c>
      <c r="N340" s="6">
        <f>[1]Hybrid!M21</f>
        <v>9295.5608470000006</v>
      </c>
      <c r="O340" s="6">
        <f>[1]Hybrid!N21</f>
        <v>9454.6155529999996</v>
      </c>
      <c r="P340" s="6">
        <f>[1]Hybrid!O21</f>
        <v>9608.4317749999991</v>
      </c>
      <c r="Q340" s="6">
        <f>[1]Hybrid!P21</f>
        <v>9754.4502960000009</v>
      </c>
      <c r="R340" s="6">
        <f>[1]Hybrid!Q21</f>
        <v>9891.0126409999993</v>
      </c>
      <c r="S340" s="6">
        <f>[1]Hybrid!R21</f>
        <v>10022.21695</v>
      </c>
      <c r="T340" s="6">
        <f>[1]Hybrid!S21</f>
        <v>10149.123</v>
      </c>
      <c r="U340" s="6">
        <f>[1]Hybrid!T21</f>
        <v>10271.394190000001</v>
      </c>
      <c r="V340" s="6">
        <f>[1]Hybrid!U21</f>
        <v>10388.664629999999</v>
      </c>
      <c r="W340" s="6">
        <f>[1]Hybrid!V21</f>
        <v>10499.909379999999</v>
      </c>
      <c r="X340" s="6">
        <f>[1]Hybrid!W21</f>
        <v>10607.193069999999</v>
      </c>
      <c r="Y340" s="6">
        <f>[1]Hybrid!X21</f>
        <v>10711.630730000001</v>
      </c>
      <c r="Z340" s="6">
        <f>[1]Hybrid!Y21</f>
        <v>10814.62089</v>
      </c>
      <c r="AA340" s="6">
        <f>[1]Hybrid!Z21</f>
        <v>10917.487279999999</v>
      </c>
      <c r="AB340" s="6">
        <f>[1]Hybrid!AA21</f>
        <v>11018.41288</v>
      </c>
      <c r="AC340" s="6">
        <f>[1]Hybrid!AB21</f>
        <v>11120.99517</v>
      </c>
      <c r="AD340" s="6">
        <f>[1]Hybrid!AC21</f>
        <v>11226.751340000001</v>
      </c>
      <c r="AE340" s="6">
        <f>[1]Hybrid!AD21</f>
        <v>11337.185020000001</v>
      </c>
      <c r="AF340" s="6">
        <f>[1]Hybrid!AE21</f>
        <v>11453.54478</v>
      </c>
      <c r="AG340" s="6">
        <f>[1]Hybrid!AF21</f>
        <v>11576.414119999999</v>
      </c>
      <c r="AH340" s="6">
        <f>[1]Hybrid!AG21</f>
        <v>11705.648649999999</v>
      </c>
      <c r="AI340" s="6">
        <f>[1]Hybrid!AH21</f>
        <v>11840.485189999999</v>
      </c>
      <c r="AJ340" s="6">
        <f>[1]Hybrid!AI21</f>
        <v>11979.66324</v>
      </c>
      <c r="AK340" s="6">
        <f>[1]Hybrid!AJ21</f>
        <v>12121.539699999999</v>
      </c>
      <c r="AL340" s="6">
        <f>[1]Hybrid!AK21</f>
        <v>12264.18183</v>
      </c>
    </row>
    <row r="341" spans="1:3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6645.4047959999998</v>
      </c>
      <c r="E341" s="6">
        <f>[1]Hybrid!D23</f>
        <v>6564.7364379999999</v>
      </c>
      <c r="F341" s="6">
        <f>[1]Hybrid!E23</f>
        <v>6520.9660329999997</v>
      </c>
      <c r="G341" s="6">
        <f>[1]Hybrid!F23</f>
        <v>6509.0302099999999</v>
      </c>
      <c r="H341" s="6">
        <f>[1]Hybrid!G23</f>
        <v>6521.442497</v>
      </c>
      <c r="I341" s="6">
        <f>[1]Hybrid!H23</f>
        <v>6549.1014500000001</v>
      </c>
      <c r="J341" s="6">
        <f>[1]Hybrid!I23</f>
        <v>6587.2541680000004</v>
      </c>
      <c r="K341" s="6">
        <f>[1]Hybrid!J23</f>
        <v>6633.812132</v>
      </c>
      <c r="L341" s="6">
        <f>[1]Hybrid!K23</f>
        <v>6687.5328639999998</v>
      </c>
      <c r="M341" s="6">
        <f>[1]Hybrid!L23</f>
        <v>6748.0370569999995</v>
      </c>
      <c r="N341" s="6">
        <f>[1]Hybrid!M23</f>
        <v>6811.4565009999997</v>
      </c>
      <c r="O341" s="6">
        <f>[1]Hybrid!N23</f>
        <v>6875.295752</v>
      </c>
      <c r="P341" s="6">
        <f>[1]Hybrid!O23</f>
        <v>6937.3454060000004</v>
      </c>
      <c r="Q341" s="6">
        <f>[1]Hybrid!P23</f>
        <v>6995.861105</v>
      </c>
      <c r="R341" s="6">
        <f>[1]Hybrid!Q23</f>
        <v>7049.7139120000002</v>
      </c>
      <c r="S341" s="6">
        <f>[1]Hybrid!R23</f>
        <v>7101.6681140000001</v>
      </c>
      <c r="T341" s="6">
        <f>[1]Hybrid!S23</f>
        <v>7152.5137139999997</v>
      </c>
      <c r="U341" s="6">
        <f>[1]Hybrid!T23</f>
        <v>7202.0583989999996</v>
      </c>
      <c r="V341" s="6">
        <f>[1]Hybrid!U23</f>
        <v>7250.0140179999999</v>
      </c>
      <c r="W341" s="6">
        <f>[1]Hybrid!V23</f>
        <v>7295.5882709999996</v>
      </c>
      <c r="X341" s="6">
        <f>[1]Hybrid!W23</f>
        <v>7339.9904130000004</v>
      </c>
      <c r="Y341" s="6">
        <f>[1]Hybrid!X23</f>
        <v>7383.767503</v>
      </c>
      <c r="Z341" s="6">
        <f>[1]Hybrid!Y23</f>
        <v>7427.6315169999998</v>
      </c>
      <c r="AA341" s="6">
        <f>[1]Hybrid!Z23</f>
        <v>7472.2229310000002</v>
      </c>
      <c r="AB341" s="6">
        <f>[1]Hybrid!AA23</f>
        <v>7516.0966509999998</v>
      </c>
      <c r="AC341" s="6">
        <f>[1]Hybrid!AB23</f>
        <v>7561.361355</v>
      </c>
      <c r="AD341" s="6">
        <f>[1]Hybrid!AC23</f>
        <v>7608.7461659999999</v>
      </c>
      <c r="AE341" s="6">
        <f>[1]Hybrid!AD23</f>
        <v>7658.9662129999997</v>
      </c>
      <c r="AF341" s="6">
        <f>[1]Hybrid!AE23</f>
        <v>7712.5769300000002</v>
      </c>
      <c r="AG341" s="6">
        <f>[1]Hybrid!AF23</f>
        <v>7769.7146769999999</v>
      </c>
      <c r="AH341" s="6">
        <f>[1]Hybrid!AG23</f>
        <v>7830.063193</v>
      </c>
      <c r="AI341" s="6">
        <f>[1]Hybrid!AH23</f>
        <v>7892.9312410000002</v>
      </c>
      <c r="AJ341" s="6">
        <f>[1]Hybrid!AI23</f>
        <v>7957.3372479999998</v>
      </c>
      <c r="AK341" s="6">
        <f>[1]Hybrid!AJ23</f>
        <v>8022.0890140000001</v>
      </c>
      <c r="AL341" s="6">
        <f>[1]Hybrid!AK23</f>
        <v>8085.8488740000003</v>
      </c>
    </row>
    <row r="342" spans="1:3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4054.0469210000001</v>
      </c>
      <c r="E342" s="6">
        <f>[1]Hybrid!D25</f>
        <v>3977.8566150000001</v>
      </c>
      <c r="F342" s="6">
        <f>[1]Hybrid!E25</f>
        <v>3922.3955529999998</v>
      </c>
      <c r="G342" s="6">
        <f>[1]Hybrid!F25</f>
        <v>3884.398686</v>
      </c>
      <c r="H342" s="6">
        <f>[1]Hybrid!G25</f>
        <v>3859.5229610000001</v>
      </c>
      <c r="I342" s="6">
        <f>[1]Hybrid!H25</f>
        <v>3842.6045610000001</v>
      </c>
      <c r="J342" s="6">
        <f>[1]Hybrid!I25</f>
        <v>3830.8332719999999</v>
      </c>
      <c r="K342" s="6">
        <f>[1]Hybrid!J25</f>
        <v>3822.8857189999999</v>
      </c>
      <c r="L342" s="6">
        <f>[1]Hybrid!K25</f>
        <v>3817.9661630000001</v>
      </c>
      <c r="M342" s="6">
        <f>[1]Hybrid!L25</f>
        <v>3815.792841</v>
      </c>
      <c r="N342" s="6">
        <f>[1]Hybrid!M25</f>
        <v>3814.4416799999999</v>
      </c>
      <c r="O342" s="6">
        <f>[1]Hybrid!N25</f>
        <v>3812.8480979999999</v>
      </c>
      <c r="P342" s="6">
        <f>[1]Hybrid!O25</f>
        <v>3810.201755</v>
      </c>
      <c r="Q342" s="6">
        <f>[1]Hybrid!P25</f>
        <v>3805.9607550000001</v>
      </c>
      <c r="R342" s="6">
        <f>[1]Hybrid!Q25</f>
        <v>3799.867154</v>
      </c>
      <c r="S342" s="6">
        <f>[1]Hybrid!R25</f>
        <v>3793.5433969999999</v>
      </c>
      <c r="T342" s="6">
        <f>[1]Hybrid!S25</f>
        <v>3787.6441709999999</v>
      </c>
      <c r="U342" s="6">
        <f>[1]Hybrid!T25</f>
        <v>3782.2617359999999</v>
      </c>
      <c r="V342" s="6">
        <f>[1]Hybrid!U25</f>
        <v>3777.3374170000002</v>
      </c>
      <c r="W342" s="6">
        <f>[1]Hybrid!V25</f>
        <v>3772.4786300000001</v>
      </c>
      <c r="X342" s="6">
        <f>[1]Hybrid!W25</f>
        <v>3768.1703680000001</v>
      </c>
      <c r="Y342" s="6">
        <f>[1]Hybrid!X25</f>
        <v>3764.527364</v>
      </c>
      <c r="Z342" s="6">
        <f>[1]Hybrid!Y25</f>
        <v>3761.6956129999999</v>
      </c>
      <c r="AA342" s="6">
        <f>[1]Hybrid!Z25</f>
        <v>3759.7381529999998</v>
      </c>
      <c r="AB342" s="6">
        <f>[1]Hybrid!AA25</f>
        <v>3757.7056090000001</v>
      </c>
      <c r="AC342" s="6">
        <f>[1]Hybrid!AB25</f>
        <v>3756.2763709999999</v>
      </c>
      <c r="AD342" s="6">
        <f>[1]Hybrid!AC25</f>
        <v>3755.471227</v>
      </c>
      <c r="AE342" s="6">
        <f>[1]Hybrid!AD25</f>
        <v>3755.301414</v>
      </c>
      <c r="AF342" s="6">
        <f>[1]Hybrid!AE25</f>
        <v>3755.7299410000001</v>
      </c>
      <c r="AG342" s="6">
        <f>[1]Hybrid!AF25</f>
        <v>3756.5686049999999</v>
      </c>
      <c r="AH342" s="6">
        <f>[1]Hybrid!AG25</f>
        <v>3757.473598</v>
      </c>
      <c r="AI342" s="6">
        <f>[1]Hybrid!AH25</f>
        <v>3757.988664</v>
      </c>
      <c r="AJ342" s="6">
        <f>[1]Hybrid!AI25</f>
        <v>3757.5886300000002</v>
      </c>
      <c r="AK342" s="6">
        <f>[1]Hybrid!AJ25</f>
        <v>3755.7190900000001</v>
      </c>
      <c r="AL342" s="6">
        <f>[1]Hybrid!AK25</f>
        <v>3751.8280140000002</v>
      </c>
    </row>
    <row r="343" spans="1:3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2442.4856709999999</v>
      </c>
      <c r="E343" s="6">
        <f>[1]Hybrid!D27</f>
        <v>2398.1217489999999</v>
      </c>
      <c r="F343" s="6">
        <f>[1]Hybrid!E27</f>
        <v>2365.0982180000001</v>
      </c>
      <c r="G343" s="6">
        <f>[1]Hybrid!F27</f>
        <v>2341.2891690000001</v>
      </c>
      <c r="H343" s="6">
        <f>[1]Hybrid!G27</f>
        <v>2324.059393</v>
      </c>
      <c r="I343" s="6">
        <f>[1]Hybrid!H27</f>
        <v>2310.298393</v>
      </c>
      <c r="J343" s="6">
        <f>[1]Hybrid!I27</f>
        <v>2298.2986040000001</v>
      </c>
      <c r="K343" s="6">
        <f>[1]Hybrid!J27</f>
        <v>2287.2618560000001</v>
      </c>
      <c r="L343" s="6">
        <f>[1]Hybrid!K27</f>
        <v>2276.7378410000001</v>
      </c>
      <c r="M343" s="6">
        <f>[1]Hybrid!L27</f>
        <v>2266.60313</v>
      </c>
      <c r="N343" s="6">
        <f>[1]Hybrid!M27</f>
        <v>2255.8651639999998</v>
      </c>
      <c r="O343" s="6">
        <f>[1]Hybrid!N27</f>
        <v>2244.092877</v>
      </c>
      <c r="P343" s="6">
        <f>[1]Hybrid!O27</f>
        <v>2231.0429250000002</v>
      </c>
      <c r="Q343" s="6">
        <f>[1]Hybrid!P27</f>
        <v>2216.628236</v>
      </c>
      <c r="R343" s="6">
        <f>[1]Hybrid!Q27</f>
        <v>2200.897371</v>
      </c>
      <c r="S343" s="6">
        <f>[1]Hybrid!R27</f>
        <v>2184.9049249999998</v>
      </c>
      <c r="T343" s="6">
        <f>[1]Hybrid!S27</f>
        <v>2169.1735159999998</v>
      </c>
      <c r="U343" s="6">
        <f>[1]Hybrid!T27</f>
        <v>2153.873724</v>
      </c>
      <c r="V343" s="6">
        <f>[1]Hybrid!U27</f>
        <v>2139.0376510000001</v>
      </c>
      <c r="W343" s="6">
        <f>[1]Hybrid!V27</f>
        <v>2124.4697999999999</v>
      </c>
      <c r="X343" s="6">
        <f>[1]Hybrid!W27</f>
        <v>2110.396761</v>
      </c>
      <c r="Y343" s="6">
        <f>[1]Hybrid!X27</f>
        <v>2096.8194360000002</v>
      </c>
      <c r="Z343" s="6">
        <f>[1]Hybrid!Y27</f>
        <v>2083.7301189999998</v>
      </c>
      <c r="AA343" s="6">
        <f>[1]Hybrid!Z27</f>
        <v>2071.053281</v>
      </c>
      <c r="AB343" s="6">
        <f>[1]Hybrid!AA27</f>
        <v>2058.176277</v>
      </c>
      <c r="AC343" s="6">
        <f>[1]Hybrid!AB27</f>
        <v>2045.309753</v>
      </c>
      <c r="AD343" s="6">
        <f>[1]Hybrid!AC27</f>
        <v>2032.323359</v>
      </c>
      <c r="AE343" s="6">
        <f>[1]Hybrid!AD27</f>
        <v>2019.0850290000001</v>
      </c>
      <c r="AF343" s="6">
        <f>[1]Hybrid!AE27</f>
        <v>2005.455281</v>
      </c>
      <c r="AG343" s="6">
        <f>[1]Hybrid!AF27</f>
        <v>1991.243577</v>
      </c>
      <c r="AH343" s="6">
        <f>[1]Hybrid!AG27</f>
        <v>1976.211585</v>
      </c>
      <c r="AI343" s="6">
        <f>[1]Hybrid!AH27</f>
        <v>1960.0979930000001</v>
      </c>
      <c r="AJ343" s="6">
        <f>[1]Hybrid!AI27</f>
        <v>1942.641515</v>
      </c>
      <c r="AK343" s="6">
        <f>[1]Hybrid!AJ27</f>
        <v>1923.6006030000001</v>
      </c>
      <c r="AL343" s="6">
        <f>[1]Hybrid!AK27</f>
        <v>1902.7679639999999</v>
      </c>
    </row>
    <row r="344" spans="1:3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1210.5867760000001</v>
      </c>
      <c r="E344" s="6">
        <f>[1]Hybrid!D29</f>
        <v>1184.4484</v>
      </c>
      <c r="F344" s="6">
        <f>[1]Hybrid!E29</f>
        <v>1162.2686229999999</v>
      </c>
      <c r="G344" s="6">
        <f>[1]Hybrid!F29</f>
        <v>1142.8394949999999</v>
      </c>
      <c r="H344" s="6">
        <f>[1]Hybrid!G29</f>
        <v>1124.9236109999999</v>
      </c>
      <c r="I344" s="6">
        <f>[1]Hybrid!H29</f>
        <v>1107.1504199999999</v>
      </c>
      <c r="J344" s="6">
        <f>[1]Hybrid!I29</f>
        <v>1088.8053629999999</v>
      </c>
      <c r="K344" s="6">
        <f>[1]Hybrid!J29</f>
        <v>1069.6160190000001</v>
      </c>
      <c r="L344" s="6">
        <f>[1]Hybrid!K29</f>
        <v>1049.503146</v>
      </c>
      <c r="M344" s="6">
        <f>[1]Hybrid!L29</f>
        <v>1028.5482199999999</v>
      </c>
      <c r="N344" s="6">
        <f>[1]Hybrid!M29</f>
        <v>1006.582708</v>
      </c>
      <c r="O344" s="6">
        <f>[1]Hybrid!N29</f>
        <v>983.71370890000003</v>
      </c>
      <c r="P344" s="6">
        <f>[1]Hybrid!O29</f>
        <v>960.14296720000004</v>
      </c>
      <c r="Q344" s="6">
        <f>[1]Hybrid!P29</f>
        <v>936.10908659999996</v>
      </c>
      <c r="R344" s="6">
        <f>[1]Hybrid!Q29</f>
        <v>911.85149460000002</v>
      </c>
      <c r="S344" s="6">
        <f>[1]Hybrid!R29</f>
        <v>887.88391249999995</v>
      </c>
      <c r="T344" s="6">
        <f>[1]Hybrid!S29</f>
        <v>864.52013220000003</v>
      </c>
      <c r="U344" s="6">
        <f>[1]Hybrid!T29</f>
        <v>841.91040699999996</v>
      </c>
      <c r="V344" s="6">
        <f>[1]Hybrid!U29</f>
        <v>820.10714170000006</v>
      </c>
      <c r="W344" s="6">
        <f>[1]Hybrid!V29</f>
        <v>799.04979660000004</v>
      </c>
      <c r="X344" s="6">
        <f>[1]Hybrid!W29</f>
        <v>778.76196059999995</v>
      </c>
      <c r="Y344" s="6">
        <f>[1]Hybrid!X29</f>
        <v>759.17742090000002</v>
      </c>
      <c r="Z344" s="6">
        <f>[1]Hybrid!Y29</f>
        <v>740.20832470000005</v>
      </c>
      <c r="AA344" s="6">
        <f>[1]Hybrid!Z29</f>
        <v>721.73118360000001</v>
      </c>
      <c r="AB344" s="6">
        <f>[1]Hybrid!AA29</f>
        <v>703.47429629999999</v>
      </c>
      <c r="AC344" s="6">
        <f>[1]Hybrid!AB29</f>
        <v>685.37967619999995</v>
      </c>
      <c r="AD344" s="6">
        <f>[1]Hybrid!AC29</f>
        <v>667.30991759999995</v>
      </c>
      <c r="AE344" s="6">
        <f>[1]Hybrid!AD29</f>
        <v>649.1437717</v>
      </c>
      <c r="AF344" s="6">
        <f>[1]Hybrid!AE29</f>
        <v>630.78608799999995</v>
      </c>
      <c r="AG344" s="6">
        <f>[1]Hybrid!AF29</f>
        <v>612.1616014</v>
      </c>
      <c r="AH344" s="6">
        <f>[1]Hybrid!AG29</f>
        <v>593.21654639999997</v>
      </c>
      <c r="AI344" s="6">
        <f>[1]Hybrid!AH29</f>
        <v>573.9226721</v>
      </c>
      <c r="AJ344" s="6">
        <f>[1]Hybrid!AI29</f>
        <v>554.2787687</v>
      </c>
      <c r="AK344" s="6">
        <f>[1]Hybrid!AJ29</f>
        <v>534.31019560000004</v>
      </c>
      <c r="AL344" s="6">
        <f>[1]Hybrid!AK29</f>
        <v>514.06648680000001</v>
      </c>
    </row>
    <row r="345" spans="1:3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2183.4432149999998</v>
      </c>
      <c r="E345" s="6">
        <f>[1]Hybrid!D31</f>
        <v>2137.4822509999999</v>
      </c>
      <c r="F345" s="6">
        <f>[1]Hybrid!E31</f>
        <v>2095.845272</v>
      </c>
      <c r="G345" s="6">
        <f>[1]Hybrid!F31</f>
        <v>2056.2069809999998</v>
      </c>
      <c r="H345" s="6">
        <f>[1]Hybrid!G31</f>
        <v>2016.5252700000001</v>
      </c>
      <c r="I345" s="6">
        <f>[1]Hybrid!H31</f>
        <v>1974.6537579999999</v>
      </c>
      <c r="J345" s="6">
        <f>[1]Hybrid!I31</f>
        <v>1929.640044</v>
      </c>
      <c r="K345" s="6">
        <f>[1]Hybrid!J31</f>
        <v>1881.346914</v>
      </c>
      <c r="L345" s="6">
        <f>[1]Hybrid!K31</f>
        <v>1830.0065569999999</v>
      </c>
      <c r="M345" s="6">
        <f>[1]Hybrid!L31</f>
        <v>1776.1235360000001</v>
      </c>
      <c r="N345" s="6">
        <f>[1]Hybrid!M31</f>
        <v>1719.8890269999999</v>
      </c>
      <c r="O345" s="6">
        <f>[1]Hybrid!N31</f>
        <v>1661.934782</v>
      </c>
      <c r="P345" s="6">
        <f>[1]Hybrid!O31</f>
        <v>1603.004357</v>
      </c>
      <c r="Q345" s="6">
        <f>[1]Hybrid!P31</f>
        <v>1543.8196949999999</v>
      </c>
      <c r="R345" s="6">
        <f>[1]Hybrid!Q31</f>
        <v>1485.008959</v>
      </c>
      <c r="S345" s="6">
        <f>[1]Hybrid!R31</f>
        <v>1427.4662659999999</v>
      </c>
      <c r="T345" s="6">
        <f>[1]Hybrid!S31</f>
        <v>1371.765028</v>
      </c>
      <c r="U345" s="6">
        <f>[1]Hybrid!T31</f>
        <v>1318.1943670000001</v>
      </c>
      <c r="V345" s="6">
        <f>[1]Hybrid!U31</f>
        <v>1266.8513989999999</v>
      </c>
      <c r="W345" s="6">
        <f>[1]Hybrid!V31</f>
        <v>1217.642959</v>
      </c>
      <c r="X345" s="6">
        <f>[1]Hybrid!W31</f>
        <v>1170.534355</v>
      </c>
      <c r="Y345" s="6">
        <f>[1]Hybrid!X31</f>
        <v>1125.361862</v>
      </c>
      <c r="Z345" s="6">
        <f>[1]Hybrid!Y31</f>
        <v>1081.922468</v>
      </c>
      <c r="AA345" s="6">
        <f>[1]Hybrid!Z31</f>
        <v>1039.9642389999999</v>
      </c>
      <c r="AB345" s="6">
        <f>[1]Hybrid!AA31</f>
        <v>999.07863799999996</v>
      </c>
      <c r="AC345" s="6">
        <f>[1]Hybrid!AB31</f>
        <v>959.09950200000003</v>
      </c>
      <c r="AD345" s="6">
        <f>[1]Hybrid!AC31</f>
        <v>919.79866430000004</v>
      </c>
      <c r="AE345" s="6">
        <f>[1]Hybrid!AD31</f>
        <v>880.99476470000002</v>
      </c>
      <c r="AF345" s="6">
        <f>[1]Hybrid!AE31</f>
        <v>842.57015890000002</v>
      </c>
      <c r="AG345" s="6">
        <f>[1]Hybrid!AF31</f>
        <v>804.46311660000003</v>
      </c>
      <c r="AH345" s="6">
        <f>[1]Hybrid!AG31</f>
        <v>766.66368339999997</v>
      </c>
      <c r="AI345" s="6">
        <f>[1]Hybrid!AH31</f>
        <v>729.20934160000002</v>
      </c>
      <c r="AJ345" s="6">
        <f>[1]Hybrid!AI31</f>
        <v>692.17710590000002</v>
      </c>
      <c r="AK345" s="6">
        <f>[1]Hybrid!AJ31</f>
        <v>655.67382399999997</v>
      </c>
      <c r="AL345" s="6">
        <f>[1]Hybrid!AK31</f>
        <v>619.82559660000004</v>
      </c>
    </row>
    <row r="346" spans="1:3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15.130629320000001</v>
      </c>
      <c r="E346" s="6">
        <f>[1]Hybrid!D33</f>
        <v>21.017923889999999</v>
      </c>
      <c r="F346" s="6">
        <f>[1]Hybrid!E33</f>
        <v>27.457126939999998</v>
      </c>
      <c r="G346" s="6">
        <f>[1]Hybrid!F33</f>
        <v>34.503908279999997</v>
      </c>
      <c r="H346" s="6">
        <f>[1]Hybrid!G33</f>
        <v>42.057561649999997</v>
      </c>
      <c r="I346" s="6">
        <f>[1]Hybrid!H33</f>
        <v>50.00974188</v>
      </c>
      <c r="J346" s="6">
        <f>[1]Hybrid!I33</f>
        <v>58.382186679999997</v>
      </c>
      <c r="K346" s="6">
        <f>[1]Hybrid!J33</f>
        <v>67.283919539999999</v>
      </c>
      <c r="L346" s="6">
        <f>[1]Hybrid!K33</f>
        <v>76.86006519</v>
      </c>
      <c r="M346" s="6">
        <f>[1]Hybrid!L33</f>
        <v>87.288797059999993</v>
      </c>
      <c r="N346" s="6">
        <f>[1]Hybrid!M33</f>
        <v>98.67017645</v>
      </c>
      <c r="O346" s="6">
        <f>[1]Hybrid!N33</f>
        <v>111.11940199999999</v>
      </c>
      <c r="P346" s="6">
        <f>[1]Hybrid!O33</f>
        <v>124.7410824</v>
      </c>
      <c r="Q346" s="6">
        <f>[1]Hybrid!P33</f>
        <v>139.63606390000001</v>
      </c>
      <c r="R346" s="6">
        <f>[1]Hybrid!Q33</f>
        <v>155.91266709999999</v>
      </c>
      <c r="S346" s="6">
        <f>[1]Hybrid!R33</f>
        <v>173.7684946</v>
      </c>
      <c r="T346" s="6">
        <f>[1]Hybrid!S33</f>
        <v>193.25137230000001</v>
      </c>
      <c r="U346" s="6">
        <f>[1]Hybrid!T33</f>
        <v>214.34891999999999</v>
      </c>
      <c r="V346" s="6">
        <f>[1]Hybrid!U33</f>
        <v>237.05552180000001</v>
      </c>
      <c r="W346" s="6">
        <f>[1]Hybrid!V33</f>
        <v>261.36211780000002</v>
      </c>
      <c r="X346" s="6">
        <f>[1]Hybrid!W33</f>
        <v>287.39818450000001</v>
      </c>
      <c r="Y346" s="6">
        <f>[1]Hybrid!X33</f>
        <v>315.29904820000002</v>
      </c>
      <c r="Z346" s="6">
        <f>[1]Hybrid!Y33</f>
        <v>345.24975669999998</v>
      </c>
      <c r="AA346" s="6">
        <f>[1]Hybrid!Z33</f>
        <v>377.4731936</v>
      </c>
      <c r="AB346" s="6">
        <f>[1]Hybrid!AA33</f>
        <v>412.07112269999999</v>
      </c>
      <c r="AC346" s="6">
        <f>[1]Hybrid!AB33</f>
        <v>449.4521039</v>
      </c>
      <c r="AD346" s="6">
        <f>[1]Hybrid!AC33</f>
        <v>489.97873399999997</v>
      </c>
      <c r="AE346" s="6">
        <f>[1]Hybrid!AD33</f>
        <v>534.06955119999998</v>
      </c>
      <c r="AF346" s="6">
        <f>[1]Hybrid!AE33</f>
        <v>582.18685740000001</v>
      </c>
      <c r="AG346" s="6">
        <f>[1]Hybrid!AF33</f>
        <v>634.80641319999995</v>
      </c>
      <c r="AH346" s="6">
        <f>[1]Hybrid!AG33</f>
        <v>692.40273460000003</v>
      </c>
      <c r="AI346" s="6">
        <f>[1]Hybrid!AH33</f>
        <v>755.44475050000005</v>
      </c>
      <c r="AJ346" s="6">
        <f>[1]Hybrid!AI33</f>
        <v>824.39301639999996</v>
      </c>
      <c r="AK346" s="6">
        <f>[1]Hybrid!AJ33</f>
        <v>899.69720319999999</v>
      </c>
      <c r="AL346" s="6">
        <f>[1]Hybrid!AK33</f>
        <v>981.79230329999996</v>
      </c>
    </row>
    <row r="347" spans="1:3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16.448995610000001</v>
      </c>
      <c r="E347" s="6">
        <f>[1]Hybrid!D35</f>
        <v>22.03570766</v>
      </c>
      <c r="F347" s="6">
        <f>[1]Hybrid!E35</f>
        <v>28.16328743</v>
      </c>
      <c r="G347" s="6">
        <f>[1]Hybrid!F35</f>
        <v>34.887207529999998</v>
      </c>
      <c r="H347" s="6">
        <f>[1]Hybrid!G35</f>
        <v>42.108072280000002</v>
      </c>
      <c r="I347" s="6">
        <f>[1]Hybrid!H35</f>
        <v>49.719354379999999</v>
      </c>
      <c r="J347" s="6">
        <f>[1]Hybrid!I35</f>
        <v>57.741480799999998</v>
      </c>
      <c r="K347" s="6">
        <f>[1]Hybrid!J35</f>
        <v>66.280209249999999</v>
      </c>
      <c r="L347" s="6">
        <f>[1]Hybrid!K35</f>
        <v>75.476370009999997</v>
      </c>
      <c r="M347" s="6">
        <f>[1]Hybrid!L35</f>
        <v>85.502375420000007</v>
      </c>
      <c r="N347" s="6">
        <f>[1]Hybrid!M35</f>
        <v>96.455117670000007</v>
      </c>
      <c r="O347" s="6">
        <f>[1]Hybrid!N35</f>
        <v>108.44648359999999</v>
      </c>
      <c r="P347" s="6">
        <f>[1]Hybrid!O35</f>
        <v>121.5787079</v>
      </c>
      <c r="Q347" s="6">
        <f>[1]Hybrid!P35</f>
        <v>135.95073859999999</v>
      </c>
      <c r="R347" s="6">
        <f>[1]Hybrid!Q35</f>
        <v>151.66873860000001</v>
      </c>
      <c r="S347" s="6">
        <f>[1]Hybrid!R35</f>
        <v>168.92642660000001</v>
      </c>
      <c r="T347" s="6">
        <f>[1]Hybrid!S35</f>
        <v>187.77481520000001</v>
      </c>
      <c r="U347" s="6">
        <f>[1]Hybrid!T35</f>
        <v>208.20599910000001</v>
      </c>
      <c r="V347" s="6">
        <f>[1]Hybrid!U35</f>
        <v>230.21645090000001</v>
      </c>
      <c r="W347" s="6">
        <f>[1]Hybrid!V35</f>
        <v>253.79645780000001</v>
      </c>
      <c r="X347" s="6">
        <f>[1]Hybrid!W35</f>
        <v>279.06786349999999</v>
      </c>
      <c r="Y347" s="6">
        <f>[1]Hybrid!X35</f>
        <v>306.15534600000001</v>
      </c>
      <c r="Z347" s="6">
        <f>[1]Hybrid!Y35</f>
        <v>335.22863460000002</v>
      </c>
      <c r="AA347" s="6">
        <f>[1]Hybrid!Z35</f>
        <v>366.49007779999999</v>
      </c>
      <c r="AB347" s="6">
        <f>[1]Hybrid!AA35</f>
        <v>400.01960559999998</v>
      </c>
      <c r="AC347" s="6">
        <f>[1]Hybrid!AB35</f>
        <v>436.18902859999997</v>
      </c>
      <c r="AD347" s="6">
        <f>[1]Hybrid!AC35</f>
        <v>475.3189926</v>
      </c>
      <c r="AE347" s="6">
        <f>[1]Hybrid!AD35</f>
        <v>517.77677180000001</v>
      </c>
      <c r="AF347" s="6">
        <f>[1]Hybrid!AE35</f>
        <v>563.96425050000005</v>
      </c>
      <c r="AG347" s="6">
        <f>[1]Hybrid!AF35</f>
        <v>614.28818660000002</v>
      </c>
      <c r="AH347" s="6">
        <f>[1]Hybrid!AG35</f>
        <v>669.14557590000004</v>
      </c>
      <c r="AI347" s="6">
        <f>[1]Hybrid!AH35</f>
        <v>728.91913650000004</v>
      </c>
      <c r="AJ347" s="6">
        <f>[1]Hybrid!AI35</f>
        <v>793.97444240000004</v>
      </c>
      <c r="AK347" s="6">
        <f>[1]Hybrid!AJ35</f>
        <v>864.65758170000004</v>
      </c>
      <c r="AL347" s="6">
        <f>[1]Hybrid!AK35</f>
        <v>941.29191969999999</v>
      </c>
    </row>
    <row r="348" spans="1:3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12.809561970000001</v>
      </c>
      <c r="E348" s="6">
        <f>[1]Hybrid!D37</f>
        <v>16.626379459999999</v>
      </c>
      <c r="F348" s="6">
        <f>[1]Hybrid!E37</f>
        <v>20.824251830000001</v>
      </c>
      <c r="G348" s="6">
        <f>[1]Hybrid!F37</f>
        <v>25.442596999999999</v>
      </c>
      <c r="H348" s="6">
        <f>[1]Hybrid!G37</f>
        <v>30.41076077</v>
      </c>
      <c r="I348" s="6">
        <f>[1]Hybrid!H37</f>
        <v>35.653234820000002</v>
      </c>
      <c r="J348" s="6">
        <f>[1]Hybrid!I37</f>
        <v>41.183521079999998</v>
      </c>
      <c r="K348" s="6">
        <f>[1]Hybrid!J37</f>
        <v>47.07499902</v>
      </c>
      <c r="L348" s="6">
        <f>[1]Hybrid!K37</f>
        <v>53.42545904</v>
      </c>
      <c r="M348" s="6">
        <f>[1]Hybrid!L37</f>
        <v>60.354318560000003</v>
      </c>
      <c r="N348" s="6">
        <f>[1]Hybrid!M37</f>
        <v>67.928420849999995</v>
      </c>
      <c r="O348" s="6">
        <f>[1]Hybrid!N37</f>
        <v>76.225291139999996</v>
      </c>
      <c r="P348" s="6">
        <f>[1]Hybrid!O37</f>
        <v>85.316169439999996</v>
      </c>
      <c r="Q348" s="6">
        <f>[1]Hybrid!P37</f>
        <v>95.270282350000002</v>
      </c>
      <c r="R348" s="6">
        <f>[1]Hybrid!Q37</f>
        <v>106.1618826</v>
      </c>
      <c r="S348" s="6">
        <f>[1]Hybrid!R37</f>
        <v>118.1269642</v>
      </c>
      <c r="T348" s="6">
        <f>[1]Hybrid!S37</f>
        <v>131.2040614</v>
      </c>
      <c r="U348" s="6">
        <f>[1]Hybrid!T37</f>
        <v>145.3904077</v>
      </c>
      <c r="V348" s="6">
        <f>[1]Hybrid!U37</f>
        <v>160.6848009</v>
      </c>
      <c r="W348" s="6">
        <f>[1]Hybrid!V37</f>
        <v>177.07976249999999</v>
      </c>
      <c r="X348" s="6">
        <f>[1]Hybrid!W37</f>
        <v>194.65736620000001</v>
      </c>
      <c r="Y348" s="6">
        <f>[1]Hybrid!X37</f>
        <v>213.49964460000001</v>
      </c>
      <c r="Z348" s="6">
        <f>[1]Hybrid!Y37</f>
        <v>233.7177342</v>
      </c>
      <c r="AA348" s="6">
        <f>[1]Hybrid!Z37</f>
        <v>255.44261700000001</v>
      </c>
      <c r="AB348" s="6">
        <f>[1]Hybrid!AA37</f>
        <v>278.71677390000002</v>
      </c>
      <c r="AC348" s="6">
        <f>[1]Hybrid!AB37</f>
        <v>303.78175110000001</v>
      </c>
      <c r="AD348" s="6">
        <f>[1]Hybrid!AC37</f>
        <v>330.83909649999998</v>
      </c>
      <c r="AE348" s="6">
        <f>[1]Hybrid!AD37</f>
        <v>360.11772459999997</v>
      </c>
      <c r="AF348" s="6">
        <f>[1]Hybrid!AE37</f>
        <v>391.8655334</v>
      </c>
      <c r="AG348" s="6">
        <f>[1]Hybrid!AF37</f>
        <v>426.32864219999999</v>
      </c>
      <c r="AH348" s="6">
        <f>[1]Hybrid!AG37</f>
        <v>463.74112589999999</v>
      </c>
      <c r="AI348" s="6">
        <f>[1]Hybrid!AH37</f>
        <v>504.32184690000003</v>
      </c>
      <c r="AJ348" s="6">
        <f>[1]Hybrid!AI37</f>
        <v>548.27253870000004</v>
      </c>
      <c r="AK348" s="6">
        <f>[1]Hybrid!AJ37</f>
        <v>595.77643330000001</v>
      </c>
      <c r="AL348" s="6">
        <f>[1]Hybrid!AK37</f>
        <v>646.99649529999999</v>
      </c>
    </row>
    <row r="349" spans="1:3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7.5897061490000004</v>
      </c>
      <c r="E349" s="6">
        <f>[1]Hybrid!D39</f>
        <v>9.5751188579999997</v>
      </c>
      <c r="F349" s="6">
        <f>[1]Hybrid!E39</f>
        <v>11.68180757</v>
      </c>
      <c r="G349" s="6">
        <f>[1]Hybrid!F39</f>
        <v>13.907260300000001</v>
      </c>
      <c r="H349" s="6">
        <f>[1]Hybrid!G39</f>
        <v>16.215637539999999</v>
      </c>
      <c r="I349" s="6">
        <f>[1]Hybrid!H39</f>
        <v>18.564836639999999</v>
      </c>
      <c r="J349" s="6">
        <f>[1]Hybrid!I39</f>
        <v>20.945256409999999</v>
      </c>
      <c r="K349" s="6">
        <f>[1]Hybrid!J39</f>
        <v>23.36844181</v>
      </c>
      <c r="L349" s="6">
        <f>[1]Hybrid!K39</f>
        <v>25.853633049999999</v>
      </c>
      <c r="M349" s="6">
        <f>[1]Hybrid!L39</f>
        <v>28.426879240000002</v>
      </c>
      <c r="N349" s="6">
        <f>[1]Hybrid!M39</f>
        <v>31.093225839999999</v>
      </c>
      <c r="O349" s="6">
        <f>[1]Hybrid!N39</f>
        <v>33.864283290000003</v>
      </c>
      <c r="P349" s="6">
        <f>[1]Hybrid!O39</f>
        <v>36.751417670000002</v>
      </c>
      <c r="Q349" s="6">
        <f>[1]Hybrid!P39</f>
        <v>39.76664581</v>
      </c>
      <c r="R349" s="6">
        <f>[1]Hybrid!Q39</f>
        <v>42.924089760000001</v>
      </c>
      <c r="S349" s="6">
        <f>[1]Hybrid!R39</f>
        <v>46.261376370000001</v>
      </c>
      <c r="T349" s="6">
        <f>[1]Hybrid!S39</f>
        <v>49.790905109999997</v>
      </c>
      <c r="U349" s="6">
        <f>[1]Hybrid!T39</f>
        <v>53.513063330000001</v>
      </c>
      <c r="V349" s="6">
        <f>[1]Hybrid!U39</f>
        <v>57.426956349999998</v>
      </c>
      <c r="W349" s="6">
        <f>[1]Hybrid!V39</f>
        <v>61.527430950000003</v>
      </c>
      <c r="X349" s="6">
        <f>[1]Hybrid!W39</f>
        <v>65.831775730000004</v>
      </c>
      <c r="Y349" s="6">
        <f>[1]Hybrid!X39</f>
        <v>70.354003899999995</v>
      </c>
      <c r="Z349" s="6">
        <f>[1]Hybrid!Y39</f>
        <v>75.11288571</v>
      </c>
      <c r="AA349" s="6">
        <f>[1]Hybrid!Z39</f>
        <v>80.128905329999995</v>
      </c>
      <c r="AB349" s="6">
        <f>[1]Hybrid!AA39</f>
        <v>85.396520839999994</v>
      </c>
      <c r="AC349" s="6">
        <f>[1]Hybrid!AB39</f>
        <v>90.957489379999998</v>
      </c>
      <c r="AD349" s="6">
        <f>[1]Hybrid!AC39</f>
        <v>96.839163510000006</v>
      </c>
      <c r="AE349" s="6">
        <f>[1]Hybrid!AD39</f>
        <v>103.0716067</v>
      </c>
      <c r="AF349" s="6">
        <f>[1]Hybrid!AE39</f>
        <v>109.6860504</v>
      </c>
      <c r="AG349" s="6">
        <f>[1]Hybrid!AF39</f>
        <v>116.7103985</v>
      </c>
      <c r="AH349" s="6">
        <f>[1]Hybrid!AG39</f>
        <v>124.16740489999999</v>
      </c>
      <c r="AI349" s="6">
        <f>[1]Hybrid!AH39</f>
        <v>132.074592</v>
      </c>
      <c r="AJ349" s="6">
        <f>[1]Hybrid!AI39</f>
        <v>140.44448349999999</v>
      </c>
      <c r="AK349" s="6">
        <f>[1]Hybrid!AJ39</f>
        <v>149.28502829999999</v>
      </c>
      <c r="AL349" s="6">
        <f>[1]Hybrid!AK39</f>
        <v>158.60001779999999</v>
      </c>
    </row>
    <row r="350" spans="1:3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4.5933005749999998</v>
      </c>
      <c r="E350" s="6">
        <f>[1]Hybrid!D41</f>
        <v>5.8100829870000004</v>
      </c>
      <c r="F350" s="6">
        <f>[1]Hybrid!E41</f>
        <v>7.0945435110000004</v>
      </c>
      <c r="G350" s="6">
        <f>[1]Hybrid!F41</f>
        <v>8.4435847289999995</v>
      </c>
      <c r="H350" s="6">
        <f>[1]Hybrid!G41</f>
        <v>9.8336161410000003</v>
      </c>
      <c r="I350" s="6">
        <f>[1]Hybrid!H41</f>
        <v>11.237641930000001</v>
      </c>
      <c r="J350" s="6">
        <f>[1]Hybrid!I41</f>
        <v>12.64875861</v>
      </c>
      <c r="K350" s="6">
        <f>[1]Hybrid!J41</f>
        <v>14.07304465</v>
      </c>
      <c r="L350" s="6">
        <f>[1]Hybrid!K41</f>
        <v>15.52117144</v>
      </c>
      <c r="M350" s="6">
        <f>[1]Hybrid!L41</f>
        <v>17.007659919999998</v>
      </c>
      <c r="N350" s="6">
        <f>[1]Hybrid!M41</f>
        <v>18.534952950000001</v>
      </c>
      <c r="O350" s="6">
        <f>[1]Hybrid!N41</f>
        <v>20.109857340000001</v>
      </c>
      <c r="P350" s="6">
        <f>[1]Hybrid!O41</f>
        <v>21.739508239999999</v>
      </c>
      <c r="Q350" s="6">
        <f>[1]Hybrid!P41</f>
        <v>23.4316171</v>
      </c>
      <c r="R350" s="6">
        <f>[1]Hybrid!Q41</f>
        <v>25.19503216</v>
      </c>
      <c r="S350" s="6">
        <f>[1]Hybrid!R41</f>
        <v>27.052087870000001</v>
      </c>
      <c r="T350" s="6">
        <f>[1]Hybrid!S41</f>
        <v>29.01109323</v>
      </c>
      <c r="U350" s="6">
        <f>[1]Hybrid!T41</f>
        <v>31.073194730000001</v>
      </c>
      <c r="V350" s="6">
        <f>[1]Hybrid!U41</f>
        <v>33.238096689999999</v>
      </c>
      <c r="W350" s="6">
        <f>[1]Hybrid!V41</f>
        <v>35.502236400000001</v>
      </c>
      <c r="X350" s="6">
        <f>[1]Hybrid!W41</f>
        <v>37.873784069999999</v>
      </c>
      <c r="Y350" s="6">
        <f>[1]Hybrid!X41</f>
        <v>40.35815324</v>
      </c>
      <c r="Z350" s="6">
        <f>[1]Hybrid!Y41</f>
        <v>42.962403629999997</v>
      </c>
      <c r="AA350" s="6">
        <f>[1]Hybrid!Z41</f>
        <v>45.693275509999999</v>
      </c>
      <c r="AB350" s="6">
        <f>[1]Hybrid!AA41</f>
        <v>48.541711749999997</v>
      </c>
      <c r="AC350" s="6">
        <f>[1]Hybrid!AB41</f>
        <v>51.52337868</v>
      </c>
      <c r="AD350" s="6">
        <f>[1]Hybrid!AC41</f>
        <v>54.64448659</v>
      </c>
      <c r="AE350" s="6">
        <f>[1]Hybrid!AD41</f>
        <v>57.911254319999998</v>
      </c>
      <c r="AF350" s="6">
        <f>[1]Hybrid!AE41</f>
        <v>61.329381120000001</v>
      </c>
      <c r="AG350" s="6">
        <f>[1]Hybrid!AF41</f>
        <v>64.901827389999994</v>
      </c>
      <c r="AH350" s="6">
        <f>[1]Hybrid!AG41</f>
        <v>68.628058730000006</v>
      </c>
      <c r="AI350" s="6">
        <f>[1]Hybrid!AH41</f>
        <v>72.504248430000004</v>
      </c>
      <c r="AJ350" s="6">
        <f>[1]Hybrid!AI41</f>
        <v>76.523659409999993</v>
      </c>
      <c r="AK350" s="6">
        <f>[1]Hybrid!AJ41</f>
        <v>80.677149999999997</v>
      </c>
      <c r="AL350" s="6">
        <f>[1]Hybrid!AK41</f>
        <v>84.953695300000007</v>
      </c>
    </row>
    <row r="351" spans="1:3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2.2525967260000002</v>
      </c>
      <c r="E351" s="6">
        <f>[1]Hybrid!D43</f>
        <v>2.8080324289999998</v>
      </c>
      <c r="F351" s="6">
        <f>[1]Hybrid!E43</f>
        <v>3.3713034230000001</v>
      </c>
      <c r="G351" s="6">
        <f>[1]Hybrid!F43</f>
        <v>3.936064762</v>
      </c>
      <c r="H351" s="6">
        <f>[1]Hybrid!G43</f>
        <v>4.4908866879999998</v>
      </c>
      <c r="I351" s="6">
        <f>[1]Hybrid!H43</f>
        <v>5.0232424199999999</v>
      </c>
      <c r="J351" s="6">
        <f>[1]Hybrid!I43</f>
        <v>5.5283384519999998</v>
      </c>
      <c r="K351" s="6">
        <f>[1]Hybrid!J43</f>
        <v>6.0063364830000001</v>
      </c>
      <c r="L351" s="6">
        <f>[1]Hybrid!K43</f>
        <v>6.4591925520000002</v>
      </c>
      <c r="M351" s="6">
        <f>[1]Hybrid!L43</f>
        <v>6.8902353429999996</v>
      </c>
      <c r="N351" s="6">
        <f>[1]Hybrid!M43</f>
        <v>7.2994084030000002</v>
      </c>
      <c r="O351" s="6">
        <f>[1]Hybrid!N43</f>
        <v>7.6890427929999996</v>
      </c>
      <c r="P351" s="6">
        <f>[1]Hybrid!O43</f>
        <v>8.0622030099999993</v>
      </c>
      <c r="Q351" s="6">
        <f>[1]Hybrid!P43</f>
        <v>8.4222954419999994</v>
      </c>
      <c r="R351" s="6">
        <f>[1]Hybrid!Q43</f>
        <v>8.7728415420000001</v>
      </c>
      <c r="S351" s="6">
        <f>[1]Hybrid!R43</f>
        <v>9.1208876490000002</v>
      </c>
      <c r="T351" s="6">
        <f>[1]Hybrid!S43</f>
        <v>9.4702418430000002</v>
      </c>
      <c r="U351" s="6">
        <f>[1]Hybrid!T43</f>
        <v>9.8225692200000001</v>
      </c>
      <c r="V351" s="6">
        <f>[1]Hybrid!U43</f>
        <v>10.17849305</v>
      </c>
      <c r="W351" s="6">
        <f>[1]Hybrid!V43</f>
        <v>10.53716603</v>
      </c>
      <c r="X351" s="6">
        <f>[1]Hybrid!W43</f>
        <v>10.899549950000001</v>
      </c>
      <c r="Y351" s="6">
        <f>[1]Hybrid!X43</f>
        <v>11.26531464</v>
      </c>
      <c r="Z351" s="6">
        <f>[1]Hybrid!Y43</f>
        <v>11.633810349999999</v>
      </c>
      <c r="AA351" s="6">
        <f>[1]Hybrid!Z43</f>
        <v>12.00361487</v>
      </c>
      <c r="AB351" s="6">
        <f>[1]Hybrid!AA43</f>
        <v>12.36978263</v>
      </c>
      <c r="AC351" s="6">
        <f>[1]Hybrid!AB43</f>
        <v>12.73145605</v>
      </c>
      <c r="AD351" s="6">
        <f>[1]Hybrid!AC43</f>
        <v>13.08566519</v>
      </c>
      <c r="AE351" s="6">
        <f>[1]Hybrid!AD43</f>
        <v>13.42925305</v>
      </c>
      <c r="AF351" s="6">
        <f>[1]Hybrid!AE43</f>
        <v>13.75910335</v>
      </c>
      <c r="AG351" s="6">
        <f>[1]Hybrid!AF43</f>
        <v>14.07200117</v>
      </c>
      <c r="AH351" s="6">
        <f>[1]Hybrid!AG43</f>
        <v>14.364702250000001</v>
      </c>
      <c r="AI351" s="6">
        <f>[1]Hybrid!AH43</f>
        <v>14.63411247</v>
      </c>
      <c r="AJ351" s="6">
        <f>[1]Hybrid!AI43</f>
        <v>14.87744719</v>
      </c>
      <c r="AK351" s="6">
        <f>[1]Hybrid!AJ43</f>
        <v>15.0923687</v>
      </c>
      <c r="AL351" s="6">
        <f>[1]Hybrid!AK43</f>
        <v>15.277087</v>
      </c>
    </row>
    <row r="352" spans="1:3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4.0900373480000001</v>
      </c>
      <c r="E352" s="6">
        <f>[1]Hybrid!D45</f>
        <v>5.1054673150000003</v>
      </c>
      <c r="F352" s="6">
        <f>[1]Hybrid!E45</f>
        <v>6.1106810769999997</v>
      </c>
      <c r="G352" s="6">
        <f>[1]Hybrid!F45</f>
        <v>7.090779092</v>
      </c>
      <c r="H352" s="6">
        <f>[1]Hybrid!G45</f>
        <v>8.0242560469999997</v>
      </c>
      <c r="I352" s="6">
        <f>[1]Hybrid!H45</f>
        <v>8.8892754879999991</v>
      </c>
      <c r="J352" s="6">
        <f>[1]Hybrid!I45</f>
        <v>9.6783102329999995</v>
      </c>
      <c r="K352" s="6">
        <f>[1]Hybrid!J45</f>
        <v>10.39287528</v>
      </c>
      <c r="L352" s="6">
        <f>[1]Hybrid!K45</f>
        <v>11.03779213</v>
      </c>
      <c r="M352" s="6">
        <f>[1]Hybrid!L45</f>
        <v>11.62012314</v>
      </c>
      <c r="N352" s="6">
        <f>[1]Hybrid!M45</f>
        <v>12.142438970000001</v>
      </c>
      <c r="O352" s="6">
        <f>[1]Hybrid!N45</f>
        <v>12.61154514</v>
      </c>
      <c r="P352" s="6">
        <f>[1]Hybrid!O45</f>
        <v>13.035538819999999</v>
      </c>
      <c r="Q352" s="6">
        <f>[1]Hybrid!P45</f>
        <v>13.422724909999999</v>
      </c>
      <c r="R352" s="6">
        <f>[1]Hybrid!Q45</f>
        <v>13.78096573</v>
      </c>
      <c r="S352" s="6">
        <f>[1]Hybrid!R45</f>
        <v>14.122219940000001</v>
      </c>
      <c r="T352" s="6">
        <f>[1]Hybrid!S45</f>
        <v>14.453882159999999</v>
      </c>
      <c r="U352" s="6">
        <f>[1]Hybrid!T45</f>
        <v>14.77992938</v>
      </c>
      <c r="V352" s="6">
        <f>[1]Hybrid!U45</f>
        <v>15.1022406</v>
      </c>
      <c r="W352" s="6">
        <f>[1]Hybrid!V45</f>
        <v>15.42012912</v>
      </c>
      <c r="X352" s="6">
        <f>[1]Hybrid!W45</f>
        <v>15.73443838</v>
      </c>
      <c r="Y352" s="6">
        <f>[1]Hybrid!X45</f>
        <v>16.04388982</v>
      </c>
      <c r="Z352" s="6">
        <f>[1]Hybrid!Y45</f>
        <v>16.346334479999999</v>
      </c>
      <c r="AA352" s="6">
        <f>[1]Hybrid!Z45</f>
        <v>16.638235909999999</v>
      </c>
      <c r="AB352" s="6">
        <f>[1]Hybrid!AA45</f>
        <v>16.91175926</v>
      </c>
      <c r="AC352" s="6">
        <f>[1]Hybrid!AB45</f>
        <v>17.163545379999999</v>
      </c>
      <c r="AD352" s="6">
        <f>[1]Hybrid!AC45</f>
        <v>17.387991899999999</v>
      </c>
      <c r="AE352" s="6">
        <f>[1]Hybrid!AD45</f>
        <v>17.57965896</v>
      </c>
      <c r="AF352" s="6">
        <f>[1]Hybrid!AE45</f>
        <v>17.733836119999999</v>
      </c>
      <c r="AG352" s="6">
        <f>[1]Hybrid!AF45</f>
        <v>17.846561820000002</v>
      </c>
      <c r="AH352" s="6">
        <f>[1]Hybrid!AG45</f>
        <v>17.91476729</v>
      </c>
      <c r="AI352" s="6">
        <f>[1]Hybrid!AH45</f>
        <v>17.93644909</v>
      </c>
      <c r="AJ352" s="6">
        <f>[1]Hybrid!AI45</f>
        <v>17.910749150000001</v>
      </c>
      <c r="AK352" s="6">
        <f>[1]Hybrid!AJ45</f>
        <v>17.837960519999999</v>
      </c>
      <c r="AL352" s="6">
        <f>[1]Hybrid!AK45</f>
        <v>17.719460470000001</v>
      </c>
    </row>
    <row r="353" spans="1:3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0.44916480600000003</v>
      </c>
      <c r="E353" s="6">
        <f>[1]Hybrid!D47</f>
        <v>0.47659156339999997</v>
      </c>
      <c r="F353" s="6">
        <f>[1]Hybrid!E47</f>
        <v>0.50644029729999995</v>
      </c>
      <c r="G353" s="6">
        <f>[1]Hybrid!F47</f>
        <v>0.53833349180000001</v>
      </c>
      <c r="H353" s="6">
        <f>[1]Hybrid!G47</f>
        <v>0.57151338360000004</v>
      </c>
      <c r="I353" s="6">
        <f>[1]Hybrid!H47</f>
        <v>0.60500392039999995</v>
      </c>
      <c r="J353" s="6">
        <f>[1]Hybrid!I47</f>
        <v>0.63837891550000003</v>
      </c>
      <c r="K353" s="6">
        <f>[1]Hybrid!J47</f>
        <v>0.67153591769999998</v>
      </c>
      <c r="L353" s="6">
        <f>[1]Hybrid!K47</f>
        <v>0.70445820999999997</v>
      </c>
      <c r="M353" s="6">
        <f>[1]Hybrid!L47</f>
        <v>0.73722150799999997</v>
      </c>
      <c r="N353" s="6">
        <f>[1]Hybrid!M47</f>
        <v>0.76941443939999998</v>
      </c>
      <c r="O353" s="6">
        <f>[1]Hybrid!N47</f>
        <v>0.80076932430000003</v>
      </c>
      <c r="P353" s="6">
        <f>[1]Hybrid!O47</f>
        <v>0.83102849440000004</v>
      </c>
      <c r="Q353" s="6">
        <f>[1]Hybrid!P47</f>
        <v>0.85997917199999996</v>
      </c>
      <c r="R353" s="6">
        <f>[1]Hybrid!Q47</f>
        <v>0.88748381279999999</v>
      </c>
      <c r="S353" s="6">
        <f>[1]Hybrid!R47</f>
        <v>0.91391744159999999</v>
      </c>
      <c r="T353" s="6">
        <f>[1]Hybrid!S47</f>
        <v>0.93937681380000004</v>
      </c>
      <c r="U353" s="6">
        <f>[1]Hybrid!T47</f>
        <v>0.96383912969999996</v>
      </c>
      <c r="V353" s="6">
        <f>[1]Hybrid!U47</f>
        <v>0.98728797810000002</v>
      </c>
      <c r="W353" s="6">
        <f>[1]Hybrid!V47</f>
        <v>1.0096548219999999</v>
      </c>
      <c r="X353" s="6">
        <f>[1]Hybrid!W47</f>
        <v>1.0311582349999999</v>
      </c>
      <c r="Y353" s="6">
        <f>[1]Hybrid!X47</f>
        <v>1.0519373400000001</v>
      </c>
      <c r="Z353" s="6">
        <f>[1]Hybrid!Y47</f>
        <v>1.0721618390000001</v>
      </c>
      <c r="AA353" s="6">
        <f>[1]Hybrid!Z47</f>
        <v>1.091999546</v>
      </c>
      <c r="AB353" s="6">
        <f>[1]Hybrid!AA47</f>
        <v>1.1113333910000001</v>
      </c>
      <c r="AC353" s="6">
        <f>[1]Hybrid!AB47</f>
        <v>1.130543804</v>
      </c>
      <c r="AD353" s="6">
        <f>[1]Hybrid!AC47</f>
        <v>1.1498264300000001</v>
      </c>
      <c r="AE353" s="6">
        <f>[1]Hybrid!AD47</f>
        <v>1.1693786289999999</v>
      </c>
      <c r="AF353" s="6">
        <f>[1]Hybrid!AE47</f>
        <v>1.1893753090000001</v>
      </c>
      <c r="AG353" s="6">
        <f>[1]Hybrid!AF47</f>
        <v>1.209929228</v>
      </c>
      <c r="AH353" s="6">
        <f>[1]Hybrid!AG47</f>
        <v>1.2310830530000001</v>
      </c>
      <c r="AI353" s="6">
        <f>[1]Hybrid!AH47</f>
        <v>1.2528174569999999</v>
      </c>
      <c r="AJ353" s="6">
        <f>[1]Hybrid!AI47</f>
        <v>1.2750607009999999</v>
      </c>
      <c r="AK353" s="6">
        <f>[1]Hybrid!AJ47</f>
        <v>1.297697828</v>
      </c>
      <c r="AL353" s="6">
        <f>[1]Hybrid!AK47</f>
        <v>1.320578051</v>
      </c>
    </row>
    <row r="354" spans="1:3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0.51209606730000001</v>
      </c>
      <c r="E354" s="6">
        <f>[1]Hybrid!D49</f>
        <v>0.53321859240000002</v>
      </c>
      <c r="F354" s="6">
        <f>[1]Hybrid!E49</f>
        <v>0.55686367550000004</v>
      </c>
      <c r="G354" s="6">
        <f>[1]Hybrid!F49</f>
        <v>0.58263151520000001</v>
      </c>
      <c r="H354" s="6">
        <f>[1]Hybrid!G49</f>
        <v>0.60978264010000005</v>
      </c>
      <c r="I354" s="6">
        <f>[1]Hybrid!H49</f>
        <v>0.63736279380000005</v>
      </c>
      <c r="J354" s="6">
        <f>[1]Hybrid!I49</f>
        <v>0.66493267290000002</v>
      </c>
      <c r="K354" s="6">
        <f>[1]Hybrid!J49</f>
        <v>0.69236211839999995</v>
      </c>
      <c r="L354" s="6">
        <f>[1]Hybrid!K49</f>
        <v>0.71960859990000003</v>
      </c>
      <c r="M354" s="6">
        <f>[1]Hybrid!L49</f>
        <v>0.74672257460000002</v>
      </c>
      <c r="N354" s="6">
        <f>[1]Hybrid!M49</f>
        <v>0.77330658949999997</v>
      </c>
      <c r="O354" s="6">
        <f>[1]Hybrid!N49</f>
        <v>0.7991099814</v>
      </c>
      <c r="P354" s="6">
        <f>[1]Hybrid!O49</f>
        <v>0.82390044230000004</v>
      </c>
      <c r="Q354" s="6">
        <f>[1]Hybrid!P49</f>
        <v>0.84749202950000002</v>
      </c>
      <c r="R354" s="6">
        <f>[1]Hybrid!Q49</f>
        <v>0.86976936270000005</v>
      </c>
      <c r="S354" s="6">
        <f>[1]Hybrid!R49</f>
        <v>0.89109704860000005</v>
      </c>
      <c r="T354" s="6">
        <f>[1]Hybrid!S49</f>
        <v>0.91158844370000003</v>
      </c>
      <c r="U354" s="6">
        <f>[1]Hybrid!T49</f>
        <v>0.93123943639999995</v>
      </c>
      <c r="V354" s="6">
        <f>[1]Hybrid!U49</f>
        <v>0.95004151039999996</v>
      </c>
      <c r="W354" s="6">
        <f>[1]Hybrid!V49</f>
        <v>0.96792892480000003</v>
      </c>
      <c r="X354" s="6">
        <f>[1]Hybrid!W49</f>
        <v>0.9850929007</v>
      </c>
      <c r="Y354" s="6">
        <f>[1]Hybrid!X49</f>
        <v>1.001646432</v>
      </c>
      <c r="Z354" s="6">
        <f>[1]Hybrid!Y49</f>
        <v>1.0177265559999999</v>
      </c>
      <c r="AA354" s="6">
        <f>[1]Hybrid!Z49</f>
        <v>1.0334646059999999</v>
      </c>
      <c r="AB354" s="6">
        <f>[1]Hybrid!AA49</f>
        <v>1.0487285019999999</v>
      </c>
      <c r="AC354" s="6">
        <f>[1]Hybrid!AB49</f>
        <v>1.0638374180000001</v>
      </c>
      <c r="AD354" s="6">
        <f>[1]Hybrid!AC49</f>
        <v>1.0789393329999999</v>
      </c>
      <c r="AE354" s="6">
        <f>[1]Hybrid!AD49</f>
        <v>1.0941817540000001</v>
      </c>
      <c r="AF354" s="6">
        <f>[1]Hybrid!AE49</f>
        <v>1.109691376</v>
      </c>
      <c r="AG354" s="6">
        <f>[1]Hybrid!AF49</f>
        <v>1.125539262</v>
      </c>
      <c r="AH354" s="6">
        <f>[1]Hybrid!AG49</f>
        <v>1.1417346989999999</v>
      </c>
      <c r="AI354" s="6">
        <f>[1]Hybrid!AH49</f>
        <v>1.158233464</v>
      </c>
      <c r="AJ354" s="6">
        <f>[1]Hybrid!AI49</f>
        <v>1.1749473269999999</v>
      </c>
      <c r="AK354" s="6">
        <f>[1]Hybrid!AJ49</f>
        <v>1.191753192</v>
      </c>
      <c r="AL354" s="6">
        <f>[1]Hybrid!AK49</f>
        <v>1.2085005769999999</v>
      </c>
    </row>
    <row r="355" spans="1:3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0.41439080290000002</v>
      </c>
      <c r="E355" s="6">
        <f>[1]Hybrid!D51</f>
        <v>0.4251608133</v>
      </c>
      <c r="F355" s="6">
        <f>[1]Hybrid!E51</f>
        <v>0.43783013659999998</v>
      </c>
      <c r="G355" s="6">
        <f>[1]Hybrid!F51</f>
        <v>0.45209591910000002</v>
      </c>
      <c r="H355" s="6">
        <f>[1]Hybrid!G51</f>
        <v>0.46743756479999998</v>
      </c>
      <c r="I355" s="6">
        <f>[1]Hybrid!H51</f>
        <v>0.4831823945</v>
      </c>
      <c r="J355" s="6">
        <f>[1]Hybrid!I51</f>
        <v>0.4990055934</v>
      </c>
      <c r="K355" s="6">
        <f>[1]Hybrid!J51</f>
        <v>0.51479541090000003</v>
      </c>
      <c r="L355" s="6">
        <f>[1]Hybrid!K51</f>
        <v>0.53050450380000003</v>
      </c>
      <c r="M355" s="6">
        <f>[1]Hybrid!L51</f>
        <v>0.54615288019999997</v>
      </c>
      <c r="N355" s="6">
        <f>[1]Hybrid!M51</f>
        <v>0.56146371179999999</v>
      </c>
      <c r="O355" s="6">
        <f>[1]Hybrid!N51</f>
        <v>0.57626750979999997</v>
      </c>
      <c r="P355" s="6">
        <f>[1]Hybrid!O51</f>
        <v>0.59041309409999998</v>
      </c>
      <c r="Q355" s="6">
        <f>[1]Hybrid!P51</f>
        <v>0.60378335780000003</v>
      </c>
      <c r="R355" s="6">
        <f>[1]Hybrid!Q51</f>
        <v>0.61630881100000001</v>
      </c>
      <c r="S355" s="6">
        <f>[1]Hybrid!R51</f>
        <v>0.6282439997</v>
      </c>
      <c r="T355" s="6">
        <f>[1]Hybrid!S51</f>
        <v>0.6396797716</v>
      </c>
      <c r="U355" s="6">
        <f>[1]Hybrid!T51</f>
        <v>0.65062393600000001</v>
      </c>
      <c r="V355" s="6">
        <f>[1]Hybrid!U51</f>
        <v>0.6610745053</v>
      </c>
      <c r="W355" s="6">
        <f>[1]Hybrid!V51</f>
        <v>0.67098537840000005</v>
      </c>
      <c r="X355" s="6">
        <f>[1]Hybrid!W51</f>
        <v>0.68047630800000003</v>
      </c>
      <c r="Y355" s="6">
        <f>[1]Hybrid!X51</f>
        <v>0.68961183650000002</v>
      </c>
      <c r="Z355" s="6">
        <f>[1]Hybrid!Y51</f>
        <v>0.69846990379999996</v>
      </c>
      <c r="AA355" s="6">
        <f>[1]Hybrid!Z51</f>
        <v>0.70712222650000001</v>
      </c>
      <c r="AB355" s="6">
        <f>[1]Hybrid!AA51</f>
        <v>0.71546501569999998</v>
      </c>
      <c r="AC355" s="6">
        <f>[1]Hybrid!AB51</f>
        <v>0.72369007679999997</v>
      </c>
      <c r="AD355" s="6">
        <f>[1]Hybrid!AC51</f>
        <v>0.73187511650000003</v>
      </c>
      <c r="AE355" s="6">
        <f>[1]Hybrid!AD51</f>
        <v>0.74009657559999997</v>
      </c>
      <c r="AF355" s="6">
        <f>[1]Hybrid!AE51</f>
        <v>0.74841737679999998</v>
      </c>
      <c r="AG355" s="6">
        <f>[1]Hybrid!AF51</f>
        <v>0.75686493430000001</v>
      </c>
      <c r="AH355" s="6">
        <f>[1]Hybrid!AG51</f>
        <v>0.76542781579999997</v>
      </c>
      <c r="AI355" s="6">
        <f>[1]Hybrid!AH51</f>
        <v>0.77406173349999996</v>
      </c>
      <c r="AJ355" s="6">
        <f>[1]Hybrid!AI51</f>
        <v>0.78269625659999997</v>
      </c>
      <c r="AK355" s="6">
        <f>[1]Hybrid!AJ51</f>
        <v>0.79124124470000001</v>
      </c>
      <c r="AL355" s="6">
        <f>[1]Hybrid!AK51</f>
        <v>0.79959217530000004</v>
      </c>
    </row>
    <row r="356" spans="1:3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0.25227008449999999</v>
      </c>
      <c r="E356" s="6">
        <f>[1]Hybrid!D53</f>
        <v>0.2566070124</v>
      </c>
      <c r="F356" s="6">
        <f>[1]Hybrid!E53</f>
        <v>0.26191624819999998</v>
      </c>
      <c r="G356" s="6">
        <f>[1]Hybrid!F53</f>
        <v>0.2679982467</v>
      </c>
      <c r="H356" s="6">
        <f>[1]Hybrid!G53</f>
        <v>0.27455402379999999</v>
      </c>
      <c r="I356" s="6">
        <f>[1]Hybrid!H53</f>
        <v>0.28120593459999998</v>
      </c>
      <c r="J356" s="6">
        <f>[1]Hybrid!I53</f>
        <v>0.28776390540000002</v>
      </c>
      <c r="K356" s="6">
        <f>[1]Hybrid!J53</f>
        <v>0.29415628030000002</v>
      </c>
      <c r="L356" s="6">
        <f>[1]Hybrid!K53</f>
        <v>0.3003515571</v>
      </c>
      <c r="M356" s="6">
        <f>[1]Hybrid!L53</f>
        <v>0.30635817990000003</v>
      </c>
      <c r="N356" s="6">
        <f>[1]Hybrid!M53</f>
        <v>0.3120442504</v>
      </c>
      <c r="O356" s="6">
        <f>[1]Hybrid!N53</f>
        <v>0.31734574199999999</v>
      </c>
      <c r="P356" s="6">
        <f>[1]Hybrid!O53</f>
        <v>0.32221702819999998</v>
      </c>
      <c r="Q356" s="6">
        <f>[1]Hybrid!P53</f>
        <v>0.32663258899999997</v>
      </c>
      <c r="R356" s="6">
        <f>[1]Hybrid!Q53</f>
        <v>0.33058881150000002</v>
      </c>
      <c r="S356" s="6">
        <f>[1]Hybrid!R53</f>
        <v>0.33423859560000002</v>
      </c>
      <c r="T356" s="6">
        <f>[1]Hybrid!S53</f>
        <v>0.33765458980000002</v>
      </c>
      <c r="U356" s="6">
        <f>[1]Hybrid!T53</f>
        <v>0.34086193250000002</v>
      </c>
      <c r="V356" s="6">
        <f>[1]Hybrid!U53</f>
        <v>0.34387211359999997</v>
      </c>
      <c r="W356" s="6">
        <f>[1]Hybrid!V53</f>
        <v>0.3466674696</v>
      </c>
      <c r="X356" s="6">
        <f>[1]Hybrid!W53</f>
        <v>0.34930260000000002</v>
      </c>
      <c r="Y356" s="6">
        <f>[1]Hybrid!X53</f>
        <v>0.35180075710000003</v>
      </c>
      <c r="Z356" s="6">
        <f>[1]Hybrid!Y53</f>
        <v>0.35418711629999999</v>
      </c>
      <c r="AA356" s="6">
        <f>[1]Hybrid!Z53</f>
        <v>0.35647926460000001</v>
      </c>
      <c r="AB356" s="6">
        <f>[1]Hybrid!AA53</f>
        <v>0.3586090482</v>
      </c>
      <c r="AC356" s="6">
        <f>[1]Hybrid!AB53</f>
        <v>0.36064311630000001</v>
      </c>
      <c r="AD356" s="6">
        <f>[1]Hybrid!AC53</f>
        <v>0.36259314180000002</v>
      </c>
      <c r="AE356" s="6">
        <f>[1]Hybrid!AD53</f>
        <v>0.36446940160000002</v>
      </c>
      <c r="AF356" s="6">
        <f>[1]Hybrid!AE53</f>
        <v>0.36627755200000001</v>
      </c>
      <c r="AG356" s="6">
        <f>[1]Hybrid!AF53</f>
        <v>0.36800995079999999</v>
      </c>
      <c r="AH356" s="6">
        <f>[1]Hybrid!AG53</f>
        <v>0.36964512999999999</v>
      </c>
      <c r="AI356" s="6">
        <f>[1]Hybrid!AH53</f>
        <v>0.37115126910000001</v>
      </c>
      <c r="AJ356" s="6">
        <f>[1]Hybrid!AI53</f>
        <v>0.37248976340000001</v>
      </c>
      <c r="AK356" s="6">
        <f>[1]Hybrid!AJ53</f>
        <v>0.37361853179999999</v>
      </c>
      <c r="AL356" s="6">
        <f>[1]Hybrid!AK53</f>
        <v>0.37449469819999998</v>
      </c>
    </row>
    <row r="357" spans="1:3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0.15203861069999999</v>
      </c>
      <c r="E357" s="6">
        <f>[1]Hybrid!D55</f>
        <v>0.1547776736</v>
      </c>
      <c r="F357" s="6">
        <f>[1]Hybrid!E55</f>
        <v>0.15800821919999999</v>
      </c>
      <c r="G357" s="6">
        <f>[1]Hybrid!F55</f>
        <v>0.16159507149999999</v>
      </c>
      <c r="H357" s="6">
        <f>[1]Hybrid!G55</f>
        <v>0.16535481760000001</v>
      </c>
      <c r="I357" s="6">
        <f>[1]Hybrid!H55</f>
        <v>0.16905834959999999</v>
      </c>
      <c r="J357" s="6">
        <f>[1]Hybrid!I55</f>
        <v>0.17258840510000001</v>
      </c>
      <c r="K357" s="6">
        <f>[1]Hybrid!J55</f>
        <v>0.17590028569999999</v>
      </c>
      <c r="L357" s="6">
        <f>[1]Hybrid!K55</f>
        <v>0.1789760926</v>
      </c>
      <c r="M357" s="6">
        <f>[1]Hybrid!L55</f>
        <v>0.18182356329999999</v>
      </c>
      <c r="N357" s="6">
        <f>[1]Hybrid!M55</f>
        <v>0.18437612810000001</v>
      </c>
      <c r="O357" s="6">
        <f>[1]Hybrid!N55</f>
        <v>0.18661206050000001</v>
      </c>
      <c r="P357" s="6">
        <f>[1]Hybrid!O55</f>
        <v>0.18852394389999999</v>
      </c>
      <c r="Q357" s="6">
        <f>[1]Hybrid!P55</f>
        <v>0.1901163635</v>
      </c>
      <c r="R357" s="6">
        <f>[1]Hybrid!Q55</f>
        <v>0.19140444300000001</v>
      </c>
      <c r="S357" s="6">
        <f>[1]Hybrid!R55</f>
        <v>0.1924871963</v>
      </c>
      <c r="T357" s="6">
        <f>[1]Hybrid!S55</f>
        <v>0.19341965180000001</v>
      </c>
      <c r="U357" s="6">
        <f>[1]Hybrid!T55</f>
        <v>0.1942272401</v>
      </c>
      <c r="V357" s="6">
        <f>[1]Hybrid!U55</f>
        <v>0.19492328449999999</v>
      </c>
      <c r="W357" s="6">
        <f>[1]Hybrid!V55</f>
        <v>0.19550136400000001</v>
      </c>
      <c r="X357" s="6">
        <f>[1]Hybrid!W55</f>
        <v>0.19598964129999999</v>
      </c>
      <c r="Y357" s="6">
        <f>[1]Hybrid!X55</f>
        <v>0.19639703959999999</v>
      </c>
      <c r="Z357" s="6">
        <f>[1]Hybrid!Y55</f>
        <v>0.1967312075</v>
      </c>
      <c r="AA357" s="6">
        <f>[1]Hybrid!Z55</f>
        <v>0.19699356709999999</v>
      </c>
      <c r="AB357" s="6">
        <f>[1]Hybrid!AA55</f>
        <v>0.19713983409999999</v>
      </c>
      <c r="AC357" s="6">
        <f>[1]Hybrid!AB55</f>
        <v>0.19719365229999999</v>
      </c>
      <c r="AD357" s="6">
        <f>[1]Hybrid!AC55</f>
        <v>0.19714991749999999</v>
      </c>
      <c r="AE357" s="6">
        <f>[1]Hybrid!AD55</f>
        <v>0.19700284800000001</v>
      </c>
      <c r="AF357" s="6">
        <f>[1]Hybrid!AE55</f>
        <v>0.19674553710000001</v>
      </c>
      <c r="AG357" s="6">
        <f>[1]Hybrid!AF55</f>
        <v>0.1963663085</v>
      </c>
      <c r="AH357" s="6">
        <f>[1]Hybrid!AG55</f>
        <v>0.19584895499999999</v>
      </c>
      <c r="AI357" s="6">
        <f>[1]Hybrid!AH55</f>
        <v>0.19517479330000001</v>
      </c>
      <c r="AJ357" s="6">
        <f>[1]Hybrid!AI55</f>
        <v>0.1943246018</v>
      </c>
      <c r="AK357" s="6">
        <f>[1]Hybrid!AJ55</f>
        <v>0.19328031000000001</v>
      </c>
      <c r="AL357" s="6">
        <f>[1]Hybrid!AK55</f>
        <v>0.19202627559999999</v>
      </c>
    </row>
    <row r="358" spans="1:3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7.5298127399999998E-2</v>
      </c>
      <c r="E358" s="6">
        <f>[1]Hybrid!D57</f>
        <v>7.6310682599999999E-2</v>
      </c>
      <c r="F358" s="6">
        <f>[1]Hybrid!E57</f>
        <v>7.7421631099999999E-2</v>
      </c>
      <c r="G358" s="6">
        <f>[1]Hybrid!F57</f>
        <v>7.8549222500000002E-2</v>
      </c>
      <c r="H358" s="6">
        <f>[1]Hybrid!G57</f>
        <v>7.9606444499999998E-2</v>
      </c>
      <c r="I358" s="6">
        <f>[1]Hybrid!H57</f>
        <v>8.0492446999999995E-2</v>
      </c>
      <c r="J358" s="6">
        <f>[1]Hybrid!I57</f>
        <v>8.1158833499999999E-2</v>
      </c>
      <c r="K358" s="6">
        <f>[1]Hybrid!J57</f>
        <v>8.1592704700000004E-2</v>
      </c>
      <c r="L358" s="6">
        <f>[1]Hybrid!K57</f>
        <v>8.1796415799999994E-2</v>
      </c>
      <c r="M358" s="6">
        <f>[1]Hybrid!L57</f>
        <v>8.1785158999999996E-2</v>
      </c>
      <c r="N358" s="6">
        <f>[1]Hybrid!M57</f>
        <v>8.15527058E-2</v>
      </c>
      <c r="O358" s="6">
        <f>[1]Hybrid!N57</f>
        <v>8.1115271599999997E-2</v>
      </c>
      <c r="P358" s="6">
        <f>[1]Hybrid!O57</f>
        <v>8.0496709400000005E-2</v>
      </c>
      <c r="Q358" s="6">
        <f>[1]Hybrid!P57</f>
        <v>7.9723797400000004E-2</v>
      </c>
      <c r="R358" s="6">
        <f>[1]Hybrid!Q57</f>
        <v>7.8823268899999993E-2</v>
      </c>
      <c r="S358" s="6">
        <f>[1]Hybrid!R57</f>
        <v>7.7844795699999997E-2</v>
      </c>
      <c r="T358" s="6">
        <f>[1]Hybrid!S57</f>
        <v>7.6821507299999994E-2</v>
      </c>
      <c r="U358" s="6">
        <f>[1]Hybrid!T57</f>
        <v>7.5772775099999995E-2</v>
      </c>
      <c r="V358" s="6">
        <f>[1]Hybrid!U57</f>
        <v>7.4709521900000006E-2</v>
      </c>
      <c r="W358" s="6">
        <f>[1]Hybrid!V57</f>
        <v>7.3632841700000007E-2</v>
      </c>
      <c r="X358" s="6">
        <f>[1]Hybrid!W57</f>
        <v>7.2550431999999998E-2</v>
      </c>
      <c r="Y358" s="6">
        <f>[1]Hybrid!X57</f>
        <v>7.1462119399999996E-2</v>
      </c>
      <c r="Z358" s="6">
        <f>[1]Hybrid!Y57</f>
        <v>7.0365490099999997E-2</v>
      </c>
      <c r="AA358" s="6">
        <f>[1]Hybrid!Z57</f>
        <v>6.9254713199999998E-2</v>
      </c>
      <c r="AB358" s="6">
        <f>[1]Hybrid!AA57</f>
        <v>6.8111063400000005E-2</v>
      </c>
      <c r="AC358" s="6">
        <f>[1]Hybrid!AB57</f>
        <v>6.6933163700000006E-2</v>
      </c>
      <c r="AD358" s="6">
        <f>[1]Hybrid!AC57</f>
        <v>6.5712671900000005E-2</v>
      </c>
      <c r="AE358" s="6">
        <f>[1]Hybrid!AD57</f>
        <v>6.4442226500000005E-2</v>
      </c>
      <c r="AF358" s="6">
        <f>[1]Hybrid!AE57</f>
        <v>6.3116325599999995E-2</v>
      </c>
      <c r="AG358" s="6">
        <f>[1]Hybrid!AF57</f>
        <v>6.1730859899999997E-2</v>
      </c>
      <c r="AH358" s="6">
        <f>[1]Hybrid!AG57</f>
        <v>6.0283291000000003E-2</v>
      </c>
      <c r="AI358" s="6">
        <f>[1]Hybrid!AH57</f>
        <v>5.8773031099999998E-2</v>
      </c>
      <c r="AJ358" s="6">
        <f>[1]Hybrid!AI57</f>
        <v>5.7201616300000001E-2</v>
      </c>
      <c r="AK358" s="6">
        <f>[1]Hybrid!AJ57</f>
        <v>5.55727107E-2</v>
      </c>
      <c r="AL358" s="6">
        <f>[1]Hybrid!AK57</f>
        <v>5.3891946400000001E-2</v>
      </c>
    </row>
    <row r="359" spans="1:3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0.13588352519999999</v>
      </c>
      <c r="E359" s="6">
        <f>[1]Hybrid!D59</f>
        <v>0.13780453870000001</v>
      </c>
      <c r="F359" s="6">
        <f>[1]Hybrid!E59</f>
        <v>0.13966826660000001</v>
      </c>
      <c r="G359" s="6">
        <f>[1]Hybrid!F59</f>
        <v>0.1413112081</v>
      </c>
      <c r="H359" s="6">
        <f>[1]Hybrid!G59</f>
        <v>0.14258867010000001</v>
      </c>
      <c r="I359" s="6">
        <f>[1]Hybrid!H59</f>
        <v>0.1433428913</v>
      </c>
      <c r="J359" s="6">
        <f>[1]Hybrid!I59</f>
        <v>0.14351224579999999</v>
      </c>
      <c r="K359" s="6">
        <f>[1]Hybrid!J59</f>
        <v>0.143101217</v>
      </c>
      <c r="L359" s="6">
        <f>[1]Hybrid!K59</f>
        <v>0.14214414510000001</v>
      </c>
      <c r="M359" s="6">
        <f>[1]Hybrid!L59</f>
        <v>0.14069762459999999</v>
      </c>
      <c r="N359" s="6">
        <f>[1]Hybrid!M59</f>
        <v>0.138791683</v>
      </c>
      <c r="O359" s="6">
        <f>[1]Hybrid!N59</f>
        <v>0.136492735</v>
      </c>
      <c r="P359" s="6">
        <f>[1]Hybrid!O59</f>
        <v>0.133876567</v>
      </c>
      <c r="Q359" s="6">
        <f>[1]Hybrid!P59</f>
        <v>0.13101727420000001</v>
      </c>
      <c r="R359" s="6">
        <f>[1]Hybrid!Q59</f>
        <v>0.12798116230000001</v>
      </c>
      <c r="S359" s="6">
        <f>[1]Hybrid!R59</f>
        <v>0.124856843</v>
      </c>
      <c r="T359" s="6">
        <f>[1]Hybrid!S59</f>
        <v>0.1217062923</v>
      </c>
      <c r="U359" s="6">
        <f>[1]Hybrid!T59</f>
        <v>0.11856747820000001</v>
      </c>
      <c r="V359" s="6">
        <f>[1]Hybrid!U59</f>
        <v>0.1154617553</v>
      </c>
      <c r="W359" s="6">
        <f>[1]Hybrid!V59</f>
        <v>0.1123937928</v>
      </c>
      <c r="X359" s="6">
        <f>[1]Hybrid!W59</f>
        <v>0.1093722713</v>
      </c>
      <c r="Y359" s="6">
        <f>[1]Hybrid!X59</f>
        <v>0.1063942619</v>
      </c>
      <c r="Z359" s="6">
        <f>[1]Hybrid!Y59</f>
        <v>0.1034526479</v>
      </c>
      <c r="AA359" s="6">
        <f>[1]Hybrid!Z59</f>
        <v>0.10053531979999999</v>
      </c>
      <c r="AB359" s="6">
        <f>[1]Hybrid!AA59</f>
        <v>9.7616122E-2</v>
      </c>
      <c r="AC359" s="6">
        <f>[1]Hybrid!AB59</f>
        <v>9.4688224299999998E-2</v>
      </c>
      <c r="AD359" s="6">
        <f>[1]Hybrid!AC59</f>
        <v>9.1738928299999994E-2</v>
      </c>
      <c r="AE359" s="6">
        <f>[1]Hybrid!AD59</f>
        <v>8.8758769799999998E-2</v>
      </c>
      <c r="AF359" s="6">
        <f>[1]Hybrid!AE59</f>
        <v>8.5743043000000005E-2</v>
      </c>
      <c r="AG359" s="6">
        <f>[1]Hybrid!AF59</f>
        <v>8.2691264900000006E-2</v>
      </c>
      <c r="AH359" s="6">
        <f>[1]Hybrid!AG59</f>
        <v>7.9606928399999999E-2</v>
      </c>
      <c r="AI359" s="6">
        <f>[1]Hybrid!AH59</f>
        <v>7.64972285E-2</v>
      </c>
      <c r="AJ359" s="6">
        <f>[1]Hybrid!AI59</f>
        <v>7.33724766E-2</v>
      </c>
      <c r="AK359" s="6">
        <f>[1]Hybrid!AJ59</f>
        <v>7.0245349600000007E-2</v>
      </c>
      <c r="AL359" s="6">
        <f>[1]Hybrid!AK59</f>
        <v>6.7130047799999995E-2</v>
      </c>
    </row>
    <row r="361" spans="1:3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</row>
    <row r="362" spans="1:3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69">D339+D346+D353</f>
        <v>7155.2959561259995</v>
      </c>
      <c r="E362" s="6">
        <f t="shared" si="69"/>
        <v>7266.2132914533995</v>
      </c>
      <c r="F362" s="6">
        <f t="shared" si="69"/>
        <v>7418.7469682373003</v>
      </c>
      <c r="G362" s="6">
        <f t="shared" si="69"/>
        <v>7607.0649767717996</v>
      </c>
      <c r="H362" s="6">
        <f t="shared" si="69"/>
        <v>7820.8296850336001</v>
      </c>
      <c r="I362" s="6">
        <f t="shared" si="69"/>
        <v>8047.3301198004001</v>
      </c>
      <c r="J362" s="6">
        <f t="shared" si="69"/>
        <v>8280.7856395955023</v>
      </c>
      <c r="K362" s="6">
        <f t="shared" si="69"/>
        <v>8519.4911554576993</v>
      </c>
      <c r="L362" s="6">
        <f t="shared" si="69"/>
        <v>8762.8632264000007</v>
      </c>
      <c r="M362" s="6">
        <f t="shared" si="69"/>
        <v>9011.4960575679997</v>
      </c>
      <c r="N362" s="6">
        <f t="shared" si="69"/>
        <v>9260.1313048894008</v>
      </c>
      <c r="O362" s="6">
        <f t="shared" si="69"/>
        <v>9505.3472303242997</v>
      </c>
      <c r="P362" s="6">
        <f t="shared" si="69"/>
        <v>9743.9067718944007</v>
      </c>
      <c r="Q362" s="6">
        <f t="shared" si="69"/>
        <v>9973.1718340719999</v>
      </c>
      <c r="R362" s="6">
        <f t="shared" si="69"/>
        <v>10191.462220912799</v>
      </c>
      <c r="S362" s="6">
        <f t="shared" si="69"/>
        <v>10403.3255920416</v>
      </c>
      <c r="T362" s="6">
        <f t="shared" si="69"/>
        <v>10609.787769113798</v>
      </c>
      <c r="U362" s="6">
        <f t="shared" si="69"/>
        <v>10810.387019129699</v>
      </c>
      <c r="V362" s="6">
        <f t="shared" si="69"/>
        <v>11004.7624397781</v>
      </c>
      <c r="W362" s="6">
        <f t="shared" si="69"/>
        <v>11191.944612622001</v>
      </c>
      <c r="X362" s="6">
        <f t="shared" si="69"/>
        <v>11374.544232735001</v>
      </c>
      <c r="Y362" s="6">
        <f t="shared" si="69"/>
        <v>11554.20153554</v>
      </c>
      <c r="Z362" s="6">
        <f t="shared" si="69"/>
        <v>11732.956928538999</v>
      </c>
      <c r="AA362" s="6">
        <f t="shared" si="69"/>
        <v>11912.848073146002</v>
      </c>
      <c r="AB362" s="6">
        <f t="shared" si="69"/>
        <v>12092.383806090998</v>
      </c>
      <c r="AC362" s="6">
        <f t="shared" si="69"/>
        <v>12276.338927703999</v>
      </c>
      <c r="AD362" s="6">
        <f t="shared" si="69"/>
        <v>12467.185890430001</v>
      </c>
      <c r="AE362" s="6">
        <f t="shared" si="69"/>
        <v>12667.454809829</v>
      </c>
      <c r="AF362" s="6">
        <f t="shared" si="69"/>
        <v>12879.434872709</v>
      </c>
      <c r="AG362" s="6">
        <f t="shared" si="69"/>
        <v>13104.676792427999</v>
      </c>
      <c r="AH362" s="6">
        <f t="shared" si="69"/>
        <v>13343.895917653001</v>
      </c>
      <c r="AI362" s="6">
        <f t="shared" si="69"/>
        <v>13597.077047957</v>
      </c>
      <c r="AJ362" s="6">
        <f t="shared" si="69"/>
        <v>13863.595947100999</v>
      </c>
      <c r="AK362" s="6">
        <f t="shared" si="69"/>
        <v>14142.334091028</v>
      </c>
      <c r="AL362" s="6">
        <f t="shared" si="69"/>
        <v>14431.768221351</v>
      </c>
    </row>
    <row r="363" spans="1:38" x14ac:dyDescent="0.35">
      <c r="B363" t="s">
        <v>97</v>
      </c>
      <c r="C363" s="6">
        <f t="shared" ref="C363:AL363" si="70">C340+C347+C354</f>
        <v>8263.1971436354015</v>
      </c>
      <c r="D363" s="6">
        <f t="shared" si="70"/>
        <v>8197.7914196772999</v>
      </c>
      <c r="E363" s="6">
        <f t="shared" si="70"/>
        <v>8199.1584752523995</v>
      </c>
      <c r="F363" s="6">
        <f t="shared" si="70"/>
        <v>8247.1395721054996</v>
      </c>
      <c r="G363" s="6">
        <f t="shared" si="70"/>
        <v>8335.3222590452006</v>
      </c>
      <c r="H363" s="6">
        <f t="shared" si="70"/>
        <v>8453.3015909201004</v>
      </c>
      <c r="I363" s="6">
        <f t="shared" si="70"/>
        <v>8588.3604501737991</v>
      </c>
      <c r="J363" s="6">
        <f t="shared" si="70"/>
        <v>8734.3101514729005</v>
      </c>
      <c r="K363" s="6">
        <f t="shared" si="70"/>
        <v>8888.8838043684009</v>
      </c>
      <c r="L363" s="6">
        <f t="shared" si="70"/>
        <v>9050.9805406099003</v>
      </c>
      <c r="M363" s="6">
        <f t="shared" si="70"/>
        <v>9220.7030029946</v>
      </c>
      <c r="N363" s="6">
        <f t="shared" si="70"/>
        <v>9392.7892712595021</v>
      </c>
      <c r="O363" s="6">
        <f t="shared" si="70"/>
        <v>9563.861146581401</v>
      </c>
      <c r="P363" s="6">
        <f t="shared" si="70"/>
        <v>9730.8343833422987</v>
      </c>
      <c r="Q363" s="6">
        <f t="shared" si="70"/>
        <v>9891.2485266295007</v>
      </c>
      <c r="R363" s="6">
        <f t="shared" si="70"/>
        <v>10043.551148962699</v>
      </c>
      <c r="S363" s="6">
        <f t="shared" si="70"/>
        <v>10192.0344736486</v>
      </c>
      <c r="T363" s="6">
        <f t="shared" si="70"/>
        <v>10337.8094036437</v>
      </c>
      <c r="U363" s="6">
        <f t="shared" si="70"/>
        <v>10480.531428536402</v>
      </c>
      <c r="V363" s="6">
        <f t="shared" si="70"/>
        <v>10619.831122410398</v>
      </c>
      <c r="W363" s="6">
        <f t="shared" si="70"/>
        <v>10754.673766724798</v>
      </c>
      <c r="X363" s="6">
        <f t="shared" si="70"/>
        <v>10887.2460264007</v>
      </c>
      <c r="Y363" s="6">
        <f t="shared" si="70"/>
        <v>11018.787722432</v>
      </c>
      <c r="Z363" s="6">
        <f t="shared" si="70"/>
        <v>11150.867251156</v>
      </c>
      <c r="AA363" s="6">
        <f t="shared" si="70"/>
        <v>11285.010822405999</v>
      </c>
      <c r="AB363" s="6">
        <f t="shared" si="70"/>
        <v>11419.481214102001</v>
      </c>
      <c r="AC363" s="6">
        <f t="shared" si="70"/>
        <v>11558.248036018</v>
      </c>
      <c r="AD363" s="6">
        <f t="shared" si="70"/>
        <v>11703.149271933</v>
      </c>
      <c r="AE363" s="6">
        <f t="shared" si="70"/>
        <v>11856.055973554001</v>
      </c>
      <c r="AF363" s="6">
        <f t="shared" si="70"/>
        <v>12018.618721875999</v>
      </c>
      <c r="AG363" s="6">
        <f t="shared" si="70"/>
        <v>12191.827845862001</v>
      </c>
      <c r="AH363" s="6">
        <f t="shared" si="70"/>
        <v>12375.935960598999</v>
      </c>
      <c r="AI363" s="6">
        <f t="shared" si="70"/>
        <v>12570.562559964001</v>
      </c>
      <c r="AJ363" s="6">
        <f t="shared" si="70"/>
        <v>12774.812629726999</v>
      </c>
      <c r="AK363" s="6">
        <f t="shared" si="70"/>
        <v>12987.389034891999</v>
      </c>
      <c r="AL363" s="6">
        <f t="shared" si="70"/>
        <v>13206.682250276999</v>
      </c>
    </row>
    <row r="364" spans="1:38" x14ac:dyDescent="0.35">
      <c r="B364" t="s">
        <v>98</v>
      </c>
      <c r="C364" s="6">
        <f t="shared" ref="C364:AL364" si="71">C341+C348+C355</f>
        <v>6787.4105911386005</v>
      </c>
      <c r="D364" s="6">
        <f t="shared" si="71"/>
        <v>6658.6287487728996</v>
      </c>
      <c r="E364" s="6">
        <f t="shared" si="71"/>
        <v>6581.7879782732998</v>
      </c>
      <c r="F364" s="6">
        <f t="shared" si="71"/>
        <v>6542.2281149665996</v>
      </c>
      <c r="G364" s="6">
        <f t="shared" si="71"/>
        <v>6534.9249029191005</v>
      </c>
      <c r="H364" s="6">
        <f t="shared" si="71"/>
        <v>6552.3206953347999</v>
      </c>
      <c r="I364" s="6">
        <f t="shared" si="71"/>
        <v>6585.2378672144996</v>
      </c>
      <c r="J364" s="6">
        <f t="shared" si="71"/>
        <v>6628.9366946734008</v>
      </c>
      <c r="K364" s="6">
        <f t="shared" si="71"/>
        <v>6681.4019264308999</v>
      </c>
      <c r="L364" s="6">
        <f t="shared" si="71"/>
        <v>6741.4888275437997</v>
      </c>
      <c r="M364" s="6">
        <f t="shared" si="71"/>
        <v>6808.9375284401995</v>
      </c>
      <c r="N364" s="6">
        <f t="shared" si="71"/>
        <v>6879.9463855617996</v>
      </c>
      <c r="O364" s="6">
        <f t="shared" si="71"/>
        <v>6952.0973106498004</v>
      </c>
      <c r="P364" s="6">
        <f t="shared" si="71"/>
        <v>7023.2519885340998</v>
      </c>
      <c r="Q364" s="6">
        <f t="shared" si="71"/>
        <v>7091.7351707078005</v>
      </c>
      <c r="R364" s="6">
        <f t="shared" si="71"/>
        <v>7156.4921034110002</v>
      </c>
      <c r="S364" s="6">
        <f t="shared" si="71"/>
        <v>7220.4233221997001</v>
      </c>
      <c r="T364" s="6">
        <f t="shared" si="71"/>
        <v>7284.3574551715992</v>
      </c>
      <c r="U364" s="6">
        <f t="shared" si="71"/>
        <v>7348.0994306359989</v>
      </c>
      <c r="V364" s="6">
        <f t="shared" si="71"/>
        <v>7411.3598934052998</v>
      </c>
      <c r="W364" s="6">
        <f t="shared" si="71"/>
        <v>7473.3390188783987</v>
      </c>
      <c r="X364" s="6">
        <f t="shared" si="71"/>
        <v>7535.3282555080004</v>
      </c>
      <c r="Y364" s="6">
        <f t="shared" si="71"/>
        <v>7597.9567594364999</v>
      </c>
      <c r="Z364" s="6">
        <f t="shared" si="71"/>
        <v>7662.0477211037996</v>
      </c>
      <c r="AA364" s="6">
        <f t="shared" si="71"/>
        <v>7728.3726702265003</v>
      </c>
      <c r="AB364" s="6">
        <f t="shared" si="71"/>
        <v>7795.5288899156994</v>
      </c>
      <c r="AC364" s="6">
        <f t="shared" si="71"/>
        <v>7865.8667961768006</v>
      </c>
      <c r="AD364" s="6">
        <f t="shared" si="71"/>
        <v>7940.3171376165001</v>
      </c>
      <c r="AE364" s="6">
        <f t="shared" si="71"/>
        <v>8019.8240341755991</v>
      </c>
      <c r="AF364" s="6">
        <f t="shared" si="71"/>
        <v>8105.1908807768004</v>
      </c>
      <c r="AG364" s="6">
        <f t="shared" si="71"/>
        <v>8196.8001841342993</v>
      </c>
      <c r="AH364" s="6">
        <f t="shared" si="71"/>
        <v>8294.5697467158006</v>
      </c>
      <c r="AI364" s="6">
        <f t="shared" si="71"/>
        <v>8398.0271496335008</v>
      </c>
      <c r="AJ364" s="6">
        <f t="shared" si="71"/>
        <v>8506.3924829565985</v>
      </c>
      <c r="AK364" s="6">
        <f t="shared" si="71"/>
        <v>8618.656688544701</v>
      </c>
      <c r="AL364" s="6">
        <f t="shared" si="71"/>
        <v>8733.6449614753019</v>
      </c>
    </row>
    <row r="365" spans="1:38" x14ac:dyDescent="0.35">
      <c r="B365" t="s">
        <v>99</v>
      </c>
      <c r="C365" s="6">
        <f t="shared" ref="C365:AL365" si="72">C342+C349+C356</f>
        <v>4165.6835237371006</v>
      </c>
      <c r="D365" s="6">
        <f t="shared" si="72"/>
        <v>4061.8888972335003</v>
      </c>
      <c r="E365" s="6">
        <f t="shared" si="72"/>
        <v>3987.6883408704002</v>
      </c>
      <c r="F365" s="6">
        <f t="shared" si="72"/>
        <v>3934.3392768181998</v>
      </c>
      <c r="G365" s="6">
        <f t="shared" si="72"/>
        <v>3898.5739445466997</v>
      </c>
      <c r="H365" s="6">
        <f t="shared" si="72"/>
        <v>3876.0131525638003</v>
      </c>
      <c r="I365" s="6">
        <f t="shared" si="72"/>
        <v>3861.4506035746003</v>
      </c>
      <c r="J365" s="6">
        <f t="shared" si="72"/>
        <v>3852.0662923154</v>
      </c>
      <c r="K365" s="6">
        <f t="shared" si="72"/>
        <v>3846.5483170902999</v>
      </c>
      <c r="L365" s="6">
        <f t="shared" si="72"/>
        <v>3844.1201476071001</v>
      </c>
      <c r="M365" s="6">
        <f t="shared" si="72"/>
        <v>3844.5260784198999</v>
      </c>
      <c r="N365" s="6">
        <f t="shared" si="72"/>
        <v>3845.8469500903998</v>
      </c>
      <c r="O365" s="6">
        <f t="shared" si="72"/>
        <v>3847.0297270319998</v>
      </c>
      <c r="P365" s="6">
        <f t="shared" si="72"/>
        <v>3847.2753896982003</v>
      </c>
      <c r="Q365" s="6">
        <f t="shared" si="72"/>
        <v>3846.0540333990002</v>
      </c>
      <c r="R365" s="6">
        <f t="shared" si="72"/>
        <v>3843.1218325714999</v>
      </c>
      <c r="S365" s="6">
        <f t="shared" si="72"/>
        <v>3840.1390119655998</v>
      </c>
      <c r="T365" s="6">
        <f t="shared" si="72"/>
        <v>3837.7727306997999</v>
      </c>
      <c r="U365" s="6">
        <f t="shared" si="72"/>
        <v>3836.1156612625</v>
      </c>
      <c r="V365" s="6">
        <f t="shared" si="72"/>
        <v>3835.1082454636003</v>
      </c>
      <c r="W365" s="6">
        <f t="shared" si="72"/>
        <v>3834.3527284196002</v>
      </c>
      <c r="X365" s="6">
        <f t="shared" si="72"/>
        <v>3834.3514463300003</v>
      </c>
      <c r="Y365" s="6">
        <f t="shared" si="72"/>
        <v>3835.2331686571001</v>
      </c>
      <c r="Z365" s="6">
        <f t="shared" si="72"/>
        <v>3837.1626858263003</v>
      </c>
      <c r="AA365" s="6">
        <f t="shared" si="72"/>
        <v>3840.2235375945997</v>
      </c>
      <c r="AB365" s="6">
        <f t="shared" si="72"/>
        <v>3843.4607388882</v>
      </c>
      <c r="AC365" s="6">
        <f t="shared" si="72"/>
        <v>3847.5945034962997</v>
      </c>
      <c r="AD365" s="6">
        <f t="shared" si="72"/>
        <v>3852.6729836518002</v>
      </c>
      <c r="AE365" s="6">
        <f t="shared" si="72"/>
        <v>3858.7374901016001</v>
      </c>
      <c r="AF365" s="6">
        <f t="shared" si="72"/>
        <v>3865.7822689520003</v>
      </c>
      <c r="AG365" s="6">
        <f t="shared" si="72"/>
        <v>3873.6470134507999</v>
      </c>
      <c r="AH365" s="6">
        <f t="shared" si="72"/>
        <v>3882.0106480300001</v>
      </c>
      <c r="AI365" s="6">
        <f t="shared" si="72"/>
        <v>3890.4344072691001</v>
      </c>
      <c r="AJ365" s="6">
        <f t="shared" si="72"/>
        <v>3898.4056032634003</v>
      </c>
      <c r="AK365" s="6">
        <f t="shared" si="72"/>
        <v>3905.3777368317997</v>
      </c>
      <c r="AL365" s="6">
        <f t="shared" si="72"/>
        <v>3910.8025264982002</v>
      </c>
    </row>
    <row r="366" spans="1:38" x14ac:dyDescent="0.35">
      <c r="B366" t="s">
        <v>100</v>
      </c>
      <c r="C366" s="6">
        <f t="shared" ref="C366:AL366" si="73">C343+C350+C357</f>
        <v>2507.3524895615005</v>
      </c>
      <c r="D366" s="6">
        <f t="shared" si="73"/>
        <v>2447.2310101856997</v>
      </c>
      <c r="E366" s="6">
        <f t="shared" si="73"/>
        <v>2404.0866096606001</v>
      </c>
      <c r="F366" s="6">
        <f t="shared" si="73"/>
        <v>2372.3507697302002</v>
      </c>
      <c r="G366" s="6">
        <f t="shared" si="73"/>
        <v>2349.8943488005002</v>
      </c>
      <c r="H366" s="6">
        <f t="shared" si="73"/>
        <v>2334.0583639586002</v>
      </c>
      <c r="I366" s="6">
        <f t="shared" si="73"/>
        <v>2321.7050932796001</v>
      </c>
      <c r="J366" s="6">
        <f t="shared" si="73"/>
        <v>2311.1199510151005</v>
      </c>
      <c r="K366" s="6">
        <f t="shared" si="73"/>
        <v>2301.5108009357004</v>
      </c>
      <c r="L366" s="6">
        <f t="shared" si="73"/>
        <v>2292.4379885326002</v>
      </c>
      <c r="M366" s="6">
        <f t="shared" si="73"/>
        <v>2283.7926134833001</v>
      </c>
      <c r="N366" s="6">
        <f t="shared" si="73"/>
        <v>2274.5844930781</v>
      </c>
      <c r="O366" s="6">
        <f t="shared" si="73"/>
        <v>2264.3893464005</v>
      </c>
      <c r="P366" s="6">
        <f t="shared" si="73"/>
        <v>2252.9709571838998</v>
      </c>
      <c r="Q366" s="6">
        <f t="shared" si="73"/>
        <v>2240.2499694634998</v>
      </c>
      <c r="R366" s="6">
        <f t="shared" si="73"/>
        <v>2226.2838076030002</v>
      </c>
      <c r="S366" s="6">
        <f t="shared" si="73"/>
        <v>2212.1495000662999</v>
      </c>
      <c r="T366" s="6">
        <f t="shared" si="73"/>
        <v>2198.3780288817998</v>
      </c>
      <c r="U366" s="6">
        <f t="shared" si="73"/>
        <v>2185.1411459701003</v>
      </c>
      <c r="V366" s="6">
        <f t="shared" si="73"/>
        <v>2172.4706709745001</v>
      </c>
      <c r="W366" s="6">
        <f t="shared" si="73"/>
        <v>2160.1675377639999</v>
      </c>
      <c r="X366" s="6">
        <f t="shared" si="73"/>
        <v>2148.4665347113</v>
      </c>
      <c r="Y366" s="6">
        <f t="shared" si="73"/>
        <v>2137.3739862796001</v>
      </c>
      <c r="Z366" s="6">
        <f t="shared" si="73"/>
        <v>2126.8892538374998</v>
      </c>
      <c r="AA366" s="6">
        <f t="shared" si="73"/>
        <v>2116.9435500771001</v>
      </c>
      <c r="AB366" s="6">
        <f t="shared" si="73"/>
        <v>2106.9151285841003</v>
      </c>
      <c r="AC366" s="6">
        <f t="shared" si="73"/>
        <v>2097.0303253323</v>
      </c>
      <c r="AD366" s="6">
        <f t="shared" si="73"/>
        <v>2087.1649955075</v>
      </c>
      <c r="AE366" s="6">
        <f t="shared" si="73"/>
        <v>2077.1932861680002</v>
      </c>
      <c r="AF366" s="6">
        <f t="shared" si="73"/>
        <v>2066.9814076571001</v>
      </c>
      <c r="AG366" s="6">
        <f t="shared" si="73"/>
        <v>2056.3417706984997</v>
      </c>
      <c r="AH366" s="6">
        <f t="shared" si="73"/>
        <v>2045.035492685</v>
      </c>
      <c r="AI366" s="6">
        <f t="shared" si="73"/>
        <v>2032.7974162233002</v>
      </c>
      <c r="AJ366" s="6">
        <f t="shared" si="73"/>
        <v>2019.3594990117999</v>
      </c>
      <c r="AK366" s="6">
        <f t="shared" si="73"/>
        <v>2004.4710333100002</v>
      </c>
      <c r="AL366" s="6">
        <f t="shared" si="73"/>
        <v>1987.9136855755999</v>
      </c>
    </row>
    <row r="367" spans="1:38" x14ac:dyDescent="0.35">
      <c r="B367" t="s">
        <v>101</v>
      </c>
      <c r="C367" s="6">
        <f t="shared" ref="C367:AL367" si="74">C344+C351+C358</f>
        <v>1245.466605953</v>
      </c>
      <c r="D367" s="6">
        <f t="shared" si="74"/>
        <v>1212.9146708534001</v>
      </c>
      <c r="E367" s="6">
        <f t="shared" si="74"/>
        <v>1187.3327431115999</v>
      </c>
      <c r="F367" s="6">
        <f t="shared" si="74"/>
        <v>1165.7173480540998</v>
      </c>
      <c r="G367" s="6">
        <f t="shared" si="74"/>
        <v>1146.8541089844998</v>
      </c>
      <c r="H367" s="6">
        <f t="shared" si="74"/>
        <v>1129.4941041325001</v>
      </c>
      <c r="I367" s="6">
        <f t="shared" si="74"/>
        <v>1112.2541548670001</v>
      </c>
      <c r="J367" s="6">
        <f t="shared" si="74"/>
        <v>1094.4148602855</v>
      </c>
      <c r="K367" s="6">
        <f t="shared" si="74"/>
        <v>1075.7039481877</v>
      </c>
      <c r="L367" s="6">
        <f t="shared" si="74"/>
        <v>1056.0441349678001</v>
      </c>
      <c r="M367" s="6">
        <f t="shared" si="74"/>
        <v>1035.520240502</v>
      </c>
      <c r="N367" s="6">
        <f t="shared" si="74"/>
        <v>1013.9636691088001</v>
      </c>
      <c r="O367" s="6">
        <f t="shared" si="74"/>
        <v>991.4838669646</v>
      </c>
      <c r="P367" s="6">
        <f t="shared" si="74"/>
        <v>968.2856669194</v>
      </c>
      <c r="Q367" s="6">
        <f t="shared" si="74"/>
        <v>944.6111058393999</v>
      </c>
      <c r="R367" s="6">
        <f t="shared" si="74"/>
        <v>920.70315941090007</v>
      </c>
      <c r="S367" s="6">
        <f t="shared" si="74"/>
        <v>897.08264494469995</v>
      </c>
      <c r="T367" s="6">
        <f t="shared" si="74"/>
        <v>874.06719555030008</v>
      </c>
      <c r="U367" s="6">
        <f t="shared" si="74"/>
        <v>851.8087489950999</v>
      </c>
      <c r="V367" s="6">
        <f t="shared" si="74"/>
        <v>830.36034427190009</v>
      </c>
      <c r="W367" s="6">
        <f t="shared" si="74"/>
        <v>809.66059547170005</v>
      </c>
      <c r="X367" s="6">
        <f t="shared" si="74"/>
        <v>789.73406098199996</v>
      </c>
      <c r="Y367" s="6">
        <f t="shared" si="74"/>
        <v>770.51419765940011</v>
      </c>
      <c r="Z367" s="6">
        <f t="shared" si="74"/>
        <v>751.91250054010004</v>
      </c>
      <c r="AA367" s="6">
        <f t="shared" si="74"/>
        <v>733.80405318320004</v>
      </c>
      <c r="AB367" s="6">
        <f t="shared" si="74"/>
        <v>715.91218999340003</v>
      </c>
      <c r="AC367" s="6">
        <f t="shared" si="74"/>
        <v>698.17806541369998</v>
      </c>
      <c r="AD367" s="6">
        <f t="shared" si="74"/>
        <v>680.46129546189991</v>
      </c>
      <c r="AE367" s="6">
        <f t="shared" si="74"/>
        <v>662.63746697650004</v>
      </c>
      <c r="AF367" s="6">
        <f t="shared" si="74"/>
        <v>644.60830767560003</v>
      </c>
      <c r="AG367" s="6">
        <f t="shared" si="74"/>
        <v>626.29533342989998</v>
      </c>
      <c r="AH367" s="6">
        <f t="shared" si="74"/>
        <v>607.64153194100004</v>
      </c>
      <c r="AI367" s="6">
        <f t="shared" si="74"/>
        <v>588.61555760110002</v>
      </c>
      <c r="AJ367" s="6">
        <f t="shared" si="74"/>
        <v>569.21341750629995</v>
      </c>
      <c r="AK367" s="6">
        <f t="shared" si="74"/>
        <v>549.45813701069994</v>
      </c>
      <c r="AL367" s="6">
        <f t="shared" si="74"/>
        <v>529.39746574640003</v>
      </c>
    </row>
    <row r="368" spans="1:38" x14ac:dyDescent="0.35">
      <c r="B368" t="s">
        <v>102</v>
      </c>
      <c r="C368" s="6">
        <f t="shared" ref="C368:AL368" si="75">C345+C352+C359</f>
        <v>2242.8616504070001</v>
      </c>
      <c r="D368" s="6">
        <f t="shared" si="75"/>
        <v>2187.6691358731996</v>
      </c>
      <c r="E368" s="6">
        <f t="shared" si="75"/>
        <v>2142.7255228537001</v>
      </c>
      <c r="F368" s="6">
        <f t="shared" si="75"/>
        <v>2102.0956213436002</v>
      </c>
      <c r="G368" s="6">
        <f t="shared" si="75"/>
        <v>2063.4390713000998</v>
      </c>
      <c r="H368" s="6">
        <f t="shared" si="75"/>
        <v>2024.6921147171001</v>
      </c>
      <c r="I368" s="6">
        <f t="shared" si="75"/>
        <v>1983.6863763793001</v>
      </c>
      <c r="J368" s="6">
        <f t="shared" si="75"/>
        <v>1939.4618664787999</v>
      </c>
      <c r="K368" s="6">
        <f t="shared" si="75"/>
        <v>1891.8828904970001</v>
      </c>
      <c r="L368" s="6">
        <f t="shared" si="75"/>
        <v>1841.1864932751</v>
      </c>
      <c r="M368" s="6">
        <f t="shared" si="75"/>
        <v>1787.8843567646002</v>
      </c>
      <c r="N368" s="6">
        <f t="shared" si="75"/>
        <v>1732.1702576529999</v>
      </c>
      <c r="O368" s="6">
        <f t="shared" si="75"/>
        <v>1674.6828198750002</v>
      </c>
      <c r="P368" s="6">
        <f t="shared" si="75"/>
        <v>1616.1737723870001</v>
      </c>
      <c r="Q368" s="6">
        <f t="shared" si="75"/>
        <v>1557.3734371841999</v>
      </c>
      <c r="R368" s="6">
        <f t="shared" si="75"/>
        <v>1498.9179058923</v>
      </c>
      <c r="S368" s="6">
        <f t="shared" si="75"/>
        <v>1441.7133427829999</v>
      </c>
      <c r="T368" s="6">
        <f t="shared" si="75"/>
        <v>1386.3406164522999</v>
      </c>
      <c r="U368" s="6">
        <f t="shared" si="75"/>
        <v>1333.0928638582002</v>
      </c>
      <c r="V368" s="6">
        <f t="shared" si="75"/>
        <v>1282.0691013552998</v>
      </c>
      <c r="W368" s="6">
        <f t="shared" si="75"/>
        <v>1233.1754819128</v>
      </c>
      <c r="X368" s="6">
        <f t="shared" si="75"/>
        <v>1186.3781656512999</v>
      </c>
      <c r="Y368" s="6">
        <f t="shared" si="75"/>
        <v>1141.5121460819</v>
      </c>
      <c r="Z368" s="6">
        <f t="shared" si="75"/>
        <v>1098.3722551279</v>
      </c>
      <c r="AA368" s="6">
        <f t="shared" si="75"/>
        <v>1056.7030102297999</v>
      </c>
      <c r="AB368" s="6">
        <f t="shared" si="75"/>
        <v>1016.088013382</v>
      </c>
      <c r="AC368" s="6">
        <f t="shared" si="75"/>
        <v>976.35773560429993</v>
      </c>
      <c r="AD368" s="6">
        <f t="shared" si="75"/>
        <v>937.27839512829996</v>
      </c>
      <c r="AE368" s="6">
        <f t="shared" si="75"/>
        <v>898.66318242980003</v>
      </c>
      <c r="AF368" s="6">
        <f t="shared" si="75"/>
        <v>860.38973806299998</v>
      </c>
      <c r="AG368" s="6">
        <f t="shared" si="75"/>
        <v>822.39236968490002</v>
      </c>
      <c r="AH368" s="6">
        <f t="shared" si="75"/>
        <v>784.65805761839999</v>
      </c>
      <c r="AI368" s="6">
        <f t="shared" si="75"/>
        <v>747.2222879185</v>
      </c>
      <c r="AJ368" s="6">
        <f t="shared" si="75"/>
        <v>710.16122752659999</v>
      </c>
      <c r="AK368" s="6">
        <f t="shared" si="75"/>
        <v>673.58202986959998</v>
      </c>
      <c r="AL368" s="6">
        <f t="shared" si="75"/>
        <v>637.61218711779998</v>
      </c>
    </row>
    <row r="370" spans="1:3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</row>
    <row r="371" spans="1:3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5.0830412550000004</v>
      </c>
      <c r="E371" s="6">
        <f>[1]Results!H104</f>
        <v>6.6173490450000001</v>
      </c>
      <c r="F371" s="6">
        <f>[1]Results!I104</f>
        <v>8.203355191</v>
      </c>
      <c r="G371" s="6">
        <f>[1]Results!J104</f>
        <v>9.8742092289999999</v>
      </c>
      <c r="H371" s="6">
        <f>[1]Results!K104</f>
        <v>11.52069296</v>
      </c>
      <c r="I371" s="6">
        <f>[1]Results!L104</f>
        <v>13.07314225</v>
      </c>
      <c r="J371" s="6">
        <f>[1]Results!M104</f>
        <v>14.7946525</v>
      </c>
      <c r="K371" s="6">
        <f>[1]Results!N104</f>
        <v>17.175082669999998</v>
      </c>
      <c r="L371" s="6">
        <f>[1]Results!O104</f>
        <v>19.993083930000001</v>
      </c>
      <c r="M371" s="6">
        <f>[1]Results!P104</f>
        <v>23.129417409999999</v>
      </c>
      <c r="N371" s="6">
        <f>[1]Results!Q104</f>
        <v>26.39470133</v>
      </c>
      <c r="O371" s="6">
        <f>[1]Results!R104</f>
        <v>29.74529235</v>
      </c>
      <c r="P371" s="6">
        <f>[1]Results!S104</f>
        <v>33.132531350000001</v>
      </c>
      <c r="Q371" s="6">
        <f>[1]Results!T104</f>
        <v>36.528701599999998</v>
      </c>
      <c r="R371" s="6">
        <f>[1]Results!U104</f>
        <v>39.918573510000002</v>
      </c>
      <c r="S371" s="6">
        <f>[1]Results!V104</f>
        <v>43.296030960000003</v>
      </c>
      <c r="T371" s="6">
        <f>[1]Results!W104</f>
        <v>46.663940279999998</v>
      </c>
      <c r="U371" s="6">
        <f>[1]Results!X104</f>
        <v>50.023820260000001</v>
      </c>
      <c r="V371" s="6">
        <f>[1]Results!Y104</f>
        <v>53.375685079999997</v>
      </c>
      <c r="W371" s="6">
        <f>[1]Results!Z104</f>
        <v>56.692024619999998</v>
      </c>
      <c r="X371" s="6">
        <f>[1]Results!AA104</f>
        <v>60.023882200000003</v>
      </c>
      <c r="Y371" s="6">
        <f>[1]Results!AB104</f>
        <v>63.342906259999999</v>
      </c>
      <c r="Z371" s="6">
        <f>[1]Results!AC104</f>
        <v>66.647025819999996</v>
      </c>
      <c r="AA371" s="6">
        <f>[1]Results!AD104</f>
        <v>69.934249899999998</v>
      </c>
      <c r="AB371" s="6">
        <f>[1]Results!AE104</f>
        <v>73.130508919999997</v>
      </c>
      <c r="AC371" s="6">
        <f>[1]Results!AF104</f>
        <v>76.344049319999996</v>
      </c>
      <c r="AD371" s="6">
        <f>[1]Results!AG104</f>
        <v>79.534706900000003</v>
      </c>
      <c r="AE371" s="6">
        <f>[1]Results!AH104</f>
        <v>82.700720259999997</v>
      </c>
      <c r="AF371" s="6">
        <f>[1]Results!AI104</f>
        <v>85.840887159999994</v>
      </c>
      <c r="AG371" s="6">
        <f>[1]Results!AJ104</f>
        <v>88.954537729999998</v>
      </c>
      <c r="AH371" s="6">
        <f>[1]Results!AK104</f>
        <v>92.041281699999999</v>
      </c>
      <c r="AI371" s="6">
        <f>[1]Results!AL104</f>
        <v>95.10066028</v>
      </c>
      <c r="AJ371" s="6">
        <f>[1]Results!AM104</f>
        <v>98.132030940000007</v>
      </c>
      <c r="AK371" s="6">
        <f>[1]Results!AN104</f>
        <v>101.1347162</v>
      </c>
      <c r="AL371" s="6">
        <f>[1]Results!AO104</f>
        <v>104.10781660000001</v>
      </c>
    </row>
    <row r="372" spans="1:38" x14ac:dyDescent="0.35">
      <c r="B372" t="s">
        <v>58</v>
      </c>
      <c r="C372" s="6">
        <f>[1]Results!F105</f>
        <v>68.80476281</v>
      </c>
      <c r="D372" s="6">
        <f>[1]Results!G105</f>
        <v>75.719616799999997</v>
      </c>
      <c r="E372" s="6">
        <f>[1]Results!H105</f>
        <v>82.421636289999995</v>
      </c>
      <c r="F372" s="6">
        <f>[1]Results!I105</f>
        <v>88.672308369999996</v>
      </c>
      <c r="G372" s="6">
        <f>[1]Results!J105</f>
        <v>94.684739320000006</v>
      </c>
      <c r="H372" s="6">
        <f>[1]Results!K105</f>
        <v>100.6018138</v>
      </c>
      <c r="I372" s="6">
        <f>[1]Results!L105</f>
        <v>105.8675643</v>
      </c>
      <c r="J372" s="6">
        <f>[1]Results!M105</f>
        <v>111.0492558</v>
      </c>
      <c r="K372" s="6">
        <f>[1]Results!N105</f>
        <v>115.8595856</v>
      </c>
      <c r="L372" s="6">
        <f>[1]Results!O105</f>
        <v>120.4493677</v>
      </c>
      <c r="M372" s="6">
        <f>[1]Results!P105</f>
        <v>125.9469125</v>
      </c>
      <c r="N372" s="6">
        <f>[1]Results!Q105</f>
        <v>130.33339219999999</v>
      </c>
      <c r="O372" s="6">
        <f>[1]Results!R105</f>
        <v>134.6781202</v>
      </c>
      <c r="P372" s="6">
        <f>[1]Results!S105</f>
        <v>138.99653499999999</v>
      </c>
      <c r="Q372" s="6">
        <f>[1]Results!T105</f>
        <v>143.2960918</v>
      </c>
      <c r="R372" s="6">
        <f>[1]Results!U105</f>
        <v>147.58116849999999</v>
      </c>
      <c r="S372" s="6">
        <f>[1]Results!V105</f>
        <v>151.85202480000001</v>
      </c>
      <c r="T372" s="6">
        <f>[1]Results!W105</f>
        <v>156.1021638</v>
      </c>
      <c r="U372" s="6">
        <f>[1]Results!X105</f>
        <v>160.332471</v>
      </c>
      <c r="V372" s="6">
        <f>[1]Results!Y105</f>
        <v>164.54611070000001</v>
      </c>
      <c r="W372" s="6">
        <f>[1]Results!Z105</f>
        <v>168.0595395</v>
      </c>
      <c r="X372" s="6">
        <f>[1]Results!AA105</f>
        <v>172.24802550000001</v>
      </c>
      <c r="Y372" s="6">
        <f>[1]Results!AB105</f>
        <v>176.42939749999999</v>
      </c>
      <c r="Z372" s="6">
        <f>[1]Results!AC105</f>
        <v>180.6059425</v>
      </c>
      <c r="AA372" s="6">
        <f>[1]Results!AD105</f>
        <v>184.77958330000001</v>
      </c>
      <c r="AB372" s="6">
        <f>[1]Results!AE105</f>
        <v>187.0764508</v>
      </c>
      <c r="AC372" s="6">
        <f>[1]Results!AF105</f>
        <v>190.36248280000001</v>
      </c>
      <c r="AD372" s="6">
        <f>[1]Results!AG105</f>
        <v>193.64559819999999</v>
      </c>
      <c r="AE372" s="6">
        <f>[1]Results!AH105</f>
        <v>196.92709579999999</v>
      </c>
      <c r="AF372" s="6">
        <f>[1]Results!AI105</f>
        <v>200.2080267</v>
      </c>
      <c r="AG372" s="6">
        <f>[1]Results!AJ105</f>
        <v>203.4892236</v>
      </c>
      <c r="AH372" s="6">
        <f>[1]Results!AK105</f>
        <v>206.77142860000001</v>
      </c>
      <c r="AI372" s="6">
        <f>[1]Results!AL105</f>
        <v>210.05543040000001</v>
      </c>
      <c r="AJ372" s="6">
        <f>[1]Results!AM105</f>
        <v>213.342105</v>
      </c>
      <c r="AK372" s="6">
        <f>[1]Results!AN105</f>
        <v>216.63245929999999</v>
      </c>
      <c r="AL372" s="6">
        <f>[1]Results!AO105</f>
        <v>219.92778659999999</v>
      </c>
    </row>
    <row r="373" spans="1:38" x14ac:dyDescent="0.35">
      <c r="B373" t="s">
        <v>59</v>
      </c>
      <c r="C373" s="6">
        <f>[1]Results!F106</f>
        <v>408.28039699999999</v>
      </c>
      <c r="D373" s="6">
        <f>[1]Results!G106</f>
        <v>422.72007989999997</v>
      </c>
      <c r="E373" s="6">
        <f>[1]Results!H106</f>
        <v>437.28317700000002</v>
      </c>
      <c r="F373" s="6">
        <f>[1]Results!I106</f>
        <v>450.88712600000002</v>
      </c>
      <c r="G373" s="6">
        <f>[1]Results!J106</f>
        <v>463.94107480000002</v>
      </c>
      <c r="H373" s="6">
        <f>[1]Results!K106</f>
        <v>476.8246623</v>
      </c>
      <c r="I373" s="6">
        <f>[1]Results!L106</f>
        <v>487.96694819999999</v>
      </c>
      <c r="J373" s="6">
        <f>[1]Results!M106</f>
        <v>498.8597034</v>
      </c>
      <c r="K373" s="6">
        <f>[1]Results!N106</f>
        <v>508.76720410000001</v>
      </c>
      <c r="L373" s="6">
        <f>[1]Results!O106</f>
        <v>518.08405029999994</v>
      </c>
      <c r="M373" s="6">
        <f>[1]Results!P106</f>
        <v>529.96744420000005</v>
      </c>
      <c r="N373" s="6">
        <f>[1]Results!Q106</f>
        <v>538.74877479999998</v>
      </c>
      <c r="O373" s="6">
        <f>[1]Results!R106</f>
        <v>547.43750150000005</v>
      </c>
      <c r="P373" s="6">
        <f>[1]Results!S106</f>
        <v>556.08743849999996</v>
      </c>
      <c r="Q373" s="6">
        <f>[1]Results!T106</f>
        <v>564.72518600000001</v>
      </c>
      <c r="R373" s="6">
        <f>[1]Results!U106</f>
        <v>573.36341059999995</v>
      </c>
      <c r="S373" s="6">
        <f>[1]Results!V106</f>
        <v>582.00290589999997</v>
      </c>
      <c r="T373" s="6">
        <f>[1]Results!W106</f>
        <v>590.62996250000003</v>
      </c>
      <c r="U373" s="6">
        <f>[1]Results!X106</f>
        <v>599.24285529999997</v>
      </c>
      <c r="V373" s="6">
        <f>[1]Results!Y106</f>
        <v>607.84405860000004</v>
      </c>
      <c r="W373" s="6">
        <f>[1]Results!Z106</f>
        <v>614.50799540000003</v>
      </c>
      <c r="X373" s="6">
        <f>[1]Results!AA106</f>
        <v>623.09001390000003</v>
      </c>
      <c r="Y373" s="6">
        <f>[1]Results!AB106</f>
        <v>631.67010000000005</v>
      </c>
      <c r="Z373" s="6">
        <f>[1]Results!AC106</f>
        <v>640.25042080000003</v>
      </c>
      <c r="AA373" s="6">
        <f>[1]Results!AD106</f>
        <v>648.83266260000005</v>
      </c>
      <c r="AB373" s="6">
        <f>[1]Results!AE106</f>
        <v>652.15221399999996</v>
      </c>
      <c r="AC373" s="6">
        <f>[1]Results!AF106</f>
        <v>658.25188360000004</v>
      </c>
      <c r="AD373" s="6">
        <f>[1]Results!AG106</f>
        <v>664.34348250000005</v>
      </c>
      <c r="AE373" s="6">
        <f>[1]Results!AH106</f>
        <v>670.42769490000001</v>
      </c>
      <c r="AF373" s="6">
        <f>[1]Results!AI106</f>
        <v>676.50489900000002</v>
      </c>
      <c r="AG373" s="6">
        <f>[1]Results!AJ106</f>
        <v>682.57519409999998</v>
      </c>
      <c r="AH373" s="6">
        <f>[1]Results!AK106</f>
        <v>688.63851150000005</v>
      </c>
      <c r="AI373" s="6">
        <f>[1]Results!AL106</f>
        <v>694.69478360000005</v>
      </c>
      <c r="AJ373" s="6">
        <f>[1]Results!AM106</f>
        <v>700.74402669999995</v>
      </c>
      <c r="AK373" s="6">
        <f>[1]Results!AN106</f>
        <v>706.78621190000001</v>
      </c>
      <c r="AL373" s="6">
        <f>[1]Results!AO106</f>
        <v>712.8212992</v>
      </c>
    </row>
    <row r="374" spans="1:38" x14ac:dyDescent="0.35">
      <c r="B374" t="s">
        <v>60</v>
      </c>
      <c r="C374" s="6">
        <f>[1]Results!F107</f>
        <v>954.38155940000001</v>
      </c>
      <c r="D374" s="6">
        <f>[1]Results!G107</f>
        <v>949.10933209999996</v>
      </c>
      <c r="E374" s="6">
        <f>[1]Results!H107</f>
        <v>944.72765849999996</v>
      </c>
      <c r="F374" s="6">
        <f>[1]Results!I107</f>
        <v>940.84601810000004</v>
      </c>
      <c r="G374" s="6">
        <f>[1]Results!J107</f>
        <v>937.24828330000003</v>
      </c>
      <c r="H374" s="6">
        <f>[1]Results!K107</f>
        <v>933.73657890000004</v>
      </c>
      <c r="I374" s="6">
        <f>[1]Results!L107</f>
        <v>930.21311960000003</v>
      </c>
      <c r="J374" s="6">
        <f>[1]Results!M107</f>
        <v>926.79546359999995</v>
      </c>
      <c r="K374" s="6">
        <f>[1]Results!N107</f>
        <v>924.05741190000003</v>
      </c>
      <c r="L374" s="6">
        <f>[1]Results!O107</f>
        <v>921.69229350000001</v>
      </c>
      <c r="M374" s="6">
        <f>[1]Results!P107</f>
        <v>919.53603299999997</v>
      </c>
      <c r="N374" s="6">
        <f>[1]Results!Q107</f>
        <v>917.49546350000003</v>
      </c>
      <c r="O374" s="6">
        <f>[1]Results!R107</f>
        <v>915.50163859999998</v>
      </c>
      <c r="P374" s="6">
        <f>[1]Results!S107</f>
        <v>913.53023789999997</v>
      </c>
      <c r="Q374" s="6">
        <f>[1]Results!T107</f>
        <v>911.57431039999994</v>
      </c>
      <c r="R374" s="6">
        <f>[1]Results!U107</f>
        <v>909.63228730000003</v>
      </c>
      <c r="S374" s="6">
        <f>[1]Results!V107</f>
        <v>907.71132980000004</v>
      </c>
      <c r="T374" s="6">
        <f>[1]Results!W107</f>
        <v>905.8351083</v>
      </c>
      <c r="U374" s="6">
        <f>[1]Results!X107</f>
        <v>904.00504660000001</v>
      </c>
      <c r="V374" s="6">
        <f>[1]Results!Y107</f>
        <v>902.21548099999995</v>
      </c>
      <c r="W374" s="6">
        <f>[1]Results!Z107</f>
        <v>900.45941519999997</v>
      </c>
      <c r="X374" s="6">
        <f>[1]Results!AA107</f>
        <v>898.73024729999997</v>
      </c>
      <c r="Y374" s="6">
        <f>[1]Results!AB107</f>
        <v>897.02318449999996</v>
      </c>
      <c r="Z374" s="6">
        <f>[1]Results!AC107</f>
        <v>895.3345425</v>
      </c>
      <c r="AA374" s="6">
        <f>[1]Results!AD107</f>
        <v>893.6616047</v>
      </c>
      <c r="AB374" s="6">
        <f>[1]Results!AE107</f>
        <v>892.00238690000003</v>
      </c>
      <c r="AC374" s="6">
        <f>[1]Results!AF107</f>
        <v>890.35479239999995</v>
      </c>
      <c r="AD374" s="6">
        <f>[1]Results!AG107</f>
        <v>888.71834709999996</v>
      </c>
      <c r="AE374" s="6">
        <f>[1]Results!AH107</f>
        <v>887.09264010000004</v>
      </c>
      <c r="AF374" s="6">
        <f>[1]Results!AI107</f>
        <v>885.47762060000002</v>
      </c>
      <c r="AG374" s="6">
        <f>[1]Results!AJ107</f>
        <v>883.8734839</v>
      </c>
      <c r="AH374" s="6">
        <f>[1]Results!AK107</f>
        <v>882.28055840000002</v>
      </c>
      <c r="AI374" s="6">
        <f>[1]Results!AL107</f>
        <v>880.69925330000001</v>
      </c>
      <c r="AJ374" s="6">
        <f>[1]Results!AM107</f>
        <v>879.13003849999996</v>
      </c>
      <c r="AK374" s="6">
        <f>[1]Results!AN107</f>
        <v>877.57337189999998</v>
      </c>
      <c r="AL374" s="6">
        <f>[1]Results!AO107</f>
        <v>876.02964459999998</v>
      </c>
    </row>
    <row r="375" spans="1:38" x14ac:dyDescent="0.35">
      <c r="B375" t="s">
        <v>61</v>
      </c>
      <c r="C375" s="6">
        <f>[1]Results!F108</f>
        <v>878.79999729999997</v>
      </c>
      <c r="D375" s="6">
        <f>[1]Results!G108</f>
        <v>870.88907449999999</v>
      </c>
      <c r="E375" s="6">
        <f>[1]Results!H108</f>
        <v>864.49852009999995</v>
      </c>
      <c r="F375" s="6">
        <f>[1]Results!I108</f>
        <v>858.8741374</v>
      </c>
      <c r="G375" s="6">
        <f>[1]Results!J108</f>
        <v>853.6436582</v>
      </c>
      <c r="H375" s="6">
        <f>[1]Results!K108</f>
        <v>848.62588519999997</v>
      </c>
      <c r="I375" s="6">
        <f>[1]Results!L108</f>
        <v>843.72982809999996</v>
      </c>
      <c r="J375" s="6">
        <f>[1]Results!M108</f>
        <v>838.90555900000004</v>
      </c>
      <c r="K375" s="6">
        <f>[1]Results!N108</f>
        <v>834.11207360000003</v>
      </c>
      <c r="L375" s="6">
        <f>[1]Results!O108</f>
        <v>829.33713639999996</v>
      </c>
      <c r="M375" s="6">
        <f>[1]Results!P108</f>
        <v>824.57457350000004</v>
      </c>
      <c r="N375" s="6">
        <f>[1]Results!Q108</f>
        <v>819.82660559999999</v>
      </c>
      <c r="O375" s="6">
        <f>[1]Results!R108</f>
        <v>815.1091093</v>
      </c>
      <c r="P375" s="6">
        <f>[1]Results!S108</f>
        <v>810.42646409999998</v>
      </c>
      <c r="Q375" s="6">
        <f>[1]Results!T108</f>
        <v>805.7787237</v>
      </c>
      <c r="R375" s="6">
        <f>[1]Results!U108</f>
        <v>801.16470279999999</v>
      </c>
      <c r="S375" s="6">
        <f>[1]Results!V108</f>
        <v>796.58137399999998</v>
      </c>
      <c r="T375" s="6">
        <f>[1]Results!W108</f>
        <v>792.02163470000005</v>
      </c>
      <c r="U375" s="6">
        <f>[1]Results!X108</f>
        <v>787.48303339999995</v>
      </c>
      <c r="V375" s="6">
        <f>[1]Results!Y108</f>
        <v>782.96535419999998</v>
      </c>
      <c r="W375" s="6">
        <f>[1]Results!Z108</f>
        <v>778.46937330000003</v>
      </c>
      <c r="X375" s="6">
        <f>[1]Results!AA108</f>
        <v>773.99597549999999</v>
      </c>
      <c r="Y375" s="6">
        <f>[1]Results!AB108</f>
        <v>769.54663100000005</v>
      </c>
      <c r="Z375" s="6">
        <f>[1]Results!AC108</f>
        <v>765.12247890000003</v>
      </c>
      <c r="AA375" s="6">
        <f>[1]Results!AD108</f>
        <v>760.72455809999997</v>
      </c>
      <c r="AB375" s="6">
        <f>[1]Results!AE108</f>
        <v>756.35376889999998</v>
      </c>
      <c r="AC375" s="6">
        <f>[1]Results!AF108</f>
        <v>752.01012519999995</v>
      </c>
      <c r="AD375" s="6">
        <f>[1]Results!AG108</f>
        <v>747.69455149999999</v>
      </c>
      <c r="AE375" s="6">
        <f>[1]Results!AH108</f>
        <v>743.40737149999995</v>
      </c>
      <c r="AF375" s="6">
        <f>[1]Results!AI108</f>
        <v>739.14868079999997</v>
      </c>
      <c r="AG375" s="6">
        <f>[1]Results!AJ108</f>
        <v>734.91840779999995</v>
      </c>
      <c r="AH375" s="6">
        <f>[1]Results!AK108</f>
        <v>730.71638059999998</v>
      </c>
      <c r="AI375" s="6">
        <f>[1]Results!AL108</f>
        <v>726.54236960000003</v>
      </c>
      <c r="AJ375" s="6">
        <f>[1]Results!AM108</f>
        <v>722.39609340000004</v>
      </c>
      <c r="AK375" s="6">
        <f>[1]Results!AN108</f>
        <v>718.27724160000002</v>
      </c>
      <c r="AL375" s="6">
        <f>[1]Results!AO108</f>
        <v>714.185519</v>
      </c>
    </row>
    <row r="376" spans="1:38" x14ac:dyDescent="0.35">
      <c r="B376" t="s">
        <v>62</v>
      </c>
      <c r="C376" s="6">
        <f>[1]Results!F109</f>
        <v>139.85209269999999</v>
      </c>
      <c r="D376" s="6">
        <f>[1]Results!G109</f>
        <v>138.42437770000001</v>
      </c>
      <c r="E376" s="6">
        <f>[1]Results!H109</f>
        <v>137.24268620000001</v>
      </c>
      <c r="F376" s="6">
        <f>[1]Results!I109</f>
        <v>136.186046</v>
      </c>
      <c r="G376" s="6">
        <f>[1]Results!J109</f>
        <v>135.19492940000001</v>
      </c>
      <c r="H376" s="6">
        <f>[1]Results!K109</f>
        <v>134.2389981</v>
      </c>
      <c r="I376" s="6">
        <f>[1]Results!L109</f>
        <v>133.3037582</v>
      </c>
      <c r="J376" s="6">
        <f>[1]Results!M109</f>
        <v>132.38339189999999</v>
      </c>
      <c r="K376" s="6">
        <f>[1]Results!N109</f>
        <v>131.47823389999999</v>
      </c>
      <c r="L376" s="6">
        <f>[1]Results!O109</f>
        <v>130.58401910000001</v>
      </c>
      <c r="M376" s="6">
        <f>[1]Results!P109</f>
        <v>129.69758959999999</v>
      </c>
      <c r="N376" s="6">
        <f>[1]Results!Q109</f>
        <v>128.81634890000001</v>
      </c>
      <c r="O376" s="6">
        <f>[1]Results!R109</f>
        <v>127.9373792</v>
      </c>
      <c r="P376" s="6">
        <f>[1]Results!S109</f>
        <v>127.0600764</v>
      </c>
      <c r="Q376" s="6">
        <f>[1]Results!T109</f>
        <v>126.18489099999999</v>
      </c>
      <c r="R376" s="6">
        <f>[1]Results!U109</f>
        <v>125.3126366</v>
      </c>
      <c r="S376" s="6">
        <f>[1]Results!V109</f>
        <v>124.4441253</v>
      </c>
      <c r="T376" s="6">
        <f>[1]Results!W109</f>
        <v>123.5799979</v>
      </c>
      <c r="U376" s="6">
        <f>[1]Results!X109</f>
        <v>122.72059160000001</v>
      </c>
      <c r="V376" s="6">
        <f>[1]Results!Y109</f>
        <v>121.86617870000001</v>
      </c>
      <c r="W376" s="6">
        <f>[1]Results!Z109</f>
        <v>121.0170626</v>
      </c>
      <c r="X376" s="6">
        <f>[1]Results!AA109</f>
        <v>120.1735769</v>
      </c>
      <c r="Y376" s="6">
        <f>[1]Results!AB109</f>
        <v>119.33604219999999</v>
      </c>
      <c r="Z376" s="6">
        <f>[1]Results!AC109</f>
        <v>118.5047101</v>
      </c>
      <c r="AA376" s="6">
        <f>[1]Results!AD109</f>
        <v>117.6797416</v>
      </c>
      <c r="AB376" s="6">
        <f>[1]Results!AE109</f>
        <v>116.8612248</v>
      </c>
      <c r="AC376" s="6">
        <f>[1]Results!AF109</f>
        <v>116.04919</v>
      </c>
      <c r="AD376" s="6">
        <f>[1]Results!AG109</f>
        <v>115.2436246</v>
      </c>
      <c r="AE376" s="6">
        <f>[1]Results!AH109</f>
        <v>114.4444421</v>
      </c>
      <c r="AF376" s="6">
        <f>[1]Results!AI109</f>
        <v>113.6514368</v>
      </c>
      <c r="AG376" s="6">
        <f>[1]Results!AJ109</f>
        <v>112.8643038</v>
      </c>
      <c r="AH376" s="6">
        <f>[1]Results!AK109</f>
        <v>112.08269060000001</v>
      </c>
      <c r="AI376" s="6">
        <f>[1]Results!AL109</f>
        <v>111.30624090000001</v>
      </c>
      <c r="AJ376" s="6">
        <f>[1]Results!AM109</f>
        <v>110.5346</v>
      </c>
      <c r="AK376" s="6">
        <f>[1]Results!AN109</f>
        <v>109.76740359999999</v>
      </c>
      <c r="AL376" s="6">
        <f>[1]Results!AO109</f>
        <v>109.00428429999999</v>
      </c>
    </row>
    <row r="377" spans="1:38" x14ac:dyDescent="0.35">
      <c r="B377" t="s">
        <v>63</v>
      </c>
      <c r="C377" s="6">
        <f>[1]Results!F110</f>
        <v>3.874567114</v>
      </c>
      <c r="D377" s="6">
        <f>[1]Results!G110</f>
        <v>3.7808512300000001</v>
      </c>
      <c r="E377" s="6">
        <f>[1]Results!H110</f>
        <v>3.7170796880000001</v>
      </c>
      <c r="F377" s="6">
        <f>[1]Results!I110</f>
        <v>3.667993675</v>
      </c>
      <c r="G377" s="6">
        <f>[1]Results!J110</f>
        <v>3.6263193149999999</v>
      </c>
      <c r="H377" s="6">
        <f>[1]Results!K110</f>
        <v>3.5883687260000001</v>
      </c>
      <c r="I377" s="6">
        <f>[1]Results!L110</f>
        <v>3.5524289659999999</v>
      </c>
      <c r="J377" s="6">
        <f>[1]Results!M110</f>
        <v>3.5178225780000001</v>
      </c>
      <c r="K377" s="6">
        <f>[1]Results!N110</f>
        <v>3.4846858109999999</v>
      </c>
      <c r="L377" s="6">
        <f>[1]Results!O110</f>
        <v>3.452224916</v>
      </c>
      <c r="M377" s="6">
        <f>[1]Results!P110</f>
        <v>3.4199114310000001</v>
      </c>
      <c r="N377" s="6">
        <f>[1]Results!Q110</f>
        <v>3.387371023</v>
      </c>
      <c r="O377" s="6">
        <f>[1]Results!R110</f>
        <v>3.3542110260000002</v>
      </c>
      <c r="P377" s="6">
        <f>[1]Results!S110</f>
        <v>3.3204853550000002</v>
      </c>
      <c r="Q377" s="6">
        <f>[1]Results!T110</f>
        <v>3.2864037490000002</v>
      </c>
      <c r="R377" s="6">
        <f>[1]Results!U110</f>
        <v>3.2521945859999999</v>
      </c>
      <c r="S377" s="6">
        <f>[1]Results!V110</f>
        <v>3.21807752</v>
      </c>
      <c r="T377" s="6">
        <f>[1]Results!W110</f>
        <v>3.1842874060000002</v>
      </c>
      <c r="U377" s="6">
        <f>[1]Results!X110</f>
        <v>3.1509390160000001</v>
      </c>
      <c r="V377" s="6">
        <f>[1]Results!Y110</f>
        <v>3.1180907420000001</v>
      </c>
      <c r="W377" s="6">
        <f>[1]Results!Z110</f>
        <v>3.0857803029999999</v>
      </c>
      <c r="X377" s="6">
        <f>[1]Results!AA110</f>
        <v>3.0540383360000001</v>
      </c>
      <c r="Y377" s="6">
        <f>[1]Results!AB110</f>
        <v>3.0228898480000002</v>
      </c>
      <c r="Z377" s="6">
        <f>[1]Results!AC110</f>
        <v>2.9923503440000001</v>
      </c>
      <c r="AA377" s="6">
        <f>[1]Results!AD110</f>
        <v>2.9624241850000002</v>
      </c>
      <c r="AB377" s="6">
        <f>[1]Results!AE110</f>
        <v>2.9331081229999998</v>
      </c>
      <c r="AC377" s="6">
        <f>[1]Results!AF110</f>
        <v>2.9043938009999999</v>
      </c>
      <c r="AD377" s="6">
        <f>[1]Results!AG110</f>
        <v>2.8762695410000001</v>
      </c>
      <c r="AE377" s="6">
        <f>[1]Results!AH110</f>
        <v>2.8487141330000001</v>
      </c>
      <c r="AF377" s="6">
        <f>[1]Results!AI110</f>
        <v>2.8216882210000001</v>
      </c>
      <c r="AG377" s="6">
        <f>[1]Results!AJ110</f>
        <v>2.7951376290000001</v>
      </c>
      <c r="AH377" s="6">
        <f>[1]Results!AK110</f>
        <v>2.76900214</v>
      </c>
      <c r="AI377" s="6">
        <f>[1]Results!AL110</f>
        <v>2.7432230139999998</v>
      </c>
      <c r="AJ377" s="6">
        <f>[1]Results!AM110</f>
        <v>2.7177436959999999</v>
      </c>
      <c r="AK377" s="6">
        <f>[1]Results!AN110</f>
        <v>2.6925076610000001</v>
      </c>
      <c r="AL377" s="6">
        <f>[1]Results!AO110</f>
        <v>2.6674594329999999</v>
      </c>
    </row>
    <row r="379" spans="1:3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</row>
    <row r="380" spans="1:3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5.0830412550000004</v>
      </c>
      <c r="E380" s="6">
        <f>[1]Results!H112</f>
        <v>6.6173490480000003</v>
      </c>
      <c r="F380" s="6">
        <f>[1]Results!I112</f>
        <v>8.2033552000000007</v>
      </c>
      <c r="G380" s="6">
        <f>[1]Results!J112</f>
        <v>9.8742092459999995</v>
      </c>
      <c r="H380" s="6">
        <f>[1]Results!K112</f>
        <v>11.52069298</v>
      </c>
      <c r="I380" s="6">
        <f>[1]Results!L112</f>
        <v>13.07314227</v>
      </c>
      <c r="J380" s="6">
        <f>[1]Results!M112</f>
        <v>14.572848479999999</v>
      </c>
      <c r="K380" s="6">
        <f>[1]Results!N112</f>
        <v>16.053553220000001</v>
      </c>
      <c r="L380" s="6">
        <f>[1]Results!O112</f>
        <v>17.538336839999999</v>
      </c>
      <c r="M380" s="6">
        <f>[1]Results!P112</f>
        <v>19.081991259999999</v>
      </c>
      <c r="N380" s="6">
        <f>[1]Results!Q112</f>
        <v>20.61390467</v>
      </c>
      <c r="O380" s="6">
        <f>[1]Results!R112</f>
        <v>22.18027944</v>
      </c>
      <c r="P380" s="6">
        <f>[1]Results!S112</f>
        <v>23.761329480000001</v>
      </c>
      <c r="Q380" s="6">
        <f>[1]Results!T112</f>
        <v>25.35568031</v>
      </c>
      <c r="R380" s="6">
        <f>[1]Results!U112</f>
        <v>26.96332584</v>
      </c>
      <c r="S380" s="6">
        <f>[1]Results!V112</f>
        <v>28.5847002</v>
      </c>
      <c r="T380" s="6">
        <f>[1]Results!W112</f>
        <v>30.215379080000002</v>
      </c>
      <c r="U380" s="6">
        <f>[1]Results!X112</f>
        <v>31.65668771</v>
      </c>
      <c r="V380" s="6">
        <f>[1]Results!Y112</f>
        <v>32.977572889999998</v>
      </c>
      <c r="W380" s="6">
        <f>[1]Results!Z112</f>
        <v>34.18431322</v>
      </c>
      <c r="X380" s="6">
        <f>[1]Results!AA112</f>
        <v>35.34480396</v>
      </c>
      <c r="Y380" s="6">
        <f>[1]Results!AB112</f>
        <v>36.44004838</v>
      </c>
      <c r="Z380" s="6">
        <f>[1]Results!AC112</f>
        <v>37.474217549999999</v>
      </c>
      <c r="AA380" s="6">
        <f>[1]Results!AD112</f>
        <v>38.454949929999998</v>
      </c>
      <c r="AB380" s="6">
        <f>[1]Results!AE112</f>
        <v>39.296082290000001</v>
      </c>
      <c r="AC380" s="6">
        <f>[1]Results!AF112</f>
        <v>40.111539559999997</v>
      </c>
      <c r="AD380" s="6">
        <f>[1]Results!AG112</f>
        <v>40.866504640000002</v>
      </c>
      <c r="AE380" s="6">
        <f>[1]Results!AH112</f>
        <v>41.565244239999998</v>
      </c>
      <c r="AF380" s="6">
        <f>[1]Results!AI112</f>
        <v>42.21359734</v>
      </c>
      <c r="AG380" s="6">
        <f>[1]Results!AJ112</f>
        <v>42.819613429999997</v>
      </c>
      <c r="AH380" s="6">
        <f>[1]Results!AK112</f>
        <v>43.39336617</v>
      </c>
      <c r="AI380" s="6">
        <f>[1]Results!AL112</f>
        <v>43.946334669999999</v>
      </c>
      <c r="AJ380" s="6">
        <f>[1]Results!AM112</f>
        <v>44.490336499999998</v>
      </c>
      <c r="AK380" s="6">
        <f>[1]Results!AN112</f>
        <v>45.03694419</v>
      </c>
      <c r="AL380" s="6">
        <f>[1]Results!AO112</f>
        <v>45.597017000000001</v>
      </c>
    </row>
    <row r="381" spans="1:38" x14ac:dyDescent="0.35">
      <c r="B381" t="s">
        <v>58</v>
      </c>
      <c r="C381" s="6">
        <f>[1]Results!F113</f>
        <v>68.80476281</v>
      </c>
      <c r="D381" s="6">
        <f>[1]Results!G113</f>
        <v>75.719616799999997</v>
      </c>
      <c r="E381" s="6">
        <f>[1]Results!H113</f>
        <v>82.421636280000001</v>
      </c>
      <c r="F381" s="6">
        <f>[1]Results!I113</f>
        <v>88.672308340000001</v>
      </c>
      <c r="G381" s="6">
        <f>[1]Results!J113</f>
        <v>94.684739269999994</v>
      </c>
      <c r="H381" s="6">
        <f>[1]Results!K113</f>
        <v>100.60181369999999</v>
      </c>
      <c r="I381" s="6">
        <f>[1]Results!L113</f>
        <v>105.8675642</v>
      </c>
      <c r="J381" s="6">
        <f>[1]Results!M113</f>
        <v>111.14060689999999</v>
      </c>
      <c r="K381" s="6">
        <f>[1]Results!N113</f>
        <v>116.4359453</v>
      </c>
      <c r="L381" s="6">
        <f>[1]Results!O113</f>
        <v>121.7596259</v>
      </c>
      <c r="M381" s="6">
        <f>[1]Results!P113</f>
        <v>128.1497569</v>
      </c>
      <c r="N381" s="6">
        <f>[1]Results!Q113</f>
        <v>133.5301288</v>
      </c>
      <c r="O381" s="6">
        <f>[1]Results!R113</f>
        <v>138.9294817</v>
      </c>
      <c r="P381" s="6">
        <f>[1]Results!S113</f>
        <v>144.2783862</v>
      </c>
      <c r="Q381" s="6">
        <f>[1]Results!T113</f>
        <v>149.56954619999999</v>
      </c>
      <c r="R381" s="6">
        <f>[1]Results!U113</f>
        <v>154.81020190000001</v>
      </c>
      <c r="S381" s="6">
        <f>[1]Results!V113</f>
        <v>160.032297</v>
      </c>
      <c r="T381" s="6">
        <f>[1]Results!W113</f>
        <v>165.29628360000001</v>
      </c>
      <c r="U381" s="6">
        <f>[1]Results!X113</f>
        <v>170.1451295</v>
      </c>
      <c r="V381" s="6">
        <f>[1]Results!Y113</f>
        <v>174.7909885</v>
      </c>
      <c r="W381" s="6">
        <f>[1]Results!Z113</f>
        <v>178.6568915</v>
      </c>
      <c r="X381" s="6">
        <f>[1]Results!AA113</f>
        <v>183.1717151</v>
      </c>
      <c r="Y381" s="6">
        <f>[1]Results!AB113</f>
        <v>187.68067379999999</v>
      </c>
      <c r="Z381" s="6">
        <f>[1]Results!AC113</f>
        <v>192.2024505</v>
      </c>
      <c r="AA381" s="6">
        <f>[1]Results!AD113</f>
        <v>196.77117620000001</v>
      </c>
      <c r="AB381" s="6">
        <f>[1]Results!AE113</f>
        <v>199.45758000000001</v>
      </c>
      <c r="AC381" s="6">
        <f>[1]Results!AF113</f>
        <v>203.14104140000001</v>
      </c>
      <c r="AD381" s="6">
        <f>[1]Results!AG113</f>
        <v>206.83510039999999</v>
      </c>
      <c r="AE381" s="6">
        <f>[1]Results!AH113</f>
        <v>210.54231290000001</v>
      </c>
      <c r="AF381" s="6">
        <f>[1]Results!AI113</f>
        <v>214.26252360000001</v>
      </c>
      <c r="AG381" s="6">
        <f>[1]Results!AJ113</f>
        <v>217.99368329999999</v>
      </c>
      <c r="AH381" s="6">
        <f>[1]Results!AK113</f>
        <v>221.73247040000001</v>
      </c>
      <c r="AI381" s="6">
        <f>[1]Results!AL113</f>
        <v>225.47481389999999</v>
      </c>
      <c r="AJ381" s="6">
        <f>[1]Results!AM113</f>
        <v>229.21643220000001</v>
      </c>
      <c r="AK381" s="6">
        <f>[1]Results!AN113</f>
        <v>232.95314010000001</v>
      </c>
      <c r="AL381" s="6">
        <f>[1]Results!AO113</f>
        <v>236.6810758</v>
      </c>
    </row>
    <row r="382" spans="1:38" x14ac:dyDescent="0.35">
      <c r="B382" t="s">
        <v>59</v>
      </c>
      <c r="C382" s="6">
        <f>[1]Results!F114</f>
        <v>408.28039699999999</v>
      </c>
      <c r="D382" s="6">
        <f>[1]Results!G114</f>
        <v>422.72007989999997</v>
      </c>
      <c r="E382" s="6">
        <f>[1]Results!H114</f>
        <v>437.28317700000002</v>
      </c>
      <c r="F382" s="6">
        <f>[1]Results!I114</f>
        <v>450.88712600000002</v>
      </c>
      <c r="G382" s="6">
        <f>[1]Results!J114</f>
        <v>463.94107480000002</v>
      </c>
      <c r="H382" s="6">
        <f>[1]Results!K114</f>
        <v>476.8246623</v>
      </c>
      <c r="I382" s="6">
        <f>[1]Results!L114</f>
        <v>487.96694819999999</v>
      </c>
      <c r="J382" s="6">
        <f>[1]Results!M114</f>
        <v>499.1844112</v>
      </c>
      <c r="K382" s="6">
        <f>[1]Results!N114</f>
        <v>510.48393320000002</v>
      </c>
      <c r="L382" s="6">
        <f>[1]Results!O114</f>
        <v>521.86063630000001</v>
      </c>
      <c r="M382" s="6">
        <f>[1]Results!P114</f>
        <v>536.21817039999996</v>
      </c>
      <c r="N382" s="6">
        <f>[1]Results!Q114</f>
        <v>547.72382330000005</v>
      </c>
      <c r="O382" s="6">
        <f>[1]Results!R114</f>
        <v>559.26586569999995</v>
      </c>
      <c r="P382" s="6">
        <f>[1]Results!S114</f>
        <v>570.65371059999995</v>
      </c>
      <c r="Q382" s="6">
        <f>[1]Results!T114</f>
        <v>581.87114680000002</v>
      </c>
      <c r="R382" s="6">
        <f>[1]Results!U114</f>
        <v>592.94136579999997</v>
      </c>
      <c r="S382" s="6">
        <f>[1]Results!V114</f>
        <v>603.95982360000005</v>
      </c>
      <c r="T382" s="6">
        <f>[1]Results!W114</f>
        <v>615.11895830000003</v>
      </c>
      <c r="U382" s="6">
        <f>[1]Results!X114</f>
        <v>625.1656759</v>
      </c>
      <c r="V382" s="6">
        <f>[1]Results!Y114</f>
        <v>634.6740092</v>
      </c>
      <c r="W382" s="6">
        <f>[1]Results!Z114</f>
        <v>642.01114319999999</v>
      </c>
      <c r="X382" s="6">
        <f>[1]Results!AA114</f>
        <v>651.17999139999995</v>
      </c>
      <c r="Y382" s="6">
        <f>[1]Results!AB114</f>
        <v>660.33613620000006</v>
      </c>
      <c r="Z382" s="6">
        <f>[1]Results!AC114</f>
        <v>669.52802269999995</v>
      </c>
      <c r="AA382" s="6">
        <f>[1]Results!AD114</f>
        <v>678.85494029999995</v>
      </c>
      <c r="AB382" s="6">
        <f>[1]Results!AE114</f>
        <v>682.88287439999999</v>
      </c>
      <c r="AC382" s="6">
        <f>[1]Results!AF114</f>
        <v>689.69689670000002</v>
      </c>
      <c r="AD382" s="6">
        <f>[1]Results!AG114</f>
        <v>696.52903130000004</v>
      </c>
      <c r="AE382" s="6">
        <f>[1]Results!AH114</f>
        <v>703.38833980000004</v>
      </c>
      <c r="AF382" s="6">
        <f>[1]Results!AI114</f>
        <v>710.27715509999996</v>
      </c>
      <c r="AG382" s="6">
        <f>[1]Results!AJ114</f>
        <v>717.19356000000005</v>
      </c>
      <c r="AH382" s="6">
        <f>[1]Results!AK114</f>
        <v>724.1329088</v>
      </c>
      <c r="AI382" s="6">
        <f>[1]Results!AL114</f>
        <v>731.08889790000001</v>
      </c>
      <c r="AJ382" s="6">
        <f>[1]Results!AM114</f>
        <v>738.05457779999995</v>
      </c>
      <c r="AK382" s="6">
        <f>[1]Results!AN114</f>
        <v>745.02287899999999</v>
      </c>
      <c r="AL382" s="6">
        <f>[1]Results!AO114</f>
        <v>751.98698400000001</v>
      </c>
    </row>
    <row r="383" spans="1:38" x14ac:dyDescent="0.35">
      <c r="B383" t="s">
        <v>60</v>
      </c>
      <c r="C383" s="6">
        <f>[1]Results!F115</f>
        <v>954.38155940000001</v>
      </c>
      <c r="D383" s="6">
        <f>[1]Results!G115</f>
        <v>949.10933209999996</v>
      </c>
      <c r="E383" s="6">
        <f>[1]Results!H115</f>
        <v>944.72765849999996</v>
      </c>
      <c r="F383" s="6">
        <f>[1]Results!I115</f>
        <v>940.8460182</v>
      </c>
      <c r="G383" s="6">
        <f>[1]Results!J115</f>
        <v>937.24828330000003</v>
      </c>
      <c r="H383" s="6">
        <f>[1]Results!K115</f>
        <v>933.73657900000001</v>
      </c>
      <c r="I383" s="6">
        <f>[1]Results!L115</f>
        <v>930.21311969999999</v>
      </c>
      <c r="J383" s="6">
        <f>[1]Results!M115</f>
        <v>926.59838620000005</v>
      </c>
      <c r="K383" s="6">
        <f>[1]Results!N115</f>
        <v>922.86397309999995</v>
      </c>
      <c r="L383" s="6">
        <f>[1]Results!O115</f>
        <v>918.99960639999995</v>
      </c>
      <c r="M383" s="6">
        <f>[1]Results!P115</f>
        <v>915.00831200000005</v>
      </c>
      <c r="N383" s="6">
        <f>[1]Results!Q115</f>
        <v>910.90237890000003</v>
      </c>
      <c r="O383" s="6">
        <f>[1]Results!R115</f>
        <v>906.6999548</v>
      </c>
      <c r="P383" s="6">
        <f>[1]Results!S115</f>
        <v>902.68214769999997</v>
      </c>
      <c r="Q383" s="6">
        <f>[1]Results!T115</f>
        <v>898.87463720000005</v>
      </c>
      <c r="R383" s="6">
        <f>[1]Results!U115</f>
        <v>895.24747560000003</v>
      </c>
      <c r="S383" s="6">
        <f>[1]Results!V115</f>
        <v>891.67322590000003</v>
      </c>
      <c r="T383" s="6">
        <f>[1]Results!W115</f>
        <v>887.90394749999996</v>
      </c>
      <c r="U383" s="6">
        <f>[1]Results!X115</f>
        <v>885.84802049999996</v>
      </c>
      <c r="V383" s="6">
        <f>[1]Results!Y115</f>
        <v>884.65035069999999</v>
      </c>
      <c r="W383" s="6">
        <f>[1]Results!Z115</f>
        <v>883.8719175</v>
      </c>
      <c r="X383" s="6">
        <f>[1]Results!AA115</f>
        <v>883.28961760000004</v>
      </c>
      <c r="Y383" s="6">
        <f>[1]Results!AB115</f>
        <v>882.78794040000002</v>
      </c>
      <c r="Z383" s="6">
        <f>[1]Results!AC115</f>
        <v>882.29582149999999</v>
      </c>
      <c r="AA383" s="6">
        <f>[1]Results!AD115</f>
        <v>881.67248830000005</v>
      </c>
      <c r="AB383" s="6">
        <f>[1]Results!AE115</f>
        <v>881.15405109999995</v>
      </c>
      <c r="AC383" s="6">
        <f>[1]Results!AF115</f>
        <v>880.6780546</v>
      </c>
      <c r="AD383" s="6">
        <f>[1]Results!AG115</f>
        <v>880.21368629999995</v>
      </c>
      <c r="AE383" s="6">
        <f>[1]Results!AH115</f>
        <v>879.74546450000003</v>
      </c>
      <c r="AF383" s="6">
        <f>[1]Results!AI115</f>
        <v>879.26581510000005</v>
      </c>
      <c r="AG383" s="6">
        <f>[1]Results!AJ115</f>
        <v>878.77113499999996</v>
      </c>
      <c r="AH383" s="6">
        <f>[1]Results!AK115</f>
        <v>878.25981200000001</v>
      </c>
      <c r="AI383" s="6">
        <f>[1]Results!AL115</f>
        <v>877.73123069999997</v>
      </c>
      <c r="AJ383" s="6">
        <f>[1]Results!AM115</f>
        <v>877.18527189999998</v>
      </c>
      <c r="AK383" s="6">
        <f>[1]Results!AN115</f>
        <v>876.62205200000005</v>
      </c>
      <c r="AL383" s="6">
        <f>[1]Results!AO115</f>
        <v>876.04178609999997</v>
      </c>
    </row>
    <row r="384" spans="1:38" x14ac:dyDescent="0.35">
      <c r="B384" t="s">
        <v>61</v>
      </c>
      <c r="C384" s="6">
        <f>[1]Results!F116</f>
        <v>878.79999729999997</v>
      </c>
      <c r="D384" s="6">
        <f>[1]Results!G116</f>
        <v>870.88907449999999</v>
      </c>
      <c r="E384" s="6">
        <f>[1]Results!H116</f>
        <v>864.49852009999995</v>
      </c>
      <c r="F384" s="6">
        <f>[1]Results!I116</f>
        <v>858.8741374</v>
      </c>
      <c r="G384" s="6">
        <f>[1]Results!J116</f>
        <v>853.6436582</v>
      </c>
      <c r="H384" s="6">
        <f>[1]Results!K116</f>
        <v>848.62588519999997</v>
      </c>
      <c r="I384" s="6">
        <f>[1]Results!L116</f>
        <v>843.72982809999996</v>
      </c>
      <c r="J384" s="6">
        <f>[1]Results!M116</f>
        <v>838.90927969999996</v>
      </c>
      <c r="K384" s="6">
        <f>[1]Results!N116</f>
        <v>834.14098639999997</v>
      </c>
      <c r="L384" s="6">
        <f>[1]Results!O116</f>
        <v>829.41331460000004</v>
      </c>
      <c r="M384" s="6">
        <f>[1]Results!P116</f>
        <v>824.72037560000001</v>
      </c>
      <c r="N384" s="6">
        <f>[1]Results!Q116</f>
        <v>820.05952979999995</v>
      </c>
      <c r="O384" s="6">
        <f>[1]Results!R116</f>
        <v>815.42874329999995</v>
      </c>
      <c r="P384" s="6">
        <f>[1]Results!S116</f>
        <v>810.82716760000005</v>
      </c>
      <c r="Q384" s="6">
        <f>[1]Results!T116</f>
        <v>806.25425140000004</v>
      </c>
      <c r="R384" s="6">
        <f>[1]Results!U116</f>
        <v>801.70957350000003</v>
      </c>
      <c r="S384" s="6">
        <f>[1]Results!V116</f>
        <v>797.19278780000002</v>
      </c>
      <c r="T384" s="6">
        <f>[1]Results!W116</f>
        <v>792.70361349999996</v>
      </c>
      <c r="U384" s="6">
        <f>[1]Results!X116</f>
        <v>788.2423344</v>
      </c>
      <c r="V384" s="6">
        <f>[1]Results!Y116</f>
        <v>783.80861470000002</v>
      </c>
      <c r="W384" s="6">
        <f>[1]Results!Z116</f>
        <v>779.40207810000004</v>
      </c>
      <c r="X384" s="6">
        <f>[1]Results!AA116</f>
        <v>775.02215969999997</v>
      </c>
      <c r="Y384" s="6">
        <f>[1]Results!AB116</f>
        <v>770.66889920000006</v>
      </c>
      <c r="Z384" s="6">
        <f>[1]Results!AC116</f>
        <v>766.34212739999998</v>
      </c>
      <c r="AA384" s="6">
        <f>[1]Results!AD116</f>
        <v>762.04170190000002</v>
      </c>
      <c r="AB384" s="6">
        <f>[1]Results!AE116</f>
        <v>757.76750939999999</v>
      </c>
      <c r="AC384" s="6">
        <f>[1]Results!AF116</f>
        <v>753.51872079999998</v>
      </c>
      <c r="AD384" s="6">
        <f>[1]Results!AG116</f>
        <v>749.29561709999996</v>
      </c>
      <c r="AE384" s="6">
        <f>[1]Results!AH116</f>
        <v>745.09809670000004</v>
      </c>
      <c r="AF384" s="6">
        <f>[1]Results!AI116</f>
        <v>740.92605570000001</v>
      </c>
      <c r="AG384" s="6">
        <f>[1]Results!AJ116</f>
        <v>736.77938619999998</v>
      </c>
      <c r="AH384" s="6">
        <f>[1]Results!AK116</f>
        <v>732.65797229999998</v>
      </c>
      <c r="AI384" s="6">
        <f>[1]Results!AL116</f>
        <v>728.56168890000004</v>
      </c>
      <c r="AJ384" s="6">
        <f>[1]Results!AM116</f>
        <v>724.49040560000003</v>
      </c>
      <c r="AK384" s="6">
        <f>[1]Results!AN116</f>
        <v>720.44398550000005</v>
      </c>
      <c r="AL384" s="6">
        <f>[1]Results!AO116</f>
        <v>716.42228420000004</v>
      </c>
    </row>
    <row r="385" spans="1:38" x14ac:dyDescent="0.35">
      <c r="B385" t="s">
        <v>62</v>
      </c>
      <c r="C385" s="6">
        <f>[1]Results!F117</f>
        <v>139.85209269999999</v>
      </c>
      <c r="D385" s="6">
        <f>[1]Results!G117</f>
        <v>138.42437770000001</v>
      </c>
      <c r="E385" s="6">
        <f>[1]Results!H117</f>
        <v>137.24268620000001</v>
      </c>
      <c r="F385" s="6">
        <f>[1]Results!I117</f>
        <v>136.186046</v>
      </c>
      <c r="G385" s="6">
        <f>[1]Results!J117</f>
        <v>135.19492940000001</v>
      </c>
      <c r="H385" s="6">
        <f>[1]Results!K117</f>
        <v>134.2389981</v>
      </c>
      <c r="I385" s="6">
        <f>[1]Results!L117</f>
        <v>133.3037582</v>
      </c>
      <c r="J385" s="6">
        <f>[1]Results!M117</f>
        <v>132.38263230000001</v>
      </c>
      <c r="K385" s="6">
        <f>[1]Results!N117</f>
        <v>131.4722026</v>
      </c>
      <c r="L385" s="6">
        <f>[1]Results!O117</f>
        <v>130.57049939999999</v>
      </c>
      <c r="M385" s="6">
        <f>[1]Results!P117</f>
        <v>129.6763315</v>
      </c>
      <c r="N385" s="6">
        <f>[1]Results!Q117</f>
        <v>128.7889361</v>
      </c>
      <c r="O385" s="6">
        <f>[1]Results!R117</f>
        <v>127.90778899999999</v>
      </c>
      <c r="P385" s="6">
        <f>[1]Results!S117</f>
        <v>127.03255729999999</v>
      </c>
      <c r="Q385" s="6">
        <f>[1]Results!T117</f>
        <v>126.16308979999999</v>
      </c>
      <c r="R385" s="6">
        <f>[1]Results!U117</f>
        <v>125.29939899999999</v>
      </c>
      <c r="S385" s="6">
        <f>[1]Results!V117</f>
        <v>124.4414852</v>
      </c>
      <c r="T385" s="6">
        <f>[1]Results!W117</f>
        <v>123.5891323</v>
      </c>
      <c r="U385" s="6">
        <f>[1]Results!X117</f>
        <v>122.7424785</v>
      </c>
      <c r="V385" s="6">
        <f>[1]Results!Y117</f>
        <v>121.90183</v>
      </c>
      <c r="W385" s="6">
        <f>[1]Results!Z117</f>
        <v>121.0675136</v>
      </c>
      <c r="X385" s="6">
        <f>[1]Results!AA117</f>
        <v>120.2397855</v>
      </c>
      <c r="Y385" s="6">
        <f>[1]Results!AB117</f>
        <v>119.4187956</v>
      </c>
      <c r="Z385" s="6">
        <f>[1]Results!AC117</f>
        <v>118.6045956</v>
      </c>
      <c r="AA385" s="6">
        <f>[1]Results!AD117</f>
        <v>117.7971691</v>
      </c>
      <c r="AB385" s="6">
        <f>[1]Results!AE117</f>
        <v>116.9964464</v>
      </c>
      <c r="AC385" s="6">
        <f>[1]Results!AF117</f>
        <v>116.20230170000001</v>
      </c>
      <c r="AD385" s="6">
        <f>[1]Results!AG117</f>
        <v>115.4145532</v>
      </c>
      <c r="AE385" s="6">
        <f>[1]Results!AH117</f>
        <v>114.63297439999999</v>
      </c>
      <c r="AF385" s="6">
        <f>[1]Results!AI117</f>
        <v>113.8573052</v>
      </c>
      <c r="AG385" s="6">
        <f>[1]Results!AJ117</f>
        <v>113.0872562</v>
      </c>
      <c r="AH385" s="6">
        <f>[1]Results!AK117</f>
        <v>112.3225315</v>
      </c>
      <c r="AI385" s="6">
        <f>[1]Results!AL117</f>
        <v>111.56284599999999</v>
      </c>
      <c r="AJ385" s="6">
        <f>[1]Results!AM117</f>
        <v>110.80793660000001</v>
      </c>
      <c r="AK385" s="6">
        <f>[1]Results!AN117</f>
        <v>110.05757269999999</v>
      </c>
      <c r="AL385" s="6">
        <f>[1]Results!AO117</f>
        <v>109.3115622</v>
      </c>
    </row>
    <row r="386" spans="1:38" x14ac:dyDescent="0.35">
      <c r="B386" t="s">
        <v>63</v>
      </c>
      <c r="C386" s="6">
        <f>[1]Results!F118</f>
        <v>3.874567114</v>
      </c>
      <c r="D386" s="6">
        <f>[1]Results!G118</f>
        <v>3.7808512300000001</v>
      </c>
      <c r="E386" s="6">
        <f>[1]Results!H118</f>
        <v>3.7170796880000001</v>
      </c>
      <c r="F386" s="6">
        <f>[1]Results!I118</f>
        <v>3.667993675</v>
      </c>
      <c r="G386" s="6">
        <f>[1]Results!J118</f>
        <v>3.6263193149999999</v>
      </c>
      <c r="H386" s="6">
        <f>[1]Results!K118</f>
        <v>3.5883687260000001</v>
      </c>
      <c r="I386" s="6">
        <f>[1]Results!L118</f>
        <v>3.5524289659999999</v>
      </c>
      <c r="J386" s="6">
        <f>[1]Results!M118</f>
        <v>3.5176840650000001</v>
      </c>
      <c r="K386" s="6">
        <f>[1]Results!N118</f>
        <v>3.4836836290000002</v>
      </c>
      <c r="L386" s="6">
        <f>[1]Results!O118</f>
        <v>3.450156448</v>
      </c>
      <c r="M386" s="6">
        <f>[1]Results!P118</f>
        <v>3.4169440560000002</v>
      </c>
      <c r="N386" s="6">
        <f>[1]Results!Q118</f>
        <v>3.3839556979999998</v>
      </c>
      <c r="O386" s="6">
        <f>[1]Results!R118</f>
        <v>3.351138229</v>
      </c>
      <c r="P386" s="6">
        <f>[1]Results!S118</f>
        <v>3.318469318</v>
      </c>
      <c r="Q386" s="6">
        <f>[1]Results!T118</f>
        <v>3.2859561519999998</v>
      </c>
      <c r="R386" s="6">
        <f>[1]Results!U118</f>
        <v>3.2536316369999998</v>
      </c>
      <c r="S386" s="6">
        <f>[1]Results!V118</f>
        <v>3.2215481690000001</v>
      </c>
      <c r="T386" s="6">
        <f>[1]Results!W118</f>
        <v>3.1897800040000002</v>
      </c>
      <c r="U386" s="6">
        <f>[1]Results!X118</f>
        <v>3.158430385</v>
      </c>
      <c r="V386" s="6">
        <f>[1]Results!Y118</f>
        <v>3.1275928159999999</v>
      </c>
      <c r="W386" s="6">
        <f>[1]Results!Z118</f>
        <v>3.097333329</v>
      </c>
      <c r="X386" s="6">
        <f>[1]Results!AA118</f>
        <v>3.0676860330000002</v>
      </c>
      <c r="Y386" s="6">
        <f>[1]Results!AB118</f>
        <v>3.038657352</v>
      </c>
      <c r="Z386" s="6">
        <f>[1]Results!AC118</f>
        <v>3.0102353019999999</v>
      </c>
      <c r="AA386" s="6">
        <f>[1]Results!AD118</f>
        <v>2.9823981910000001</v>
      </c>
      <c r="AB386" s="6">
        <f>[1]Results!AE118</f>
        <v>2.9551183980000002</v>
      </c>
      <c r="AC386" s="6">
        <f>[1]Results!AF118</f>
        <v>2.9283618740000001</v>
      </c>
      <c r="AD386" s="6">
        <f>[1]Results!AG118</f>
        <v>2.9020869020000002</v>
      </c>
      <c r="AE386" s="6">
        <f>[1]Results!AH118</f>
        <v>2.876245865</v>
      </c>
      <c r="AF386" s="6">
        <f>[1]Results!AI118</f>
        <v>2.8507867839999999</v>
      </c>
      <c r="AG386" s="6">
        <f>[1]Results!AJ118</f>
        <v>2.825653972</v>
      </c>
      <c r="AH386" s="6">
        <f>[1]Results!AK118</f>
        <v>2.8007919499999998</v>
      </c>
      <c r="AI386" s="6">
        <f>[1]Results!AL118</f>
        <v>2.7761486</v>
      </c>
      <c r="AJ386" s="6">
        <f>[1]Results!AM118</f>
        <v>2.7516772220000001</v>
      </c>
      <c r="AK386" s="6">
        <f>[1]Results!AN118</f>
        <v>2.7273381909999999</v>
      </c>
      <c r="AL386" s="6">
        <f>[1]Results!AO118</f>
        <v>2.703099951</v>
      </c>
    </row>
    <row r="388" spans="1:38" x14ac:dyDescent="0.35">
      <c r="A388" s="12" t="s">
        <v>92</v>
      </c>
      <c r="B388" s="6" t="str">
        <f>[1]Emissions!A830</f>
        <v>ems_ci_co2_sagr_2</v>
      </c>
      <c r="C388" s="6">
        <f>[1]Emissions!B830</f>
        <v>14.16949179</v>
      </c>
      <c r="D388" s="6">
        <f>[1]Emissions!C830</f>
        <v>14.30293636</v>
      </c>
      <c r="E388" s="6">
        <f>[1]Emissions!D830</f>
        <v>14.46801889</v>
      </c>
      <c r="F388" s="6">
        <f>[1]Emissions!E830</f>
        <v>14.64496553</v>
      </c>
      <c r="G388" s="6">
        <f>[1]Emissions!F830</f>
        <v>14.898508120000001</v>
      </c>
      <c r="H388" s="6">
        <f>[1]Emissions!G830</f>
        <v>15.218914590000001</v>
      </c>
      <c r="I388" s="6">
        <f>[1]Emissions!H830</f>
        <v>15.569826689999999</v>
      </c>
      <c r="J388" s="6">
        <f>[1]Emissions!I830</f>
        <v>15.10957009</v>
      </c>
      <c r="K388" s="6">
        <f>[1]Emissions!J830</f>
        <v>14.57146893</v>
      </c>
      <c r="L388" s="6">
        <f>[1]Emissions!K830</f>
        <v>14.067482829999999</v>
      </c>
      <c r="M388" s="6">
        <f>[1]Emissions!L830</f>
        <v>13.566045799999999</v>
      </c>
      <c r="N388" s="6">
        <f>[1]Emissions!M830</f>
        <v>13.0731447</v>
      </c>
      <c r="O388" s="6">
        <f>[1]Emissions!N830</f>
        <v>12.58083514</v>
      </c>
      <c r="P388" s="6">
        <f>[1]Emissions!O830</f>
        <v>12.08849107</v>
      </c>
      <c r="Q388" s="6">
        <f>[1]Emissions!P830</f>
        <v>11.600133599999999</v>
      </c>
      <c r="R388" s="6">
        <f>[1]Emissions!Q830</f>
        <v>11.117883839999999</v>
      </c>
      <c r="S388" s="6">
        <f>[1]Emissions!R830</f>
        <v>10.632054350000001</v>
      </c>
      <c r="T388" s="6">
        <f>[1]Emissions!S830</f>
        <v>10.150752900000001</v>
      </c>
      <c r="U388" s="6">
        <f>[1]Emissions!T830</f>
        <v>9.6800437969999997</v>
      </c>
      <c r="V388" s="6">
        <f>[1]Emissions!U830</f>
        <v>9.222737553</v>
      </c>
      <c r="W388" s="6">
        <f>[1]Emissions!V830</f>
        <v>8.7780645439999994</v>
      </c>
      <c r="X388" s="6">
        <f>[1]Emissions!W830</f>
        <v>8.3477414700000008</v>
      </c>
      <c r="Y388" s="6">
        <f>[1]Emissions!X830</f>
        <v>7.9307655490000002</v>
      </c>
      <c r="Z388" s="6">
        <f>[1]Emissions!Y830</f>
        <v>7.5245437419999996</v>
      </c>
      <c r="AA388" s="6">
        <f>[1]Emissions!Z830</f>
        <v>7.1251619960000001</v>
      </c>
      <c r="AB388" s="6">
        <f>[1]Emissions!AA830</f>
        <v>6.7247736690000002</v>
      </c>
      <c r="AC388" s="6">
        <f>[1]Emissions!AB830</f>
        <v>6.3209940920000003</v>
      </c>
      <c r="AD388" s="6">
        <f>[1]Emissions!AC830</f>
        <v>5.9111118510000003</v>
      </c>
      <c r="AE388" s="6">
        <f>[1]Emissions!AD830</f>
        <v>5.4897023430000003</v>
      </c>
      <c r="AF388" s="6">
        <f>[1]Emissions!AE830</f>
        <v>5.0492246590000001</v>
      </c>
      <c r="AG388" s="6">
        <f>[1]Emissions!AF830</f>
        <v>4.5811774859999996</v>
      </c>
      <c r="AH388" s="6">
        <f>[1]Emissions!AG830</f>
        <v>4.0769833029999996</v>
      </c>
      <c r="AI388" s="6">
        <f>[1]Emissions!AH830</f>
        <v>3.5278955019999998</v>
      </c>
      <c r="AJ388" s="6">
        <f>[1]Emissions!AI830</f>
        <v>2.9244888539999998</v>
      </c>
      <c r="AK388" s="6">
        <f>[1]Emissions!AJ830</f>
        <v>2.2562536030000002</v>
      </c>
      <c r="AL388" s="6">
        <f>[1]Emissions!AK830</f>
        <v>1.5109169520000001</v>
      </c>
    </row>
    <row r="389" spans="1:38" x14ac:dyDescent="0.35">
      <c r="A389" t="s">
        <v>39</v>
      </c>
      <c r="B389" s="6" t="str">
        <f>[1]Emissions!A832</f>
        <v>ems_ci_co2_sfor_2</v>
      </c>
      <c r="C389" s="6">
        <f>[1]Emissions!B832</f>
        <v>0.53965023629999997</v>
      </c>
      <c r="D389" s="6">
        <f>[1]Emissions!C832</f>
        <v>0.5321345904</v>
      </c>
      <c r="E389" s="6">
        <f>[1]Emissions!D832</f>
        <v>0.52391275829999995</v>
      </c>
      <c r="F389" s="6">
        <f>[1]Emissions!E832</f>
        <v>0.51479273189999997</v>
      </c>
      <c r="G389" s="6">
        <f>[1]Emissions!F832</f>
        <v>0.5102617585</v>
      </c>
      <c r="H389" s="6">
        <f>[1]Emissions!G832</f>
        <v>0.50910694950000002</v>
      </c>
      <c r="I389" s="6">
        <f>[1]Emissions!H832</f>
        <v>0.50970587749999996</v>
      </c>
      <c r="J389" s="6">
        <f>[1]Emissions!I832</f>
        <v>0.47925833899999998</v>
      </c>
      <c r="K389" s="6">
        <f>[1]Emissions!J832</f>
        <v>0.44806571769999998</v>
      </c>
      <c r="L389" s="6">
        <f>[1]Emissions!K832</f>
        <v>0.41999471640000002</v>
      </c>
      <c r="M389" s="6">
        <f>[1]Emissions!L832</f>
        <v>0.3943723288</v>
      </c>
      <c r="N389" s="6">
        <f>[1]Emissions!M832</f>
        <v>0.37284640600000002</v>
      </c>
      <c r="O389" s="6">
        <f>[1]Emissions!N832</f>
        <v>0.35387618879999999</v>
      </c>
      <c r="P389" s="6">
        <f>[1]Emissions!O832</f>
        <v>0.33657326650000002</v>
      </c>
      <c r="Q389" s="6">
        <f>[1]Emissions!P832</f>
        <v>0.32055750929999999</v>
      </c>
      <c r="R389" s="6">
        <f>[1]Emissions!Q832</f>
        <v>0.30558706089999998</v>
      </c>
      <c r="S389" s="6">
        <f>[1]Emissions!R832</f>
        <v>0.29004854520000001</v>
      </c>
      <c r="T389" s="6">
        <f>[1]Emissions!S832</f>
        <v>0.27482103720000001</v>
      </c>
      <c r="U389" s="6">
        <f>[1]Emissions!T832</f>
        <v>0.26024264759999999</v>
      </c>
      <c r="V389" s="6">
        <f>[1]Emissions!U832</f>
        <v>0.24641689620000001</v>
      </c>
      <c r="W389" s="6">
        <f>[1]Emissions!V832</f>
        <v>0.23329598800000001</v>
      </c>
      <c r="X389" s="6">
        <f>[1]Emissions!W832</f>
        <v>0.2209304336</v>
      </c>
      <c r="Y389" s="6">
        <f>[1]Emissions!X832</f>
        <v>0.20925710719999999</v>
      </c>
      <c r="Z389" s="6">
        <f>[1]Emissions!Y832</f>
        <v>0.19818953950000001</v>
      </c>
      <c r="AA389" s="6">
        <f>[1]Emissions!Z832</f>
        <v>0.18763260779999999</v>
      </c>
      <c r="AB389" s="6">
        <f>[1]Emissions!AA832</f>
        <v>0.17738383420000001</v>
      </c>
      <c r="AC389" s="6">
        <f>[1]Emissions!AB832</f>
        <v>0.16757919430000001</v>
      </c>
      <c r="AD389" s="6">
        <f>[1]Emissions!AC832</f>
        <v>0.1580614743</v>
      </c>
      <c r="AE389" s="6">
        <f>[1]Emissions!AD832</f>
        <v>0.14870346579999999</v>
      </c>
      <c r="AF389" s="6">
        <f>[1]Emissions!AE832</f>
        <v>0.1393537863</v>
      </c>
      <c r="AG389" s="6">
        <f>[1]Emissions!AF832</f>
        <v>0.129853518</v>
      </c>
      <c r="AH389" s="6">
        <f>[1]Emissions!AG832</f>
        <v>0.120051741</v>
      </c>
      <c r="AI389" s="6">
        <f>[1]Emissions!AH832</f>
        <v>0.1097961858</v>
      </c>
      <c r="AJ389" s="6">
        <f>[1]Emissions!AI832</f>
        <v>9.8915432999999997E-2</v>
      </c>
      <c r="AK389" s="6">
        <f>[1]Emissions!AJ832</f>
        <v>8.7209944299999995E-2</v>
      </c>
      <c r="AL389" s="6">
        <f>[1]Emissions!AK832</f>
        <v>7.4435356699999997E-2</v>
      </c>
    </row>
    <row r="390" spans="1:38" x14ac:dyDescent="0.35">
      <c r="B390" s="6" t="str">
        <f>[1]Emissions!A834</f>
        <v>ems_ci_co2_sfoo_2</v>
      </c>
      <c r="C390" s="6">
        <f>[1]Emissions!B834</f>
        <v>8.6183733500000006</v>
      </c>
      <c r="D390" s="6">
        <f>[1]Emissions!C834</f>
        <v>8.6006273370000006</v>
      </c>
      <c r="E390" s="6">
        <f>[1]Emissions!D834</f>
        <v>8.5948533600000001</v>
      </c>
      <c r="F390" s="6">
        <f>[1]Emissions!E834</f>
        <v>8.5811881850000002</v>
      </c>
      <c r="G390" s="6">
        <f>[1]Emissions!F834</f>
        <v>8.6447036500000003</v>
      </c>
      <c r="H390" s="6">
        <f>[1]Emissions!G834</f>
        <v>8.7701395439999992</v>
      </c>
      <c r="I390" s="6">
        <f>[1]Emissions!H834</f>
        <v>8.8836774579999993</v>
      </c>
      <c r="J390" s="6">
        <f>[1]Emissions!I834</f>
        <v>8.4761272929999993</v>
      </c>
      <c r="K390" s="6">
        <f>[1]Emissions!J834</f>
        <v>8.0285759199999998</v>
      </c>
      <c r="L390" s="6">
        <f>[1]Emissions!K834</f>
        <v>7.6152812189999999</v>
      </c>
      <c r="M390" s="6">
        <f>[1]Emissions!L834</f>
        <v>7.2327387009999997</v>
      </c>
      <c r="N390" s="6">
        <f>[1]Emissions!M834</f>
        <v>6.900302656</v>
      </c>
      <c r="O390" s="6">
        <f>[1]Emissions!N834</f>
        <v>6.5994212460000004</v>
      </c>
      <c r="P390" s="6">
        <f>[1]Emissions!O834</f>
        <v>6.3190946109999997</v>
      </c>
      <c r="Q390" s="6">
        <f>[1]Emissions!P834</f>
        <v>6.0544523520000002</v>
      </c>
      <c r="R390" s="6">
        <f>[1]Emissions!Q834</f>
        <v>5.8027435010000001</v>
      </c>
      <c r="S390" s="6">
        <f>[1]Emissions!R834</f>
        <v>5.5622331029999996</v>
      </c>
      <c r="T390" s="6">
        <f>[1]Emissions!S834</f>
        <v>5.3334169290000002</v>
      </c>
      <c r="U390" s="6">
        <f>[1]Emissions!T834</f>
        <v>5.1170572950000004</v>
      </c>
      <c r="V390" s="6">
        <f>[1]Emissions!U834</f>
        <v>4.9135557600000004</v>
      </c>
      <c r="W390" s="6">
        <f>[1]Emissions!V834</f>
        <v>4.7219610980000004</v>
      </c>
      <c r="X390" s="6">
        <f>[1]Emissions!W834</f>
        <v>4.5435865670000002</v>
      </c>
      <c r="Y390" s="6">
        <f>[1]Emissions!X834</f>
        <v>4.3780474219999999</v>
      </c>
      <c r="Z390" s="6">
        <f>[1]Emissions!Y834</f>
        <v>4.2243018330000002</v>
      </c>
      <c r="AA390" s="6">
        <f>[1]Emissions!Z834</f>
        <v>4.0807858369999996</v>
      </c>
      <c r="AB390" s="6">
        <f>[1]Emissions!AA834</f>
        <v>3.9432964770000001</v>
      </c>
      <c r="AC390" s="6">
        <f>[1]Emissions!AB834</f>
        <v>3.8117347260000001</v>
      </c>
      <c r="AD390" s="6">
        <f>[1]Emissions!AC834</f>
        <v>3.6854221489999999</v>
      </c>
      <c r="AE390" s="6">
        <f>[1]Emissions!AD834</f>
        <v>3.5619372669999998</v>
      </c>
      <c r="AF390" s="6">
        <f>[1]Emissions!AE834</f>
        <v>3.4376399339999999</v>
      </c>
      <c r="AG390" s="6">
        <f>[1]Emissions!AF834</f>
        <v>3.3081774309999998</v>
      </c>
      <c r="AH390" s="6">
        <f>[1]Emissions!AG834</f>
        <v>3.1689913280000002</v>
      </c>
      <c r="AI390" s="6">
        <f>[1]Emissions!AH834</f>
        <v>3.0152402600000001</v>
      </c>
      <c r="AJ390" s="6">
        <f>[1]Emissions!AI834</f>
        <v>2.8413980379999999</v>
      </c>
      <c r="AK390" s="6">
        <f>[1]Emissions!AJ834</f>
        <v>2.6411125489999998</v>
      </c>
      <c r="AL390" s="6">
        <f>[1]Emissions!AK834</f>
        <v>2.406834811</v>
      </c>
    </row>
    <row r="391" spans="1:38" x14ac:dyDescent="0.35">
      <c r="B391" s="6" t="str">
        <f>[1]Emissions!A836</f>
        <v>ems_ci_co2_sveh_2</v>
      </c>
      <c r="C391" s="6">
        <f>[1]Emissions!B836</f>
        <v>1.1119214820000001</v>
      </c>
      <c r="D391" s="6">
        <f>[1]Emissions!C836</f>
        <v>1.1115752000000001</v>
      </c>
      <c r="E391" s="6">
        <f>[1]Emissions!D836</f>
        <v>1.106864053</v>
      </c>
      <c r="F391" s="6">
        <f>[1]Emissions!E836</f>
        <v>1.0940318200000001</v>
      </c>
      <c r="G391" s="6">
        <f>[1]Emissions!F836</f>
        <v>1.090909122</v>
      </c>
      <c r="H391" s="6">
        <f>[1]Emissions!G836</f>
        <v>1.098080969</v>
      </c>
      <c r="I391" s="6">
        <f>[1]Emissions!H836</f>
        <v>1.0991816029999999</v>
      </c>
      <c r="J391" s="6">
        <f>[1]Emissions!I836</f>
        <v>1.0057041900000001</v>
      </c>
      <c r="K391" s="6">
        <f>[1]Emissions!J836</f>
        <v>0.89717149920000006</v>
      </c>
      <c r="L391" s="6">
        <f>[1]Emissions!K836</f>
        <v>0.79571134099999996</v>
      </c>
      <c r="M391" s="6">
        <f>[1]Emissions!L836</f>
        <v>0.69816674970000003</v>
      </c>
      <c r="N391" s="6">
        <f>[1]Emissions!M836</f>
        <v>0.60874750450000004</v>
      </c>
      <c r="O391" s="6">
        <f>[1]Emissions!N836</f>
        <v>0.52768860780000004</v>
      </c>
      <c r="P391" s="6">
        <f>[1]Emissions!O836</f>
        <v>0.4555276244</v>
      </c>
      <c r="Q391" s="6">
        <f>[1]Emissions!P836</f>
        <v>0.39263194200000001</v>
      </c>
      <c r="R391" s="6">
        <f>[1]Emissions!Q836</f>
        <v>0.33855853270000003</v>
      </c>
      <c r="S391" s="6">
        <f>[1]Emissions!R836</f>
        <v>0.29273918360000001</v>
      </c>
      <c r="T391" s="6">
        <f>[1]Emissions!S836</f>
        <v>0.25423036830000001</v>
      </c>
      <c r="U391" s="6">
        <f>[1]Emissions!T836</f>
        <v>0.22198045750000001</v>
      </c>
      <c r="V391" s="6">
        <f>[1]Emissions!U836</f>
        <v>0.19510003519999999</v>
      </c>
      <c r="W391" s="6">
        <f>[1]Emissions!V836</f>
        <v>0.17284401120000001</v>
      </c>
      <c r="X391" s="6">
        <f>[1]Emissions!W836</f>
        <v>0.154559906</v>
      </c>
      <c r="Y391" s="6">
        <f>[1]Emissions!X836</f>
        <v>0.13964481049999999</v>
      </c>
      <c r="Z391" s="6">
        <f>[1]Emissions!Y836</f>
        <v>0.12751299890000001</v>
      </c>
      <c r="AA391" s="6">
        <f>[1]Emissions!Z836</f>
        <v>0.1176543514</v>
      </c>
      <c r="AB391" s="6">
        <f>[1]Emissions!AA836</f>
        <v>0.10965008599999999</v>
      </c>
      <c r="AC391" s="6">
        <f>[1]Emissions!AB836</f>
        <v>0.10328786600000001</v>
      </c>
      <c r="AD391" s="6">
        <f>[1]Emissions!AC836</f>
        <v>9.8227608800000005E-2</v>
      </c>
      <c r="AE391" s="6">
        <f>[1]Emissions!AD836</f>
        <v>9.4071762700000006E-2</v>
      </c>
      <c r="AF391" s="6">
        <f>[1]Emissions!AE836</f>
        <v>9.0348534199999997E-2</v>
      </c>
      <c r="AG391" s="6">
        <f>[1]Emissions!AF836</f>
        <v>8.6574408699999994E-2</v>
      </c>
      <c r="AH391" s="6">
        <f>[1]Emissions!AG836</f>
        <v>8.2291523399999997E-2</v>
      </c>
      <c r="AI391" s="6">
        <f>[1]Emissions!AH836</f>
        <v>7.7015115699999998E-2</v>
      </c>
      <c r="AJ391" s="6">
        <f>[1]Emissions!AI836</f>
        <v>7.0148317200000004E-2</v>
      </c>
      <c r="AK391" s="6">
        <f>[1]Emissions!AJ836</f>
        <v>6.0964230799999998E-2</v>
      </c>
      <c r="AL391" s="6">
        <f>[1]Emissions!AK836</f>
        <v>4.8555608700000003E-2</v>
      </c>
    </row>
    <row r="392" spans="1:38" x14ac:dyDescent="0.35">
      <c r="B392" s="6" t="str">
        <f>[1]Emissions!A838</f>
        <v>ems_ci_co2_sgla_2</v>
      </c>
      <c r="C392" s="6">
        <f>[1]Emissions!B838</f>
        <v>7.7695963629999998</v>
      </c>
      <c r="D392" s="6">
        <f>[1]Emissions!C838</f>
        <v>7.8393404569999996</v>
      </c>
      <c r="E392" s="6">
        <f>[1]Emissions!D838</f>
        <v>7.9210119920000004</v>
      </c>
      <c r="F392" s="6">
        <f>[1]Emissions!E838</f>
        <v>7.9964522489999998</v>
      </c>
      <c r="G392" s="6">
        <f>[1]Emissions!F838</f>
        <v>8.1128120920000004</v>
      </c>
      <c r="H392" s="6">
        <f>[1]Emissions!G838</f>
        <v>8.2660537880000007</v>
      </c>
      <c r="I392" s="6">
        <f>[1]Emissions!H838</f>
        <v>8.4268166129999997</v>
      </c>
      <c r="J392" s="6">
        <f>[1]Emissions!I838</f>
        <v>8.2638957570000002</v>
      </c>
      <c r="K392" s="6">
        <f>[1]Emissions!J838</f>
        <v>8.0575816200000006</v>
      </c>
      <c r="L392" s="6">
        <f>[1]Emissions!K838</f>
        <v>7.870498059</v>
      </c>
      <c r="M392" s="6">
        <f>[1]Emissions!L838</f>
        <v>7.6932170930000003</v>
      </c>
      <c r="N392" s="6">
        <f>[1]Emissions!M838</f>
        <v>7.5363349700000004</v>
      </c>
      <c r="O392" s="6">
        <f>[1]Emissions!N838</f>
        <v>7.393302083</v>
      </c>
      <c r="P392" s="6">
        <f>[1]Emissions!O838</f>
        <v>7.261524616</v>
      </c>
      <c r="Q392" s="6">
        <f>[1]Emissions!P838</f>
        <v>7.1415127590000003</v>
      </c>
      <c r="R392" s="6">
        <f>[1]Emissions!Q838</f>
        <v>7.0331946910000003</v>
      </c>
      <c r="S392" s="6">
        <f>[1]Emissions!R838</f>
        <v>6.9305139320000002</v>
      </c>
      <c r="T392" s="6">
        <f>[1]Emissions!S838</f>
        <v>6.8342681089999999</v>
      </c>
      <c r="U392" s="6">
        <f>[1]Emissions!T838</f>
        <v>6.7471371209999997</v>
      </c>
      <c r="V392" s="6">
        <f>[1]Emissions!U838</f>
        <v>6.6710279159999999</v>
      </c>
      <c r="W392" s="6">
        <f>[1]Emissions!V838</f>
        <v>6.6061943430000003</v>
      </c>
      <c r="X392" s="6">
        <f>[1]Emissions!W838</f>
        <v>6.5548007579999998</v>
      </c>
      <c r="Y392" s="6">
        <f>[1]Emissions!X838</f>
        <v>6.5176668199999996</v>
      </c>
      <c r="Z392" s="6">
        <f>[1]Emissions!Y838</f>
        <v>6.4946859119999996</v>
      </c>
      <c r="AA392" s="6">
        <f>[1]Emissions!Z838</f>
        <v>6.4850746929999996</v>
      </c>
      <c r="AB392" s="6">
        <f>[1]Emissions!AA838</f>
        <v>6.4850781990000002</v>
      </c>
      <c r="AC392" s="6">
        <f>[1]Emissions!AB838</f>
        <v>6.4950833399999999</v>
      </c>
      <c r="AD392" s="6">
        <f>[1]Emissions!AC838</f>
        <v>6.5166081819999997</v>
      </c>
      <c r="AE392" s="6">
        <f>[1]Emissions!AD838</f>
        <v>6.5487452990000001</v>
      </c>
      <c r="AF392" s="6">
        <f>[1]Emissions!AE838</f>
        <v>6.5891166639999996</v>
      </c>
      <c r="AG392" s="6">
        <f>[1]Emissions!AF838</f>
        <v>6.6347958909999996</v>
      </c>
      <c r="AH392" s="6">
        <f>[1]Emissions!AG838</f>
        <v>6.6832978550000002</v>
      </c>
      <c r="AI392" s="6">
        <f>[1]Emissions!AH838</f>
        <v>6.7325394599999999</v>
      </c>
      <c r="AJ392" s="6">
        <f>[1]Emissions!AI838</f>
        <v>6.7802041329999998</v>
      </c>
      <c r="AK392" s="6">
        <f>[1]Emissions!AJ838</f>
        <v>6.8238867990000003</v>
      </c>
      <c r="AL392" s="6">
        <f>[1]Emissions!AK838</f>
        <v>6.8610676049999997</v>
      </c>
    </row>
    <row r="393" spans="1:38" x14ac:dyDescent="0.35">
      <c r="B393" s="6" t="str">
        <f>[1]Emissions!A840</f>
        <v>ems_ci_co2_spap_2</v>
      </c>
      <c r="C393" s="6">
        <f>[1]Emissions!B840</f>
        <v>2.533610962</v>
      </c>
      <c r="D393" s="6">
        <f>[1]Emissions!C840</f>
        <v>2.559495868</v>
      </c>
      <c r="E393" s="6">
        <f>[1]Emissions!D840</f>
        <v>2.5886845410000001</v>
      </c>
      <c r="F393" s="6">
        <f>[1]Emissions!E840</f>
        <v>2.6133404370000002</v>
      </c>
      <c r="G393" s="6">
        <f>[1]Emissions!F840</f>
        <v>2.6531706150000001</v>
      </c>
      <c r="H393" s="6">
        <f>[1]Emissions!G840</f>
        <v>2.7047290319999999</v>
      </c>
      <c r="I393" s="6">
        <f>[1]Emissions!H840</f>
        <v>2.7521776870000001</v>
      </c>
      <c r="J393" s="6">
        <f>[1]Emissions!I840</f>
        <v>2.6699067090000002</v>
      </c>
      <c r="K393" s="6">
        <f>[1]Emissions!J840</f>
        <v>2.578770907</v>
      </c>
      <c r="L393" s="6">
        <f>[1]Emissions!K840</f>
        <v>2.5048967910000002</v>
      </c>
      <c r="M393" s="6">
        <f>[1]Emissions!L840</f>
        <v>2.4350593850000002</v>
      </c>
      <c r="N393" s="6">
        <f>[1]Emissions!M840</f>
        <v>2.3684646800000002</v>
      </c>
      <c r="O393" s="6">
        <f>[1]Emissions!N840</f>
        <v>2.3029021439999999</v>
      </c>
      <c r="P393" s="6">
        <f>[1]Emissions!O840</f>
        <v>2.2389966370000001</v>
      </c>
      <c r="Q393" s="6">
        <f>[1]Emissions!P840</f>
        <v>2.178431792</v>
      </c>
      <c r="R393" s="6">
        <f>[1]Emissions!Q840</f>
        <v>2.1218740139999999</v>
      </c>
      <c r="S393" s="6">
        <f>[1]Emissions!R840</f>
        <v>2.067594207</v>
      </c>
      <c r="T393" s="6">
        <f>[1]Emissions!S840</f>
        <v>2.0170603570000001</v>
      </c>
      <c r="U393" s="6">
        <f>[1]Emissions!T840</f>
        <v>1.970952547</v>
      </c>
      <c r="V393" s="6">
        <f>[1]Emissions!U840</f>
        <v>1.929414282</v>
      </c>
      <c r="W393" s="6">
        <f>[1]Emissions!V840</f>
        <v>1.8921459469999999</v>
      </c>
      <c r="X393" s="6">
        <f>[1]Emissions!W840</f>
        <v>1.8594613339999999</v>
      </c>
      <c r="Y393" s="6">
        <f>[1]Emissions!X840</f>
        <v>1.831297194</v>
      </c>
      <c r="Z393" s="6">
        <f>[1]Emissions!Y840</f>
        <v>1.8073161369999999</v>
      </c>
      <c r="AA393" s="6">
        <f>[1]Emissions!Z840</f>
        <v>1.7869212590000001</v>
      </c>
      <c r="AB393" s="6">
        <f>[1]Emissions!AA840</f>
        <v>1.768778006</v>
      </c>
      <c r="AC393" s="6">
        <f>[1]Emissions!AB840</f>
        <v>1.7532114569999999</v>
      </c>
      <c r="AD393" s="6">
        <f>[1]Emissions!AC840</f>
        <v>1.7400571899999999</v>
      </c>
      <c r="AE393" s="6">
        <f>[1]Emissions!AD840</f>
        <v>1.72870518</v>
      </c>
      <c r="AF393" s="6">
        <f>[1]Emissions!AE840</f>
        <v>1.717959735</v>
      </c>
      <c r="AG393" s="6">
        <f>[1]Emissions!AF840</f>
        <v>1.7064313360000001</v>
      </c>
      <c r="AH393" s="6">
        <f>[1]Emissions!AG840</f>
        <v>1.6929405230000001</v>
      </c>
      <c r="AI393" s="6">
        <f>[1]Emissions!AH840</f>
        <v>1.676500589</v>
      </c>
      <c r="AJ393" s="6">
        <f>[1]Emissions!AI840</f>
        <v>1.6561056569999999</v>
      </c>
      <c r="AK393" s="6">
        <f>[1]Emissions!AJ840</f>
        <v>1.630720137</v>
      </c>
      <c r="AL393" s="6">
        <f>[1]Emissions!AK840</f>
        <v>1.5992524910000001</v>
      </c>
    </row>
    <row r="394" spans="1:38" x14ac:dyDescent="0.35">
      <c r="B394" s="6" t="str">
        <f>[1]Emissions!A842</f>
        <v>ems_ci_co2_sche_2</v>
      </c>
      <c r="C394" s="6">
        <f>[1]Emissions!B842</f>
        <v>13.59787135</v>
      </c>
      <c r="D394" s="6">
        <f>[1]Emissions!C842</f>
        <v>13.92077106</v>
      </c>
      <c r="E394" s="6">
        <f>[1]Emissions!D842</f>
        <v>14.27752819</v>
      </c>
      <c r="F394" s="6">
        <f>[1]Emissions!E842</f>
        <v>14.64251211</v>
      </c>
      <c r="G394" s="6">
        <f>[1]Emissions!F842</f>
        <v>15.030597930000001</v>
      </c>
      <c r="H394" s="6">
        <f>[1]Emissions!G842</f>
        <v>15.441185340000001</v>
      </c>
      <c r="I394" s="6">
        <f>[1]Emissions!H842</f>
        <v>15.845460640000001</v>
      </c>
      <c r="J394" s="6">
        <f>[1]Emissions!I842</f>
        <v>15.87281978</v>
      </c>
      <c r="K394" s="6">
        <f>[1]Emissions!J842</f>
        <v>15.85692862</v>
      </c>
      <c r="L394" s="6">
        <f>[1]Emissions!K842</f>
        <v>15.93814665</v>
      </c>
      <c r="M394" s="6">
        <f>[1]Emissions!L842</f>
        <v>15.99013693</v>
      </c>
      <c r="N394" s="6">
        <f>[1]Emissions!M842</f>
        <v>15.938760479999999</v>
      </c>
      <c r="O394" s="6">
        <f>[1]Emissions!N842</f>
        <v>15.80575582</v>
      </c>
      <c r="P394" s="6">
        <f>[1]Emissions!O842</f>
        <v>15.625139369999999</v>
      </c>
      <c r="Q394" s="6">
        <f>[1]Emissions!P842</f>
        <v>15.43086851</v>
      </c>
      <c r="R394" s="6">
        <f>[1]Emissions!Q842</f>
        <v>15.24118893</v>
      </c>
      <c r="S394" s="6">
        <f>[1]Emissions!R842</f>
        <v>15.073913449999999</v>
      </c>
      <c r="T394" s="6">
        <f>[1]Emissions!S842</f>
        <v>14.934969239999999</v>
      </c>
      <c r="U394" s="6">
        <f>[1]Emissions!T842</f>
        <v>14.82976335</v>
      </c>
      <c r="V394" s="6">
        <f>[1]Emissions!U842</f>
        <v>14.758868809999999</v>
      </c>
      <c r="W394" s="6">
        <f>[1]Emissions!V842</f>
        <v>14.720286979999999</v>
      </c>
      <c r="X394" s="6">
        <f>[1]Emissions!W842</f>
        <v>14.71590408</v>
      </c>
      <c r="Y394" s="6">
        <f>[1]Emissions!X842</f>
        <v>14.74615502</v>
      </c>
      <c r="Z394" s="6">
        <f>[1]Emissions!Y842</f>
        <v>14.80924065</v>
      </c>
      <c r="AA394" s="6">
        <f>[1]Emissions!Z842</f>
        <v>14.900938180000001</v>
      </c>
      <c r="AB394" s="6">
        <f>[1]Emissions!AA842</f>
        <v>15.01314932</v>
      </c>
      <c r="AC394" s="6">
        <f>[1]Emissions!AB842</f>
        <v>15.14770444</v>
      </c>
      <c r="AD394" s="6">
        <f>[1]Emissions!AC842</f>
        <v>15.308821999999999</v>
      </c>
      <c r="AE394" s="6">
        <f>[1]Emissions!AD842</f>
        <v>15.49396061</v>
      </c>
      <c r="AF394" s="6">
        <f>[1]Emissions!AE842</f>
        <v>15.69365797</v>
      </c>
      <c r="AG394" s="6">
        <f>[1]Emissions!AF842</f>
        <v>15.89656025</v>
      </c>
      <c r="AH394" s="6">
        <f>[1]Emissions!AG842</f>
        <v>16.094529269999999</v>
      </c>
      <c r="AI394" s="6">
        <f>[1]Emissions!AH842</f>
        <v>16.282363149999998</v>
      </c>
      <c r="AJ394" s="6">
        <f>[1]Emissions!AI842</f>
        <v>16.45482792</v>
      </c>
      <c r="AK394" s="6">
        <f>[1]Emissions!AJ842</f>
        <v>16.606737630000001</v>
      </c>
      <c r="AL394" s="6">
        <f>[1]Emissions!AK842</f>
        <v>16.733048830000001</v>
      </c>
    </row>
    <row r="395" spans="1:38" x14ac:dyDescent="0.35">
      <c r="B395" s="6" t="str">
        <f>[1]Emissions!A844</f>
        <v>ems_ci_co2_spla_2</v>
      </c>
      <c r="C395" s="6">
        <f>[1]Emissions!B844</f>
        <v>1.4824302970000001</v>
      </c>
      <c r="D395" s="6">
        <f>[1]Emissions!C844</f>
        <v>1.4894085180000001</v>
      </c>
      <c r="E395" s="6">
        <f>[1]Emissions!D844</f>
        <v>1.4970472770000001</v>
      </c>
      <c r="F395" s="6">
        <f>[1]Emissions!E844</f>
        <v>1.499244724</v>
      </c>
      <c r="G395" s="6">
        <f>[1]Emissions!F844</f>
        <v>1.5132738649999999</v>
      </c>
      <c r="H395" s="6">
        <f>[1]Emissions!G844</f>
        <v>1.537020016</v>
      </c>
      <c r="I395" s="6">
        <f>[1]Emissions!H844</f>
        <v>1.563083011</v>
      </c>
      <c r="J395" s="6">
        <f>[1]Emissions!I844</f>
        <v>1.479825293</v>
      </c>
      <c r="K395" s="6">
        <f>[1]Emissions!J844</f>
        <v>1.3911279050000001</v>
      </c>
      <c r="L395" s="6">
        <f>[1]Emissions!K844</f>
        <v>1.314993597</v>
      </c>
      <c r="M395" s="6">
        <f>[1]Emissions!L844</f>
        <v>1.2428310309999999</v>
      </c>
      <c r="N395" s="6">
        <f>[1]Emissions!M844</f>
        <v>1.1750619600000001</v>
      </c>
      <c r="O395" s="6">
        <f>[1]Emissions!N844</f>
        <v>1.1106242319999999</v>
      </c>
      <c r="P395" s="6">
        <f>[1]Emissions!O844</f>
        <v>1.0497091780000001</v>
      </c>
      <c r="Q395" s="6">
        <f>[1]Emissions!P844</f>
        <v>0.99293351910000005</v>
      </c>
      <c r="R395" s="6">
        <f>[1]Emissions!Q844</f>
        <v>0.94023926140000003</v>
      </c>
      <c r="S395" s="6">
        <f>[1]Emissions!R844</f>
        <v>0.88964403930000002</v>
      </c>
      <c r="T395" s="6">
        <f>[1]Emissions!S844</f>
        <v>0.84185638350000003</v>
      </c>
      <c r="U395" s="6">
        <f>[1]Emissions!T844</f>
        <v>0.79714693709999995</v>
      </c>
      <c r="V395" s="6">
        <f>[1]Emissions!U844</f>
        <v>0.75543832079999995</v>
      </c>
      <c r="W395" s="6">
        <f>[1]Emissions!V844</f>
        <v>0.71646452650000003</v>
      </c>
      <c r="X395" s="6">
        <f>[1]Emissions!W844</f>
        <v>0.68002447099999996</v>
      </c>
      <c r="Y395" s="6">
        <f>[1]Emissions!X844</f>
        <v>0.64581263799999999</v>
      </c>
      <c r="Z395" s="6">
        <f>[1]Emissions!Y844</f>
        <v>0.61336712469999999</v>
      </c>
      <c r="AA395" s="6">
        <f>[1]Emissions!Z844</f>
        <v>0.58211817089999995</v>
      </c>
      <c r="AB395" s="6">
        <f>[1]Emissions!AA844</f>
        <v>0.55136701749999995</v>
      </c>
      <c r="AC395" s="6">
        <f>[1]Emissions!AB844</f>
        <v>0.52075977449999999</v>
      </c>
      <c r="AD395" s="6">
        <f>[1]Emissions!AC844</f>
        <v>0.48983802510000002</v>
      </c>
      <c r="AE395" s="6">
        <f>[1]Emissions!AD844</f>
        <v>0.45791348949999999</v>
      </c>
      <c r="AF395" s="6">
        <f>[1]Emissions!AE844</f>
        <v>0.4240856583</v>
      </c>
      <c r="AG395" s="6">
        <f>[1]Emissions!AF844</f>
        <v>0.3874195486</v>
      </c>
      <c r="AH395" s="6">
        <f>[1]Emissions!AG844</f>
        <v>0.3470565578</v>
      </c>
      <c r="AI395" s="6">
        <f>[1]Emissions!AH844</f>
        <v>0.30215155989999998</v>
      </c>
      <c r="AJ395" s="6">
        <f>[1]Emissions!AI844</f>
        <v>0.2517567121</v>
      </c>
      <c r="AK395" s="6">
        <f>[1]Emissions!AJ844</f>
        <v>0.19475584949999999</v>
      </c>
      <c r="AL395" s="6">
        <f>[1]Emissions!AK844</f>
        <v>0.12973947969999999</v>
      </c>
    </row>
    <row r="396" spans="1:38" x14ac:dyDescent="0.35">
      <c r="B396" s="6" t="str">
        <f>[1]Emissions!A846</f>
        <v>ems_ci_co2_smet_2</v>
      </c>
      <c r="C396" s="6">
        <f>[1]Emissions!B846</f>
        <v>19.467183080000002</v>
      </c>
      <c r="D396" s="6">
        <f>[1]Emissions!C846</f>
        <v>19.626582750000001</v>
      </c>
      <c r="E396" s="6">
        <f>[1]Emissions!D846</f>
        <v>19.80670559</v>
      </c>
      <c r="F396" s="6">
        <f>[1]Emissions!E846</f>
        <v>19.915586959999999</v>
      </c>
      <c r="G396" s="6">
        <f>[1]Emissions!F846</f>
        <v>20.164650890000001</v>
      </c>
      <c r="H396" s="6">
        <f>[1]Emissions!G846</f>
        <v>20.524407159999999</v>
      </c>
      <c r="I396" s="6">
        <f>[1]Emissions!H846</f>
        <v>20.907109810000001</v>
      </c>
      <c r="J396" s="6">
        <f>[1]Emissions!I846</f>
        <v>20.310238909999999</v>
      </c>
      <c r="K396" s="6">
        <f>[1]Emissions!J846</f>
        <v>19.595177240000002</v>
      </c>
      <c r="L396" s="6">
        <f>[1]Emissions!K846</f>
        <v>19.013307130000001</v>
      </c>
      <c r="M396" s="6">
        <f>[1]Emissions!L846</f>
        <v>18.46084346</v>
      </c>
      <c r="N396" s="6">
        <f>[1]Emissions!M846</f>
        <v>17.970907589999999</v>
      </c>
      <c r="O396" s="6">
        <f>[1]Emissions!N846</f>
        <v>17.517495149999998</v>
      </c>
      <c r="P396" s="6">
        <f>[1]Emissions!O846</f>
        <v>17.101456970000001</v>
      </c>
      <c r="Q396" s="6">
        <f>[1]Emissions!P846</f>
        <v>16.73440896</v>
      </c>
      <c r="R396" s="6">
        <f>[1]Emissions!Q846</f>
        <v>16.41923684</v>
      </c>
      <c r="S396" s="6">
        <f>[1]Emissions!R846</f>
        <v>16.11357782</v>
      </c>
      <c r="T396" s="6">
        <f>[1]Emissions!S846</f>
        <v>15.8367568</v>
      </c>
      <c r="U396" s="6">
        <f>[1]Emissions!T846</f>
        <v>15.600242550000001</v>
      </c>
      <c r="V396" s="6">
        <f>[1]Emissions!U846</f>
        <v>15.407829319999999</v>
      </c>
      <c r="W396" s="6">
        <f>[1]Emissions!V846</f>
        <v>15.2594762</v>
      </c>
      <c r="X396" s="6">
        <f>[1]Emissions!W846</f>
        <v>15.15694023</v>
      </c>
      <c r="Y396" s="6">
        <f>[1]Emissions!X846</f>
        <v>15.10105559</v>
      </c>
      <c r="Z396" s="6">
        <f>[1]Emissions!Y846</f>
        <v>15.090020340000001</v>
      </c>
      <c r="AA396" s="6">
        <f>[1]Emissions!Z846</f>
        <v>15.119803080000001</v>
      </c>
      <c r="AB396" s="6">
        <f>[1]Emissions!AA846</f>
        <v>15.18322987</v>
      </c>
      <c r="AC396" s="6">
        <f>[1]Emissions!AB846</f>
        <v>15.280699289999999</v>
      </c>
      <c r="AD396" s="6">
        <f>[1]Emissions!AC846</f>
        <v>15.41515274</v>
      </c>
      <c r="AE396" s="6">
        <f>[1]Emissions!AD846</f>
        <v>15.583572849999999</v>
      </c>
      <c r="AF396" s="6">
        <f>[1]Emissions!AE846</f>
        <v>15.77729343</v>
      </c>
      <c r="AG396" s="6">
        <f>[1]Emissions!AF846</f>
        <v>15.98620985</v>
      </c>
      <c r="AH396" s="6">
        <f>[1]Emissions!AG846</f>
        <v>16.203112520000001</v>
      </c>
      <c r="AI396" s="6">
        <f>[1]Emissions!AH846</f>
        <v>16.423376229999999</v>
      </c>
      <c r="AJ396" s="6">
        <f>[1]Emissions!AI846</f>
        <v>16.642349970000001</v>
      </c>
      <c r="AK396" s="6">
        <f>[1]Emissions!AJ846</f>
        <v>16.855543040000001</v>
      </c>
      <c r="AL396" s="6">
        <f>[1]Emissions!AK846</f>
        <v>17.058623690000001</v>
      </c>
    </row>
    <row r="397" spans="1:38" x14ac:dyDescent="0.35">
      <c r="B397" s="6" t="str">
        <f>[1]Emissions!A848</f>
        <v>ems_ci_co2_sigo_2</v>
      </c>
      <c r="C397" s="6">
        <f>[1]Emissions!B848</f>
        <v>1.216511809</v>
      </c>
      <c r="D397" s="6">
        <f>[1]Emissions!C848</f>
        <v>1.238486529</v>
      </c>
      <c r="E397" s="6">
        <f>[1]Emissions!D848</f>
        <v>1.2600958840000001</v>
      </c>
      <c r="F397" s="6">
        <f>[1]Emissions!E848</f>
        <v>1.277281871</v>
      </c>
      <c r="G397" s="6">
        <f>[1]Emissions!F848</f>
        <v>1.300921744</v>
      </c>
      <c r="H397" s="6">
        <f>[1]Emissions!G848</f>
        <v>1.330426831</v>
      </c>
      <c r="I397" s="6">
        <f>[1]Emissions!H848</f>
        <v>1.355726813</v>
      </c>
      <c r="J397" s="6">
        <f>[1]Emissions!I848</f>
        <v>1.2927851640000001</v>
      </c>
      <c r="K397" s="6">
        <f>[1]Emissions!J848</f>
        <v>1.223841263</v>
      </c>
      <c r="L397" s="6">
        <f>[1]Emissions!K848</f>
        <v>1.166339032</v>
      </c>
      <c r="M397" s="6">
        <f>[1]Emissions!L848</f>
        <v>1.1092920959999999</v>
      </c>
      <c r="N397" s="6">
        <f>[1]Emissions!M848</f>
        <v>1.0517338919999999</v>
      </c>
      <c r="O397" s="6">
        <f>[1]Emissions!N848</f>
        <v>0.99349710000000002</v>
      </c>
      <c r="P397" s="6">
        <f>[1]Emissions!O848</f>
        <v>0.93608595449999998</v>
      </c>
      <c r="Q397" s="6">
        <f>[1]Emissions!P848</f>
        <v>0.88127164020000004</v>
      </c>
      <c r="R397" s="6">
        <f>[1]Emissions!Q848</f>
        <v>0.82970906389999999</v>
      </c>
      <c r="S397" s="6">
        <f>[1]Emissions!R848</f>
        <v>0.78169544179999995</v>
      </c>
      <c r="T397" s="6">
        <f>[1]Emissions!S848</f>
        <v>0.73773828480000003</v>
      </c>
      <c r="U397" s="6">
        <f>[1]Emissions!T848</f>
        <v>0.69771369260000005</v>
      </c>
      <c r="V397" s="6">
        <f>[1]Emissions!U848</f>
        <v>0.66123953369999999</v>
      </c>
      <c r="W397" s="6">
        <f>[1]Emissions!V848</f>
        <v>0.62794485619999996</v>
      </c>
      <c r="X397" s="6">
        <f>[1]Emissions!W848</f>
        <v>0.59752846630000001</v>
      </c>
      <c r="Y397" s="6">
        <f>[1]Emissions!X848</f>
        <v>0.56970315439999997</v>
      </c>
      <c r="Z397" s="6">
        <f>[1]Emissions!Y848</f>
        <v>0.54397924610000004</v>
      </c>
      <c r="AA397" s="6">
        <f>[1]Emissions!Z848</f>
        <v>0.51976370039999997</v>
      </c>
      <c r="AB397" s="6">
        <f>[1]Emissions!AA848</f>
        <v>0.49648616350000002</v>
      </c>
      <c r="AC397" s="6">
        <f>[1]Emissions!AB848</f>
        <v>0.47373173660000001</v>
      </c>
      <c r="AD397" s="6">
        <f>[1]Emissions!AC848</f>
        <v>0.45134584280000001</v>
      </c>
      <c r="AE397" s="6">
        <f>[1]Emissions!AD848</f>
        <v>0.4286170882</v>
      </c>
      <c r="AF397" s="6">
        <f>[1]Emissions!AE848</f>
        <v>0.4045209173</v>
      </c>
      <c r="AG397" s="6">
        <f>[1]Emissions!AF848</f>
        <v>0.37799406060000001</v>
      </c>
      <c r="AH397" s="6">
        <f>[1]Emissions!AG848</f>
        <v>0.34811415099999998</v>
      </c>
      <c r="AI397" s="6">
        <f>[1]Emissions!AH848</f>
        <v>0.31398661449999998</v>
      </c>
      <c r="AJ397" s="6">
        <f>[1]Emissions!AI848</f>
        <v>0.274549924</v>
      </c>
      <c r="AK397" s="6">
        <f>[1]Emissions!AJ848</f>
        <v>0.2285703104</v>
      </c>
      <c r="AL397" s="6">
        <f>[1]Emissions!AK848</f>
        <v>0.17458450389999999</v>
      </c>
    </row>
    <row r="398" spans="1:38" x14ac:dyDescent="0.35">
      <c r="B398" s="6" t="str">
        <f>[1]Emissions!A850</f>
        <v>ems_ci_co2_scgo_2</v>
      </c>
      <c r="C398" s="6">
        <f>[1]Emissions!B850</f>
        <v>2.2734885010000001</v>
      </c>
      <c r="D398" s="6">
        <f>[1]Emissions!C850</f>
        <v>2.289601572</v>
      </c>
      <c r="E398" s="6">
        <f>[1]Emissions!D850</f>
        <v>2.308798103</v>
      </c>
      <c r="F398" s="6">
        <f>[1]Emissions!E850</f>
        <v>2.325087914</v>
      </c>
      <c r="G398" s="6">
        <f>[1]Emissions!F850</f>
        <v>2.3559123839999998</v>
      </c>
      <c r="H398" s="6">
        <f>[1]Emissions!G850</f>
        <v>2.3993437640000002</v>
      </c>
      <c r="I398" s="6">
        <f>[1]Emissions!H850</f>
        <v>2.4437195809999999</v>
      </c>
      <c r="J398" s="6">
        <f>[1]Emissions!I850</f>
        <v>2.361486454</v>
      </c>
      <c r="K398" s="6">
        <f>[1]Emissions!J850</f>
        <v>2.263999283</v>
      </c>
      <c r="L398" s="6">
        <f>[1]Emissions!K850</f>
        <v>2.1751524760000001</v>
      </c>
      <c r="M398" s="6">
        <f>[1]Emissions!L850</f>
        <v>2.0881989810000001</v>
      </c>
      <c r="N398" s="6">
        <f>[1]Emissions!M850</f>
        <v>2.0063369899999999</v>
      </c>
      <c r="O398" s="6">
        <f>[1]Emissions!N850</f>
        <v>1.9274036889999999</v>
      </c>
      <c r="P398" s="6">
        <f>[1]Emissions!O850</f>
        <v>1.8512883490000001</v>
      </c>
      <c r="Q398" s="6">
        <f>[1]Emissions!P850</f>
        <v>1.7790075510000001</v>
      </c>
      <c r="R398" s="6">
        <f>[1]Emissions!Q850</f>
        <v>1.7110452650000001</v>
      </c>
      <c r="S398" s="6">
        <f>[1]Emissions!R850</f>
        <v>1.6445341490000001</v>
      </c>
      <c r="T398" s="6">
        <f>[1]Emissions!S850</f>
        <v>1.5813220809999999</v>
      </c>
      <c r="U398" s="6">
        <f>[1]Emissions!T850</f>
        <v>1.522423565</v>
      </c>
      <c r="V398" s="6">
        <f>[1]Emissions!U850</f>
        <v>1.4683145710000001</v>
      </c>
      <c r="W398" s="6">
        <f>[1]Emissions!V850</f>
        <v>1.418998247</v>
      </c>
      <c r="X398" s="6">
        <f>[1]Emissions!W850</f>
        <v>1.3748265639999999</v>
      </c>
      <c r="Y398" s="6">
        <f>[1]Emissions!X850</f>
        <v>1.3357405090000001</v>
      </c>
      <c r="Z398" s="6">
        <f>[1]Emissions!Y850</f>
        <v>1.3014284549999999</v>
      </c>
      <c r="AA398" s="6">
        <f>[1]Emissions!Z850</f>
        <v>1.2714026540000001</v>
      </c>
      <c r="AB398" s="6">
        <f>[1]Emissions!AA850</f>
        <v>1.244632156</v>
      </c>
      <c r="AC398" s="6">
        <f>[1]Emissions!AB850</f>
        <v>1.2214891430000001</v>
      </c>
      <c r="AD398" s="6">
        <f>[1]Emissions!AC850</f>
        <v>1.2014622740000001</v>
      </c>
      <c r="AE398" s="6">
        <f>[1]Emissions!AD850</f>
        <v>1.1838147539999999</v>
      </c>
      <c r="AF398" s="6">
        <f>[1]Emissions!AE850</f>
        <v>1.1674044800000001</v>
      </c>
      <c r="AG398" s="6">
        <f>[1]Emissions!AF850</f>
        <v>1.1509403460000001</v>
      </c>
      <c r="AH398" s="6">
        <f>[1]Emissions!AG850</f>
        <v>1.13324862</v>
      </c>
      <c r="AI398" s="6">
        <f>[1]Emissions!AH850</f>
        <v>1.1132397009999999</v>
      </c>
      <c r="AJ398" s="6">
        <f>[1]Emissions!AI850</f>
        <v>1.0897311629999999</v>
      </c>
      <c r="AK398" s="6">
        <f>[1]Emissions!AJ850</f>
        <v>1.0614525909999999</v>
      </c>
      <c r="AL398" s="6">
        <f>[1]Emissions!AK850</f>
        <v>1.0270053180000001</v>
      </c>
    </row>
    <row r="399" spans="1:38" x14ac:dyDescent="0.35">
      <c r="B399" s="6" t="str">
        <f>[1]Emissions!A852</f>
        <v>ems_ci_co2_scon_2</v>
      </c>
      <c r="C399" s="6">
        <f>[1]Emissions!B852</f>
        <v>7.427060129</v>
      </c>
      <c r="D399" s="6">
        <f>[1]Emissions!C852</f>
        <v>7.1022372860000003</v>
      </c>
      <c r="E399" s="6">
        <f>[1]Emissions!D852</f>
        <v>6.7601761519999997</v>
      </c>
      <c r="F399" s="6">
        <f>[1]Emissions!E852</f>
        <v>6.3688177250000004</v>
      </c>
      <c r="G399" s="6">
        <f>[1]Emissions!F852</f>
        <v>6.1582708019999997</v>
      </c>
      <c r="H399" s="6">
        <f>[1]Emissions!G852</f>
        <v>6.0989008690000004</v>
      </c>
      <c r="I399" s="6">
        <f>[1]Emissions!H852</f>
        <v>6.1256001080000004</v>
      </c>
      <c r="J399" s="6">
        <f>[1]Emissions!I852</f>
        <v>5.3634564180000002</v>
      </c>
      <c r="K399" s="6">
        <f>[1]Emissions!J852</f>
        <v>4.5536535990000004</v>
      </c>
      <c r="L399" s="6">
        <f>[1]Emissions!K852</f>
        <v>3.8390478350000001</v>
      </c>
      <c r="M399" s="6">
        <f>[1]Emissions!L852</f>
        <v>3.2489288119999999</v>
      </c>
      <c r="N399" s="6">
        <f>[1]Emissions!M852</f>
        <v>2.8281899720000001</v>
      </c>
      <c r="O399" s="6">
        <f>[1]Emissions!N852</f>
        <v>2.5162547220000002</v>
      </c>
      <c r="P399" s="6">
        <f>[1]Emissions!O852</f>
        <v>2.272493678</v>
      </c>
      <c r="Q399" s="6">
        <f>[1]Emissions!P852</f>
        <v>2.0737660980000001</v>
      </c>
      <c r="R399" s="6">
        <f>[1]Emissions!Q852</f>
        <v>1.906663625</v>
      </c>
      <c r="S399" s="6">
        <f>[1]Emissions!R852</f>
        <v>1.7475870760000001</v>
      </c>
      <c r="T399" s="6">
        <f>[1]Emissions!S852</f>
        <v>1.600084378</v>
      </c>
      <c r="U399" s="6">
        <f>[1]Emissions!T852</f>
        <v>1.467194342</v>
      </c>
      <c r="V399" s="6">
        <f>[1]Emissions!U852</f>
        <v>1.3501969540000001</v>
      </c>
      <c r="W399" s="6">
        <f>[1]Emissions!V852</f>
        <v>1.2489928530000001</v>
      </c>
      <c r="X399" s="6">
        <f>[1]Emissions!W852</f>
        <v>1.163157333</v>
      </c>
      <c r="Y399" s="6">
        <f>[1]Emissions!X852</f>
        <v>1.0916180360000001</v>
      </c>
      <c r="Z399" s="6">
        <f>[1]Emissions!Y852</f>
        <v>1.032984822</v>
      </c>
      <c r="AA399" s="6">
        <f>[1]Emissions!Z852</f>
        <v>0.98593576400000005</v>
      </c>
      <c r="AB399" s="6">
        <f>[1]Emissions!AA852</f>
        <v>0.9488991443</v>
      </c>
      <c r="AC399" s="6">
        <f>[1]Emissions!AB852</f>
        <v>0.92121935290000001</v>
      </c>
      <c r="AD399" s="6">
        <f>[1]Emissions!AC852</f>
        <v>0.90187039010000003</v>
      </c>
      <c r="AE399" s="6">
        <f>[1]Emissions!AD852</f>
        <v>0.88904021349999995</v>
      </c>
      <c r="AF399" s="6">
        <f>[1]Emissions!AE852</f>
        <v>0.88022352670000004</v>
      </c>
      <c r="AG399" s="6">
        <f>[1]Emissions!AF852</f>
        <v>0.87219514929999997</v>
      </c>
      <c r="AH399" s="6">
        <f>[1]Emissions!AG852</f>
        <v>0.86072365139999996</v>
      </c>
      <c r="AI399" s="6">
        <f>[1]Emissions!AH852</f>
        <v>0.83961531550000001</v>
      </c>
      <c r="AJ399" s="6">
        <f>[1]Emissions!AI852</f>
        <v>0.79895799300000003</v>
      </c>
      <c r="AK399" s="6">
        <f>[1]Emissions!AJ852</f>
        <v>0.72245266850000001</v>
      </c>
      <c r="AL399" s="6">
        <f>[1]Emissions!AK852</f>
        <v>0.58187483740000001</v>
      </c>
    </row>
    <row r="400" spans="1:38" x14ac:dyDescent="0.35">
      <c r="B400" s="6" t="str">
        <f>[1]Emissions!A854</f>
        <v>ems_ci_co2_srai_2</v>
      </c>
      <c r="C400" s="6">
        <f>[1]Emissions!B854</f>
        <v>1.7345464589999999</v>
      </c>
      <c r="D400" s="6">
        <f>[1]Emissions!C854</f>
        <v>1.7615715430000001</v>
      </c>
      <c r="E400" s="6">
        <f>[1]Emissions!D854</f>
        <v>1.7921473109999999</v>
      </c>
      <c r="F400" s="6">
        <f>[1]Emissions!E854</f>
        <v>1.824792881</v>
      </c>
      <c r="G400" s="6">
        <f>[1]Emissions!F854</f>
        <v>1.8608684660000001</v>
      </c>
      <c r="H400" s="6">
        <f>[1]Emissions!G854</f>
        <v>1.9000068000000001</v>
      </c>
      <c r="I400" s="6">
        <f>[1]Emissions!H854</f>
        <v>1.9399432809999999</v>
      </c>
      <c r="J400" s="6">
        <f>[1]Emissions!I854</f>
        <v>1.902878708</v>
      </c>
      <c r="K400" s="6">
        <f>[1]Emissions!J854</f>
        <v>1.8604022659999999</v>
      </c>
      <c r="L400" s="6">
        <f>[1]Emissions!K854</f>
        <v>1.821600798</v>
      </c>
      <c r="M400" s="6">
        <f>[1]Emissions!L854</f>
        <v>1.781050257</v>
      </c>
      <c r="N400" s="6">
        <f>[1]Emissions!M854</f>
        <v>1.7345800309999999</v>
      </c>
      <c r="O400" s="6">
        <f>[1]Emissions!N854</f>
        <v>1.6828686960000001</v>
      </c>
      <c r="P400" s="6">
        <f>[1]Emissions!O854</f>
        <v>1.6273637430000001</v>
      </c>
      <c r="Q400" s="6">
        <f>[1]Emissions!P854</f>
        <v>1.569713575</v>
      </c>
      <c r="R400" s="6">
        <f>[1]Emissions!Q854</f>
        <v>1.5109588039999999</v>
      </c>
      <c r="S400" s="6">
        <f>[1]Emissions!R854</f>
        <v>1.451416654</v>
      </c>
      <c r="T400" s="6">
        <f>[1]Emissions!S854</f>
        <v>1.3919120389999999</v>
      </c>
      <c r="U400" s="6">
        <f>[1]Emissions!T854</f>
        <v>1.3329468369999999</v>
      </c>
      <c r="V400" s="6">
        <f>[1]Emissions!U854</f>
        <v>1.2746646340000001</v>
      </c>
      <c r="W400" s="6">
        <f>[1]Emissions!V854</f>
        <v>1.2167623590000001</v>
      </c>
      <c r="X400" s="6">
        <f>[1]Emissions!W854</f>
        <v>1.1595353669999999</v>
      </c>
      <c r="Y400" s="6">
        <f>[1]Emissions!X854</f>
        <v>1.1027484780000001</v>
      </c>
      <c r="Z400" s="6">
        <f>[1]Emissions!Y854</f>
        <v>1.046085916</v>
      </c>
      <c r="AA400" s="6">
        <f>[1]Emissions!Z854</f>
        <v>0.98911037989999995</v>
      </c>
      <c r="AB400" s="6">
        <f>[1]Emissions!AA854</f>
        <v>0.93077975629999998</v>
      </c>
      <c r="AC400" s="6">
        <f>[1]Emissions!AB854</f>
        <v>0.87129865679999996</v>
      </c>
      <c r="AD400" s="6">
        <f>[1]Emissions!AC854</f>
        <v>0.81023365169999995</v>
      </c>
      <c r="AE400" s="6">
        <f>[1]Emissions!AD854</f>
        <v>0.74705699699999994</v>
      </c>
      <c r="AF400" s="6">
        <f>[1]Emissions!AE854</f>
        <v>0.68107262599999996</v>
      </c>
      <c r="AG400" s="6">
        <f>[1]Emissions!AF854</f>
        <v>0.61154396099999997</v>
      </c>
      <c r="AH400" s="6">
        <f>[1]Emissions!AG854</f>
        <v>0.5378073391</v>
      </c>
      <c r="AI400" s="6">
        <f>[1]Emissions!AH854</f>
        <v>0.45927531830000001</v>
      </c>
      <c r="AJ400" s="6">
        <f>[1]Emissions!AI854</f>
        <v>0.37539767610000002</v>
      </c>
      <c r="AK400" s="6">
        <f>[1]Emissions!AJ854</f>
        <v>0.2856414685</v>
      </c>
      <c r="AL400" s="6">
        <f>[1]Emissions!AK854</f>
        <v>0.18947103849999999</v>
      </c>
    </row>
    <row r="401" spans="2:38" x14ac:dyDescent="0.35">
      <c r="B401" s="6" t="str">
        <f>[1]Emissions!A856</f>
        <v>ems_ci_co2_sroa_2</v>
      </c>
      <c r="C401" s="6">
        <f>[1]Emissions!B856</f>
        <v>17.318265199999999</v>
      </c>
      <c r="D401" s="6">
        <f>[1]Emissions!C856</f>
        <v>17.591020669999999</v>
      </c>
      <c r="E401" s="6">
        <f>[1]Emissions!D856</f>
        <v>17.899963899999999</v>
      </c>
      <c r="F401" s="6">
        <f>[1]Emissions!E856</f>
        <v>18.2300644</v>
      </c>
      <c r="G401" s="6">
        <f>[1]Emissions!F856</f>
        <v>18.593509739999998</v>
      </c>
      <c r="H401" s="6">
        <f>[1]Emissions!G856</f>
        <v>18.986307289999999</v>
      </c>
      <c r="I401" s="6">
        <f>[1]Emissions!H856</f>
        <v>19.386480479999999</v>
      </c>
      <c r="J401" s="6">
        <f>[1]Emissions!I856</f>
        <v>19.021934309999999</v>
      </c>
      <c r="K401" s="6">
        <f>[1]Emissions!J856</f>
        <v>18.60658656</v>
      </c>
      <c r="L401" s="6">
        <f>[1]Emissions!K856</f>
        <v>18.229984810000001</v>
      </c>
      <c r="M401" s="6">
        <f>[1]Emissions!L856</f>
        <v>17.83678772</v>
      </c>
      <c r="N401" s="6">
        <f>[1]Emissions!M856</f>
        <v>17.38347358</v>
      </c>
      <c r="O401" s="6">
        <f>[1]Emissions!N856</f>
        <v>16.87660954</v>
      </c>
      <c r="P401" s="6">
        <f>[1]Emissions!O856</f>
        <v>16.330684720000001</v>
      </c>
      <c r="Q401" s="6">
        <f>[1]Emissions!P856</f>
        <v>15.762212590000001</v>
      </c>
      <c r="R401" s="6">
        <f>[1]Emissions!Q856</f>
        <v>15.181605530000001</v>
      </c>
      <c r="S401" s="6">
        <f>[1]Emissions!R856</f>
        <v>14.592256040000001</v>
      </c>
      <c r="T401" s="6">
        <f>[1]Emissions!S856</f>
        <v>14.002268369999999</v>
      </c>
      <c r="U401" s="6">
        <f>[1]Emissions!T856</f>
        <v>13.41657122</v>
      </c>
      <c r="V401" s="6">
        <f>[1]Emissions!U856</f>
        <v>12.83653299</v>
      </c>
      <c r="W401" s="6">
        <f>[1]Emissions!V856</f>
        <v>12.25904495</v>
      </c>
      <c r="X401" s="6">
        <f>[1]Emissions!W856</f>
        <v>11.687066229999999</v>
      </c>
      <c r="Y401" s="6">
        <f>[1]Emissions!X856</f>
        <v>11.11824345</v>
      </c>
      <c r="Z401" s="6">
        <f>[1]Emissions!Y856</f>
        <v>10.549447860000001</v>
      </c>
      <c r="AA401" s="6">
        <f>[1]Emissions!Z856</f>
        <v>9.9763372540000006</v>
      </c>
      <c r="AB401" s="6">
        <f>[1]Emissions!AA856</f>
        <v>9.388472234</v>
      </c>
      <c r="AC401" s="6">
        <f>[1]Emissions!AB856</f>
        <v>8.7880118209999996</v>
      </c>
      <c r="AD401" s="6">
        <f>[1]Emissions!AC856</f>
        <v>8.1707254070000008</v>
      </c>
      <c r="AE401" s="6">
        <f>[1]Emissions!AD856</f>
        <v>7.5315156779999999</v>
      </c>
      <c r="AF401" s="6">
        <f>[1]Emissions!AE856</f>
        <v>6.8636371370000004</v>
      </c>
      <c r="AG401" s="6">
        <f>[1]Emissions!AF856</f>
        <v>6.159953346</v>
      </c>
      <c r="AH401" s="6">
        <f>[1]Emissions!AG856</f>
        <v>5.4140669389999996</v>
      </c>
      <c r="AI401" s="6">
        <f>[1]Emissions!AH856</f>
        <v>4.6203663209999997</v>
      </c>
      <c r="AJ401" s="6">
        <f>[1]Emissions!AI856</f>
        <v>3.7736499910000001</v>
      </c>
      <c r="AK401" s="6">
        <f>[1]Emissions!AJ856</f>
        <v>2.8689212020000001</v>
      </c>
      <c r="AL401" s="6">
        <f>[1]Emissions!AK856</f>
        <v>1.901196111</v>
      </c>
    </row>
    <row r="402" spans="2:38" x14ac:dyDescent="0.35">
      <c r="B402" s="6" t="str">
        <f>[1]Emissions!A858</f>
        <v>ems_ci_co2_swat_2</v>
      </c>
      <c r="C402" s="6">
        <f>[1]Emissions!B858</f>
        <v>3.8248369960000002</v>
      </c>
      <c r="D402" s="6">
        <f>[1]Emissions!C858</f>
        <v>3.950925486</v>
      </c>
      <c r="E402" s="6">
        <f>[1]Emissions!D858</f>
        <v>4.0834675960000002</v>
      </c>
      <c r="F402" s="6">
        <f>[1]Emissions!E858</f>
        <v>4.2127890890000002</v>
      </c>
      <c r="G402" s="6">
        <f>[1]Emissions!F858</f>
        <v>4.3444162469999998</v>
      </c>
      <c r="H402" s="6">
        <f>[1]Emissions!G858</f>
        <v>4.4804280580000002</v>
      </c>
      <c r="I402" s="6">
        <f>[1]Emissions!H858</f>
        <v>4.6179450419999997</v>
      </c>
      <c r="J402" s="6">
        <f>[1]Emissions!I858</f>
        <v>4.5799090060000003</v>
      </c>
      <c r="K402" s="6">
        <f>[1]Emissions!J858</f>
        <v>4.5487200720000001</v>
      </c>
      <c r="L402" s="6">
        <f>[1]Emissions!K858</f>
        <v>4.5734984949999999</v>
      </c>
      <c r="M402" s="6">
        <f>[1]Emissions!L858</f>
        <v>4.5935391560000003</v>
      </c>
      <c r="N402" s="6">
        <f>[1]Emissions!M858</f>
        <v>4.5690687350000001</v>
      </c>
      <c r="O402" s="6">
        <f>[1]Emissions!N858</f>
        <v>4.4998059279999998</v>
      </c>
      <c r="P402" s="6">
        <f>[1]Emissions!O858</f>
        <v>4.3976601569999998</v>
      </c>
      <c r="Q402" s="6">
        <f>[1]Emissions!P858</f>
        <v>4.2773398140000003</v>
      </c>
      <c r="R402" s="6">
        <f>[1]Emissions!Q858</f>
        <v>4.1473889880000003</v>
      </c>
      <c r="S402" s="6">
        <f>[1]Emissions!R858</f>
        <v>4.0166295190000003</v>
      </c>
      <c r="T402" s="6">
        <f>[1]Emissions!S858</f>
        <v>3.8906215820000001</v>
      </c>
      <c r="U402" s="6">
        <f>[1]Emissions!T858</f>
        <v>3.7715789559999999</v>
      </c>
      <c r="V402" s="6">
        <f>[1]Emissions!U858</f>
        <v>3.6587417790000001</v>
      </c>
      <c r="W402" s="6">
        <f>[1]Emissions!V858</f>
        <v>3.5508728029999999</v>
      </c>
      <c r="X402" s="6">
        <f>[1]Emissions!W858</f>
        <v>3.4471001060000002</v>
      </c>
      <c r="Y402" s="6">
        <f>[1]Emissions!X858</f>
        <v>3.3468148310000001</v>
      </c>
      <c r="Z402" s="6">
        <f>[1]Emissions!Y858</f>
        <v>3.2475251749999998</v>
      </c>
      <c r="AA402" s="6">
        <f>[1]Emissions!Z858</f>
        <v>3.1459094200000002</v>
      </c>
      <c r="AB402" s="6">
        <f>[1]Emissions!AA858</f>
        <v>3.0392874320000001</v>
      </c>
      <c r="AC402" s="6">
        <f>[1]Emissions!AB858</f>
        <v>2.9278927019999998</v>
      </c>
      <c r="AD402" s="6">
        <f>[1]Emissions!AC858</f>
        <v>2.8129472020000001</v>
      </c>
      <c r="AE402" s="6">
        <f>[1]Emissions!AD858</f>
        <v>2.691580965</v>
      </c>
      <c r="AF402" s="6">
        <f>[1]Emissions!AE858</f>
        <v>2.558881585</v>
      </c>
      <c r="AG402" s="6">
        <f>[1]Emissions!AF858</f>
        <v>2.410173946</v>
      </c>
      <c r="AH402" s="6">
        <f>[1]Emissions!AG858</f>
        <v>2.2427838969999998</v>
      </c>
      <c r="AI402" s="6">
        <f>[1]Emissions!AH858</f>
        <v>2.0550223330000001</v>
      </c>
      <c r="AJ402" s="6">
        <f>[1]Emissions!AI858</f>
        <v>1.844380949</v>
      </c>
      <c r="AK402" s="6">
        <f>[1]Emissions!AJ858</f>
        <v>1.6080438530000001</v>
      </c>
      <c r="AL402" s="6">
        <f>[1]Emissions!AK858</f>
        <v>1.3430674890000001</v>
      </c>
    </row>
    <row r="403" spans="2:38" x14ac:dyDescent="0.35">
      <c r="B403" s="6" t="str">
        <f>[1]Emissions!A860</f>
        <v>ems_ci_co2_sair_2</v>
      </c>
      <c r="C403" s="6">
        <f>[1]Emissions!B860</f>
        <v>19.2035819</v>
      </c>
      <c r="D403" s="6">
        <f>[1]Emissions!C860</f>
        <v>19.61793376</v>
      </c>
      <c r="E403" s="6">
        <f>[1]Emissions!D860</f>
        <v>20.08459448</v>
      </c>
      <c r="F403" s="6">
        <f>[1]Emissions!E860</f>
        <v>20.551703509999999</v>
      </c>
      <c r="G403" s="6">
        <f>[1]Emissions!F860</f>
        <v>21.076494950000001</v>
      </c>
      <c r="H403" s="6">
        <f>[1]Emissions!G860</f>
        <v>21.67064117</v>
      </c>
      <c r="I403" s="6">
        <f>[1]Emissions!H860</f>
        <v>22.31905622</v>
      </c>
      <c r="J403" s="6">
        <f>[1]Emissions!I860</f>
        <v>22.016126830000001</v>
      </c>
      <c r="K403" s="6">
        <f>[1]Emissions!J860</f>
        <v>21.616387069999998</v>
      </c>
      <c r="L403" s="6">
        <f>[1]Emissions!K860</f>
        <v>21.336065619999999</v>
      </c>
      <c r="M403" s="6">
        <f>[1]Emissions!L860</f>
        <v>21.054505049999999</v>
      </c>
      <c r="N403" s="6">
        <f>[1]Emissions!M860</f>
        <v>20.71266438</v>
      </c>
      <c r="O403" s="6">
        <f>[1]Emissions!N860</f>
        <v>20.315300000000001</v>
      </c>
      <c r="P403" s="6">
        <f>[1]Emissions!O860</f>
        <v>19.871370339999999</v>
      </c>
      <c r="Q403" s="6">
        <f>[1]Emissions!P860</f>
        <v>19.39601583</v>
      </c>
      <c r="R403" s="6">
        <f>[1]Emissions!Q860</f>
        <v>18.896125829999999</v>
      </c>
      <c r="S403" s="6">
        <f>[1]Emissions!R860</f>
        <v>18.354460459999999</v>
      </c>
      <c r="T403" s="6">
        <f>[1]Emissions!S860</f>
        <v>17.789410230000001</v>
      </c>
      <c r="U403" s="6">
        <f>[1]Emissions!T860</f>
        <v>17.21806733</v>
      </c>
      <c r="V403" s="6">
        <f>[1]Emissions!U860</f>
        <v>16.651053449999999</v>
      </c>
      <c r="W403" s="6">
        <f>[1]Emissions!V860</f>
        <v>16.091513450000001</v>
      </c>
      <c r="X403" s="6">
        <f>[1]Emissions!W860</f>
        <v>15.547575269999999</v>
      </c>
      <c r="Y403" s="6">
        <f>[1]Emissions!X860</f>
        <v>15.02094628</v>
      </c>
      <c r="Z403" s="6">
        <f>[1]Emissions!Y860</f>
        <v>14.50736788</v>
      </c>
      <c r="AA403" s="6">
        <f>[1]Emissions!Z860</f>
        <v>13.99845665</v>
      </c>
      <c r="AB403" s="6">
        <f>[1]Emissions!AA860</f>
        <v>13.47803964</v>
      </c>
      <c r="AC403" s="6">
        <f>[1]Emissions!AB860</f>
        <v>12.94965833</v>
      </c>
      <c r="AD403" s="6">
        <f>[1]Emissions!AC860</f>
        <v>12.411002099999999</v>
      </c>
      <c r="AE403" s="6">
        <f>[1]Emissions!AD860</f>
        <v>11.85266691</v>
      </c>
      <c r="AF403" s="6">
        <f>[1]Emissions!AE860</f>
        <v>11.25917671</v>
      </c>
      <c r="AG403" s="6">
        <f>[1]Emissions!AF860</f>
        <v>10.6132638</v>
      </c>
      <c r="AH403" s="6">
        <f>[1]Emissions!AG860</f>
        <v>9.8999782839999995</v>
      </c>
      <c r="AI403" s="6">
        <f>[1]Emissions!AH860</f>
        <v>9.105514844</v>
      </c>
      <c r="AJ403" s="6">
        <f>[1]Emissions!AI860</f>
        <v>8.2137675780000006</v>
      </c>
      <c r="AK403" s="6">
        <f>[1]Emissions!AJ860</f>
        <v>7.2061794079999997</v>
      </c>
      <c r="AL403" s="6">
        <f>[1]Emissions!AK860</f>
        <v>6.0607930679999997</v>
      </c>
    </row>
    <row r="404" spans="2:38" x14ac:dyDescent="0.35">
      <c r="B404" s="6" t="str">
        <f>[1]Emissions!A862</f>
        <v>ems_ci_co2_spri_2</v>
      </c>
      <c r="C404" s="6">
        <f>[1]Emissions!B862</f>
        <v>30.586880539999999</v>
      </c>
      <c r="D404" s="6">
        <f>[1]Emissions!C862</f>
        <v>30.295202110000002</v>
      </c>
      <c r="E404" s="6">
        <f>[1]Emissions!D862</f>
        <v>30.006257519999998</v>
      </c>
      <c r="F404" s="6">
        <f>[1]Emissions!E862</f>
        <v>29.59225584</v>
      </c>
      <c r="G404" s="6">
        <f>[1]Emissions!F862</f>
        <v>29.560724650000001</v>
      </c>
      <c r="H404" s="6">
        <f>[1]Emissions!G862</f>
        <v>29.819296850000001</v>
      </c>
      <c r="I404" s="6">
        <f>[1]Emissions!H862</f>
        <v>30.129024860000001</v>
      </c>
      <c r="J404" s="6">
        <f>[1]Emissions!I862</f>
        <v>27.986079709999998</v>
      </c>
      <c r="K404" s="6">
        <f>[1]Emissions!J862</f>
        <v>25.773685560000001</v>
      </c>
      <c r="L404" s="6">
        <f>[1]Emissions!K862</f>
        <v>23.78876983</v>
      </c>
      <c r="M404" s="6">
        <f>[1]Emissions!L862</f>
        <v>22.021287189999999</v>
      </c>
      <c r="N404" s="6">
        <f>[1]Emissions!M862</f>
        <v>20.573461179999999</v>
      </c>
      <c r="O404" s="6">
        <f>[1]Emissions!N862</f>
        <v>19.328321339999999</v>
      </c>
      <c r="P404" s="6">
        <f>[1]Emissions!O862</f>
        <v>18.219343120000001</v>
      </c>
      <c r="Q404" s="6">
        <f>[1]Emissions!P862</f>
        <v>17.212189980000002</v>
      </c>
      <c r="R404" s="6">
        <f>[1]Emissions!Q862</f>
        <v>16.285308669999999</v>
      </c>
      <c r="S404" s="6">
        <f>[1]Emissions!R862</f>
        <v>15.38718132</v>
      </c>
      <c r="T404" s="6">
        <f>[1]Emissions!S862</f>
        <v>14.532675559999999</v>
      </c>
      <c r="U404" s="6">
        <f>[1]Emissions!T862</f>
        <v>13.72948487</v>
      </c>
      <c r="V404" s="6">
        <f>[1]Emissions!U862</f>
        <v>12.97992795</v>
      </c>
      <c r="W404" s="6">
        <f>[1]Emissions!V862</f>
        <v>12.280188409999999</v>
      </c>
      <c r="X404" s="6">
        <f>[1]Emissions!W862</f>
        <v>11.631992670000001</v>
      </c>
      <c r="Y404" s="6">
        <f>[1]Emissions!X862</f>
        <v>11.030723849999999</v>
      </c>
      <c r="Z404" s="6">
        <f>[1]Emissions!Y862</f>
        <v>10.470137749999999</v>
      </c>
      <c r="AA404" s="6">
        <f>[1]Emissions!Z862</f>
        <v>9.9427170829999998</v>
      </c>
      <c r="AB404" s="6">
        <f>[1]Emissions!AA862</f>
        <v>9.4341574549999994</v>
      </c>
      <c r="AC404" s="6">
        <f>[1]Emissions!AB862</f>
        <v>8.9436532569999994</v>
      </c>
      <c r="AD404" s="6">
        <f>[1]Emissions!AC862</f>
        <v>8.4630899809999995</v>
      </c>
      <c r="AE404" s="6">
        <f>[1]Emissions!AD862</f>
        <v>7.9815948580000002</v>
      </c>
      <c r="AF404" s="6">
        <f>[1]Emissions!AE862</f>
        <v>7.4852193979999999</v>
      </c>
      <c r="AG404" s="6">
        <f>[1]Emissions!AF862</f>
        <v>6.9579341030000004</v>
      </c>
      <c r="AH404" s="6">
        <f>[1]Emissions!AG862</f>
        <v>6.3824122320000001</v>
      </c>
      <c r="AI404" s="6">
        <f>[1]Emissions!AH862</f>
        <v>5.7390630270000003</v>
      </c>
      <c r="AJ404" s="6">
        <f>[1]Emissions!AI862</f>
        <v>5.0039856509999998</v>
      </c>
      <c r="AK404" s="6">
        <f>[1]Emissions!AJ862</f>
        <v>4.1468332869999998</v>
      </c>
      <c r="AL404" s="6">
        <f>[1]Emissions!AK862</f>
        <v>3.126700724</v>
      </c>
    </row>
    <row r="405" spans="2:38" x14ac:dyDescent="0.35">
      <c r="B405" s="6" t="str">
        <f>[1]Emissions!A864</f>
        <v>ems_ci_co2_spub_2</v>
      </c>
      <c r="C405" s="6">
        <f>[1]Emissions!B864</f>
        <v>13.794241100000001</v>
      </c>
      <c r="D405" s="6">
        <f>[1]Emissions!C864</f>
        <v>13.41243502</v>
      </c>
      <c r="E405" s="6">
        <f>[1]Emissions!D864</f>
        <v>13.038854499999999</v>
      </c>
      <c r="F405" s="6">
        <f>[1]Emissions!E864</f>
        <v>12.60446992</v>
      </c>
      <c r="G405" s="6">
        <f>[1]Emissions!F864</f>
        <v>12.39261196</v>
      </c>
      <c r="H405" s="6">
        <f>[1]Emissions!G864</f>
        <v>12.33420005</v>
      </c>
      <c r="I405" s="6">
        <f>[1]Emissions!H864</f>
        <v>12.31562907</v>
      </c>
      <c r="J405" s="6">
        <f>[1]Emissions!I864</f>
        <v>11.23038199</v>
      </c>
      <c r="K405" s="6">
        <f>[1]Emissions!J864</f>
        <v>10.1963621</v>
      </c>
      <c r="L405" s="6">
        <f>[1]Emissions!K864</f>
        <v>9.2893225180000005</v>
      </c>
      <c r="M405" s="6">
        <f>[1]Emissions!L864</f>
        <v>8.5198059659999998</v>
      </c>
      <c r="N405" s="6">
        <f>[1]Emissions!M864</f>
        <v>7.9162074010000003</v>
      </c>
      <c r="O405" s="6">
        <f>[1]Emissions!N864</f>
        <v>7.4244979009999996</v>
      </c>
      <c r="P405" s="6">
        <f>[1]Emissions!O864</f>
        <v>7.0065073419999999</v>
      </c>
      <c r="Q405" s="6">
        <f>[1]Emissions!P864</f>
        <v>6.6388144100000002</v>
      </c>
      <c r="R405" s="6">
        <f>[1]Emissions!Q864</f>
        <v>6.3067214099999998</v>
      </c>
      <c r="S405" s="6">
        <f>[1]Emissions!R864</f>
        <v>5.9878362899999997</v>
      </c>
      <c r="T405" s="6">
        <f>[1]Emissions!S864</f>
        <v>5.6837832129999999</v>
      </c>
      <c r="U405" s="6">
        <f>[1]Emissions!T864</f>
        <v>5.3951294609999998</v>
      </c>
      <c r="V405" s="6">
        <f>[1]Emissions!U864</f>
        <v>5.1215596589999999</v>
      </c>
      <c r="W405" s="6">
        <f>[1]Emissions!V864</f>
        <v>4.8585628070000002</v>
      </c>
      <c r="X405" s="6">
        <f>[1]Emissions!W864</f>
        <v>4.6118730990000003</v>
      </c>
      <c r="Y405" s="6">
        <f>[1]Emissions!X864</f>
        <v>4.3770307610000003</v>
      </c>
      <c r="Z405" s="6">
        <f>[1]Emissions!Y864</f>
        <v>4.1517879100000004</v>
      </c>
      <c r="AA405" s="6">
        <f>[1]Emissions!Z864</f>
        <v>3.934020179</v>
      </c>
      <c r="AB405" s="6">
        <f>[1]Emissions!AA864</f>
        <v>3.7140528439999998</v>
      </c>
      <c r="AC405" s="6">
        <f>[1]Emissions!AB864</f>
        <v>3.5008480020000001</v>
      </c>
      <c r="AD405" s="6">
        <f>[1]Emissions!AC864</f>
        <v>3.2892402600000001</v>
      </c>
      <c r="AE405" s="6">
        <f>[1]Emissions!AD864</f>
        <v>3.0758157380000002</v>
      </c>
      <c r="AF405" s="6">
        <f>[1]Emissions!AE864</f>
        <v>2.8568741059999998</v>
      </c>
      <c r="AG405" s="6">
        <f>[1]Emissions!AF864</f>
        <v>2.6282807099999999</v>
      </c>
      <c r="AH405" s="6">
        <f>[1]Emissions!AG864</f>
        <v>2.3854519079999998</v>
      </c>
      <c r="AI405" s="6">
        <f>[1]Emissions!AH864</f>
        <v>2.123011091</v>
      </c>
      <c r="AJ405" s="6">
        <f>[1]Emissions!AI864</f>
        <v>1.8341938680000001</v>
      </c>
      <c r="AK405" s="6">
        <f>[1]Emissions!AJ864</f>
        <v>1.5100958440000001</v>
      </c>
      <c r="AL405" s="6">
        <f>[1]Emissions!AK864</f>
        <v>1.137956846</v>
      </c>
    </row>
    <row r="406" spans="2:38" x14ac:dyDescent="0.35">
      <c r="B406" s="6" t="str">
        <f>[1]Emissions!A866</f>
        <v>ems_ci_co2_smin_2</v>
      </c>
      <c r="C406" s="6">
        <f>[1]Emissions!B866</f>
        <v>1.049167145</v>
      </c>
      <c r="D406" s="6">
        <f>[1]Emissions!C866</f>
        <v>1.065630871</v>
      </c>
      <c r="E406" s="6">
        <f>[1]Emissions!D866</f>
        <v>1.0846919749999999</v>
      </c>
      <c r="F406" s="6">
        <f>[1]Emissions!E866</f>
        <v>1.104948686</v>
      </c>
      <c r="G406" s="6">
        <f>[1]Emissions!F866</f>
        <v>1.127475317</v>
      </c>
      <c r="H406" s="6">
        <f>[1]Emissions!G866</f>
        <v>1.1521803289999999</v>
      </c>
      <c r="I406" s="6">
        <f>[1]Emissions!H866</f>
        <v>1.177834896</v>
      </c>
      <c r="J406" s="6">
        <f>[1]Emissions!I866</f>
        <v>1.1514480220000001</v>
      </c>
      <c r="K406" s="6">
        <f>[1]Emissions!J866</f>
        <v>1.1210008170000001</v>
      </c>
      <c r="L406" s="6">
        <f>[1]Emissions!K866</f>
        <v>1.0932136610000001</v>
      </c>
      <c r="M406" s="6">
        <f>[1]Emissions!L866</f>
        <v>1.0649352569999999</v>
      </c>
      <c r="N406" s="6">
        <f>[1]Emissions!M866</f>
        <v>1.033320786</v>
      </c>
      <c r="O406" s="6">
        <f>[1]Emissions!N866</f>
        <v>0.99839040109999999</v>
      </c>
      <c r="P406" s="6">
        <f>[1]Emissions!O866</f>
        <v>0.96113958789999998</v>
      </c>
      <c r="Q406" s="6">
        <f>[1]Emissions!P866</f>
        <v>0.9227929829</v>
      </c>
      <c r="R406" s="6">
        <f>[1]Emissions!Q866</f>
        <v>0.88415576569999998</v>
      </c>
      <c r="S406" s="6">
        <f>[1]Emissions!R866</f>
        <v>0.84700463349999999</v>
      </c>
      <c r="T406" s="6">
        <f>[1]Emissions!S866</f>
        <v>0.81050495079999996</v>
      </c>
      <c r="U406" s="6">
        <f>[1]Emissions!T866</f>
        <v>0.77483280560000001</v>
      </c>
      <c r="V406" s="6">
        <f>[1]Emissions!U866</f>
        <v>0.74003115990000001</v>
      </c>
      <c r="W406" s="6">
        <f>[1]Emissions!V866</f>
        <v>0.70592076469999998</v>
      </c>
      <c r="X406" s="6">
        <f>[1]Emissions!W866</f>
        <v>0.67253306000000002</v>
      </c>
      <c r="Y406" s="6">
        <f>[1]Emissions!X866</f>
        <v>0.63972027440000001</v>
      </c>
      <c r="Z406" s="6">
        <f>[1]Emissions!Y866</f>
        <v>0.60719632339999996</v>
      </c>
      <c r="AA406" s="6">
        <f>[1]Emissions!Z866</f>
        <v>0.57458471509999998</v>
      </c>
      <c r="AB406" s="6">
        <f>[1]Emissions!AA866</f>
        <v>0.54126626560000002</v>
      </c>
      <c r="AC406" s="6">
        <f>[1]Emissions!AB866</f>
        <v>0.50691476189999995</v>
      </c>
      <c r="AD406" s="6">
        <f>[1]Emissions!AC866</f>
        <v>0.4716032329</v>
      </c>
      <c r="AE406" s="6">
        <f>[1]Emissions!AD866</f>
        <v>0.43497910239999998</v>
      </c>
      <c r="AF406" s="6">
        <f>[1]Emissions!AE866</f>
        <v>0.3965410452</v>
      </c>
      <c r="AG406" s="6">
        <f>[1]Emissions!AF866</f>
        <v>0.3557976008</v>
      </c>
      <c r="AH406" s="6">
        <f>[1]Emissions!AG866</f>
        <v>0.3123703914</v>
      </c>
      <c r="AI406" s="6">
        <f>[1]Emissions!AH866</f>
        <v>0.26596739409999998</v>
      </c>
      <c r="AJ406" s="6">
        <f>[1]Emissions!AI866</f>
        <v>0.2163220689</v>
      </c>
      <c r="AK406" s="6">
        <f>[1]Emissions!AJ866</f>
        <v>0.1631996929</v>
      </c>
      <c r="AL406" s="6">
        <f>[1]Emissions!AK866</f>
        <v>0.1063947452</v>
      </c>
    </row>
    <row r="407" spans="2:38" x14ac:dyDescent="0.35">
      <c r="B407" s="6" t="str">
        <f>[1]Emissions!A868</f>
        <v>ems_ci_co2_soil_2</v>
      </c>
      <c r="C407" s="6">
        <f>[1]Emissions!B868</f>
        <v>16.59683708</v>
      </c>
      <c r="D407" s="6">
        <f>[1]Emissions!C868</f>
        <v>16.747162100000001</v>
      </c>
      <c r="E407" s="6">
        <f>[1]Emissions!D868</f>
        <v>16.90187508</v>
      </c>
      <c r="F407" s="6">
        <f>[1]Emissions!E868</f>
        <v>17.06827543</v>
      </c>
      <c r="G407" s="6">
        <f>[1]Emissions!F868</f>
        <v>17.284668580000002</v>
      </c>
      <c r="H407" s="6">
        <f>[1]Emissions!G868</f>
        <v>17.549286859999999</v>
      </c>
      <c r="I407" s="6">
        <f>[1]Emissions!H868</f>
        <v>17.843143810000001</v>
      </c>
      <c r="J407" s="6">
        <f>[1]Emissions!I868</f>
        <v>17.669015640000001</v>
      </c>
      <c r="K407" s="6">
        <f>[1]Emissions!J868</f>
        <v>17.444935220000001</v>
      </c>
      <c r="L407" s="6">
        <f>[1]Emissions!K868</f>
        <v>17.27811444</v>
      </c>
      <c r="M407" s="6">
        <f>[1]Emissions!L868</f>
        <v>17.11399523</v>
      </c>
      <c r="N407" s="6">
        <f>[1]Emissions!M868</f>
        <v>16.91780743</v>
      </c>
      <c r="O407" s="6">
        <f>[1]Emissions!N868</f>
        <v>16.688644660000001</v>
      </c>
      <c r="P407" s="6">
        <f>[1]Emissions!O868</f>
        <v>16.435068000000001</v>
      </c>
      <c r="Q407" s="6">
        <f>[1]Emissions!P868</f>
        <v>16.169422449999999</v>
      </c>
      <c r="R407" s="6">
        <f>[1]Emissions!Q868</f>
        <v>15.89852628</v>
      </c>
      <c r="S407" s="6">
        <f>[1]Emissions!R868</f>
        <v>15.605299049999999</v>
      </c>
      <c r="T407" s="6">
        <f>[1]Emissions!S868</f>
        <v>15.30953892</v>
      </c>
      <c r="U407" s="6">
        <f>[1]Emissions!T868</f>
        <v>15.01826383</v>
      </c>
      <c r="V407" s="6">
        <f>[1]Emissions!U868</f>
        <v>14.734012509999999</v>
      </c>
      <c r="W407" s="6">
        <f>[1]Emissions!V868</f>
        <v>14.456549239999999</v>
      </c>
      <c r="X407" s="6">
        <f>[1]Emissions!W868</f>
        <v>14.188350010000001</v>
      </c>
      <c r="Y407" s="6">
        <f>[1]Emissions!X868</f>
        <v>13.93034203</v>
      </c>
      <c r="Z407" s="6">
        <f>[1]Emissions!Y868</f>
        <v>13.68189851</v>
      </c>
      <c r="AA407" s="6">
        <f>[1]Emissions!Z868</f>
        <v>13.440944160000001</v>
      </c>
      <c r="AB407" s="6">
        <f>[1]Emissions!AA868</f>
        <v>13.201924310000001</v>
      </c>
      <c r="AC407" s="6">
        <f>[1]Emissions!AB868</f>
        <v>12.97225894</v>
      </c>
      <c r="AD407" s="6">
        <f>[1]Emissions!AC868</f>
        <v>12.748644609999999</v>
      </c>
      <c r="AE407" s="6">
        <f>[1]Emissions!AD868</f>
        <v>12.529073970000001</v>
      </c>
      <c r="AF407" s="6">
        <f>[1]Emissions!AE868</f>
        <v>12.30839439</v>
      </c>
      <c r="AG407" s="6">
        <f>[1]Emissions!AF868</f>
        <v>12.080080799999999</v>
      </c>
      <c r="AH407" s="6">
        <f>[1]Emissions!AG868</f>
        <v>11.838722750000001</v>
      </c>
      <c r="AI407" s="6">
        <f>[1]Emissions!AH868</f>
        <v>11.580197460000001</v>
      </c>
      <c r="AJ407" s="6">
        <f>[1]Emissions!AI868</f>
        <v>11.300507570000001</v>
      </c>
      <c r="AK407" s="6">
        <f>[1]Emissions!AJ868</f>
        <v>10.995608580000001</v>
      </c>
      <c r="AL407" s="6">
        <f>[1]Emissions!AK868</f>
        <v>10.66136539</v>
      </c>
    </row>
    <row r="408" spans="2:38" x14ac:dyDescent="0.35">
      <c r="B408" s="6" t="str">
        <f>[1]Emissions!A870</f>
        <v>ems_ci_co2_sbfu_2</v>
      </c>
      <c r="C408" s="6">
        <f>[1]Emissions!B870</f>
        <v>3.8672089619999999</v>
      </c>
      <c r="D408" s="6">
        <f>[1]Emissions!C870</f>
        <v>3.885484113</v>
      </c>
      <c r="E408" s="6">
        <f>[1]Emissions!D870</f>
        <v>3.900839902</v>
      </c>
      <c r="F408" s="6">
        <f>[1]Emissions!E870</f>
        <v>3.9203771010000001</v>
      </c>
      <c r="G408" s="6">
        <f>[1]Emissions!F870</f>
        <v>3.9524332659999999</v>
      </c>
      <c r="H408" s="6">
        <f>[1]Emissions!G870</f>
        <v>3.9966097989999998</v>
      </c>
      <c r="I408" s="6">
        <f>[1]Emissions!H870</f>
        <v>4.0490283409999996</v>
      </c>
      <c r="J408" s="6">
        <f>[1]Emissions!I870</f>
        <v>4.7284678480000002</v>
      </c>
      <c r="K408" s="6">
        <f>[1]Emissions!J870</f>
        <v>5.4709351640000001</v>
      </c>
      <c r="L408" s="6">
        <f>[1]Emissions!K870</f>
        <v>6.1971896339999999</v>
      </c>
      <c r="M408" s="6">
        <f>[1]Emissions!L870</f>
        <v>6.8905852579999998</v>
      </c>
      <c r="N408" s="6">
        <f>[1]Emissions!M870</f>
        <v>7.5461615200000001</v>
      </c>
      <c r="O408" s="6">
        <f>[1]Emissions!N870</f>
        <v>8.1597412479999996</v>
      </c>
      <c r="P408" s="6">
        <f>[1]Emissions!O870</f>
        <v>8.7280861489999992</v>
      </c>
      <c r="Q408" s="6">
        <f>[1]Emissions!P870</f>
        <v>9.2492329130000002</v>
      </c>
      <c r="R408" s="6">
        <f>[1]Emissions!Q870</f>
        <v>9.7210128650000005</v>
      </c>
      <c r="S408" s="6">
        <f>[1]Emissions!R870</f>
        <v>10.137436429999999</v>
      </c>
      <c r="T408" s="6">
        <f>[1]Emissions!S870</f>
        <v>10.498263420000001</v>
      </c>
      <c r="U408" s="6">
        <f>[1]Emissions!T870</f>
        <v>10.80367749</v>
      </c>
      <c r="V408" s="6">
        <f>[1]Emissions!U870</f>
        <v>11.05291085</v>
      </c>
      <c r="W408" s="6">
        <f>[1]Emissions!V870</f>
        <v>11.24356815</v>
      </c>
      <c r="X408" s="6">
        <f>[1]Emissions!W870</f>
        <v>11.374434089999999</v>
      </c>
      <c r="Y408" s="6">
        <f>[1]Emissions!X870</f>
        <v>11.44310194</v>
      </c>
      <c r="Z408" s="6">
        <f>[1]Emissions!Y870</f>
        <v>11.445936039999999</v>
      </c>
      <c r="AA408" s="6">
        <f>[1]Emissions!Z870</f>
        <v>11.3779959</v>
      </c>
      <c r="AB408" s="6">
        <f>[1]Emissions!AA870</f>
        <v>11.231145039999999</v>
      </c>
      <c r="AC408" s="6">
        <f>[1]Emissions!AB870</f>
        <v>11.000820770000001</v>
      </c>
      <c r="AD408" s="6">
        <f>[1]Emissions!AC870</f>
        <v>10.68087952</v>
      </c>
      <c r="AE408" s="6">
        <f>[1]Emissions!AD870</f>
        <v>10.26274703</v>
      </c>
      <c r="AF408" s="6">
        <f>[1]Emissions!AE870</f>
        <v>9.7351014399999993</v>
      </c>
      <c r="AG408" s="6">
        <f>[1]Emissions!AF870</f>
        <v>9.0844593580000002</v>
      </c>
      <c r="AH408" s="6">
        <f>[1]Emissions!AG870</f>
        <v>8.2959716419999996</v>
      </c>
      <c r="AI408" s="6">
        <f>[1]Emissions!AH870</f>
        <v>7.353224</v>
      </c>
      <c r="AJ408" s="6">
        <f>[1]Emissions!AI870</f>
        <v>6.2373331810000003</v>
      </c>
      <c r="AK408" s="6">
        <f>[1]Emissions!AJ870</f>
        <v>4.9262875409999998</v>
      </c>
      <c r="AL408" s="6">
        <f>[1]Emissions!AK870</f>
        <v>3.3937137179999999</v>
      </c>
    </row>
    <row r="409" spans="2:38" x14ac:dyDescent="0.35">
      <c r="B409" s="6" t="str">
        <f>[1]Emissions!A872</f>
        <v>ems_ci_co2_seoi_2</v>
      </c>
      <c r="C409" s="6">
        <f>[1]Emissions!B872</f>
        <v>3.0530849629999999</v>
      </c>
      <c r="D409" s="6">
        <f>[1]Emissions!C872</f>
        <v>3.1008413799999999</v>
      </c>
      <c r="E409" s="6">
        <f>[1]Emissions!D872</f>
        <v>3.1487658980000002</v>
      </c>
      <c r="F409" s="6">
        <f>[1]Emissions!E872</f>
        <v>3.2010231560000002</v>
      </c>
      <c r="G409" s="6">
        <f>[1]Emissions!F872</f>
        <v>3.2503175830000002</v>
      </c>
      <c r="H409" s="6">
        <f>[1]Emissions!G872</f>
        <v>3.2999354570000001</v>
      </c>
      <c r="I409" s="6">
        <f>[1]Emissions!H872</f>
        <v>3.3520951760000002</v>
      </c>
      <c r="J409" s="6">
        <f>[1]Emissions!I872</f>
        <v>3.2916079850000002</v>
      </c>
      <c r="K409" s="6">
        <f>[1]Emissions!J872</f>
        <v>3.2340316310000001</v>
      </c>
      <c r="L409" s="6">
        <f>[1]Emissions!K872</f>
        <v>3.181364968</v>
      </c>
      <c r="M409" s="6">
        <f>[1]Emissions!L872</f>
        <v>3.1212001069999999</v>
      </c>
      <c r="N409" s="6">
        <f>[1]Emissions!M872</f>
        <v>3.0365782779999999</v>
      </c>
      <c r="O409" s="6">
        <f>[1]Emissions!N872</f>
        <v>2.933144763</v>
      </c>
      <c r="P409" s="6">
        <f>[1]Emissions!O872</f>
        <v>2.8176702429999998</v>
      </c>
      <c r="Q409" s="6">
        <f>[1]Emissions!P872</f>
        <v>2.6956152809999998</v>
      </c>
      <c r="R409" s="6">
        <f>[1]Emissions!Q872</f>
        <v>2.5702115929999998</v>
      </c>
      <c r="S409" s="6">
        <f>[1]Emissions!R872</f>
        <v>2.443530188</v>
      </c>
      <c r="T409" s="6">
        <f>[1]Emissions!S872</f>
        <v>2.3173191009999998</v>
      </c>
      <c r="U409" s="6">
        <f>[1]Emissions!T872</f>
        <v>2.1918501570000002</v>
      </c>
      <c r="V409" s="6">
        <f>[1]Emissions!U872</f>
        <v>2.0671987270000001</v>
      </c>
      <c r="W409" s="6">
        <f>[1]Emissions!V872</f>
        <v>1.943036961</v>
      </c>
      <c r="X409" s="6">
        <f>[1]Emissions!W872</f>
        <v>1.8199097230000001</v>
      </c>
      <c r="Y409" s="6">
        <f>[1]Emissions!X872</f>
        <v>1.6977076550000001</v>
      </c>
      <c r="Z409" s="6">
        <f>[1]Emissions!Y872</f>
        <v>1.5760534639999999</v>
      </c>
      <c r="AA409" s="6">
        <f>[1]Emissions!Z872</f>
        <v>1.4544410189999999</v>
      </c>
      <c r="AB409" s="6">
        <f>[1]Emissions!AA872</f>
        <v>1.3317517210000001</v>
      </c>
      <c r="AC409" s="6">
        <f>[1]Emissions!AB872</f>
        <v>1.208737084</v>
      </c>
      <c r="AD409" s="6">
        <f>[1]Emissions!AC872</f>
        <v>1.085249787</v>
      </c>
      <c r="AE409" s="6">
        <f>[1]Emissions!AD872</f>
        <v>0.96111066170000004</v>
      </c>
      <c r="AF409" s="6">
        <f>[1]Emissions!AE872</f>
        <v>0.8361821062</v>
      </c>
      <c r="AG409" s="6">
        <f>[1]Emissions!AF872</f>
        <v>0.71067784450000004</v>
      </c>
      <c r="AH409" s="6">
        <f>[1]Emissions!AG872</f>
        <v>0.58544002920000004</v>
      </c>
      <c r="AI409" s="6">
        <f>[1]Emissions!AH872</f>
        <v>0.4620348085</v>
      </c>
      <c r="AJ409" s="6">
        <f>[1]Emissions!AI872</f>
        <v>0.34284110029999998</v>
      </c>
      <c r="AK409" s="6">
        <f>[1]Emissions!AJ872</f>
        <v>0.2313307171</v>
      </c>
      <c r="AL409" s="6">
        <f>[1]Emissions!AK872</f>
        <v>0.13248462729999999</v>
      </c>
    </row>
    <row r="410" spans="2:38" x14ac:dyDescent="0.35">
      <c r="B410" s="6" t="str">
        <f>[1]Emissions!A874</f>
        <v>ems_ci_co2_sega_2</v>
      </c>
      <c r="C410" s="6">
        <f>[1]Emissions!B874</f>
        <v>3.6124779720000002</v>
      </c>
      <c r="D410" s="6">
        <f>[1]Emissions!C874</f>
        <v>3.6691375490000002</v>
      </c>
      <c r="E410" s="6">
        <f>[1]Emissions!D874</f>
        <v>3.7260057569999998</v>
      </c>
      <c r="F410" s="6">
        <f>[1]Emissions!E874</f>
        <v>3.788033301</v>
      </c>
      <c r="G410" s="6">
        <f>[1]Emissions!F874</f>
        <v>3.846494013</v>
      </c>
      <c r="H410" s="6">
        <f>[1]Emissions!G874</f>
        <v>3.9052944620000001</v>
      </c>
      <c r="I410" s="6">
        <f>[1]Emissions!H874</f>
        <v>3.9670553900000001</v>
      </c>
      <c r="J410" s="6">
        <f>[1]Emissions!I874</f>
        <v>3.8821869040000001</v>
      </c>
      <c r="K410" s="6">
        <f>[1]Emissions!J874</f>
        <v>3.7996943600000002</v>
      </c>
      <c r="L410" s="6">
        <f>[1]Emissions!K874</f>
        <v>3.7223935199999998</v>
      </c>
      <c r="M410" s="6">
        <f>[1]Emissions!L874</f>
        <v>3.6357794399999999</v>
      </c>
      <c r="N410" s="6">
        <f>[1]Emissions!M874</f>
        <v>3.5202726640000002</v>
      </c>
      <c r="O410" s="6">
        <f>[1]Emissions!N874</f>
        <v>3.3827909310000002</v>
      </c>
      <c r="P410" s="6">
        <f>[1]Emissions!O874</f>
        <v>3.2314479149999999</v>
      </c>
      <c r="Q410" s="6">
        <f>[1]Emissions!P874</f>
        <v>3.0727229540000001</v>
      </c>
      <c r="R410" s="6">
        <f>[1]Emissions!Q874</f>
        <v>2.9104437540000001</v>
      </c>
      <c r="S410" s="6">
        <f>[1]Emissions!R874</f>
        <v>2.7470545780000002</v>
      </c>
      <c r="T410" s="6">
        <f>[1]Emissions!S874</f>
        <v>2.5845792140000001</v>
      </c>
      <c r="U410" s="6">
        <f>[1]Emissions!T874</f>
        <v>2.4233554069999999</v>
      </c>
      <c r="V410" s="6">
        <f>[1]Emissions!U874</f>
        <v>2.2635017560000001</v>
      </c>
      <c r="W410" s="6">
        <f>[1]Emissions!V874</f>
        <v>2.1047037030000002</v>
      </c>
      <c r="X410" s="6">
        <f>[1]Emissions!W874</f>
        <v>1.947605748</v>
      </c>
      <c r="Y410" s="6">
        <f>[1]Emissions!X874</f>
        <v>1.792143104</v>
      </c>
      <c r="Z410" s="6">
        <f>[1]Emissions!Y874</f>
        <v>1.6379908569999999</v>
      </c>
      <c r="AA410" s="6">
        <f>[1]Emissions!Z874</f>
        <v>1.4847367380000001</v>
      </c>
      <c r="AB410" s="6">
        <f>[1]Emissions!AA874</f>
        <v>1.3314269089999999</v>
      </c>
      <c r="AC410" s="6">
        <f>[1]Emissions!AB874</f>
        <v>1.1790890359999999</v>
      </c>
      <c r="AD410" s="6">
        <f>[1]Emissions!AC874</f>
        <v>1.027910697</v>
      </c>
      <c r="AE410" s="6">
        <f>[1]Emissions!AD874</f>
        <v>0.87818834769999998</v>
      </c>
      <c r="AF410" s="6">
        <f>[1]Emissions!AE874</f>
        <v>0.73046829849999995</v>
      </c>
      <c r="AG410" s="6">
        <f>[1]Emissions!AF874</f>
        <v>0.58591423009999999</v>
      </c>
      <c r="AH410" s="6">
        <f>[1]Emissions!AG874</f>
        <v>0.44662362030000002</v>
      </c>
      <c r="AI410" s="6">
        <f>[1]Emissions!AH874</f>
        <v>0.31578624020000001</v>
      </c>
      <c r="AJ410" s="6">
        <f>[1]Emissions!AI874</f>
        <v>0.19788591580000001</v>
      </c>
      <c r="AK410" s="6">
        <f>[1]Emissions!AJ874</f>
        <v>9.9115761299999994E-2</v>
      </c>
      <c r="AL410" s="6">
        <f>[1]Emissions!AK874</f>
        <v>2.7941713999999999E-2</v>
      </c>
    </row>
    <row r="411" spans="2:38" x14ac:dyDescent="0.35">
      <c r="B411" s="6" t="str">
        <f>[1]Emissions!A876</f>
        <v>ems_ci_co2_seco_2</v>
      </c>
      <c r="C411" s="6">
        <f>[1]Emissions!B876</f>
        <v>7.4463073450000001</v>
      </c>
      <c r="D411" s="6">
        <f>[1]Emissions!C876</f>
        <v>7.5630982649999998</v>
      </c>
      <c r="E411" s="6">
        <f>[1]Emissions!D876</f>
        <v>7.6803192300000003</v>
      </c>
      <c r="F411" s="6">
        <f>[1]Emissions!E876</f>
        <v>7.8081750019999996</v>
      </c>
      <c r="G411" s="6">
        <f>[1]Emissions!F876</f>
        <v>7.9286785540000002</v>
      </c>
      <c r="H411" s="6">
        <f>[1]Emissions!G876</f>
        <v>8.0498823969999993</v>
      </c>
      <c r="I411" s="6">
        <f>[1]Emissions!H876</f>
        <v>8.1771885990000008</v>
      </c>
      <c r="J411" s="6">
        <f>[1]Emissions!I876</f>
        <v>8.2744684720000006</v>
      </c>
      <c r="K411" s="6">
        <f>[1]Emissions!J876</f>
        <v>8.3839116469999997</v>
      </c>
      <c r="L411" s="6">
        <f>[1]Emissions!K876</f>
        <v>8.5132238000000005</v>
      </c>
      <c r="M411" s="6">
        <f>[1]Emissions!L876</f>
        <v>8.6302274820000004</v>
      </c>
      <c r="N411" s="6">
        <f>[1]Emissions!M876</f>
        <v>8.6851629409999997</v>
      </c>
      <c r="O411" s="6">
        <f>[1]Emissions!N876</f>
        <v>8.6881639320000001</v>
      </c>
      <c r="P411" s="6">
        <f>[1]Emissions!O876</f>
        <v>8.6542999330000008</v>
      </c>
      <c r="Q411" s="6">
        <f>[1]Emissions!P876</f>
        <v>8.5967599369999999</v>
      </c>
      <c r="R411" s="6">
        <f>[1]Emissions!Q876</f>
        <v>8.5234337339999993</v>
      </c>
      <c r="S411" s="6">
        <f>[1]Emissions!R876</f>
        <v>8.4395086290000005</v>
      </c>
      <c r="T411" s="6">
        <f>[1]Emissions!S876</f>
        <v>8.3498836329999993</v>
      </c>
      <c r="U411" s="6">
        <f>[1]Emissions!T876</f>
        <v>8.2547802019999992</v>
      </c>
      <c r="V411" s="6">
        <f>[1]Emissions!U876</f>
        <v>8.1536814280000005</v>
      </c>
      <c r="W411" s="6">
        <f>[1]Emissions!V876</f>
        <v>8.0442888579999998</v>
      </c>
      <c r="X411" s="6">
        <f>[1]Emissions!W876</f>
        <v>7.9276106200000003</v>
      </c>
      <c r="Y411" s="6">
        <f>[1]Emissions!X876</f>
        <v>7.8018477449999999</v>
      </c>
      <c r="Z411" s="6">
        <f>[1]Emissions!Y876</f>
        <v>7.6634473129999998</v>
      </c>
      <c r="AA411" s="6">
        <f>[1]Emissions!Z876</f>
        <v>7.5072682500000001</v>
      </c>
      <c r="AB411" s="6">
        <f>[1]Emissions!AA876</f>
        <v>7.3233857770000004</v>
      </c>
      <c r="AC411" s="6">
        <f>[1]Emissions!AB876</f>
        <v>7.1100028760000002</v>
      </c>
      <c r="AD411" s="6">
        <f>[1]Emissions!AC876</f>
        <v>6.8589537749999998</v>
      </c>
      <c r="AE411" s="6">
        <f>[1]Emissions!AD876</f>
        <v>6.5589944039999999</v>
      </c>
      <c r="AF411" s="6">
        <f>[1]Emissions!AE876</f>
        <v>6.194914807</v>
      </c>
      <c r="AG411" s="6">
        <f>[1]Emissions!AF876</f>
        <v>5.7480395829999997</v>
      </c>
      <c r="AH411" s="6">
        <f>[1]Emissions!AG876</f>
        <v>5.1966930429999998</v>
      </c>
      <c r="AI411" s="6">
        <f>[1]Emissions!AH876</f>
        <v>4.515048459</v>
      </c>
      <c r="AJ411" s="6">
        <f>[1]Emissions!AI876</f>
        <v>3.6707458009999998</v>
      </c>
      <c r="AK411" s="6">
        <f>[1]Emissions!AJ876</f>
        <v>2.6221544880000001</v>
      </c>
      <c r="AL411" s="6">
        <f>[1]Emissions!AK876</f>
        <v>1.311284903</v>
      </c>
    </row>
    <row r="412" spans="2:38" x14ac:dyDescent="0.35">
      <c r="B412" s="6" t="str">
        <f>[1]Emissions!A878</f>
        <v>ems_ci_co2_sech_2</v>
      </c>
      <c r="C412" s="6">
        <f>[1]Emissions!B878</f>
        <v>9.6588429310000006</v>
      </c>
      <c r="D412" s="6">
        <f>[1]Emissions!C878</f>
        <v>9.7797315390000001</v>
      </c>
      <c r="E412" s="6">
        <f>[1]Emissions!D878</f>
        <v>9.8991178719999997</v>
      </c>
      <c r="F412" s="6">
        <f>[1]Emissions!E878</f>
        <v>10.022925470000001</v>
      </c>
      <c r="G412" s="6">
        <f>[1]Emissions!F878</f>
        <v>10.14205362</v>
      </c>
      <c r="H412" s="6">
        <f>[1]Emissions!G878</f>
        <v>10.268673720000001</v>
      </c>
      <c r="I412" s="6">
        <f>[1]Emissions!H878</f>
        <v>10.3957769</v>
      </c>
      <c r="J412" s="6">
        <f>[1]Emissions!I878</f>
        <v>10.43852418</v>
      </c>
      <c r="K412" s="6">
        <f>[1]Emissions!J878</f>
        <v>10.48075457</v>
      </c>
      <c r="L412" s="6">
        <f>[1]Emissions!K878</f>
        <v>10.533485880000001</v>
      </c>
      <c r="M412" s="6">
        <f>[1]Emissions!L878</f>
        <v>10.590649020000001</v>
      </c>
      <c r="N412" s="6">
        <f>[1]Emissions!M878</f>
        <v>10.61364888</v>
      </c>
      <c r="O412" s="6">
        <f>[1]Emissions!N878</f>
        <v>10.617128490000001</v>
      </c>
      <c r="P412" s="6">
        <f>[1]Emissions!O878</f>
        <v>10.61182481</v>
      </c>
      <c r="Q412" s="6">
        <f>[1]Emissions!P878</f>
        <v>10.60492835</v>
      </c>
      <c r="R412" s="6">
        <f>[1]Emissions!Q878</f>
        <v>10.6001689</v>
      </c>
      <c r="S412" s="6">
        <f>[1]Emissions!R878</f>
        <v>10.60307686</v>
      </c>
      <c r="T412" s="6">
        <f>[1]Emissions!S878</f>
        <v>10.61534116</v>
      </c>
      <c r="U412" s="6">
        <f>[1]Emissions!T878</f>
        <v>10.637535440000001</v>
      </c>
      <c r="V412" s="6">
        <f>[1]Emissions!U878</f>
        <v>10.671232639999999</v>
      </c>
      <c r="W412" s="6">
        <f>[1]Emissions!V878</f>
        <v>10.71423639</v>
      </c>
      <c r="X412" s="6">
        <f>[1]Emissions!W878</f>
        <v>10.7757155</v>
      </c>
      <c r="Y412" s="6">
        <f>[1]Emissions!X878</f>
        <v>10.857769210000001</v>
      </c>
      <c r="Z412" s="6">
        <f>[1]Emissions!Y878</f>
        <v>10.961727850000001</v>
      </c>
      <c r="AA412" s="6">
        <f>[1]Emissions!Z878</f>
        <v>11.088580289999999</v>
      </c>
      <c r="AB412" s="6">
        <f>[1]Emissions!AA878</f>
        <v>11.228164960000001</v>
      </c>
      <c r="AC412" s="6">
        <f>[1]Emissions!AB878</f>
        <v>11.39572692</v>
      </c>
      <c r="AD412" s="6">
        <f>[1]Emissions!AC878</f>
        <v>11.59472304</v>
      </c>
      <c r="AE412" s="6">
        <f>[1]Emissions!AD878</f>
        <v>11.827137029999999</v>
      </c>
      <c r="AF412" s="6">
        <f>[1]Emissions!AE878</f>
        <v>12.093210900000001</v>
      </c>
      <c r="AG412" s="6">
        <f>[1]Emissions!AF878</f>
        <v>12.392486030000001</v>
      </c>
      <c r="AH412" s="6">
        <f>[1]Emissions!AG878</f>
        <v>12.725557540000001</v>
      </c>
      <c r="AI412" s="6">
        <f>[1]Emissions!AH878</f>
        <v>13.094424999999999</v>
      </c>
      <c r="AJ412" s="6">
        <f>[1]Emissions!AI878</f>
        <v>13.5020434</v>
      </c>
      <c r="AK412" s="6">
        <f>[1]Emissions!AJ878</f>
        <v>13.9525662</v>
      </c>
      <c r="AL412" s="6">
        <f>[1]Emissions!AK878</f>
        <v>14.451885799999999</v>
      </c>
    </row>
    <row r="413" spans="2:38" x14ac:dyDescent="0.35">
      <c r="B413" s="6" t="str">
        <f>[1]Emissions!A880</f>
        <v>ems_ci_co2_seot_2</v>
      </c>
      <c r="C413" s="6">
        <f>[1]Emissions!B880</f>
        <v>1.3202878659999999</v>
      </c>
      <c r="D413" s="6">
        <f>[1]Emissions!C880</f>
        <v>1.3358481849999999</v>
      </c>
      <c r="E413" s="6">
        <f>[1]Emissions!D880</f>
        <v>1.3507955549999999</v>
      </c>
      <c r="F413" s="6">
        <f>[1]Emissions!E880</f>
        <v>1.3658626920000001</v>
      </c>
      <c r="G413" s="6">
        <f>[1]Emissions!F880</f>
        <v>1.3820972030000001</v>
      </c>
      <c r="H413" s="6">
        <f>[1]Emissions!G880</f>
        <v>1.400193327</v>
      </c>
      <c r="I413" s="6">
        <f>[1]Emissions!H880</f>
        <v>1.4198231370000001</v>
      </c>
      <c r="J413" s="6">
        <f>[1]Emissions!I880</f>
        <v>1.432299499</v>
      </c>
      <c r="K413" s="6">
        <f>[1]Emissions!J880</f>
        <v>1.4466139769999999</v>
      </c>
      <c r="L413" s="6">
        <f>[1]Emissions!K880</f>
        <v>1.464834416</v>
      </c>
      <c r="M413" s="6">
        <f>[1]Emissions!L880</f>
        <v>1.4823963550000001</v>
      </c>
      <c r="N413" s="6">
        <f>[1]Emissions!M880</f>
        <v>1.4942711179999999</v>
      </c>
      <c r="O413" s="6">
        <f>[1]Emissions!N880</f>
        <v>1.501233136</v>
      </c>
      <c r="P413" s="6">
        <f>[1]Emissions!O880</f>
        <v>1.5051517720000001</v>
      </c>
      <c r="Q413" s="6">
        <f>[1]Emissions!P880</f>
        <v>1.5078405850000001</v>
      </c>
      <c r="R413" s="6">
        <f>[1]Emissions!Q880</f>
        <v>1.5104157</v>
      </c>
      <c r="S413" s="6">
        <f>[1]Emissions!R880</f>
        <v>1.51247737</v>
      </c>
      <c r="T413" s="6">
        <f>[1]Emissions!S880</f>
        <v>1.51555678</v>
      </c>
      <c r="U413" s="6">
        <f>[1]Emissions!T880</f>
        <v>1.520189376</v>
      </c>
      <c r="V413" s="6">
        <f>[1]Emissions!U880</f>
        <v>1.526721708</v>
      </c>
      <c r="W413" s="6">
        <f>[1]Emissions!V880</f>
        <v>1.5351878430000001</v>
      </c>
      <c r="X413" s="6">
        <f>[1]Emissions!W880</f>
        <v>1.5463209680000001</v>
      </c>
      <c r="Y413" s="6">
        <f>[1]Emissions!X880</f>
        <v>1.560455258</v>
      </c>
      <c r="Z413" s="6">
        <f>[1]Emissions!Y880</f>
        <v>1.5777322300000001</v>
      </c>
      <c r="AA413" s="6">
        <f>[1]Emissions!Z880</f>
        <v>1.5981471620000001</v>
      </c>
      <c r="AB413" s="6">
        <f>[1]Emissions!AA880</f>
        <v>1.620860763</v>
      </c>
      <c r="AC413" s="6">
        <f>[1]Emissions!AB880</f>
        <v>1.6470451960000001</v>
      </c>
      <c r="AD413" s="6">
        <f>[1]Emissions!AC880</f>
        <v>1.676919037</v>
      </c>
      <c r="AE413" s="6">
        <f>[1]Emissions!AD880</f>
        <v>1.7104670689999999</v>
      </c>
      <c r="AF413" s="6">
        <f>[1]Emissions!AE880</f>
        <v>1.747274904</v>
      </c>
      <c r="AG413" s="6">
        <f>[1]Emissions!AF880</f>
        <v>1.7867079960000001</v>
      </c>
      <c r="AH413" s="6">
        <f>[1]Emissions!AG880</f>
        <v>1.828225164</v>
      </c>
      <c r="AI413" s="6">
        <f>[1]Emissions!AH880</f>
        <v>1.871426265</v>
      </c>
      <c r="AJ413" s="6">
        <f>[1]Emissions!AI880</f>
        <v>1.9158546910000001</v>
      </c>
      <c r="AK413" s="6">
        <f>[1]Emissions!AJ880</f>
        <v>1.960993926</v>
      </c>
      <c r="AL413" s="6">
        <f>[1]Emissions!AK880</f>
        <v>2.006278123</v>
      </c>
    </row>
    <row r="414" spans="2:38" x14ac:dyDescent="0.35">
      <c r="B414" s="6" t="str">
        <f>[1]Emissions!A882</f>
        <v>ems_y_co2_sagr_2</v>
      </c>
      <c r="C414" s="6">
        <f>[1]Emissions!B882</f>
        <v>2.7534944400000001E-2</v>
      </c>
      <c r="D414" s="6">
        <f>[1]Emissions!C882</f>
        <v>2.8000047399999999E-2</v>
      </c>
      <c r="E414" s="6">
        <f>[1]Emissions!D882</f>
        <v>2.85510195E-2</v>
      </c>
      <c r="F414" s="6">
        <f>[1]Emissions!E882</f>
        <v>2.9183565599999999E-2</v>
      </c>
      <c r="G414" s="6">
        <f>[1]Emissions!F882</f>
        <v>2.98817943E-2</v>
      </c>
      <c r="H414" s="6">
        <f>[1]Emissions!G882</f>
        <v>3.0639678900000002E-2</v>
      </c>
      <c r="I414" s="6">
        <f>[1]Emissions!H882</f>
        <v>3.1430106399999998E-2</v>
      </c>
      <c r="J414" s="6">
        <f>[1]Emissions!I882</f>
        <v>3.2117533400000002E-2</v>
      </c>
      <c r="K414" s="6">
        <f>[1]Emissions!J882</f>
        <v>3.2787262599999999E-2</v>
      </c>
      <c r="L414" s="6">
        <f>[1]Emissions!K882</f>
        <v>3.3600017400000001E-2</v>
      </c>
      <c r="M414" s="6">
        <f>[1]Emissions!L882</f>
        <v>3.4414126400000002E-2</v>
      </c>
      <c r="N414" s="6">
        <f>[1]Emissions!M882</f>
        <v>3.5103977000000001E-2</v>
      </c>
      <c r="O414" s="6">
        <f>[1]Emissions!N882</f>
        <v>3.5692293399999998E-2</v>
      </c>
      <c r="P414" s="6">
        <f>[1]Emissions!O882</f>
        <v>3.6205466999999998E-2</v>
      </c>
      <c r="Q414" s="6">
        <f>[1]Emissions!P882</f>
        <v>3.6675594200000002E-2</v>
      </c>
      <c r="R414" s="6">
        <f>[1]Emissions!Q882</f>
        <v>3.7123631099999999E-2</v>
      </c>
      <c r="S414" s="6">
        <f>[1]Emissions!R882</f>
        <v>3.7575972700000002E-2</v>
      </c>
      <c r="T414" s="6">
        <f>[1]Emissions!S882</f>
        <v>3.8044819299999998E-2</v>
      </c>
      <c r="U414" s="6">
        <f>[1]Emissions!T882</f>
        <v>3.8546480600000002E-2</v>
      </c>
      <c r="V414" s="6">
        <f>[1]Emissions!U882</f>
        <v>3.9092970800000001E-2</v>
      </c>
      <c r="W414" s="6">
        <f>[1]Emissions!V882</f>
        <v>3.96862511E-2</v>
      </c>
      <c r="X414" s="6">
        <f>[1]Emissions!W882</f>
        <v>4.03465228E-2</v>
      </c>
      <c r="Y414" s="6">
        <f>[1]Emissions!X882</f>
        <v>4.1084352900000003E-2</v>
      </c>
      <c r="Z414" s="6">
        <f>[1]Emissions!Y882</f>
        <v>4.1907000299999997E-2</v>
      </c>
      <c r="AA414" s="6">
        <f>[1]Emissions!Z882</f>
        <v>4.2816821400000003E-2</v>
      </c>
      <c r="AB414" s="6">
        <f>[1]Emissions!AA882</f>
        <v>4.3789883299999999E-2</v>
      </c>
      <c r="AC414" s="6">
        <f>[1]Emissions!AB882</f>
        <v>4.4841264700000001E-2</v>
      </c>
      <c r="AD414" s="6">
        <f>[1]Emissions!AC882</f>
        <v>4.5987926300000002E-2</v>
      </c>
      <c r="AE414" s="6">
        <f>[1]Emissions!AD882</f>
        <v>4.7235711700000002E-2</v>
      </c>
      <c r="AF414" s="6">
        <f>[1]Emissions!AE882</f>
        <v>4.8579488400000002E-2</v>
      </c>
      <c r="AG414" s="6">
        <f>[1]Emissions!AF882</f>
        <v>5.0007705299999997E-2</v>
      </c>
      <c r="AH414" s="6">
        <f>[1]Emissions!AG882</f>
        <v>5.15089034E-2</v>
      </c>
      <c r="AI414" s="6">
        <f>[1]Emissions!AH882</f>
        <v>5.3073265299999998E-2</v>
      </c>
      <c r="AJ414" s="6">
        <f>[1]Emissions!AI882</f>
        <v>5.4691216299999998E-2</v>
      </c>
      <c r="AK414" s="6">
        <f>[1]Emissions!AJ882</f>
        <v>5.6353069800000002E-2</v>
      </c>
      <c r="AL414" s="6">
        <f>[1]Emissions!AK882</f>
        <v>5.80487082E-2</v>
      </c>
    </row>
    <row r="415" spans="2:38" x14ac:dyDescent="0.35">
      <c r="B415" s="6" t="str">
        <f>[1]Emissions!A883</f>
        <v>ems_mat_co2_spub_2</v>
      </c>
      <c r="C415" s="6">
        <f>[1]Emissions!B883</f>
        <v>4.2805170859999997</v>
      </c>
      <c r="D415" s="6">
        <f>[1]Emissions!C883</f>
        <v>4.3430931849999999</v>
      </c>
      <c r="E415" s="6">
        <f>[1]Emissions!D883</f>
        <v>4.4131036000000003</v>
      </c>
      <c r="F415" s="6">
        <f>[1]Emissions!E883</f>
        <v>4.4871425829999998</v>
      </c>
      <c r="G415" s="6">
        <f>[1]Emissions!F883</f>
        <v>4.5643528819999997</v>
      </c>
      <c r="H415" s="6">
        <f>[1]Emissions!G883</f>
        <v>4.6444057870000002</v>
      </c>
      <c r="I415" s="6">
        <f>[1]Emissions!H883</f>
        <v>4.7234934629999996</v>
      </c>
      <c r="J415" s="6">
        <f>[1]Emissions!I883</f>
        <v>4.8029368100000003</v>
      </c>
      <c r="K415" s="6">
        <f>[1]Emissions!J883</f>
        <v>4.8835369350000004</v>
      </c>
      <c r="L415" s="6">
        <f>[1]Emissions!K883</f>
        <v>4.9690405379999998</v>
      </c>
      <c r="M415" s="6">
        <f>[1]Emissions!L883</f>
        <v>5.0630209300000004</v>
      </c>
      <c r="N415" s="6">
        <f>[1]Emissions!M883</f>
        <v>5.1510678299999997</v>
      </c>
      <c r="O415" s="6">
        <f>[1]Emissions!N883</f>
        <v>5.2370856640000003</v>
      </c>
      <c r="P415" s="6">
        <f>[1]Emissions!O883</f>
        <v>5.3218761590000003</v>
      </c>
      <c r="Q415" s="6">
        <f>[1]Emissions!P883</f>
        <v>5.4062109720000002</v>
      </c>
      <c r="R415" s="6">
        <f>[1]Emissions!Q883</f>
        <v>5.4907971250000003</v>
      </c>
      <c r="S415" s="6">
        <f>[1]Emissions!R883</f>
        <v>5.5764871349999998</v>
      </c>
      <c r="T415" s="6">
        <f>[1]Emissions!S883</f>
        <v>5.6640074079999998</v>
      </c>
      <c r="U415" s="6">
        <f>[1]Emissions!T883</f>
        <v>5.7540141120000001</v>
      </c>
      <c r="V415" s="6">
        <f>[1]Emissions!U883</f>
        <v>5.8470336669999998</v>
      </c>
      <c r="W415" s="6">
        <f>[1]Emissions!V883</f>
        <v>5.9390006739999999</v>
      </c>
      <c r="X415" s="6">
        <f>[1]Emissions!W883</f>
        <v>6.0385640609999998</v>
      </c>
      <c r="Y415" s="6">
        <f>[1]Emissions!X883</f>
        <v>6.1429196719999997</v>
      </c>
      <c r="Z415" s="6">
        <f>[1]Emissions!Y883</f>
        <v>6.2520236469999997</v>
      </c>
      <c r="AA415" s="6">
        <f>[1]Emissions!Z883</f>
        <v>6.3660523290000004</v>
      </c>
      <c r="AB415" s="6">
        <f>[1]Emissions!AA883</f>
        <v>6.4719353679999996</v>
      </c>
      <c r="AC415" s="6">
        <f>[1]Emissions!AB883</f>
        <v>6.5876492610000001</v>
      </c>
      <c r="AD415" s="6">
        <f>[1]Emissions!AC883</f>
        <v>6.7091233619999997</v>
      </c>
      <c r="AE415" s="6">
        <f>[1]Emissions!AD883</f>
        <v>6.8361210740000002</v>
      </c>
      <c r="AF415" s="6">
        <f>[1]Emissions!AE883</f>
        <v>6.9686490890000004</v>
      </c>
      <c r="AG415" s="6">
        <f>[1]Emissions!AF883</f>
        <v>7.1065603790000003</v>
      </c>
      <c r="AH415" s="6">
        <f>[1]Emissions!AG883</f>
        <v>7.2496368970000002</v>
      </c>
      <c r="AI415" s="6">
        <f>[1]Emissions!AH883</f>
        <v>7.3976709710000002</v>
      </c>
      <c r="AJ415" s="6">
        <f>[1]Emissions!AI883</f>
        <v>7.5504947509999996</v>
      </c>
      <c r="AK415" s="6">
        <f>[1]Emissions!AJ883</f>
        <v>7.7079718960000001</v>
      </c>
      <c r="AL415" s="6">
        <f>[1]Emissions!AK883</f>
        <v>7.8699800670000002</v>
      </c>
    </row>
    <row r="416" spans="2:38" x14ac:dyDescent="0.35">
      <c r="B416" s="6" t="str">
        <f>[1]Emissions!A884</f>
        <v>ems_mat_co2_sgla_2</v>
      </c>
      <c r="C416" s="6">
        <f>[1]Emissions!B884</f>
        <v>10.94636216</v>
      </c>
      <c r="D416" s="6">
        <f>[1]Emissions!C884</f>
        <v>11.140601609999999</v>
      </c>
      <c r="E416" s="6">
        <f>[1]Emissions!D884</f>
        <v>11.36701431</v>
      </c>
      <c r="F416" s="6">
        <f>[1]Emissions!E884</f>
        <v>11.61315827</v>
      </c>
      <c r="G416" s="6">
        <f>[1]Emissions!F884</f>
        <v>11.880899100000001</v>
      </c>
      <c r="H416" s="6">
        <f>[1]Emissions!G884</f>
        <v>12.17099033</v>
      </c>
      <c r="I416" s="6">
        <f>[1]Emissions!H884</f>
        <v>12.47606027</v>
      </c>
      <c r="J416" s="6">
        <f>[1]Emissions!I884</f>
        <v>12.71689613</v>
      </c>
      <c r="K416" s="6">
        <f>[1]Emissions!J884</f>
        <v>12.932067139999999</v>
      </c>
      <c r="L416" s="6">
        <f>[1]Emissions!K884</f>
        <v>13.180780499999999</v>
      </c>
      <c r="M416" s="6">
        <f>[1]Emissions!L884</f>
        <v>13.43246946</v>
      </c>
      <c r="N416" s="6">
        <f>[1]Emissions!M884</f>
        <v>13.658029389999999</v>
      </c>
      <c r="O416" s="6">
        <f>[1]Emissions!N884</f>
        <v>13.861589650000001</v>
      </c>
      <c r="P416" s="6">
        <f>[1]Emissions!O884</f>
        <v>14.05292268</v>
      </c>
      <c r="Q416" s="6">
        <f>[1]Emissions!P884</f>
        <v>14.243763510000001</v>
      </c>
      <c r="R416" s="6">
        <f>[1]Emissions!Q884</f>
        <v>14.441933450000001</v>
      </c>
      <c r="S416" s="6">
        <f>[1]Emissions!R884</f>
        <v>14.65219229</v>
      </c>
      <c r="T416" s="6">
        <f>[1]Emissions!S884</f>
        <v>14.87599354</v>
      </c>
      <c r="U416" s="6">
        <f>[1]Emissions!T884</f>
        <v>15.118898489999999</v>
      </c>
      <c r="V416" s="6">
        <f>[1]Emissions!U884</f>
        <v>15.3857027</v>
      </c>
      <c r="W416" s="6">
        <f>[1]Emissions!V884</f>
        <v>15.67795461</v>
      </c>
      <c r="X416" s="6">
        <f>[1]Emissions!W884</f>
        <v>16.002346970000001</v>
      </c>
      <c r="Y416" s="6">
        <f>[1]Emissions!X884</f>
        <v>16.36308292</v>
      </c>
      <c r="Z416" s="6">
        <f>[1]Emissions!Y884</f>
        <v>16.762735710000001</v>
      </c>
      <c r="AA416" s="6">
        <f>[1]Emissions!Z884</f>
        <v>17.202279600000001</v>
      </c>
      <c r="AB416" s="6">
        <f>[1]Emissions!AA884</f>
        <v>17.67429739</v>
      </c>
      <c r="AC416" s="6">
        <f>[1]Emissions!AB884</f>
        <v>18.18203359</v>
      </c>
      <c r="AD416" s="6">
        <f>[1]Emissions!AC884</f>
        <v>18.732600099999999</v>
      </c>
      <c r="AE416" s="6">
        <f>[1]Emissions!AD884</f>
        <v>19.328205659999998</v>
      </c>
      <c r="AF416" s="6">
        <f>[1]Emissions!AE884</f>
        <v>19.967720780000001</v>
      </c>
      <c r="AG416" s="6">
        <f>[1]Emissions!AF884</f>
        <v>20.648568910000002</v>
      </c>
      <c r="AH416" s="6">
        <f>[1]Emissions!AG884</f>
        <v>21.369262679999999</v>
      </c>
      <c r="AI416" s="6">
        <f>[1]Emissions!AH884</f>
        <v>22.1298277</v>
      </c>
      <c r="AJ416" s="6">
        <f>[1]Emissions!AI884</f>
        <v>22.93076181</v>
      </c>
      <c r="AK416" s="6">
        <f>[1]Emissions!AJ884</f>
        <v>23.773428769999999</v>
      </c>
      <c r="AL416" s="6">
        <f>[1]Emissions!AK884</f>
        <v>24.66037983</v>
      </c>
    </row>
    <row r="418" spans="1:38" x14ac:dyDescent="0.35">
      <c r="A418" s="12" t="s">
        <v>92</v>
      </c>
      <c r="B418" t="s">
        <v>7</v>
      </c>
      <c r="C418" s="6">
        <f>C388+C389+C414</f>
        <v>14.7366769707</v>
      </c>
      <c r="D418" s="6">
        <f t="shared" ref="D418:AL418" si="76">D388+D389+D414</f>
        <v>14.863070997800001</v>
      </c>
      <c r="E418" s="6">
        <f t="shared" si="76"/>
        <v>15.0204826678</v>
      </c>
      <c r="F418" s="6">
        <f t="shared" si="76"/>
        <v>15.188941827500001</v>
      </c>
      <c r="G418" s="6">
        <f t="shared" si="76"/>
        <v>15.438651672800001</v>
      </c>
      <c r="H418" s="6">
        <f t="shared" si="76"/>
        <v>15.7586612184</v>
      </c>
      <c r="I418" s="6">
        <f t="shared" si="76"/>
        <v>16.110962673899998</v>
      </c>
      <c r="J418" s="6">
        <f t="shared" si="76"/>
        <v>15.620945962399999</v>
      </c>
      <c r="K418" s="6">
        <f t="shared" si="76"/>
        <v>15.0523219103</v>
      </c>
      <c r="L418" s="6">
        <f t="shared" si="76"/>
        <v>14.521077563799999</v>
      </c>
      <c r="M418" s="6">
        <f t="shared" si="76"/>
        <v>13.994832255199999</v>
      </c>
      <c r="N418" s="6">
        <f t="shared" si="76"/>
        <v>13.481095083000001</v>
      </c>
      <c r="O418" s="6">
        <f t="shared" si="76"/>
        <v>12.970403622199999</v>
      </c>
      <c r="P418" s="6">
        <f t="shared" si="76"/>
        <v>12.4612698035</v>
      </c>
      <c r="Q418" s="6">
        <f t="shared" si="76"/>
        <v>11.9573667035</v>
      </c>
      <c r="R418" s="6">
        <f t="shared" si="76"/>
        <v>11.460594532</v>
      </c>
      <c r="S418" s="6">
        <f t="shared" si="76"/>
        <v>10.959678867899999</v>
      </c>
      <c r="T418" s="6">
        <f t="shared" si="76"/>
        <v>10.463618756500001</v>
      </c>
      <c r="U418" s="6">
        <f t="shared" si="76"/>
        <v>9.9788329252000008</v>
      </c>
      <c r="V418" s="6">
        <f t="shared" si="76"/>
        <v>9.50824742</v>
      </c>
      <c r="W418" s="6">
        <f t="shared" si="76"/>
        <v>9.0510467830999985</v>
      </c>
      <c r="X418" s="6">
        <f t="shared" si="76"/>
        <v>8.6090184264000005</v>
      </c>
      <c r="Y418" s="6">
        <f t="shared" si="76"/>
        <v>8.1811070090999998</v>
      </c>
      <c r="Z418" s="6">
        <f t="shared" si="76"/>
        <v>7.7646402818000002</v>
      </c>
      <c r="AA418" s="6">
        <f t="shared" si="76"/>
        <v>7.3556114252000002</v>
      </c>
      <c r="AB418" s="6">
        <f t="shared" si="76"/>
        <v>6.9459473864999994</v>
      </c>
      <c r="AC418" s="6">
        <f t="shared" si="76"/>
        <v>6.5334145509999999</v>
      </c>
      <c r="AD418" s="6">
        <f t="shared" si="76"/>
        <v>6.1151612516</v>
      </c>
      <c r="AE418" s="6">
        <f t="shared" si="76"/>
        <v>5.6856415204999999</v>
      </c>
      <c r="AF418" s="6">
        <f t="shared" si="76"/>
        <v>5.2371579336999998</v>
      </c>
      <c r="AG418" s="6">
        <f t="shared" si="76"/>
        <v>4.7610387092999993</v>
      </c>
      <c r="AH418" s="6">
        <f t="shared" si="76"/>
        <v>4.2485439474</v>
      </c>
      <c r="AI418" s="6">
        <f t="shared" si="76"/>
        <v>3.6907649531</v>
      </c>
      <c r="AJ418" s="6">
        <f t="shared" si="76"/>
        <v>3.0780955033000001</v>
      </c>
      <c r="AK418" s="6">
        <f t="shared" si="76"/>
        <v>2.3998166171000004</v>
      </c>
      <c r="AL418" s="6">
        <f t="shared" si="76"/>
        <v>1.6434010169000002</v>
      </c>
    </row>
    <row r="419" spans="1:38" x14ac:dyDescent="0.35">
      <c r="A419" t="s">
        <v>39</v>
      </c>
      <c r="B419" t="s">
        <v>64</v>
      </c>
      <c r="C419" s="6">
        <f>C390</f>
        <v>8.6183733500000006</v>
      </c>
      <c r="D419" s="6">
        <f t="shared" ref="D419:AL419" si="77">D390</f>
        <v>8.6006273370000006</v>
      </c>
      <c r="E419" s="6">
        <f t="shared" si="77"/>
        <v>8.5948533600000001</v>
      </c>
      <c r="F419" s="6">
        <f t="shared" si="77"/>
        <v>8.5811881850000002</v>
      </c>
      <c r="G419" s="6">
        <f t="shared" si="77"/>
        <v>8.6447036500000003</v>
      </c>
      <c r="H419" s="6">
        <f t="shared" si="77"/>
        <v>8.7701395439999992</v>
      </c>
      <c r="I419" s="6">
        <f t="shared" si="77"/>
        <v>8.8836774579999993</v>
      </c>
      <c r="J419" s="6">
        <f t="shared" si="77"/>
        <v>8.4761272929999993</v>
      </c>
      <c r="K419" s="6">
        <f t="shared" si="77"/>
        <v>8.0285759199999998</v>
      </c>
      <c r="L419" s="6">
        <f t="shared" si="77"/>
        <v>7.6152812189999999</v>
      </c>
      <c r="M419" s="6">
        <f t="shared" si="77"/>
        <v>7.2327387009999997</v>
      </c>
      <c r="N419" s="6">
        <f t="shared" si="77"/>
        <v>6.900302656</v>
      </c>
      <c r="O419" s="6">
        <f t="shared" si="77"/>
        <v>6.5994212460000004</v>
      </c>
      <c r="P419" s="6">
        <f t="shared" si="77"/>
        <v>6.3190946109999997</v>
      </c>
      <c r="Q419" s="6">
        <f t="shared" si="77"/>
        <v>6.0544523520000002</v>
      </c>
      <c r="R419" s="6">
        <f t="shared" si="77"/>
        <v>5.8027435010000001</v>
      </c>
      <c r="S419" s="6">
        <f t="shared" si="77"/>
        <v>5.5622331029999996</v>
      </c>
      <c r="T419" s="6">
        <f t="shared" si="77"/>
        <v>5.3334169290000002</v>
      </c>
      <c r="U419" s="6">
        <f t="shared" si="77"/>
        <v>5.1170572950000004</v>
      </c>
      <c r="V419" s="6">
        <f t="shared" si="77"/>
        <v>4.9135557600000004</v>
      </c>
      <c r="W419" s="6">
        <f t="shared" si="77"/>
        <v>4.7219610980000004</v>
      </c>
      <c r="X419" s="6">
        <f t="shared" si="77"/>
        <v>4.5435865670000002</v>
      </c>
      <c r="Y419" s="6">
        <f t="shared" si="77"/>
        <v>4.3780474219999999</v>
      </c>
      <c r="Z419" s="6">
        <f t="shared" si="77"/>
        <v>4.2243018330000002</v>
      </c>
      <c r="AA419" s="6">
        <f t="shared" si="77"/>
        <v>4.0807858369999996</v>
      </c>
      <c r="AB419" s="6">
        <f t="shared" si="77"/>
        <v>3.9432964770000001</v>
      </c>
      <c r="AC419" s="6">
        <f t="shared" si="77"/>
        <v>3.8117347260000001</v>
      </c>
      <c r="AD419" s="6">
        <f t="shared" si="77"/>
        <v>3.6854221489999999</v>
      </c>
      <c r="AE419" s="6">
        <f t="shared" si="77"/>
        <v>3.5619372669999998</v>
      </c>
      <c r="AF419" s="6">
        <f t="shared" si="77"/>
        <v>3.4376399339999999</v>
      </c>
      <c r="AG419" s="6">
        <f t="shared" si="77"/>
        <v>3.3081774309999998</v>
      </c>
      <c r="AH419" s="6">
        <f t="shared" si="77"/>
        <v>3.1689913280000002</v>
      </c>
      <c r="AI419" s="6">
        <f t="shared" si="77"/>
        <v>3.0152402600000001</v>
      </c>
      <c r="AJ419" s="6">
        <f t="shared" si="77"/>
        <v>2.8413980379999999</v>
      </c>
      <c r="AK419" s="6">
        <f t="shared" si="77"/>
        <v>2.6411125489999998</v>
      </c>
      <c r="AL419" s="6">
        <f t="shared" si="77"/>
        <v>2.406834811</v>
      </c>
    </row>
    <row r="420" spans="1:38" x14ac:dyDescent="0.35">
      <c r="B420" t="s">
        <v>65</v>
      </c>
      <c r="C420" s="6">
        <f>C392+C416</f>
        <v>18.715958522999998</v>
      </c>
      <c r="D420" s="6">
        <f t="shared" ref="D420:AL420" si="78">D392+D416</f>
        <v>18.979942067</v>
      </c>
      <c r="E420" s="6">
        <f t="shared" si="78"/>
        <v>19.288026301999999</v>
      </c>
      <c r="F420" s="6">
        <f t="shared" si="78"/>
        <v>19.609610519</v>
      </c>
      <c r="G420" s="6">
        <f t="shared" si="78"/>
        <v>19.993711191999999</v>
      </c>
      <c r="H420" s="6">
        <f t="shared" si="78"/>
        <v>20.437044118000003</v>
      </c>
      <c r="I420" s="6">
        <f t="shared" si="78"/>
        <v>20.902876882999998</v>
      </c>
      <c r="J420" s="6">
        <f t="shared" si="78"/>
        <v>20.980791887000002</v>
      </c>
      <c r="K420" s="6">
        <f t="shared" si="78"/>
        <v>20.989648760000001</v>
      </c>
      <c r="L420" s="6">
        <f t="shared" si="78"/>
        <v>21.051278559</v>
      </c>
      <c r="M420" s="6">
        <f t="shared" si="78"/>
        <v>21.125686553000001</v>
      </c>
      <c r="N420" s="6">
        <f t="shared" si="78"/>
        <v>21.194364360000002</v>
      </c>
      <c r="O420" s="6">
        <f t="shared" si="78"/>
        <v>21.254891733000001</v>
      </c>
      <c r="P420" s="6">
        <f t="shared" si="78"/>
        <v>21.314447296000001</v>
      </c>
      <c r="Q420" s="6">
        <f t="shared" si="78"/>
        <v>21.385276269000002</v>
      </c>
      <c r="R420" s="6">
        <f t="shared" si="78"/>
        <v>21.475128140999999</v>
      </c>
      <c r="S420" s="6">
        <f t="shared" si="78"/>
        <v>21.582706221999999</v>
      </c>
      <c r="T420" s="6">
        <f t="shared" si="78"/>
        <v>21.710261649</v>
      </c>
      <c r="U420" s="6">
        <f t="shared" si="78"/>
        <v>21.866035611000001</v>
      </c>
      <c r="V420" s="6">
        <f t="shared" si="78"/>
        <v>22.056730615999999</v>
      </c>
      <c r="W420" s="6">
        <f t="shared" si="78"/>
        <v>22.284148952999999</v>
      </c>
      <c r="X420" s="6">
        <f t="shared" si="78"/>
        <v>22.557147728</v>
      </c>
      <c r="Y420" s="6">
        <f t="shared" si="78"/>
        <v>22.880749739999999</v>
      </c>
      <c r="Z420" s="6">
        <f t="shared" si="78"/>
        <v>23.257421622000003</v>
      </c>
      <c r="AA420" s="6">
        <f t="shared" si="78"/>
        <v>23.687354292999999</v>
      </c>
      <c r="AB420" s="6">
        <f t="shared" si="78"/>
        <v>24.159375589</v>
      </c>
      <c r="AC420" s="6">
        <f t="shared" si="78"/>
        <v>24.67711693</v>
      </c>
      <c r="AD420" s="6">
        <f t="shared" si="78"/>
        <v>25.249208281999998</v>
      </c>
      <c r="AE420" s="6">
        <f t="shared" si="78"/>
        <v>25.876950958999998</v>
      </c>
      <c r="AF420" s="6">
        <f t="shared" si="78"/>
        <v>26.556837443999999</v>
      </c>
      <c r="AG420" s="6">
        <f t="shared" si="78"/>
        <v>27.283364801000001</v>
      </c>
      <c r="AH420" s="6">
        <f t="shared" si="78"/>
        <v>28.052560534999998</v>
      </c>
      <c r="AI420" s="6">
        <f t="shared" si="78"/>
        <v>28.862367159999998</v>
      </c>
      <c r="AJ420" s="6">
        <f t="shared" si="78"/>
        <v>29.710965942999998</v>
      </c>
      <c r="AK420" s="6">
        <f t="shared" si="78"/>
        <v>30.597315568999999</v>
      </c>
      <c r="AL420" s="6">
        <f t="shared" si="78"/>
        <v>31.521447434999999</v>
      </c>
    </row>
    <row r="421" spans="1:38" x14ac:dyDescent="0.35">
      <c r="B421" t="s">
        <v>66</v>
      </c>
      <c r="C421" s="6">
        <f>C394</f>
        <v>13.59787135</v>
      </c>
      <c r="D421" s="6">
        <f t="shared" ref="D421:AL421" si="79">D394</f>
        <v>13.92077106</v>
      </c>
      <c r="E421" s="6">
        <f t="shared" si="79"/>
        <v>14.27752819</v>
      </c>
      <c r="F421" s="6">
        <f t="shared" si="79"/>
        <v>14.64251211</v>
      </c>
      <c r="G421" s="6">
        <f t="shared" si="79"/>
        <v>15.030597930000001</v>
      </c>
      <c r="H421" s="6">
        <f t="shared" si="79"/>
        <v>15.441185340000001</v>
      </c>
      <c r="I421" s="6">
        <f t="shared" si="79"/>
        <v>15.845460640000001</v>
      </c>
      <c r="J421" s="6">
        <f t="shared" si="79"/>
        <v>15.87281978</v>
      </c>
      <c r="K421" s="6">
        <f t="shared" si="79"/>
        <v>15.85692862</v>
      </c>
      <c r="L421" s="6">
        <f t="shared" si="79"/>
        <v>15.93814665</v>
      </c>
      <c r="M421" s="6">
        <f t="shared" si="79"/>
        <v>15.99013693</v>
      </c>
      <c r="N421" s="6">
        <f t="shared" si="79"/>
        <v>15.938760479999999</v>
      </c>
      <c r="O421" s="6">
        <f t="shared" si="79"/>
        <v>15.80575582</v>
      </c>
      <c r="P421" s="6">
        <f t="shared" si="79"/>
        <v>15.625139369999999</v>
      </c>
      <c r="Q421" s="6">
        <f t="shared" si="79"/>
        <v>15.43086851</v>
      </c>
      <c r="R421" s="6">
        <f t="shared" si="79"/>
        <v>15.24118893</v>
      </c>
      <c r="S421" s="6">
        <f t="shared" si="79"/>
        <v>15.073913449999999</v>
      </c>
      <c r="T421" s="6">
        <f t="shared" si="79"/>
        <v>14.934969239999999</v>
      </c>
      <c r="U421" s="6">
        <f t="shared" si="79"/>
        <v>14.82976335</v>
      </c>
      <c r="V421" s="6">
        <f t="shared" si="79"/>
        <v>14.758868809999999</v>
      </c>
      <c r="W421" s="6">
        <f t="shared" si="79"/>
        <v>14.720286979999999</v>
      </c>
      <c r="X421" s="6">
        <f t="shared" si="79"/>
        <v>14.71590408</v>
      </c>
      <c r="Y421" s="6">
        <f t="shared" si="79"/>
        <v>14.74615502</v>
      </c>
      <c r="Z421" s="6">
        <f t="shared" si="79"/>
        <v>14.80924065</v>
      </c>
      <c r="AA421" s="6">
        <f t="shared" si="79"/>
        <v>14.900938180000001</v>
      </c>
      <c r="AB421" s="6">
        <f t="shared" si="79"/>
        <v>15.01314932</v>
      </c>
      <c r="AC421" s="6">
        <f t="shared" si="79"/>
        <v>15.14770444</v>
      </c>
      <c r="AD421" s="6">
        <f t="shared" si="79"/>
        <v>15.308821999999999</v>
      </c>
      <c r="AE421" s="6">
        <f t="shared" si="79"/>
        <v>15.49396061</v>
      </c>
      <c r="AF421" s="6">
        <f t="shared" si="79"/>
        <v>15.69365797</v>
      </c>
      <c r="AG421" s="6">
        <f t="shared" si="79"/>
        <v>15.89656025</v>
      </c>
      <c r="AH421" s="6">
        <f t="shared" si="79"/>
        <v>16.094529269999999</v>
      </c>
      <c r="AI421" s="6">
        <f t="shared" si="79"/>
        <v>16.282363149999998</v>
      </c>
      <c r="AJ421" s="6">
        <f t="shared" si="79"/>
        <v>16.45482792</v>
      </c>
      <c r="AK421" s="6">
        <f t="shared" si="79"/>
        <v>16.606737630000001</v>
      </c>
      <c r="AL421" s="6">
        <f t="shared" si="79"/>
        <v>16.733048830000001</v>
      </c>
    </row>
    <row r="422" spans="1:38" x14ac:dyDescent="0.35">
      <c r="B422" t="s">
        <v>67</v>
      </c>
      <c r="C422" s="6">
        <f>C396</f>
        <v>19.467183080000002</v>
      </c>
      <c r="D422" s="6">
        <f t="shared" ref="D422:AL422" si="80">D396</f>
        <v>19.626582750000001</v>
      </c>
      <c r="E422" s="6">
        <f t="shared" si="80"/>
        <v>19.80670559</v>
      </c>
      <c r="F422" s="6">
        <f t="shared" si="80"/>
        <v>19.915586959999999</v>
      </c>
      <c r="G422" s="6">
        <f t="shared" si="80"/>
        <v>20.164650890000001</v>
      </c>
      <c r="H422" s="6">
        <f t="shared" si="80"/>
        <v>20.524407159999999</v>
      </c>
      <c r="I422" s="6">
        <f t="shared" si="80"/>
        <v>20.907109810000001</v>
      </c>
      <c r="J422" s="6">
        <f t="shared" si="80"/>
        <v>20.310238909999999</v>
      </c>
      <c r="K422" s="6">
        <f t="shared" si="80"/>
        <v>19.595177240000002</v>
      </c>
      <c r="L422" s="6">
        <f t="shared" si="80"/>
        <v>19.013307130000001</v>
      </c>
      <c r="M422" s="6">
        <f t="shared" si="80"/>
        <v>18.46084346</v>
      </c>
      <c r="N422" s="6">
        <f t="shared" si="80"/>
        <v>17.970907589999999</v>
      </c>
      <c r="O422" s="6">
        <f t="shared" si="80"/>
        <v>17.517495149999998</v>
      </c>
      <c r="P422" s="6">
        <f t="shared" si="80"/>
        <v>17.101456970000001</v>
      </c>
      <c r="Q422" s="6">
        <f t="shared" si="80"/>
        <v>16.73440896</v>
      </c>
      <c r="R422" s="6">
        <f t="shared" si="80"/>
        <v>16.41923684</v>
      </c>
      <c r="S422" s="6">
        <f t="shared" si="80"/>
        <v>16.11357782</v>
      </c>
      <c r="T422" s="6">
        <f t="shared" si="80"/>
        <v>15.8367568</v>
      </c>
      <c r="U422" s="6">
        <f t="shared" si="80"/>
        <v>15.600242550000001</v>
      </c>
      <c r="V422" s="6">
        <f t="shared" si="80"/>
        <v>15.407829319999999</v>
      </c>
      <c r="W422" s="6">
        <f t="shared" si="80"/>
        <v>15.2594762</v>
      </c>
      <c r="X422" s="6">
        <f t="shared" si="80"/>
        <v>15.15694023</v>
      </c>
      <c r="Y422" s="6">
        <f t="shared" si="80"/>
        <v>15.10105559</v>
      </c>
      <c r="Z422" s="6">
        <f t="shared" si="80"/>
        <v>15.090020340000001</v>
      </c>
      <c r="AA422" s="6">
        <f t="shared" si="80"/>
        <v>15.119803080000001</v>
      </c>
      <c r="AB422" s="6">
        <f t="shared" si="80"/>
        <v>15.18322987</v>
      </c>
      <c r="AC422" s="6">
        <f t="shared" si="80"/>
        <v>15.280699289999999</v>
      </c>
      <c r="AD422" s="6">
        <f t="shared" si="80"/>
        <v>15.41515274</v>
      </c>
      <c r="AE422" s="6">
        <f t="shared" si="80"/>
        <v>15.583572849999999</v>
      </c>
      <c r="AF422" s="6">
        <f t="shared" si="80"/>
        <v>15.77729343</v>
      </c>
      <c r="AG422" s="6">
        <f t="shared" si="80"/>
        <v>15.98620985</v>
      </c>
      <c r="AH422" s="6">
        <f t="shared" si="80"/>
        <v>16.203112520000001</v>
      </c>
      <c r="AI422" s="6">
        <f t="shared" si="80"/>
        <v>16.423376229999999</v>
      </c>
      <c r="AJ422" s="6">
        <f t="shared" si="80"/>
        <v>16.642349970000001</v>
      </c>
      <c r="AK422" s="6">
        <f t="shared" si="80"/>
        <v>16.855543040000001</v>
      </c>
      <c r="AL422" s="6">
        <f t="shared" si="80"/>
        <v>17.058623690000001</v>
      </c>
    </row>
    <row r="423" spans="1:38" x14ac:dyDescent="0.35">
      <c r="B423" t="s">
        <v>71</v>
      </c>
      <c r="C423" s="6">
        <f>C391+C393+C395+C397+C398+C399</f>
        <v>16.045023180000001</v>
      </c>
      <c r="D423" s="6">
        <f t="shared" ref="D423:AL423" si="81">D391+D393+D395+D397+D398+D399</f>
        <v>15.790804973</v>
      </c>
      <c r="E423" s="6">
        <f t="shared" si="81"/>
        <v>15.521666010000001</v>
      </c>
      <c r="F423" s="6">
        <f t="shared" si="81"/>
        <v>15.177804491</v>
      </c>
      <c r="G423" s="6">
        <f t="shared" si="81"/>
        <v>15.072458531999999</v>
      </c>
      <c r="H423" s="6">
        <f t="shared" si="81"/>
        <v>15.168501481000003</v>
      </c>
      <c r="I423" s="6">
        <f t="shared" si="81"/>
        <v>15.339488803</v>
      </c>
      <c r="J423" s="6">
        <f t="shared" si="81"/>
        <v>14.173164228000001</v>
      </c>
      <c r="K423" s="6">
        <f t="shared" si="81"/>
        <v>12.908564456200001</v>
      </c>
      <c r="L423" s="6">
        <f t="shared" si="81"/>
        <v>11.796141071999999</v>
      </c>
      <c r="M423" s="6">
        <f t="shared" si="81"/>
        <v>10.822477054699998</v>
      </c>
      <c r="N423" s="6">
        <f t="shared" si="81"/>
        <v>10.038534998500001</v>
      </c>
      <c r="O423" s="6">
        <f t="shared" si="81"/>
        <v>9.3783704948000004</v>
      </c>
      <c r="P423" s="6">
        <f t="shared" si="81"/>
        <v>8.8041014209000004</v>
      </c>
      <c r="Q423" s="6">
        <f t="shared" si="81"/>
        <v>8.2980425422999993</v>
      </c>
      <c r="R423" s="6">
        <f t="shared" si="81"/>
        <v>7.8480897619999999</v>
      </c>
      <c r="S423" s="6">
        <f t="shared" si="81"/>
        <v>7.4237940967000009</v>
      </c>
      <c r="T423" s="6">
        <f t="shared" si="81"/>
        <v>7.0322918526000002</v>
      </c>
      <c r="U423" s="6">
        <f t="shared" si="81"/>
        <v>6.6774115412000006</v>
      </c>
      <c r="V423" s="6">
        <f t="shared" si="81"/>
        <v>6.3597036966999996</v>
      </c>
      <c r="W423" s="6">
        <f t="shared" si="81"/>
        <v>6.0773904409000004</v>
      </c>
      <c r="X423" s="6">
        <f t="shared" si="81"/>
        <v>5.8295580742999995</v>
      </c>
      <c r="Y423" s="6">
        <f t="shared" si="81"/>
        <v>5.6138163418999998</v>
      </c>
      <c r="Z423" s="6">
        <f t="shared" si="81"/>
        <v>5.4265887836999998</v>
      </c>
      <c r="AA423" s="6">
        <f t="shared" si="81"/>
        <v>5.2637958996999998</v>
      </c>
      <c r="AB423" s="6">
        <f t="shared" si="81"/>
        <v>5.1198125733000008</v>
      </c>
      <c r="AC423" s="6">
        <f t="shared" si="81"/>
        <v>4.9936993300000001</v>
      </c>
      <c r="AD423" s="6">
        <f t="shared" si="81"/>
        <v>4.8828013307999996</v>
      </c>
      <c r="AE423" s="6">
        <f t="shared" si="81"/>
        <v>4.7821624879000009</v>
      </c>
      <c r="AF423" s="6">
        <f t="shared" si="81"/>
        <v>4.6845428514999998</v>
      </c>
      <c r="AG423" s="6">
        <f t="shared" si="81"/>
        <v>4.5815548491999998</v>
      </c>
      <c r="AH423" s="6">
        <f t="shared" si="81"/>
        <v>4.4643750266</v>
      </c>
      <c r="AI423" s="6">
        <f t="shared" si="81"/>
        <v>4.3225088956000004</v>
      </c>
      <c r="AJ423" s="6">
        <f t="shared" si="81"/>
        <v>4.1412497662999996</v>
      </c>
      <c r="AK423" s="6">
        <f t="shared" si="81"/>
        <v>3.8989157872</v>
      </c>
      <c r="AL423" s="6">
        <f t="shared" si="81"/>
        <v>3.5610122387000001</v>
      </c>
    </row>
    <row r="424" spans="1:38" x14ac:dyDescent="0.35">
      <c r="B424" t="s">
        <v>68</v>
      </c>
      <c r="C424" s="6">
        <f>C401</f>
        <v>17.318265199999999</v>
      </c>
      <c r="D424" s="6">
        <f t="shared" ref="D424:AL424" si="82">D401</f>
        <v>17.591020669999999</v>
      </c>
      <c r="E424" s="6">
        <f t="shared" si="82"/>
        <v>17.899963899999999</v>
      </c>
      <c r="F424" s="6">
        <f t="shared" si="82"/>
        <v>18.2300644</v>
      </c>
      <c r="G424" s="6">
        <f t="shared" si="82"/>
        <v>18.593509739999998</v>
      </c>
      <c r="H424" s="6">
        <f t="shared" si="82"/>
        <v>18.986307289999999</v>
      </c>
      <c r="I424" s="6">
        <f t="shared" si="82"/>
        <v>19.386480479999999</v>
      </c>
      <c r="J424" s="6">
        <f t="shared" si="82"/>
        <v>19.021934309999999</v>
      </c>
      <c r="K424" s="6">
        <f t="shared" si="82"/>
        <v>18.60658656</v>
      </c>
      <c r="L424" s="6">
        <f t="shared" si="82"/>
        <v>18.229984810000001</v>
      </c>
      <c r="M424" s="6">
        <f t="shared" si="82"/>
        <v>17.83678772</v>
      </c>
      <c r="N424" s="6">
        <f t="shared" si="82"/>
        <v>17.38347358</v>
      </c>
      <c r="O424" s="6">
        <f t="shared" si="82"/>
        <v>16.87660954</v>
      </c>
      <c r="P424" s="6">
        <f t="shared" si="82"/>
        <v>16.330684720000001</v>
      </c>
      <c r="Q424" s="6">
        <f t="shared" si="82"/>
        <v>15.762212590000001</v>
      </c>
      <c r="R424" s="6">
        <f t="shared" si="82"/>
        <v>15.181605530000001</v>
      </c>
      <c r="S424" s="6">
        <f t="shared" si="82"/>
        <v>14.592256040000001</v>
      </c>
      <c r="T424" s="6">
        <f t="shared" si="82"/>
        <v>14.002268369999999</v>
      </c>
      <c r="U424" s="6">
        <f t="shared" si="82"/>
        <v>13.41657122</v>
      </c>
      <c r="V424" s="6">
        <f t="shared" si="82"/>
        <v>12.83653299</v>
      </c>
      <c r="W424" s="6">
        <f t="shared" si="82"/>
        <v>12.25904495</v>
      </c>
      <c r="X424" s="6">
        <f t="shared" si="82"/>
        <v>11.687066229999999</v>
      </c>
      <c r="Y424" s="6">
        <f t="shared" si="82"/>
        <v>11.11824345</v>
      </c>
      <c r="Z424" s="6">
        <f t="shared" si="82"/>
        <v>10.549447860000001</v>
      </c>
      <c r="AA424" s="6">
        <f t="shared" si="82"/>
        <v>9.9763372540000006</v>
      </c>
      <c r="AB424" s="6">
        <f t="shared" si="82"/>
        <v>9.388472234</v>
      </c>
      <c r="AC424" s="6">
        <f t="shared" si="82"/>
        <v>8.7880118209999996</v>
      </c>
      <c r="AD424" s="6">
        <f t="shared" si="82"/>
        <v>8.1707254070000008</v>
      </c>
      <c r="AE424" s="6">
        <f t="shared" si="82"/>
        <v>7.5315156779999999</v>
      </c>
      <c r="AF424" s="6">
        <f t="shared" si="82"/>
        <v>6.8636371370000004</v>
      </c>
      <c r="AG424" s="6">
        <f t="shared" si="82"/>
        <v>6.159953346</v>
      </c>
      <c r="AH424" s="6">
        <f t="shared" si="82"/>
        <v>5.4140669389999996</v>
      </c>
      <c r="AI424" s="6">
        <f t="shared" si="82"/>
        <v>4.6203663209999997</v>
      </c>
      <c r="AJ424" s="6">
        <f t="shared" si="82"/>
        <v>3.7736499910000001</v>
      </c>
      <c r="AK424" s="6">
        <f t="shared" si="82"/>
        <v>2.8689212020000001</v>
      </c>
      <c r="AL424" s="6">
        <f t="shared" si="82"/>
        <v>1.901196111</v>
      </c>
    </row>
    <row r="425" spans="1:38" x14ac:dyDescent="0.35">
      <c r="B425" t="s">
        <v>69</v>
      </c>
      <c r="C425" s="6">
        <f>C403</f>
        <v>19.2035819</v>
      </c>
      <c r="D425" s="6">
        <f t="shared" ref="D425:AL425" si="83">D403</f>
        <v>19.61793376</v>
      </c>
      <c r="E425" s="6">
        <f t="shared" si="83"/>
        <v>20.08459448</v>
      </c>
      <c r="F425" s="6">
        <f t="shared" si="83"/>
        <v>20.551703509999999</v>
      </c>
      <c r="G425" s="6">
        <f t="shared" si="83"/>
        <v>21.076494950000001</v>
      </c>
      <c r="H425" s="6">
        <f t="shared" si="83"/>
        <v>21.67064117</v>
      </c>
      <c r="I425" s="6">
        <f t="shared" si="83"/>
        <v>22.31905622</v>
      </c>
      <c r="J425" s="6">
        <f t="shared" si="83"/>
        <v>22.016126830000001</v>
      </c>
      <c r="K425" s="6">
        <f t="shared" si="83"/>
        <v>21.616387069999998</v>
      </c>
      <c r="L425" s="6">
        <f t="shared" si="83"/>
        <v>21.336065619999999</v>
      </c>
      <c r="M425" s="6">
        <f t="shared" si="83"/>
        <v>21.054505049999999</v>
      </c>
      <c r="N425" s="6">
        <f t="shared" si="83"/>
        <v>20.71266438</v>
      </c>
      <c r="O425" s="6">
        <f t="shared" si="83"/>
        <v>20.315300000000001</v>
      </c>
      <c r="P425" s="6">
        <f t="shared" si="83"/>
        <v>19.871370339999999</v>
      </c>
      <c r="Q425" s="6">
        <f t="shared" si="83"/>
        <v>19.39601583</v>
      </c>
      <c r="R425" s="6">
        <f t="shared" si="83"/>
        <v>18.896125829999999</v>
      </c>
      <c r="S425" s="6">
        <f t="shared" si="83"/>
        <v>18.354460459999999</v>
      </c>
      <c r="T425" s="6">
        <f t="shared" si="83"/>
        <v>17.789410230000001</v>
      </c>
      <c r="U425" s="6">
        <f t="shared" si="83"/>
        <v>17.21806733</v>
      </c>
      <c r="V425" s="6">
        <f t="shared" si="83"/>
        <v>16.651053449999999</v>
      </c>
      <c r="W425" s="6">
        <f t="shared" si="83"/>
        <v>16.091513450000001</v>
      </c>
      <c r="X425" s="6">
        <f t="shared" si="83"/>
        <v>15.547575269999999</v>
      </c>
      <c r="Y425" s="6">
        <f t="shared" si="83"/>
        <v>15.02094628</v>
      </c>
      <c r="Z425" s="6">
        <f t="shared" si="83"/>
        <v>14.50736788</v>
      </c>
      <c r="AA425" s="6">
        <f t="shared" si="83"/>
        <v>13.99845665</v>
      </c>
      <c r="AB425" s="6">
        <f t="shared" si="83"/>
        <v>13.47803964</v>
      </c>
      <c r="AC425" s="6">
        <f t="shared" si="83"/>
        <v>12.94965833</v>
      </c>
      <c r="AD425" s="6">
        <f t="shared" si="83"/>
        <v>12.411002099999999</v>
      </c>
      <c r="AE425" s="6">
        <f t="shared" si="83"/>
        <v>11.85266691</v>
      </c>
      <c r="AF425" s="6">
        <f t="shared" si="83"/>
        <v>11.25917671</v>
      </c>
      <c r="AG425" s="6">
        <f t="shared" si="83"/>
        <v>10.6132638</v>
      </c>
      <c r="AH425" s="6">
        <f t="shared" si="83"/>
        <v>9.8999782839999995</v>
      </c>
      <c r="AI425" s="6">
        <f t="shared" si="83"/>
        <v>9.105514844</v>
      </c>
      <c r="AJ425" s="6">
        <f t="shared" si="83"/>
        <v>8.2137675780000006</v>
      </c>
      <c r="AK425" s="6">
        <f t="shared" si="83"/>
        <v>7.2061794079999997</v>
      </c>
      <c r="AL425" s="6">
        <f t="shared" si="83"/>
        <v>6.0607930679999997</v>
      </c>
    </row>
    <row r="426" spans="1:38" x14ac:dyDescent="0.35">
      <c r="B426" t="s">
        <v>70</v>
      </c>
      <c r="C426" s="6">
        <f>C402+C400</f>
        <v>5.5593834549999999</v>
      </c>
      <c r="D426" s="6">
        <f t="shared" ref="D426:AL426" si="84">D402+D400</f>
        <v>5.7124970289999997</v>
      </c>
      <c r="E426" s="6">
        <f t="shared" si="84"/>
        <v>5.8756149070000001</v>
      </c>
      <c r="F426" s="6">
        <f t="shared" si="84"/>
        <v>6.0375819699999997</v>
      </c>
      <c r="G426" s="6">
        <f t="shared" si="84"/>
        <v>6.2052847130000002</v>
      </c>
      <c r="H426" s="6">
        <f t="shared" si="84"/>
        <v>6.3804348580000001</v>
      </c>
      <c r="I426" s="6">
        <f t="shared" si="84"/>
        <v>6.5578883229999994</v>
      </c>
      <c r="J426" s="6">
        <f t="shared" si="84"/>
        <v>6.4827877140000005</v>
      </c>
      <c r="K426" s="6">
        <f t="shared" si="84"/>
        <v>6.4091223379999995</v>
      </c>
      <c r="L426" s="6">
        <f t="shared" si="84"/>
        <v>6.3950992929999995</v>
      </c>
      <c r="M426" s="6">
        <f t="shared" si="84"/>
        <v>6.3745894130000007</v>
      </c>
      <c r="N426" s="6">
        <f t="shared" si="84"/>
        <v>6.3036487660000002</v>
      </c>
      <c r="O426" s="6">
        <f t="shared" si="84"/>
        <v>6.1826746239999997</v>
      </c>
      <c r="P426" s="6">
        <f t="shared" si="84"/>
        <v>6.0250238999999999</v>
      </c>
      <c r="Q426" s="6">
        <f t="shared" si="84"/>
        <v>5.847053389</v>
      </c>
      <c r="R426" s="6">
        <f t="shared" si="84"/>
        <v>5.6583477920000007</v>
      </c>
      <c r="S426" s="6">
        <f t="shared" si="84"/>
        <v>5.4680461730000003</v>
      </c>
      <c r="T426" s="6">
        <f t="shared" si="84"/>
        <v>5.2825336209999998</v>
      </c>
      <c r="U426" s="6">
        <f t="shared" si="84"/>
        <v>5.1045257929999996</v>
      </c>
      <c r="V426" s="6">
        <f t="shared" si="84"/>
        <v>4.9334064130000002</v>
      </c>
      <c r="W426" s="6">
        <f t="shared" si="84"/>
        <v>4.7676351619999995</v>
      </c>
      <c r="X426" s="6">
        <f t="shared" si="84"/>
        <v>4.6066354729999999</v>
      </c>
      <c r="Y426" s="6">
        <f t="shared" si="84"/>
        <v>4.4495633090000002</v>
      </c>
      <c r="Z426" s="6">
        <f t="shared" si="84"/>
        <v>4.2936110909999998</v>
      </c>
      <c r="AA426" s="6">
        <f t="shared" si="84"/>
        <v>4.1350197999000002</v>
      </c>
      <c r="AB426" s="6">
        <f t="shared" si="84"/>
        <v>3.9700671882999998</v>
      </c>
      <c r="AC426" s="6">
        <f t="shared" si="84"/>
        <v>3.7991913587999999</v>
      </c>
      <c r="AD426" s="6">
        <f t="shared" si="84"/>
        <v>3.6231808537000001</v>
      </c>
      <c r="AE426" s="6">
        <f t="shared" si="84"/>
        <v>3.438637962</v>
      </c>
      <c r="AF426" s="6">
        <f t="shared" si="84"/>
        <v>3.2399542109999997</v>
      </c>
      <c r="AG426" s="6">
        <f t="shared" si="84"/>
        <v>3.0217179070000002</v>
      </c>
      <c r="AH426" s="6">
        <f t="shared" si="84"/>
        <v>2.7805912360999998</v>
      </c>
      <c r="AI426" s="6">
        <f t="shared" si="84"/>
        <v>2.5142976513000002</v>
      </c>
      <c r="AJ426" s="6">
        <f t="shared" si="84"/>
        <v>2.2197786251</v>
      </c>
      <c r="AK426" s="6">
        <f t="shared" si="84"/>
        <v>1.8936853215</v>
      </c>
      <c r="AL426" s="6">
        <f t="shared" si="84"/>
        <v>1.5325385275000001</v>
      </c>
    </row>
    <row r="427" spans="1:38" x14ac:dyDescent="0.35">
      <c r="B427" t="s">
        <v>10</v>
      </c>
      <c r="C427" s="6">
        <f>C404+C405+C415</f>
        <v>48.661638726000007</v>
      </c>
      <c r="D427" s="6">
        <f t="shared" ref="D427:AL427" si="85">D404+D405+D415</f>
        <v>48.050730315000003</v>
      </c>
      <c r="E427" s="6">
        <f t="shared" si="85"/>
        <v>47.458215619999997</v>
      </c>
      <c r="F427" s="6">
        <f t="shared" si="85"/>
        <v>46.683868343</v>
      </c>
      <c r="G427" s="6">
        <f t="shared" si="85"/>
        <v>46.517689492000002</v>
      </c>
      <c r="H427" s="6">
        <f t="shared" si="85"/>
        <v>46.797902687000004</v>
      </c>
      <c r="I427" s="6">
        <f t="shared" si="85"/>
        <v>47.168147392999998</v>
      </c>
      <c r="J427" s="6">
        <f t="shared" si="85"/>
        <v>44.019398509999995</v>
      </c>
      <c r="K427" s="6">
        <f t="shared" si="85"/>
        <v>40.853584595000001</v>
      </c>
      <c r="L427" s="6">
        <f t="shared" si="85"/>
        <v>38.047132886</v>
      </c>
      <c r="M427" s="6">
        <f t="shared" si="85"/>
        <v>35.604114085999996</v>
      </c>
      <c r="N427" s="6">
        <f t="shared" si="85"/>
        <v>33.640736410999999</v>
      </c>
      <c r="O427" s="6">
        <f t="shared" si="85"/>
        <v>31.989904904999996</v>
      </c>
      <c r="P427" s="6">
        <f t="shared" si="85"/>
        <v>30.547726621000002</v>
      </c>
      <c r="Q427" s="6">
        <f t="shared" si="85"/>
        <v>29.257215362</v>
      </c>
      <c r="R427" s="6">
        <f t="shared" si="85"/>
        <v>28.082827205000001</v>
      </c>
      <c r="S427" s="6">
        <f t="shared" si="85"/>
        <v>26.951504745000001</v>
      </c>
      <c r="T427" s="6">
        <f t="shared" si="85"/>
        <v>25.880466180999999</v>
      </c>
      <c r="U427" s="6">
        <f t="shared" si="85"/>
        <v>24.878628443</v>
      </c>
      <c r="V427" s="6">
        <f t="shared" si="85"/>
        <v>23.948521276000001</v>
      </c>
      <c r="W427" s="6">
        <f t="shared" si="85"/>
        <v>23.077751890999998</v>
      </c>
      <c r="X427" s="6">
        <f t="shared" si="85"/>
        <v>22.282429830000002</v>
      </c>
      <c r="Y427" s="6">
        <f t="shared" si="85"/>
        <v>21.550674282999999</v>
      </c>
      <c r="Z427" s="6">
        <f t="shared" si="85"/>
        <v>20.873949306999997</v>
      </c>
      <c r="AA427" s="6">
        <f t="shared" si="85"/>
        <v>20.242789590999998</v>
      </c>
      <c r="AB427" s="6">
        <f t="shared" si="85"/>
        <v>19.620145666999999</v>
      </c>
      <c r="AC427" s="6">
        <f t="shared" si="85"/>
        <v>19.032150519999998</v>
      </c>
      <c r="AD427" s="6">
        <f t="shared" si="85"/>
        <v>18.461453602999999</v>
      </c>
      <c r="AE427" s="6">
        <f t="shared" si="85"/>
        <v>17.893531670000002</v>
      </c>
      <c r="AF427" s="6">
        <f t="shared" si="85"/>
        <v>17.310742593000001</v>
      </c>
      <c r="AG427" s="6">
        <f t="shared" si="85"/>
        <v>16.692775191999999</v>
      </c>
      <c r="AH427" s="6">
        <f t="shared" si="85"/>
        <v>16.017501037000002</v>
      </c>
      <c r="AI427" s="6">
        <f t="shared" si="85"/>
        <v>15.259745089000001</v>
      </c>
      <c r="AJ427" s="6">
        <f t="shared" si="85"/>
        <v>14.388674269999999</v>
      </c>
      <c r="AK427" s="6">
        <f t="shared" si="85"/>
        <v>13.364901027</v>
      </c>
      <c r="AL427" s="6">
        <f t="shared" si="85"/>
        <v>12.134637637000001</v>
      </c>
    </row>
    <row r="428" spans="1:38" x14ac:dyDescent="0.35">
      <c r="B428" t="s">
        <v>29</v>
      </c>
      <c r="C428" s="6">
        <f>C407+C408+C406</f>
        <v>21.513213186999998</v>
      </c>
      <c r="D428" s="6">
        <f t="shared" ref="D428:AL428" si="86">D407+D408+D406</f>
        <v>21.698277084000001</v>
      </c>
      <c r="E428" s="6">
        <f t="shared" si="86"/>
        <v>21.887406957</v>
      </c>
      <c r="F428" s="6">
        <f t="shared" si="86"/>
        <v>22.093601217</v>
      </c>
      <c r="G428" s="6">
        <f t="shared" si="86"/>
        <v>22.364577163</v>
      </c>
      <c r="H428" s="6">
        <f t="shared" si="86"/>
        <v>22.698076988</v>
      </c>
      <c r="I428" s="6">
        <f t="shared" si="86"/>
        <v>23.070007047000001</v>
      </c>
      <c r="J428" s="6">
        <f t="shared" si="86"/>
        <v>23.548931510000003</v>
      </c>
      <c r="K428" s="6">
        <f t="shared" si="86"/>
        <v>24.036871201</v>
      </c>
      <c r="L428" s="6">
        <f t="shared" si="86"/>
        <v>24.568517735</v>
      </c>
      <c r="M428" s="6">
        <f t="shared" si="86"/>
        <v>25.069515745</v>
      </c>
      <c r="N428" s="6">
        <f t="shared" si="86"/>
        <v>25.497289736000003</v>
      </c>
      <c r="O428" s="6">
        <f t="shared" si="86"/>
        <v>25.846776309100001</v>
      </c>
      <c r="P428" s="6">
        <f t="shared" si="86"/>
        <v>26.1242937369</v>
      </c>
      <c r="Q428" s="6">
        <f t="shared" si="86"/>
        <v>26.341448345899998</v>
      </c>
      <c r="R428" s="6">
        <f t="shared" si="86"/>
        <v>26.503694910700002</v>
      </c>
      <c r="S428" s="6">
        <f t="shared" si="86"/>
        <v>26.5897401135</v>
      </c>
      <c r="T428" s="6">
        <f t="shared" si="86"/>
        <v>26.618307290800001</v>
      </c>
      <c r="U428" s="6">
        <f t="shared" si="86"/>
        <v>26.5967741256</v>
      </c>
      <c r="V428" s="6">
        <f t="shared" si="86"/>
        <v>26.526954519899999</v>
      </c>
      <c r="W428" s="6">
        <f t="shared" si="86"/>
        <v>26.406038154699999</v>
      </c>
      <c r="X428" s="6">
        <f t="shared" si="86"/>
        <v>26.235317160000001</v>
      </c>
      <c r="Y428" s="6">
        <f t="shared" si="86"/>
        <v>26.013164244399999</v>
      </c>
      <c r="Z428" s="6">
        <f t="shared" si="86"/>
        <v>25.7350308734</v>
      </c>
      <c r="AA428" s="6">
        <f t="shared" si="86"/>
        <v>25.393524775100001</v>
      </c>
      <c r="AB428" s="6">
        <f t="shared" si="86"/>
        <v>24.974335615600001</v>
      </c>
      <c r="AC428" s="6">
        <f t="shared" si="86"/>
        <v>24.4799944719</v>
      </c>
      <c r="AD428" s="6">
        <f t="shared" si="86"/>
        <v>23.901127362899999</v>
      </c>
      <c r="AE428" s="6">
        <f t="shared" si="86"/>
        <v>23.226800102399999</v>
      </c>
      <c r="AF428" s="6">
        <f t="shared" si="86"/>
        <v>22.440036875199997</v>
      </c>
      <c r="AG428" s="6">
        <f t="shared" si="86"/>
        <v>21.5203377588</v>
      </c>
      <c r="AH428" s="6">
        <f t="shared" si="86"/>
        <v>20.447064783400002</v>
      </c>
      <c r="AI428" s="6">
        <f t="shared" si="86"/>
        <v>19.1993888541</v>
      </c>
      <c r="AJ428" s="6">
        <f t="shared" si="86"/>
        <v>17.754162819899999</v>
      </c>
      <c r="AK428" s="6">
        <f t="shared" si="86"/>
        <v>16.085095813900001</v>
      </c>
      <c r="AL428" s="6">
        <f t="shared" si="86"/>
        <v>14.1614738532</v>
      </c>
    </row>
    <row r="429" spans="1:38" x14ac:dyDescent="0.35">
      <c r="B429" t="s">
        <v>33</v>
      </c>
      <c r="C429" s="6">
        <f>SUM(C409:C413)</f>
        <v>25.091001077000001</v>
      </c>
      <c r="D429" s="6">
        <f t="shared" ref="D429:AL429" si="87">SUM(D409:D413)</f>
        <v>25.448656918000001</v>
      </c>
      <c r="E429" s="6">
        <f t="shared" si="87"/>
        <v>25.805004312000001</v>
      </c>
      <c r="F429" s="6">
        <f t="shared" si="87"/>
        <v>26.186019621</v>
      </c>
      <c r="G429" s="6">
        <f t="shared" si="87"/>
        <v>26.549640973000002</v>
      </c>
      <c r="H429" s="6">
        <f t="shared" si="87"/>
        <v>26.923979363000001</v>
      </c>
      <c r="I429" s="6">
        <f t="shared" si="87"/>
        <v>27.311939202000005</v>
      </c>
      <c r="J429" s="6">
        <f t="shared" si="87"/>
        <v>27.319087039999999</v>
      </c>
      <c r="K429" s="6">
        <f t="shared" si="87"/>
        <v>27.345006184999999</v>
      </c>
      <c r="L429" s="6">
        <f t="shared" si="87"/>
        <v>27.415302583999999</v>
      </c>
      <c r="M429" s="6">
        <f t="shared" si="87"/>
        <v>27.460252404000002</v>
      </c>
      <c r="N429" s="6">
        <f t="shared" si="87"/>
        <v>27.349933880999998</v>
      </c>
      <c r="O429" s="6">
        <f t="shared" si="87"/>
        <v>27.122461252000001</v>
      </c>
      <c r="P429" s="6">
        <f t="shared" si="87"/>
        <v>26.820394672999999</v>
      </c>
      <c r="Q429" s="6">
        <f t="shared" si="87"/>
        <v>26.477867106999998</v>
      </c>
      <c r="R429" s="6">
        <f t="shared" si="87"/>
        <v>26.114673680999999</v>
      </c>
      <c r="S429" s="6">
        <f t="shared" si="87"/>
        <v>25.745647625</v>
      </c>
      <c r="T429" s="6">
        <f t="shared" si="87"/>
        <v>25.382679888000002</v>
      </c>
      <c r="U429" s="6">
        <f t="shared" si="87"/>
        <v>25.027710582000001</v>
      </c>
      <c r="V429" s="6">
        <f t="shared" si="87"/>
        <v>24.682336259</v>
      </c>
      <c r="W429" s="6">
        <f t="shared" si="87"/>
        <v>24.341453755</v>
      </c>
      <c r="X429" s="6">
        <f t="shared" si="87"/>
        <v>24.017162559000003</v>
      </c>
      <c r="Y429" s="6">
        <f t="shared" si="87"/>
        <v>23.709922972000001</v>
      </c>
      <c r="Z429" s="6">
        <f t="shared" si="87"/>
        <v>23.416951714</v>
      </c>
      <c r="AA429" s="6">
        <f t="shared" si="87"/>
        <v>23.133173459000002</v>
      </c>
      <c r="AB429" s="6">
        <f t="shared" si="87"/>
        <v>22.83559013</v>
      </c>
      <c r="AC429" s="6">
        <f t="shared" si="87"/>
        <v>22.540601111999997</v>
      </c>
      <c r="AD429" s="6">
        <f t="shared" si="87"/>
        <v>22.243756336000001</v>
      </c>
      <c r="AE429" s="6">
        <f t="shared" si="87"/>
        <v>21.9358975124</v>
      </c>
      <c r="AF429" s="6">
        <f t="shared" si="87"/>
        <v>21.602051015700003</v>
      </c>
      <c r="AG429" s="6">
        <f t="shared" si="87"/>
        <v>21.223825683600001</v>
      </c>
      <c r="AH429" s="6">
        <f t="shared" si="87"/>
        <v>20.782539396499999</v>
      </c>
      <c r="AI429" s="6">
        <f t="shared" si="87"/>
        <v>20.258720772699998</v>
      </c>
      <c r="AJ429" s="6">
        <f t="shared" si="87"/>
        <v>19.6293709081</v>
      </c>
      <c r="AK429" s="6">
        <f t="shared" si="87"/>
        <v>18.866161092399999</v>
      </c>
      <c r="AL429" s="6">
        <f t="shared" si="87"/>
        <v>17.929875167300001</v>
      </c>
    </row>
    <row r="431" spans="1:3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38" x14ac:dyDescent="0.35">
      <c r="A432" t="s">
        <v>39</v>
      </c>
      <c r="B432" t="s">
        <v>7</v>
      </c>
      <c r="C432" s="6">
        <f>H418</f>
        <v>15.7586612184</v>
      </c>
      <c r="D432" s="6">
        <f>R418</f>
        <v>11.460594532</v>
      </c>
      <c r="E432" s="6">
        <f>AB418</f>
        <v>6.9459473864999994</v>
      </c>
      <c r="F432" s="6">
        <f>AL418</f>
        <v>1.6434010169000002</v>
      </c>
    </row>
    <row r="433" spans="1:38" x14ac:dyDescent="0.35">
      <c r="B433" t="s">
        <v>64</v>
      </c>
      <c r="C433" s="6">
        <f t="shared" ref="C433:C443" si="88">H419</f>
        <v>8.7701395439999992</v>
      </c>
      <c r="D433" s="6">
        <f t="shared" ref="D433:D443" si="89">R419</f>
        <v>5.8027435010000001</v>
      </c>
      <c r="E433" s="6">
        <f t="shared" ref="E433:E443" si="90">AB419</f>
        <v>3.9432964770000001</v>
      </c>
      <c r="F433" s="6">
        <f t="shared" ref="F433:F443" si="91">AL419</f>
        <v>2.406834811</v>
      </c>
    </row>
    <row r="434" spans="1:38" x14ac:dyDescent="0.35">
      <c r="B434" t="s">
        <v>65</v>
      </c>
      <c r="C434" s="6">
        <f t="shared" si="88"/>
        <v>20.437044118000003</v>
      </c>
      <c r="D434" s="6">
        <f t="shared" si="89"/>
        <v>21.475128140999999</v>
      </c>
      <c r="E434" s="6">
        <f t="shared" si="90"/>
        <v>24.159375589</v>
      </c>
      <c r="F434" s="6">
        <f t="shared" si="91"/>
        <v>31.521447434999999</v>
      </c>
    </row>
    <row r="435" spans="1:38" x14ac:dyDescent="0.35">
      <c r="B435" t="s">
        <v>66</v>
      </c>
      <c r="C435" s="6">
        <f t="shared" si="88"/>
        <v>15.441185340000001</v>
      </c>
      <c r="D435" s="6">
        <f t="shared" si="89"/>
        <v>15.24118893</v>
      </c>
      <c r="E435" s="6">
        <f t="shared" si="90"/>
        <v>15.01314932</v>
      </c>
      <c r="F435" s="6">
        <f t="shared" si="91"/>
        <v>16.733048830000001</v>
      </c>
    </row>
    <row r="436" spans="1:38" x14ac:dyDescent="0.35">
      <c r="B436" t="s">
        <v>67</v>
      </c>
      <c r="C436" s="6">
        <f t="shared" si="88"/>
        <v>20.524407159999999</v>
      </c>
      <c r="D436" s="6">
        <f t="shared" si="89"/>
        <v>16.41923684</v>
      </c>
      <c r="E436" s="6">
        <f t="shared" si="90"/>
        <v>15.18322987</v>
      </c>
      <c r="F436" s="6">
        <f t="shared" si="91"/>
        <v>17.058623690000001</v>
      </c>
    </row>
    <row r="437" spans="1:38" x14ac:dyDescent="0.35">
      <c r="B437" t="s">
        <v>71</v>
      </c>
      <c r="C437" s="6">
        <f t="shared" si="88"/>
        <v>15.168501481000003</v>
      </c>
      <c r="D437" s="6">
        <f t="shared" si="89"/>
        <v>7.8480897619999999</v>
      </c>
      <c r="E437" s="6">
        <f t="shared" si="90"/>
        <v>5.1198125733000008</v>
      </c>
      <c r="F437" s="6">
        <f t="shared" si="91"/>
        <v>3.5610122387000001</v>
      </c>
    </row>
    <row r="438" spans="1:38" x14ac:dyDescent="0.35">
      <c r="B438" t="s">
        <v>68</v>
      </c>
      <c r="C438" s="6">
        <f t="shared" si="88"/>
        <v>18.986307289999999</v>
      </c>
      <c r="D438" s="6">
        <f t="shared" si="89"/>
        <v>15.181605530000001</v>
      </c>
      <c r="E438" s="6">
        <f t="shared" si="90"/>
        <v>9.388472234</v>
      </c>
      <c r="F438" s="6">
        <f t="shared" si="91"/>
        <v>1.901196111</v>
      </c>
    </row>
    <row r="439" spans="1:38" x14ac:dyDescent="0.35">
      <c r="B439" t="s">
        <v>69</v>
      </c>
      <c r="C439" s="6">
        <f t="shared" si="88"/>
        <v>21.67064117</v>
      </c>
      <c r="D439" s="6">
        <f t="shared" si="89"/>
        <v>18.896125829999999</v>
      </c>
      <c r="E439" s="6">
        <f t="shared" si="90"/>
        <v>13.47803964</v>
      </c>
      <c r="F439" s="6">
        <f t="shared" si="91"/>
        <v>6.0607930679999997</v>
      </c>
    </row>
    <row r="440" spans="1:38" x14ac:dyDescent="0.35">
      <c r="B440" t="s">
        <v>70</v>
      </c>
      <c r="C440" s="6">
        <f t="shared" si="88"/>
        <v>6.3804348580000001</v>
      </c>
      <c r="D440" s="6">
        <f t="shared" si="89"/>
        <v>5.6583477920000007</v>
      </c>
      <c r="E440" s="6">
        <f t="shared" si="90"/>
        <v>3.9700671882999998</v>
      </c>
      <c r="F440" s="6">
        <f t="shared" si="91"/>
        <v>1.5325385275000001</v>
      </c>
    </row>
    <row r="441" spans="1:38" x14ac:dyDescent="0.35">
      <c r="B441" t="s">
        <v>10</v>
      </c>
      <c r="C441" s="6">
        <f t="shared" si="88"/>
        <v>46.797902687000004</v>
      </c>
      <c r="D441" s="6">
        <f t="shared" si="89"/>
        <v>28.082827205000001</v>
      </c>
      <c r="E441" s="6">
        <f t="shared" si="90"/>
        <v>19.620145666999999</v>
      </c>
      <c r="F441" s="6">
        <f t="shared" si="91"/>
        <v>12.134637637000001</v>
      </c>
    </row>
    <row r="442" spans="1:38" x14ac:dyDescent="0.35">
      <c r="B442" t="s">
        <v>29</v>
      </c>
      <c r="C442" s="6">
        <f t="shared" si="88"/>
        <v>22.698076988</v>
      </c>
      <c r="D442" s="6">
        <f t="shared" si="89"/>
        <v>26.503694910700002</v>
      </c>
      <c r="E442" s="6">
        <f t="shared" si="90"/>
        <v>24.974335615600001</v>
      </c>
      <c r="F442" s="6">
        <f t="shared" si="91"/>
        <v>14.1614738532</v>
      </c>
    </row>
    <row r="443" spans="1:38" x14ac:dyDescent="0.35">
      <c r="B443" t="s">
        <v>33</v>
      </c>
      <c r="C443" s="6">
        <f t="shared" si="88"/>
        <v>26.923979363000001</v>
      </c>
      <c r="D443" s="6">
        <f t="shared" si="89"/>
        <v>26.114673680999999</v>
      </c>
      <c r="E443" s="6">
        <f t="shared" si="90"/>
        <v>22.83559013</v>
      </c>
      <c r="F443" s="6">
        <f t="shared" si="91"/>
        <v>17.929875167300001</v>
      </c>
    </row>
    <row r="445" spans="1:38" x14ac:dyDescent="0.35">
      <c r="A445" s="12" t="s">
        <v>93</v>
      </c>
      <c r="B445" t="s">
        <v>73</v>
      </c>
      <c r="C445" s="6">
        <f>[1]Results!F281</f>
        <v>161.694278</v>
      </c>
      <c r="D445" s="6">
        <f>[1]Results!G281</f>
        <v>162.59585809999999</v>
      </c>
      <c r="E445" s="6">
        <f>[1]Results!H281</f>
        <v>163.5960657</v>
      </c>
      <c r="F445" s="6">
        <f>[1]Results!I281</f>
        <v>164.64719690000001</v>
      </c>
      <c r="G445" s="6">
        <f>[1]Results!J281</f>
        <v>166.3216012</v>
      </c>
      <c r="H445" s="6">
        <f>[1]Results!K281</f>
        <v>168.50837100000001</v>
      </c>
      <c r="I445" s="6">
        <f>[1]Results!L281</f>
        <v>170.73067889999999</v>
      </c>
      <c r="J445" s="6">
        <f>[1]Results!M281</f>
        <v>170.8728615</v>
      </c>
      <c r="K445" s="6">
        <f>[1]Results!N281</f>
        <v>170.75727810000001</v>
      </c>
      <c r="L445" s="6">
        <f>[1]Results!O281</f>
        <v>171.22663209999999</v>
      </c>
      <c r="M445" s="6">
        <f>[1]Results!P281</f>
        <v>171.90336490000001</v>
      </c>
      <c r="N445" s="6">
        <f>[1]Results!Q281</f>
        <v>172.52514909999999</v>
      </c>
      <c r="O445" s="6">
        <f>[1]Results!R281</f>
        <v>173.0358033</v>
      </c>
      <c r="P445" s="6">
        <f>[1]Results!S281</f>
        <v>173.46416199999999</v>
      </c>
      <c r="Q445" s="6">
        <f>[1]Results!T281</f>
        <v>173.88880929999999</v>
      </c>
      <c r="R445" s="6">
        <f>[1]Results!U281</f>
        <v>174.35997879999999</v>
      </c>
      <c r="S445" s="6">
        <f>[1]Results!V281</f>
        <v>174.9305822</v>
      </c>
      <c r="T445" s="6">
        <f>[1]Results!W281</f>
        <v>175.64133469999999</v>
      </c>
      <c r="U445" s="6">
        <f>[1]Results!X281</f>
        <v>176.5444511</v>
      </c>
      <c r="V445" s="6">
        <f>[1]Results!Y281</f>
        <v>177.67989510000001</v>
      </c>
      <c r="W445" s="6">
        <f>[1]Results!Z281</f>
        <v>179.04391509999999</v>
      </c>
      <c r="X445" s="6">
        <f>[1]Results!AA281</f>
        <v>180.73283649999999</v>
      </c>
      <c r="Y445" s="6">
        <f>[1]Results!AB281</f>
        <v>182.77275320000001</v>
      </c>
      <c r="Z445" s="6">
        <f>[1]Results!AC281</f>
        <v>185.18408360000001</v>
      </c>
      <c r="AA445" s="6">
        <f>[1]Results!AD281</f>
        <v>187.9774668</v>
      </c>
      <c r="AB445" s="6">
        <f>[1]Results!AE281</f>
        <v>191.048666</v>
      </c>
      <c r="AC445" s="6">
        <f>[1]Results!AF281</f>
        <v>194.5406491</v>
      </c>
      <c r="AD445" s="6">
        <f>[1]Results!AG281</f>
        <v>198.50709259999999</v>
      </c>
      <c r="AE445" s="6">
        <f>[1]Results!AH281</f>
        <v>202.97489239999999</v>
      </c>
      <c r="AF445" s="6">
        <f>[1]Results!AI281</f>
        <v>207.93452819999999</v>
      </c>
      <c r="AG445" s="6">
        <f>[1]Results!AJ281</f>
        <v>213.36359049999999</v>
      </c>
      <c r="AH445" s="6">
        <f>[1]Results!AK281</f>
        <v>219.2593866</v>
      </c>
      <c r="AI445" s="6">
        <f>[1]Results!AL281</f>
        <v>225.64462829999999</v>
      </c>
      <c r="AJ445" s="6">
        <f>[1]Results!AM281</f>
        <v>232.5574001</v>
      </c>
      <c r="AK445" s="6">
        <f>[1]Results!AN281</f>
        <v>240.06413649999999</v>
      </c>
      <c r="AL445" s="6">
        <f>[1]Results!AO281</f>
        <v>248.28049530000001</v>
      </c>
    </row>
    <row r="446" spans="1:38" x14ac:dyDescent="0.35">
      <c r="A446" t="s">
        <v>39</v>
      </c>
      <c r="B446" s="6" t="str">
        <f>[1]Results!E282</f>
        <v>CF_toe_ccoa_2</v>
      </c>
      <c r="C446" s="6">
        <f>[1]Results!F282</f>
        <v>5.4028819029999999</v>
      </c>
      <c r="D446" s="6">
        <f>[1]Results!G282</f>
        <v>5.441888874</v>
      </c>
      <c r="E446" s="6">
        <f>[1]Results!H282</f>
        <v>5.4872577160000002</v>
      </c>
      <c r="F446" s="6">
        <f>[1]Results!I282</f>
        <v>5.5163791089999998</v>
      </c>
      <c r="G446" s="6">
        <f>[1]Results!J282</f>
        <v>5.5846277689999999</v>
      </c>
      <c r="H446" s="6">
        <f>[1]Results!K282</f>
        <v>5.6835423580000004</v>
      </c>
      <c r="I446" s="6">
        <f>[1]Results!L282</f>
        <v>5.7947428419999998</v>
      </c>
      <c r="J446" s="6">
        <f>[1]Results!M282</f>
        <v>5.688175523</v>
      </c>
      <c r="K446" s="6">
        <f>[1]Results!N282</f>
        <v>5.5478587350000002</v>
      </c>
      <c r="L446" s="6">
        <f>[1]Results!O282</f>
        <v>5.4383654449999996</v>
      </c>
      <c r="M446" s="6">
        <f>[1]Results!P282</f>
        <v>5.3332217379999998</v>
      </c>
      <c r="N446" s="6">
        <f>[1]Results!Q282</f>
        <v>5.240915158</v>
      </c>
      <c r="O446" s="6">
        <f>[1]Results!R282</f>
        <v>5.1551611189999997</v>
      </c>
      <c r="P446" s="6">
        <f>[1]Results!S282</f>
        <v>5.0765389140000003</v>
      </c>
      <c r="Q446" s="6">
        <f>[1]Results!T282</f>
        <v>5.0085978999999998</v>
      </c>
      <c r="R446" s="6">
        <f>[1]Results!U282</f>
        <v>4.9526648440000001</v>
      </c>
      <c r="S446" s="6">
        <f>[1]Results!V282</f>
        <v>4.8968120099999997</v>
      </c>
      <c r="T446" s="6">
        <f>[1]Results!W282</f>
        <v>4.8470885179999996</v>
      </c>
      <c r="U446" s="6">
        <f>[1]Results!X282</f>
        <v>4.8074819189999998</v>
      </c>
      <c r="V446" s="6">
        <f>[1]Results!Y282</f>
        <v>4.7798038920000003</v>
      </c>
      <c r="W446" s="6">
        <f>[1]Results!Z282</f>
        <v>4.7645682630000001</v>
      </c>
      <c r="X446" s="6">
        <f>[1]Results!AA282</f>
        <v>4.7630674449999999</v>
      </c>
      <c r="Y446" s="6">
        <f>[1]Results!AB282</f>
        <v>4.7760827069999996</v>
      </c>
      <c r="Z446" s="6">
        <f>[1]Results!AC282</f>
        <v>4.8035993460000004</v>
      </c>
      <c r="AA446" s="6">
        <f>[1]Results!AD282</f>
        <v>4.8449212069999996</v>
      </c>
      <c r="AB446" s="6">
        <f>[1]Results!AE282</f>
        <v>4.8980104520000003</v>
      </c>
      <c r="AC446" s="6">
        <f>[1]Results!AF282</f>
        <v>4.9636171610000002</v>
      </c>
      <c r="AD446" s="6">
        <f>[1]Results!AG282</f>
        <v>5.0432546550000001</v>
      </c>
      <c r="AE446" s="6">
        <f>[1]Results!AH282</f>
        <v>5.1365250749999998</v>
      </c>
      <c r="AF446" s="6">
        <f>[1]Results!AI282</f>
        <v>5.241239566</v>
      </c>
      <c r="AG446" s="6">
        <f>[1]Results!AJ282</f>
        <v>5.3546817339999997</v>
      </c>
      <c r="AH446" s="6">
        <f>[1]Results!AK282</f>
        <v>5.4749744729999996</v>
      </c>
      <c r="AI446" s="6">
        <f>[1]Results!AL282</f>
        <v>5.6010400049999998</v>
      </c>
      <c r="AJ446" s="6">
        <f>[1]Results!AM282</f>
        <v>5.7318120859999997</v>
      </c>
      <c r="AK446" s="6">
        <f>[1]Results!AN282</f>
        <v>5.8663529099999998</v>
      </c>
      <c r="AL446" s="6">
        <f>[1]Results!AO282</f>
        <v>6.0039170979999996</v>
      </c>
    </row>
    <row r="447" spans="1:38" x14ac:dyDescent="0.35">
      <c r="B447" s="6" t="s">
        <v>74</v>
      </c>
      <c r="C447" s="6">
        <f>C448+C449+C450</f>
        <v>62.123682370400005</v>
      </c>
      <c r="D447" s="6">
        <f t="shared" ref="D447:AL447" si="92">D448+D449+D450</f>
        <v>62.412459944399998</v>
      </c>
      <c r="E447" s="6">
        <f t="shared" si="92"/>
        <v>62.708349853099996</v>
      </c>
      <c r="F447" s="6">
        <f t="shared" si="92"/>
        <v>63.074303876399995</v>
      </c>
      <c r="G447" s="6">
        <f t="shared" si="92"/>
        <v>63.680141978699993</v>
      </c>
      <c r="H447" s="6">
        <f t="shared" si="92"/>
        <v>64.496586773700002</v>
      </c>
      <c r="I447" s="6">
        <f t="shared" si="92"/>
        <v>65.423433247199995</v>
      </c>
      <c r="J447" s="6">
        <f t="shared" si="92"/>
        <v>65.731495464299996</v>
      </c>
      <c r="K447" s="6">
        <f t="shared" si="92"/>
        <v>65.913093752999998</v>
      </c>
      <c r="L447" s="6">
        <f t="shared" si="92"/>
        <v>66.249743308099994</v>
      </c>
      <c r="M447" s="6">
        <f t="shared" si="92"/>
        <v>66.642186916699998</v>
      </c>
      <c r="N447" s="6">
        <f t="shared" si="92"/>
        <v>67.0493824566</v>
      </c>
      <c r="O447" s="6">
        <f t="shared" si="92"/>
        <v>67.441380407600008</v>
      </c>
      <c r="P447" s="6">
        <f t="shared" si="92"/>
        <v>67.810739136600006</v>
      </c>
      <c r="Q447" s="6">
        <f t="shared" si="92"/>
        <v>68.168892012200004</v>
      </c>
      <c r="R447" s="6">
        <f t="shared" si="92"/>
        <v>68.523667855499994</v>
      </c>
      <c r="S447" s="6">
        <f t="shared" si="92"/>
        <v>68.855060519899993</v>
      </c>
      <c r="T447" s="6">
        <f t="shared" si="92"/>
        <v>69.196275206199999</v>
      </c>
      <c r="U447" s="6">
        <f t="shared" si="92"/>
        <v>69.575462872399996</v>
      </c>
      <c r="V447" s="6">
        <f t="shared" si="92"/>
        <v>70.011601473799999</v>
      </c>
      <c r="W447" s="6">
        <f t="shared" si="92"/>
        <v>70.508084618600009</v>
      </c>
      <c r="X447" s="6">
        <f t="shared" si="92"/>
        <v>71.096014638599996</v>
      </c>
      <c r="Y447" s="6">
        <f t="shared" si="92"/>
        <v>71.789975178899994</v>
      </c>
      <c r="Z447" s="6">
        <f t="shared" si="92"/>
        <v>72.600621232400002</v>
      </c>
      <c r="AA447" s="6">
        <f t="shared" si="92"/>
        <v>73.53484435</v>
      </c>
      <c r="AB447" s="6">
        <f t="shared" si="92"/>
        <v>74.565111145200007</v>
      </c>
      <c r="AC447" s="6">
        <f t="shared" si="92"/>
        <v>75.7355519141</v>
      </c>
      <c r="AD447" s="6">
        <f t="shared" si="92"/>
        <v>77.068337057800008</v>
      </c>
      <c r="AE447" s="6">
        <f t="shared" si="92"/>
        <v>78.579503547599998</v>
      </c>
      <c r="AF447" s="6">
        <f t="shared" si="92"/>
        <v>80.274409293900007</v>
      </c>
      <c r="AG447" s="6">
        <f t="shared" si="92"/>
        <v>82.154183080999999</v>
      </c>
      <c r="AH447" s="6">
        <f t="shared" si="92"/>
        <v>84.226308992199989</v>
      </c>
      <c r="AI447" s="6">
        <f t="shared" si="92"/>
        <v>86.508078533300008</v>
      </c>
      <c r="AJ447" s="6">
        <f t="shared" si="92"/>
        <v>89.025430556700002</v>
      </c>
      <c r="AK447" s="6">
        <f t="shared" si="92"/>
        <v>91.819095058499997</v>
      </c>
      <c r="AL447" s="6">
        <f t="shared" si="92"/>
        <v>94.955379272800002</v>
      </c>
    </row>
    <row r="448" spans="1:38" x14ac:dyDescent="0.35">
      <c r="B448" s="6" t="str">
        <f>[1]Results!E285</f>
        <v>CF_toe_ccoi_2</v>
      </c>
      <c r="C448" s="6">
        <f>[1]Results!F285</f>
        <v>8.3953620399999998E-2</v>
      </c>
      <c r="D448" s="6">
        <f>[1]Results!G285</f>
        <v>8.4487034399999994E-2</v>
      </c>
      <c r="E448" s="6">
        <f>[1]Results!H285</f>
        <v>8.5094873099999996E-2</v>
      </c>
      <c r="F448" s="6">
        <f>[1]Results!I285</f>
        <v>8.5566496399999997E-2</v>
      </c>
      <c r="G448" s="6">
        <f>[1]Results!J285</f>
        <v>8.6602968700000005E-2</v>
      </c>
      <c r="H448" s="6">
        <f>[1]Results!K285</f>
        <v>8.8112283700000002E-2</v>
      </c>
      <c r="I448" s="6">
        <f>[1]Results!L285</f>
        <v>8.9334317199999999E-2</v>
      </c>
      <c r="J448" s="6">
        <f>[1]Results!M285</f>
        <v>8.7865864299999999E-2</v>
      </c>
      <c r="K448" s="6">
        <f>[1]Results!N285</f>
        <v>8.5894472999999999E-2</v>
      </c>
      <c r="L448" s="6">
        <f>[1]Results!O285</f>
        <v>8.4318748099999993E-2</v>
      </c>
      <c r="M448" s="6">
        <f>[1]Results!P285</f>
        <v>8.2899056700000001E-2</v>
      </c>
      <c r="N448" s="6">
        <f>[1]Results!Q285</f>
        <v>8.1671506599999999E-2</v>
      </c>
      <c r="O448" s="6">
        <f>[1]Results!R285</f>
        <v>8.0522007600000001E-2</v>
      </c>
      <c r="P448" s="6">
        <f>[1]Results!S285</f>
        <v>7.9428456600000003E-2</v>
      </c>
      <c r="Q448" s="6">
        <f>[1]Results!T285</f>
        <v>7.8422882200000002E-2</v>
      </c>
      <c r="R448" s="6">
        <f>[1]Results!U285</f>
        <v>7.75228055E-2</v>
      </c>
      <c r="S448" s="6">
        <f>[1]Results!V285</f>
        <v>7.6771529899999996E-2</v>
      </c>
      <c r="T448" s="6">
        <f>[1]Results!W285</f>
        <v>7.6172056200000005E-2</v>
      </c>
      <c r="U448" s="6">
        <f>[1]Results!X285</f>
        <v>7.5741992399999999E-2</v>
      </c>
      <c r="V448" s="6">
        <f>[1]Results!Y285</f>
        <v>7.5492843800000001E-2</v>
      </c>
      <c r="W448" s="6">
        <f>[1]Results!Z285</f>
        <v>7.5422028599999996E-2</v>
      </c>
      <c r="X448" s="6">
        <f>[1]Results!AA285</f>
        <v>7.5562578599999999E-2</v>
      </c>
      <c r="Y448" s="6">
        <f>[1]Results!AB285</f>
        <v>7.5928148900000006E-2</v>
      </c>
      <c r="Z448" s="6">
        <f>[1]Results!AC285</f>
        <v>7.6523572400000003E-2</v>
      </c>
      <c r="AA448" s="6">
        <f>[1]Results!AD285</f>
        <v>7.734473E-2</v>
      </c>
      <c r="AB448" s="6">
        <f>[1]Results!AE285</f>
        <v>7.8350355199999999E-2</v>
      </c>
      <c r="AC448" s="6">
        <f>[1]Results!AF285</f>
        <v>7.9586784100000002E-2</v>
      </c>
      <c r="AD448" s="6">
        <f>[1]Results!AG285</f>
        <v>8.1085217799999998E-2</v>
      </c>
      <c r="AE448" s="6">
        <f>[1]Results!AH285</f>
        <v>8.28521376E-2</v>
      </c>
      <c r="AF448" s="6">
        <f>[1]Results!AI285</f>
        <v>8.4867883899999996E-2</v>
      </c>
      <c r="AG448" s="6">
        <f>[1]Results!AJ285</f>
        <v>8.7104170999999994E-2</v>
      </c>
      <c r="AH448" s="6">
        <f>[1]Results!AK285</f>
        <v>8.9547242200000002E-2</v>
      </c>
      <c r="AI448" s="6">
        <f>[1]Results!AL285</f>
        <v>9.2199893300000002E-2</v>
      </c>
      <c r="AJ448" s="6">
        <f>[1]Results!AM285</f>
        <v>9.5070786700000007E-2</v>
      </c>
      <c r="AK448" s="6">
        <f>[1]Results!AN285</f>
        <v>9.8182878500000001E-2</v>
      </c>
      <c r="AL448" s="6">
        <f>[1]Results!AO285</f>
        <v>0.10158560279999999</v>
      </c>
    </row>
    <row r="449" spans="1:38" x14ac:dyDescent="0.35">
      <c r="B449" s="6" t="str">
        <f>[1]Results!E288</f>
        <v>CF_toe_cfut_2</v>
      </c>
      <c r="C449" s="6">
        <f>[1]Results!F288</f>
        <v>47.250386450000001</v>
      </c>
      <c r="D449" s="6">
        <f>[1]Results!G288</f>
        <v>47.454060499999997</v>
      </c>
      <c r="E449" s="6">
        <f>[1]Results!H288</f>
        <v>47.664296</v>
      </c>
      <c r="F449" s="6">
        <f>[1]Results!I288</f>
        <v>47.948049599999997</v>
      </c>
      <c r="G449" s="6">
        <f>[1]Results!J288</f>
        <v>48.425846229999998</v>
      </c>
      <c r="H449" s="6">
        <f>[1]Results!K288</f>
        <v>49.077583910000001</v>
      </c>
      <c r="I449" s="6">
        <f>[1]Results!L288</f>
        <v>49.834472470000001</v>
      </c>
      <c r="J449" s="6">
        <f>[1]Results!M288</f>
        <v>50.175687310000001</v>
      </c>
      <c r="K449" s="6">
        <f>[1]Results!N288</f>
        <v>50.418726339999999</v>
      </c>
      <c r="L449" s="6">
        <f>[1]Results!O288</f>
        <v>50.776173839999998</v>
      </c>
      <c r="M449" s="6">
        <f>[1]Results!P288</f>
        <v>51.166247169999998</v>
      </c>
      <c r="N449" s="6">
        <f>[1]Results!Q288</f>
        <v>51.55184714</v>
      </c>
      <c r="O449" s="6">
        <f>[1]Results!R288</f>
        <v>51.914804840000002</v>
      </c>
      <c r="P449" s="6">
        <f>[1]Results!S288</f>
        <v>52.25142228</v>
      </c>
      <c r="Q449" s="6">
        <f>[1]Results!T288</f>
        <v>52.571151860000001</v>
      </c>
      <c r="R449" s="6">
        <f>[1]Results!U288</f>
        <v>52.880146179999997</v>
      </c>
      <c r="S449" s="6">
        <f>[1]Results!V288</f>
        <v>53.158611409999999</v>
      </c>
      <c r="T449" s="6">
        <f>[1]Results!W288</f>
        <v>53.431662930000002</v>
      </c>
      <c r="U449" s="6">
        <f>[1]Results!X288</f>
        <v>53.723027070000001</v>
      </c>
      <c r="V449" s="6">
        <f>[1]Results!Y288</f>
        <v>54.04957684</v>
      </c>
      <c r="W449" s="6">
        <f>[1]Results!Z288</f>
        <v>54.41717285</v>
      </c>
      <c r="X449" s="6">
        <f>[1]Results!AA288</f>
        <v>54.848516699999998</v>
      </c>
      <c r="Y449" s="6">
        <f>[1]Results!AB288</f>
        <v>55.356561159999998</v>
      </c>
      <c r="Z449" s="6">
        <f>[1]Results!AC288</f>
        <v>55.95116384</v>
      </c>
      <c r="AA449" s="6">
        <f>[1]Results!AD288</f>
        <v>56.638551020000001</v>
      </c>
      <c r="AB449" s="6">
        <f>[1]Results!AE288</f>
        <v>57.402199670000002</v>
      </c>
      <c r="AC449" s="6">
        <f>[1]Results!AF288</f>
        <v>58.271645579999998</v>
      </c>
      <c r="AD449" s="6">
        <f>[1]Results!AG288</f>
        <v>59.265476710000002</v>
      </c>
      <c r="AE449" s="6">
        <f>[1]Results!AH288</f>
        <v>60.396527450000001</v>
      </c>
      <c r="AF449" s="6">
        <f>[1]Results!AI288</f>
        <v>61.669070640000001</v>
      </c>
      <c r="AG449" s="6">
        <f>[1]Results!AJ288</f>
        <v>63.084021569999997</v>
      </c>
      <c r="AH449" s="6">
        <f>[1]Results!AK288</f>
        <v>64.647533139999993</v>
      </c>
      <c r="AI449" s="6">
        <f>[1]Results!AL288</f>
        <v>66.373536479999999</v>
      </c>
      <c r="AJ449" s="6">
        <f>[1]Results!AM288</f>
        <v>68.282386090000003</v>
      </c>
      <c r="AK449" s="6">
        <f>[1]Results!AN288</f>
        <v>70.406131279999997</v>
      </c>
      <c r="AL449" s="6">
        <f>[1]Results!AO288</f>
        <v>72.797316309999999</v>
      </c>
    </row>
    <row r="450" spans="1:38" x14ac:dyDescent="0.35">
      <c r="B450" s="6" t="str">
        <f>[1]Results!E291</f>
        <v>CF_toe_cfuh_2</v>
      </c>
      <c r="C450" s="6">
        <f>[1]Results!F291</f>
        <v>14.789342299999999</v>
      </c>
      <c r="D450" s="6">
        <f>[1]Results!G291</f>
        <v>14.873912410000001</v>
      </c>
      <c r="E450" s="6">
        <f>[1]Results!H291</f>
        <v>14.95895898</v>
      </c>
      <c r="F450" s="6">
        <f>[1]Results!I291</f>
        <v>15.040687780000001</v>
      </c>
      <c r="G450" s="6">
        <f>[1]Results!J291</f>
        <v>15.167692779999999</v>
      </c>
      <c r="H450" s="6">
        <f>[1]Results!K291</f>
        <v>15.33089058</v>
      </c>
      <c r="I450" s="6">
        <f>[1]Results!L291</f>
        <v>15.49962646</v>
      </c>
      <c r="J450" s="6">
        <f>[1]Results!M291</f>
        <v>15.46794229</v>
      </c>
      <c r="K450" s="6">
        <f>[1]Results!N291</f>
        <v>15.408472939999999</v>
      </c>
      <c r="L450" s="6">
        <f>[1]Results!O291</f>
        <v>15.38925072</v>
      </c>
      <c r="M450" s="6">
        <f>[1]Results!P291</f>
        <v>15.393040689999999</v>
      </c>
      <c r="N450" s="6">
        <f>[1]Results!Q291</f>
        <v>15.415863809999999</v>
      </c>
      <c r="O450" s="6">
        <f>[1]Results!R291</f>
        <v>15.446053559999999</v>
      </c>
      <c r="P450" s="6">
        <f>[1]Results!S291</f>
        <v>15.4798884</v>
      </c>
      <c r="Q450" s="6">
        <f>[1]Results!T291</f>
        <v>15.51931727</v>
      </c>
      <c r="R450" s="6">
        <f>[1]Results!U291</f>
        <v>15.56599887</v>
      </c>
      <c r="S450" s="6">
        <f>[1]Results!V291</f>
        <v>15.619677579999999</v>
      </c>
      <c r="T450" s="6">
        <f>[1]Results!W291</f>
        <v>15.68844022</v>
      </c>
      <c r="U450" s="6">
        <f>[1]Results!X291</f>
        <v>15.776693809999999</v>
      </c>
      <c r="V450" s="6">
        <f>[1]Results!Y291</f>
        <v>15.886531789999999</v>
      </c>
      <c r="W450" s="6">
        <f>[1]Results!Z291</f>
        <v>16.01548974</v>
      </c>
      <c r="X450" s="6">
        <f>[1]Results!AA291</f>
        <v>16.171935359999999</v>
      </c>
      <c r="Y450" s="6">
        <f>[1]Results!AB291</f>
        <v>16.357485870000001</v>
      </c>
      <c r="Z450" s="6">
        <f>[1]Results!AC291</f>
        <v>16.572933819999999</v>
      </c>
      <c r="AA450" s="6">
        <f>[1]Results!AD291</f>
        <v>16.818948599999999</v>
      </c>
      <c r="AB450" s="6">
        <f>[1]Results!AE291</f>
        <v>17.08456112</v>
      </c>
      <c r="AC450" s="6">
        <f>[1]Results!AF291</f>
        <v>17.384319550000001</v>
      </c>
      <c r="AD450" s="6">
        <f>[1]Results!AG291</f>
        <v>17.721775130000001</v>
      </c>
      <c r="AE450" s="6">
        <f>[1]Results!AH291</f>
        <v>18.100123960000001</v>
      </c>
      <c r="AF450" s="6">
        <f>[1]Results!AI291</f>
        <v>18.520470769999999</v>
      </c>
      <c r="AG450" s="6">
        <f>[1]Results!AJ291</f>
        <v>18.983057339999998</v>
      </c>
      <c r="AH450" s="6">
        <f>[1]Results!AK291</f>
        <v>19.489228610000001</v>
      </c>
      <c r="AI450" s="6">
        <f>[1]Results!AL291</f>
        <v>20.04234216</v>
      </c>
      <c r="AJ450" s="6">
        <f>[1]Results!AM291</f>
        <v>20.64797368</v>
      </c>
      <c r="AK450" s="6">
        <f>[1]Results!AN291</f>
        <v>21.314780899999999</v>
      </c>
      <c r="AL450" s="6">
        <f>[1]Results!AO291</f>
        <v>22.056477359999999</v>
      </c>
    </row>
    <row r="451" spans="1:38" x14ac:dyDescent="0.35">
      <c r="B451" s="6" t="str">
        <f>[1]Results!E293</f>
        <v>CF_toe_cgas_2</v>
      </c>
      <c r="C451" s="6">
        <f>[1]Results!F293</f>
        <v>34.131798230000001</v>
      </c>
      <c r="D451" s="6">
        <f>[1]Results!G293</f>
        <v>33.929692520000003</v>
      </c>
      <c r="E451" s="6">
        <f>[1]Results!H293</f>
        <v>33.776773239999997</v>
      </c>
      <c r="F451" s="6">
        <f>[1]Results!I293</f>
        <v>33.548397110000003</v>
      </c>
      <c r="G451" s="6">
        <f>[1]Results!J293</f>
        <v>33.636095480000002</v>
      </c>
      <c r="H451" s="6">
        <f>[1]Results!K293</f>
        <v>33.922643659999999</v>
      </c>
      <c r="I451" s="6">
        <f>[1]Results!L293</f>
        <v>34.060923240000001</v>
      </c>
      <c r="J451" s="6">
        <f>[1]Results!M293</f>
        <v>32.960789140000003</v>
      </c>
      <c r="K451" s="6">
        <f>[1]Results!N293</f>
        <v>31.881234509999999</v>
      </c>
      <c r="L451" s="6">
        <f>[1]Results!O293</f>
        <v>31.0424696</v>
      </c>
      <c r="M451" s="6">
        <f>[1]Results!P293</f>
        <v>30.374586969999999</v>
      </c>
      <c r="N451" s="6">
        <f>[1]Results!Q293</f>
        <v>29.929676109999999</v>
      </c>
      <c r="O451" s="6">
        <f>[1]Results!R293</f>
        <v>29.600586929999999</v>
      </c>
      <c r="P451" s="6">
        <f>[1]Results!S293</f>
        <v>29.342462950000002</v>
      </c>
      <c r="Q451" s="6">
        <f>[1]Results!T293</f>
        <v>29.142555789999999</v>
      </c>
      <c r="R451" s="6">
        <f>[1]Results!U293</f>
        <v>28.994357650000001</v>
      </c>
      <c r="S451" s="6">
        <f>[1]Results!V293</f>
        <v>28.924136059999999</v>
      </c>
      <c r="T451" s="6">
        <f>[1]Results!W293</f>
        <v>28.92429838</v>
      </c>
      <c r="U451" s="6">
        <f>[1]Results!X293</f>
        <v>28.994924839999999</v>
      </c>
      <c r="V451" s="6">
        <f>[1]Results!Y293</f>
        <v>29.13734157</v>
      </c>
      <c r="W451" s="6">
        <f>[1]Results!Z293</f>
        <v>29.345882960000001</v>
      </c>
      <c r="X451" s="6">
        <f>[1]Results!AA293</f>
        <v>29.638276059999999</v>
      </c>
      <c r="Y451" s="6">
        <f>[1]Results!AB293</f>
        <v>30.013162099999999</v>
      </c>
      <c r="Z451" s="6">
        <f>[1]Results!AC293</f>
        <v>30.472288639999999</v>
      </c>
      <c r="AA451" s="6">
        <f>[1]Results!AD293</f>
        <v>31.017805559999999</v>
      </c>
      <c r="AB451" s="6">
        <f>[1]Results!AE293</f>
        <v>31.628588310000001</v>
      </c>
      <c r="AC451" s="6">
        <f>[1]Results!AF293</f>
        <v>32.33874273</v>
      </c>
      <c r="AD451" s="6">
        <f>[1]Results!AG293</f>
        <v>33.161915030000003</v>
      </c>
      <c r="AE451" s="6">
        <f>[1]Results!AH293</f>
        <v>34.108285860000002</v>
      </c>
      <c r="AF451" s="6">
        <f>[1]Results!AI293</f>
        <v>35.183875530000002</v>
      </c>
      <c r="AG451" s="6">
        <f>[1]Results!AJ293</f>
        <v>36.394657780000003</v>
      </c>
      <c r="AH451" s="6">
        <f>[1]Results!AK293</f>
        <v>37.75284679</v>
      </c>
      <c r="AI451" s="6">
        <f>[1]Results!AL293</f>
        <v>39.27875469</v>
      </c>
      <c r="AJ451" s="6">
        <f>[1]Results!AM293</f>
        <v>41.000052119999999</v>
      </c>
      <c r="AK451" s="6">
        <f>[1]Results!AN293</f>
        <v>42.956517419999997</v>
      </c>
      <c r="AL451" s="6">
        <f>[1]Results!AO293</f>
        <v>45.207899390000001</v>
      </c>
    </row>
    <row r="452" spans="1:38" x14ac:dyDescent="0.35">
      <c r="B452" s="6" t="str">
        <f>[1]Results!E299</f>
        <v>CF_toe_cele_2</v>
      </c>
      <c r="C452" s="6">
        <f>[1]Results!F299</f>
        <v>38.0292125</v>
      </c>
      <c r="D452" s="6">
        <f>[1]Results!G299</f>
        <v>38.611234519999996</v>
      </c>
      <c r="E452" s="6">
        <f>[1]Results!H299</f>
        <v>39.20230883</v>
      </c>
      <c r="F452" s="6">
        <f>[1]Results!I299</f>
        <v>39.870031539999999</v>
      </c>
      <c r="G452" s="6">
        <f>[1]Results!J299</f>
        <v>40.497500580000001</v>
      </c>
      <c r="H452" s="6">
        <f>[1]Results!K299</f>
        <v>41.143904280000001</v>
      </c>
      <c r="I452" s="6">
        <f>[1]Results!L299</f>
        <v>41.836099500000003</v>
      </c>
      <c r="J452" s="6">
        <f>[1]Results!M299</f>
        <v>42.856307889999997</v>
      </c>
      <c r="K452" s="6">
        <f>[1]Results!N299</f>
        <v>43.817574720000003</v>
      </c>
      <c r="L452" s="6">
        <f>[1]Results!O299</f>
        <v>44.85915293</v>
      </c>
      <c r="M452" s="6">
        <f>[1]Results!P299</f>
        <v>45.871509619999998</v>
      </c>
      <c r="N452" s="6">
        <f>[1]Results!Q299</f>
        <v>46.603579279999998</v>
      </c>
      <c r="O452" s="6">
        <f>[1]Results!R299</f>
        <v>47.146104630000004</v>
      </c>
      <c r="P452" s="6">
        <f>[1]Results!S299</f>
        <v>47.568109819999997</v>
      </c>
      <c r="Q452" s="6">
        <f>[1]Results!T299</f>
        <v>47.927826600000003</v>
      </c>
      <c r="R452" s="6">
        <f>[1]Results!U299</f>
        <v>48.262511740000001</v>
      </c>
      <c r="S452" s="6">
        <f>[1]Results!V299</f>
        <v>48.639949360000003</v>
      </c>
      <c r="T452" s="6">
        <f>[1]Results!W299</f>
        <v>49.052146</v>
      </c>
      <c r="U452" s="6">
        <f>[1]Results!X299</f>
        <v>49.506934610000002</v>
      </c>
      <c r="V452" s="6">
        <f>[1]Results!Y299</f>
        <v>50.016129470000003</v>
      </c>
      <c r="W452" s="6">
        <f>[1]Results!Z299</f>
        <v>50.581254020000003</v>
      </c>
      <c r="X452" s="6">
        <f>[1]Results!AA299</f>
        <v>51.23378778</v>
      </c>
      <c r="Y452" s="6">
        <f>[1]Results!AB299</f>
        <v>51.984142980000001</v>
      </c>
      <c r="Z452" s="6">
        <f>[1]Results!AC299</f>
        <v>52.839947700000003</v>
      </c>
      <c r="AA452" s="6">
        <f>[1]Results!AD299</f>
        <v>53.8049076</v>
      </c>
      <c r="AB452" s="6">
        <f>[1]Results!AE299</f>
        <v>54.847111150000003</v>
      </c>
      <c r="AC452" s="6">
        <f>[1]Results!AF299</f>
        <v>56.007602900000002</v>
      </c>
      <c r="AD452" s="6">
        <f>[1]Results!AG299</f>
        <v>57.296719279999998</v>
      </c>
      <c r="AE452" s="6">
        <f>[1]Results!AH299</f>
        <v>58.715579400000003</v>
      </c>
      <c r="AF452" s="6">
        <f>[1]Results!AI299</f>
        <v>60.252322210000003</v>
      </c>
      <c r="AG452" s="6">
        <f>[1]Results!AJ299</f>
        <v>61.889264160000003</v>
      </c>
      <c r="AH452" s="6">
        <f>[1]Results!AK299</f>
        <v>63.612105919999998</v>
      </c>
      <c r="AI452" s="6">
        <f>[1]Results!AL299</f>
        <v>65.410680880000001</v>
      </c>
      <c r="AJ452" s="6">
        <f>[1]Results!AM299</f>
        <v>67.274033450000005</v>
      </c>
      <c r="AK452" s="6">
        <f>[1]Results!AN299</f>
        <v>69.192112769999994</v>
      </c>
      <c r="AL452" s="6">
        <f>[1]Results!AO299</f>
        <v>71.157647260000005</v>
      </c>
    </row>
    <row r="453" spans="1:38" x14ac:dyDescent="0.35">
      <c r="B453" s="6" t="s">
        <v>75</v>
      </c>
      <c r="C453" s="6">
        <f>SUM(C454:C456)</f>
        <v>22.006702949000001</v>
      </c>
      <c r="D453" s="6">
        <f t="shared" ref="D453:AL453" si="93">SUM(D454:D456)</f>
        <v>22.200582252</v>
      </c>
      <c r="E453" s="6">
        <f t="shared" si="93"/>
        <v>22.421376072000001</v>
      </c>
      <c r="F453" s="6">
        <f t="shared" si="93"/>
        <v>22.638085294</v>
      </c>
      <c r="G453" s="6">
        <f t="shared" si="93"/>
        <v>22.923235365</v>
      </c>
      <c r="H453" s="6">
        <f t="shared" si="93"/>
        <v>23.261693894</v>
      </c>
      <c r="I453" s="6">
        <f t="shared" si="93"/>
        <v>23.615480055999999</v>
      </c>
      <c r="J453" s="6">
        <f t="shared" si="93"/>
        <v>23.636093469999999</v>
      </c>
      <c r="K453" s="6">
        <f t="shared" si="93"/>
        <v>23.597516345999999</v>
      </c>
      <c r="L453" s="6">
        <f t="shared" si="93"/>
        <v>23.636900826000002</v>
      </c>
      <c r="M453" s="6">
        <f t="shared" si="93"/>
        <v>23.681859652</v>
      </c>
      <c r="N453" s="6">
        <f t="shared" si="93"/>
        <v>23.701596123999998</v>
      </c>
      <c r="O453" s="6">
        <f t="shared" si="93"/>
        <v>23.692570171</v>
      </c>
      <c r="P453" s="6">
        <f t="shared" si="93"/>
        <v>23.666311143999998</v>
      </c>
      <c r="Q453" s="6">
        <f t="shared" si="93"/>
        <v>23.640936948</v>
      </c>
      <c r="R453" s="6">
        <f t="shared" si="93"/>
        <v>23.626776720999999</v>
      </c>
      <c r="S453" s="6">
        <f t="shared" si="93"/>
        <v>23.614624282000001</v>
      </c>
      <c r="T453" s="6">
        <f t="shared" si="93"/>
        <v>23.621526629000002</v>
      </c>
      <c r="U453" s="6">
        <f t="shared" si="93"/>
        <v>23.659646807999998</v>
      </c>
      <c r="V453" s="6">
        <f t="shared" si="93"/>
        <v>23.735018652000001</v>
      </c>
      <c r="W453" s="6">
        <f t="shared" si="93"/>
        <v>23.844125247999997</v>
      </c>
      <c r="X453" s="6">
        <f t="shared" si="93"/>
        <v>24.001690551999999</v>
      </c>
      <c r="Y453" s="6">
        <f t="shared" si="93"/>
        <v>24.209390225</v>
      </c>
      <c r="Z453" s="6">
        <f t="shared" si="93"/>
        <v>24.467626719000002</v>
      </c>
      <c r="AA453" s="6">
        <f t="shared" si="93"/>
        <v>24.774988086</v>
      </c>
      <c r="AB453" s="6">
        <f t="shared" si="93"/>
        <v>25.109844921000001</v>
      </c>
      <c r="AC453" s="6">
        <f t="shared" si="93"/>
        <v>25.495134372999999</v>
      </c>
      <c r="AD453" s="6">
        <f t="shared" si="93"/>
        <v>25.936866551999998</v>
      </c>
      <c r="AE453" s="6">
        <f t="shared" si="93"/>
        <v>26.434998468</v>
      </c>
      <c r="AF453" s="6">
        <f t="shared" si="93"/>
        <v>26.982681587000002</v>
      </c>
      <c r="AG453" s="6">
        <f t="shared" si="93"/>
        <v>27.570803764000001</v>
      </c>
      <c r="AH453" s="6">
        <f t="shared" si="93"/>
        <v>28.193150470999999</v>
      </c>
      <c r="AI453" s="6">
        <f t="shared" si="93"/>
        <v>28.846074151</v>
      </c>
      <c r="AJ453" s="6">
        <f t="shared" si="93"/>
        <v>29.526071915999999</v>
      </c>
      <c r="AK453" s="6">
        <f t="shared" si="93"/>
        <v>30.230058333000002</v>
      </c>
      <c r="AL453" s="6">
        <f t="shared" si="93"/>
        <v>30.955652238999999</v>
      </c>
    </row>
    <row r="454" spans="1:38" x14ac:dyDescent="0.35">
      <c r="B454" s="6" t="str">
        <f>[1]Results!E309</f>
        <v>CF_toe_chea_2</v>
      </c>
      <c r="C454" s="6">
        <f>[1]Results!F309</f>
        <v>5.1300730300000001</v>
      </c>
      <c r="D454" s="6">
        <f>[1]Results!G309</f>
        <v>5.1883076209999999</v>
      </c>
      <c r="E454" s="6">
        <f>[1]Results!H309</f>
        <v>5.2475719500000002</v>
      </c>
      <c r="F454" s="6">
        <f>[1]Results!I309</f>
        <v>5.3047973979999998</v>
      </c>
      <c r="G454" s="6">
        <f>[1]Results!J309</f>
        <v>5.3652882430000002</v>
      </c>
      <c r="H454" s="6">
        <f>[1]Results!K309</f>
        <v>5.4355445409999996</v>
      </c>
      <c r="I454" s="6">
        <f>[1]Results!L309</f>
        <v>5.5031941360000003</v>
      </c>
      <c r="J454" s="6">
        <f>[1]Results!M309</f>
        <v>5.5366788549999999</v>
      </c>
      <c r="K454" s="6">
        <f>[1]Results!N309</f>
        <v>5.5357499209999999</v>
      </c>
      <c r="L454" s="6">
        <f>[1]Results!O309</f>
        <v>5.5323146330000004</v>
      </c>
      <c r="M454" s="6">
        <f>[1]Results!P309</f>
        <v>5.5311957280000001</v>
      </c>
      <c r="N454" s="6">
        <f>[1]Results!Q309</f>
        <v>5.522829464</v>
      </c>
      <c r="O454" s="6">
        <f>[1]Results!R309</f>
        <v>5.5176397570000004</v>
      </c>
      <c r="P454" s="6">
        <f>[1]Results!S309</f>
        <v>5.5181020189999996</v>
      </c>
      <c r="Q454" s="6">
        <f>[1]Results!T309</f>
        <v>5.5247782929999998</v>
      </c>
      <c r="R454" s="6">
        <f>[1]Results!U309</f>
        <v>5.5370893170000004</v>
      </c>
      <c r="S454" s="6">
        <f>[1]Results!V309</f>
        <v>5.5571602799999997</v>
      </c>
      <c r="T454" s="6">
        <f>[1]Results!W309</f>
        <v>5.5824770629999998</v>
      </c>
      <c r="U454" s="6">
        <f>[1]Results!X309</f>
        <v>5.612940311</v>
      </c>
      <c r="V454" s="6">
        <f>[1]Results!Y309</f>
        <v>5.6492268689999996</v>
      </c>
      <c r="W454" s="6">
        <f>[1]Results!Z309</f>
        <v>5.6883040410000003</v>
      </c>
      <c r="X454" s="6">
        <f>[1]Results!AA309</f>
        <v>5.7376041349999998</v>
      </c>
      <c r="Y454" s="6">
        <f>[1]Results!AB309</f>
        <v>5.7968945190000003</v>
      </c>
      <c r="Z454" s="6">
        <f>[1]Results!AC309</f>
        <v>5.8663835840000003</v>
      </c>
      <c r="AA454" s="6">
        <f>[1]Results!AD309</f>
        <v>5.9463269380000003</v>
      </c>
      <c r="AB454" s="6">
        <f>[1]Results!AE309</f>
        <v>6.0259501980000003</v>
      </c>
      <c r="AC454" s="6">
        <f>[1]Results!AF309</f>
        <v>6.1186443119999998</v>
      </c>
      <c r="AD454" s="6">
        <f>[1]Results!AG309</f>
        <v>6.2249306630000003</v>
      </c>
      <c r="AE454" s="6">
        <f>[1]Results!AH309</f>
        <v>6.3450960050000003</v>
      </c>
      <c r="AF454" s="6">
        <f>[1]Results!AI309</f>
        <v>6.4787214970000004</v>
      </c>
      <c r="AG454" s="6">
        <f>[1]Results!AJ309</f>
        <v>6.6251812780000003</v>
      </c>
      <c r="AH454" s="6">
        <f>[1]Results!AK309</f>
        <v>6.7841659500000002</v>
      </c>
      <c r="AI454" s="6">
        <f>[1]Results!AL309</f>
        <v>6.9554443140000002</v>
      </c>
      <c r="AJ454" s="6">
        <f>[1]Results!AM309</f>
        <v>7.1392303070000001</v>
      </c>
      <c r="AK454" s="6">
        <f>[1]Results!AN309</f>
        <v>7.3361399809999996</v>
      </c>
      <c r="AL454" s="6">
        <f>[1]Results!AO309</f>
        <v>7.5473023039999996</v>
      </c>
    </row>
    <row r="455" spans="1:38" x14ac:dyDescent="0.35">
      <c r="B455" s="6" t="str">
        <f>[1]Results!E311</f>
        <v>CF_toe_cbio_2</v>
      </c>
      <c r="C455" s="6">
        <f>[1]Results!F311</f>
        <v>8.1755841379999996</v>
      </c>
      <c r="D455" s="6">
        <f>[1]Results!G311</f>
        <v>8.1153657930000005</v>
      </c>
      <c r="E455" s="6">
        <f>[1]Results!H311</f>
        <v>8.0589231530000003</v>
      </c>
      <c r="F455" s="6">
        <f>[1]Results!I311</f>
        <v>7.9938662049999998</v>
      </c>
      <c r="G455" s="6">
        <f>[1]Results!J311</f>
        <v>7.9783202849999997</v>
      </c>
      <c r="H455" s="6">
        <f>[1]Results!K311</f>
        <v>7.9899755629999998</v>
      </c>
      <c r="I455" s="6">
        <f>[1]Results!L311</f>
        <v>8.0139564100000005</v>
      </c>
      <c r="J455" s="6">
        <f>[1]Results!M311</f>
        <v>7.8491520049999997</v>
      </c>
      <c r="K455" s="6">
        <f>[1]Results!N311</f>
        <v>7.6895268149999998</v>
      </c>
      <c r="L455" s="6">
        <f>[1]Results!O311</f>
        <v>7.5534582730000004</v>
      </c>
      <c r="M455" s="6">
        <f>[1]Results!P311</f>
        <v>7.435979154</v>
      </c>
      <c r="N455" s="6">
        <f>[1]Results!Q311</f>
        <v>7.3610148400000002</v>
      </c>
      <c r="O455" s="6">
        <f>[1]Results!R311</f>
        <v>7.3031558140000001</v>
      </c>
      <c r="P455" s="6">
        <f>[1]Results!S311</f>
        <v>7.2520496850000002</v>
      </c>
      <c r="Q455" s="6">
        <f>[1]Results!T311</f>
        <v>7.2046117450000002</v>
      </c>
      <c r="R455" s="6">
        <f>[1]Results!U311</f>
        <v>7.1600587740000003</v>
      </c>
      <c r="S455" s="6">
        <f>[1]Results!V311</f>
        <v>7.098930942</v>
      </c>
      <c r="T455" s="6">
        <f>[1]Results!W311</f>
        <v>7.0342144959999997</v>
      </c>
      <c r="U455" s="6">
        <f>[1]Results!X311</f>
        <v>6.9722530669999996</v>
      </c>
      <c r="V455" s="6">
        <f>[1]Results!Y311</f>
        <v>6.9159570730000004</v>
      </c>
      <c r="W455" s="6">
        <f>[1]Results!Z311</f>
        <v>6.864571507</v>
      </c>
      <c r="X455" s="6">
        <f>[1]Results!AA311</f>
        <v>6.8221086069999997</v>
      </c>
      <c r="Y455" s="6">
        <f>[1]Results!AB311</f>
        <v>6.7883423660000002</v>
      </c>
      <c r="Z455" s="6">
        <f>[1]Results!AC311</f>
        <v>6.7630625850000001</v>
      </c>
      <c r="AA455" s="6">
        <f>[1]Results!AD311</f>
        <v>6.7460454179999996</v>
      </c>
      <c r="AB455" s="6">
        <f>[1]Results!AE311</f>
        <v>6.731486393</v>
      </c>
      <c r="AC455" s="6">
        <f>[1]Results!AF311</f>
        <v>6.7257566110000004</v>
      </c>
      <c r="AD455" s="6">
        <f>[1]Results!AG311</f>
        <v>6.728953389</v>
      </c>
      <c r="AE455" s="6">
        <f>[1]Results!AH311</f>
        <v>6.7407560030000004</v>
      </c>
      <c r="AF455" s="6">
        <f>[1]Results!AI311</f>
        <v>6.7603627599999996</v>
      </c>
      <c r="AG455" s="6">
        <f>[1]Results!AJ311</f>
        <v>6.7868174259999998</v>
      </c>
      <c r="AH455" s="6">
        <f>[1]Results!AK311</f>
        <v>6.8194285509999997</v>
      </c>
      <c r="AI455" s="6">
        <f>[1]Results!AL311</f>
        <v>6.8577251969999997</v>
      </c>
      <c r="AJ455" s="6">
        <f>[1]Results!AM311</f>
        <v>6.9011840290000004</v>
      </c>
      <c r="AK455" s="6">
        <f>[1]Results!AN311</f>
        <v>6.9493753820000004</v>
      </c>
      <c r="AL455" s="6">
        <f>[1]Results!AO311</f>
        <v>7.0019950350000002</v>
      </c>
    </row>
    <row r="456" spans="1:38" x14ac:dyDescent="0.35">
      <c r="B456" s="6" t="str">
        <f>[1]Results!E314</f>
        <v>CF_toe_cote_2</v>
      </c>
      <c r="C456" s="6">
        <f>[1]Results!F314</f>
        <v>8.7010457809999995</v>
      </c>
      <c r="D456" s="6">
        <f>[1]Results!G314</f>
        <v>8.8969088379999999</v>
      </c>
      <c r="E456" s="6">
        <f>[1]Results!H314</f>
        <v>9.1148809689999997</v>
      </c>
      <c r="F456" s="6">
        <f>[1]Results!I314</f>
        <v>9.3394216910000001</v>
      </c>
      <c r="G456" s="6">
        <f>[1]Results!J314</f>
        <v>9.5796268369999993</v>
      </c>
      <c r="H456" s="6">
        <f>[1]Results!K314</f>
        <v>9.8361737900000001</v>
      </c>
      <c r="I456" s="6">
        <f>[1]Results!L314</f>
        <v>10.098329509999999</v>
      </c>
      <c r="J456" s="6">
        <f>[1]Results!M314</f>
        <v>10.25026261</v>
      </c>
      <c r="K456" s="6">
        <f>[1]Results!N314</f>
        <v>10.372239609999999</v>
      </c>
      <c r="L456" s="6">
        <f>[1]Results!O314</f>
        <v>10.551127920000001</v>
      </c>
      <c r="M456" s="6">
        <f>[1]Results!P314</f>
        <v>10.71468477</v>
      </c>
      <c r="N456" s="6">
        <f>[1]Results!Q314</f>
        <v>10.81775182</v>
      </c>
      <c r="O456" s="6">
        <f>[1]Results!R314</f>
        <v>10.8717746</v>
      </c>
      <c r="P456" s="6">
        <f>[1]Results!S314</f>
        <v>10.89615944</v>
      </c>
      <c r="Q456" s="6">
        <f>[1]Results!T314</f>
        <v>10.91154691</v>
      </c>
      <c r="R456" s="6">
        <f>[1]Results!U314</f>
        <v>10.92962863</v>
      </c>
      <c r="S456" s="6">
        <f>[1]Results!V314</f>
        <v>10.958533060000001</v>
      </c>
      <c r="T456" s="6">
        <f>[1]Results!W314</f>
        <v>11.00483507</v>
      </c>
      <c r="U456" s="6">
        <f>[1]Results!X314</f>
        <v>11.07445343</v>
      </c>
      <c r="V456" s="6">
        <f>[1]Results!Y314</f>
        <v>11.16983471</v>
      </c>
      <c r="W456" s="6">
        <f>[1]Results!Z314</f>
        <v>11.2912497</v>
      </c>
      <c r="X456" s="6">
        <f>[1]Results!AA314</f>
        <v>11.441977809999999</v>
      </c>
      <c r="Y456" s="6">
        <f>[1]Results!AB314</f>
        <v>11.624153339999999</v>
      </c>
      <c r="Z456" s="6">
        <f>[1]Results!AC314</f>
        <v>11.838180550000001</v>
      </c>
      <c r="AA456" s="6">
        <f>[1]Results!AD314</f>
        <v>12.082615730000001</v>
      </c>
      <c r="AB456" s="6">
        <f>[1]Results!AE314</f>
        <v>12.352408329999999</v>
      </c>
      <c r="AC456" s="6">
        <f>[1]Results!AF314</f>
        <v>12.650733450000001</v>
      </c>
      <c r="AD456" s="6">
        <f>[1]Results!AG314</f>
        <v>12.9829825</v>
      </c>
      <c r="AE456" s="6">
        <f>[1]Results!AH314</f>
        <v>13.34914646</v>
      </c>
      <c r="AF456" s="6">
        <f>[1]Results!AI314</f>
        <v>13.74359733</v>
      </c>
      <c r="AG456" s="6">
        <f>[1]Results!AJ314</f>
        <v>14.158805060000001</v>
      </c>
      <c r="AH456" s="6">
        <f>[1]Results!AK314</f>
        <v>14.589555969999999</v>
      </c>
      <c r="AI456" s="6">
        <f>[1]Results!AL314</f>
        <v>15.03290464</v>
      </c>
      <c r="AJ456" s="6">
        <f>[1]Results!AM314</f>
        <v>15.48565758</v>
      </c>
      <c r="AK456" s="6">
        <f>[1]Results!AN314</f>
        <v>15.944542970000001</v>
      </c>
      <c r="AL456" s="6">
        <f>[1]Results!AO314</f>
        <v>16.4063549</v>
      </c>
    </row>
    <row r="457" spans="1:3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x14ac:dyDescent="0.35">
      <c r="A458" s="12" t="s">
        <v>93</v>
      </c>
      <c r="B458" s="6" t="str">
        <f>[1]Results!E317</f>
        <v>CF_toe_0</v>
      </c>
      <c r="C458" s="6">
        <f>[1]Results!F317</f>
        <v>161.694278</v>
      </c>
      <c r="D458" s="6">
        <f>[1]Results!G317</f>
        <v>162.5958584</v>
      </c>
      <c r="E458" s="6">
        <f>[1]Results!H317</f>
        <v>163.5960661</v>
      </c>
      <c r="F458" s="6">
        <f>[1]Results!I317</f>
        <v>164.6471975</v>
      </c>
      <c r="G458" s="6">
        <f>[1]Results!J317</f>
        <v>166.32160189999999</v>
      </c>
      <c r="H458" s="6">
        <f>[1]Results!K317</f>
        <v>168.5083717</v>
      </c>
      <c r="I458" s="6">
        <f>[1]Results!L317</f>
        <v>170.7306797</v>
      </c>
      <c r="J458" s="6">
        <f>[1]Results!M317</f>
        <v>172.9478373</v>
      </c>
      <c r="K458" s="6">
        <f>[1]Results!N317</f>
        <v>175.1692663</v>
      </c>
      <c r="L458" s="6">
        <f>[1]Results!O317</f>
        <v>177.40288910000001</v>
      </c>
      <c r="M458" s="6">
        <f>[1]Results!P317</f>
        <v>179.61042140000001</v>
      </c>
      <c r="N458" s="6">
        <f>[1]Results!Q317</f>
        <v>181.35477839999999</v>
      </c>
      <c r="O458" s="6">
        <f>[1]Results!R317</f>
        <v>182.7122158</v>
      </c>
      <c r="P458" s="6">
        <f>[1]Results!S317</f>
        <v>183.76845080000001</v>
      </c>
      <c r="Q458" s="6">
        <f>[1]Results!T317</f>
        <v>184.62281580000001</v>
      </c>
      <c r="R458" s="6">
        <f>[1]Results!U317</f>
        <v>185.37041780000001</v>
      </c>
      <c r="S458" s="6">
        <f>[1]Results!V317</f>
        <v>186.31701870000001</v>
      </c>
      <c r="T458" s="6">
        <f>[1]Results!W317</f>
        <v>187.50724869999999</v>
      </c>
      <c r="U458" s="6">
        <f>[1]Results!X317</f>
        <v>188.97823170000001</v>
      </c>
      <c r="V458" s="6">
        <f>[1]Results!Y317</f>
        <v>190.74243010000001</v>
      </c>
      <c r="W458" s="6">
        <f>[1]Results!Z317</f>
        <v>192.76691600000001</v>
      </c>
      <c r="X458" s="6">
        <f>[1]Results!AA317</f>
        <v>195.1272625</v>
      </c>
      <c r="Y458" s="6">
        <f>[1]Results!AB317</f>
        <v>197.83434550000001</v>
      </c>
      <c r="Z458" s="6">
        <f>[1]Results!AC317</f>
        <v>200.8997372</v>
      </c>
      <c r="AA458" s="6">
        <f>[1]Results!AD317</f>
        <v>204.32365490000001</v>
      </c>
      <c r="AB458" s="6">
        <f>[1]Results!AE317</f>
        <v>207.98396629999999</v>
      </c>
      <c r="AC458" s="6">
        <f>[1]Results!AF317</f>
        <v>212.0097729</v>
      </c>
      <c r="AD458" s="6">
        <f>[1]Results!AG317</f>
        <v>216.41390530000001</v>
      </c>
      <c r="AE458" s="6">
        <f>[1]Results!AH317</f>
        <v>221.19749239999999</v>
      </c>
      <c r="AF458" s="6">
        <f>[1]Results!AI317</f>
        <v>226.31720379999999</v>
      </c>
      <c r="AG458" s="6">
        <f>[1]Results!AJ317</f>
        <v>231.70505030000001</v>
      </c>
      <c r="AH458" s="6">
        <f>[1]Results!AK317</f>
        <v>237.29515359999999</v>
      </c>
      <c r="AI458" s="6">
        <f>[1]Results!AL317</f>
        <v>243.02860509999999</v>
      </c>
      <c r="AJ458" s="6">
        <f>[1]Results!AM317</f>
        <v>248.85008819999999</v>
      </c>
      <c r="AK458" s="6">
        <f>[1]Results!AN317</f>
        <v>254.70543739999999</v>
      </c>
      <c r="AL458" s="6">
        <f>[1]Results!AO317</f>
        <v>260.54055440000002</v>
      </c>
    </row>
    <row r="459" spans="1:38" x14ac:dyDescent="0.35">
      <c r="A459" t="s">
        <v>38</v>
      </c>
      <c r="B459" s="6" t="str">
        <f>[1]Results!E318</f>
        <v>CF_toe_ccoa_0</v>
      </c>
      <c r="C459" s="6">
        <f>[1]Results!F318</f>
        <v>5.4028819019999998</v>
      </c>
      <c r="D459" s="6">
        <f>[1]Results!G318</f>
        <v>5.441888874</v>
      </c>
      <c r="E459" s="6">
        <f>[1]Results!H318</f>
        <v>5.4872577160000002</v>
      </c>
      <c r="F459" s="6">
        <f>[1]Results!I318</f>
        <v>5.5163791089999998</v>
      </c>
      <c r="G459" s="6">
        <f>[1]Results!J318</f>
        <v>5.5846277689999999</v>
      </c>
      <c r="H459" s="6">
        <f>[1]Results!K318</f>
        <v>5.6835423580000004</v>
      </c>
      <c r="I459" s="6">
        <f>[1]Results!L318</f>
        <v>5.7947428419999998</v>
      </c>
      <c r="J459" s="6">
        <f>[1]Results!M318</f>
        <v>5.9064463539999998</v>
      </c>
      <c r="K459" s="6">
        <f>[1]Results!N318</f>
        <v>6.0171939080000003</v>
      </c>
      <c r="L459" s="6">
        <f>[1]Results!O318</f>
        <v>6.1271364469999998</v>
      </c>
      <c r="M459" s="6">
        <f>[1]Results!P318</f>
        <v>6.2305395450000001</v>
      </c>
      <c r="N459" s="6">
        <f>[1]Results!Q318</f>
        <v>6.303972527</v>
      </c>
      <c r="O459" s="6">
        <f>[1]Results!R318</f>
        <v>6.3549191570000003</v>
      </c>
      <c r="P459" s="6">
        <f>[1]Results!S318</f>
        <v>6.3911825049999997</v>
      </c>
      <c r="Q459" s="6">
        <f>[1]Results!T318</f>
        <v>6.4203418350000003</v>
      </c>
      <c r="R459" s="6">
        <f>[1]Results!U318</f>
        <v>6.4485381190000002</v>
      </c>
      <c r="S459" s="6">
        <f>[1]Results!V318</f>
        <v>6.4908780549999996</v>
      </c>
      <c r="T459" s="6">
        <f>[1]Results!W318</f>
        <v>6.5530212370000003</v>
      </c>
      <c r="U459" s="6">
        <f>[1]Results!X318</f>
        <v>6.6368532220000001</v>
      </c>
      <c r="V459" s="6">
        <f>[1]Results!Y318</f>
        <v>6.7420009920000004</v>
      </c>
      <c r="W459" s="6">
        <f>[1]Results!Z318</f>
        <v>6.8670761569999996</v>
      </c>
      <c r="X459" s="6">
        <f>[1]Results!AA318</f>
        <v>7.0122515930000002</v>
      </c>
      <c r="Y459" s="6">
        <f>[1]Results!AB318</f>
        <v>7.1777297859999996</v>
      </c>
      <c r="Z459" s="6">
        <f>[1]Results!AC318</f>
        <v>7.3633687600000002</v>
      </c>
      <c r="AA459" s="6">
        <f>[1]Results!AD318</f>
        <v>7.5682359400000001</v>
      </c>
      <c r="AB459" s="6">
        <f>[1]Results!AE318</f>
        <v>7.7894972899999999</v>
      </c>
      <c r="AC459" s="6">
        <f>[1]Results!AF318</f>
        <v>8.0284889859999993</v>
      </c>
      <c r="AD459" s="6">
        <f>[1]Results!AG318</f>
        <v>8.2862103079999994</v>
      </c>
      <c r="AE459" s="6">
        <f>[1]Results!AH318</f>
        <v>8.5625630780000002</v>
      </c>
      <c r="AF459" s="6">
        <f>[1]Results!AI318</f>
        <v>8.8545727220000003</v>
      </c>
      <c r="AG459" s="6">
        <f>[1]Results!AJ318</f>
        <v>9.1580246340000002</v>
      </c>
      <c r="AH459" s="6">
        <f>[1]Results!AK318</f>
        <v>9.4693790950000007</v>
      </c>
      <c r="AI459" s="6">
        <f>[1]Results!AL318</f>
        <v>9.78607066</v>
      </c>
      <c r="AJ459" s="6">
        <f>[1]Results!AM318</f>
        <v>10.10593437</v>
      </c>
      <c r="AK459" s="6">
        <f>[1]Results!AN318</f>
        <v>10.42690885</v>
      </c>
      <c r="AL459" s="6">
        <f>[1]Results!AO318</f>
        <v>10.7469062</v>
      </c>
    </row>
    <row r="460" spans="1:38" x14ac:dyDescent="0.35">
      <c r="B460" s="6" t="s">
        <v>74</v>
      </c>
      <c r="C460" s="6">
        <f>C461+C462+C463</f>
        <v>62.123682370400005</v>
      </c>
      <c r="D460" s="6">
        <f t="shared" ref="D460:AI460" si="94">D461+D462+D463</f>
        <v>62.412459934399998</v>
      </c>
      <c r="E460" s="6">
        <f t="shared" si="94"/>
        <v>62.708349843199997</v>
      </c>
      <c r="F460" s="6">
        <f t="shared" si="94"/>
        <v>63.074303856499995</v>
      </c>
      <c r="G460" s="6">
        <f t="shared" si="94"/>
        <v>63.680141948800006</v>
      </c>
      <c r="H460" s="6">
        <f t="shared" si="94"/>
        <v>64.496586753800003</v>
      </c>
      <c r="I460" s="6">
        <f t="shared" si="94"/>
        <v>65.423433217400003</v>
      </c>
      <c r="J460" s="6">
        <f t="shared" si="94"/>
        <v>66.393185046699998</v>
      </c>
      <c r="K460" s="6">
        <f t="shared" si="94"/>
        <v>67.3826512272</v>
      </c>
      <c r="L460" s="6">
        <f t="shared" si="94"/>
        <v>68.383812113999994</v>
      </c>
      <c r="M460" s="6">
        <f t="shared" si="94"/>
        <v>69.379041265400005</v>
      </c>
      <c r="N460" s="6">
        <f t="shared" si="94"/>
        <v>70.2318241798</v>
      </c>
      <c r="O460" s="6">
        <f t="shared" si="94"/>
        <v>70.956100051300012</v>
      </c>
      <c r="P460" s="6">
        <f t="shared" si="94"/>
        <v>71.571309272999997</v>
      </c>
      <c r="Q460" s="6">
        <f t="shared" si="94"/>
        <v>72.102822967599991</v>
      </c>
      <c r="R460" s="6">
        <f t="shared" si="94"/>
        <v>72.576864218099999</v>
      </c>
      <c r="S460" s="6">
        <f t="shared" si="94"/>
        <v>73.063093980899993</v>
      </c>
      <c r="T460" s="6">
        <f t="shared" si="94"/>
        <v>73.604996263900006</v>
      </c>
      <c r="U460" s="6">
        <f t="shared" si="94"/>
        <v>74.223101866299999</v>
      </c>
      <c r="V460" s="6">
        <f t="shared" si="94"/>
        <v>74.924753944900004</v>
      </c>
      <c r="W460" s="6">
        <f t="shared" si="94"/>
        <v>75.701261093699998</v>
      </c>
      <c r="X460" s="6">
        <f t="shared" si="94"/>
        <v>76.574829699999995</v>
      </c>
      <c r="Y460" s="6">
        <f t="shared" si="94"/>
        <v>77.551322592800005</v>
      </c>
      <c r="Z460" s="6">
        <f t="shared" si="94"/>
        <v>78.636772260900003</v>
      </c>
      <c r="AA460" s="6">
        <f t="shared" si="94"/>
        <v>79.833497811299992</v>
      </c>
      <c r="AB460" s="6">
        <f t="shared" si="94"/>
        <v>81.106353330499999</v>
      </c>
      <c r="AC460" s="6">
        <f t="shared" si="94"/>
        <v>82.492557070499998</v>
      </c>
      <c r="AD460" s="6">
        <f t="shared" si="94"/>
        <v>84.000664647399987</v>
      </c>
      <c r="AE460" s="6">
        <f t="shared" si="94"/>
        <v>85.634833401999998</v>
      </c>
      <c r="AF460" s="6">
        <f t="shared" si="94"/>
        <v>87.385131891200004</v>
      </c>
      <c r="AG460" s="6">
        <f t="shared" si="94"/>
        <v>89.232750770899997</v>
      </c>
      <c r="AH460" s="6">
        <f t="shared" si="94"/>
        <v>91.158026630800009</v>
      </c>
      <c r="AI460" s="6">
        <f t="shared" si="94"/>
        <v>93.142199749599996</v>
      </c>
      <c r="AJ460" s="6">
        <f>AJ461+AJ462+AJ463</f>
        <v>95.166227778899994</v>
      </c>
      <c r="AK460" s="6">
        <f t="shared" ref="AK460" si="95">AK461+AK462+AK463</f>
        <v>97.210462646600007</v>
      </c>
      <c r="AL460" s="6">
        <f t="shared" ref="AL460" si="96">AL461+AL462+AL463</f>
        <v>99.254482309000011</v>
      </c>
    </row>
    <row r="461" spans="1:38" x14ac:dyDescent="0.35">
      <c r="B461" s="6" t="str">
        <f>[1]Results!E321</f>
        <v>CF_toe_ccoi_0</v>
      </c>
      <c r="C461" s="6">
        <f>[1]Results!F321</f>
        <v>8.3953620399999998E-2</v>
      </c>
      <c r="D461" s="6">
        <f>[1]Results!G321</f>
        <v>8.4487034399999994E-2</v>
      </c>
      <c r="E461" s="6">
        <f>[1]Results!H321</f>
        <v>8.5094873200000004E-2</v>
      </c>
      <c r="F461" s="6">
        <f>[1]Results!I321</f>
        <v>8.5566496500000006E-2</v>
      </c>
      <c r="G461" s="6">
        <f>[1]Results!J321</f>
        <v>8.6602968799999999E-2</v>
      </c>
      <c r="H461" s="6">
        <f>[1]Results!K321</f>
        <v>8.8112283799999996E-2</v>
      </c>
      <c r="I461" s="6">
        <f>[1]Results!L321</f>
        <v>8.9334317400000002E-2</v>
      </c>
      <c r="J461" s="6">
        <f>[1]Results!M321</f>
        <v>9.03340267E-2</v>
      </c>
      <c r="K461" s="6">
        <f>[1]Results!N321</f>
        <v>9.1203127199999998E-2</v>
      </c>
      <c r="L461" s="6">
        <f>[1]Results!O321</f>
        <v>9.2002124000000005E-2</v>
      </c>
      <c r="M461" s="6">
        <f>[1]Results!P321</f>
        <v>9.2711125399999997E-2</v>
      </c>
      <c r="N461" s="6">
        <f>[1]Results!Q321</f>
        <v>9.3034759800000005E-2</v>
      </c>
      <c r="O461" s="6">
        <f>[1]Results!R321</f>
        <v>9.30484013E-2</v>
      </c>
      <c r="P461" s="6">
        <f>[1]Results!S321</f>
        <v>9.2828903000000004E-2</v>
      </c>
      <c r="Q461" s="6">
        <f>[1]Results!T321</f>
        <v>9.2460847600000007E-2</v>
      </c>
      <c r="R461" s="6">
        <f>[1]Results!U321</f>
        <v>9.2023098100000006E-2</v>
      </c>
      <c r="S461" s="6">
        <f>[1]Results!V321</f>
        <v>9.1964690900000007E-2</v>
      </c>
      <c r="T461" s="6">
        <f>[1]Results!W321</f>
        <v>9.2235633900000003E-2</v>
      </c>
      <c r="U461" s="6">
        <f>[1]Results!X321</f>
        <v>9.2807406300000006E-2</v>
      </c>
      <c r="V461" s="6">
        <f>[1]Results!Y321</f>
        <v>9.3659054899999997E-2</v>
      </c>
      <c r="W461" s="6">
        <f>[1]Results!Z321</f>
        <v>9.4762463699999994E-2</v>
      </c>
      <c r="X461" s="6">
        <f>[1]Results!AA321</f>
        <v>9.6142060000000001E-2</v>
      </c>
      <c r="Y461" s="6">
        <f>[1]Results!AB321</f>
        <v>9.7803032799999995E-2</v>
      </c>
      <c r="Z461" s="6">
        <f>[1]Results!AC321</f>
        <v>9.9751510900000007E-2</v>
      </c>
      <c r="AA461" s="6">
        <f>[1]Results!AD321</f>
        <v>0.1019860913</v>
      </c>
      <c r="AB461" s="6">
        <f>[1]Results!AE321</f>
        <v>0.10445318050000001</v>
      </c>
      <c r="AC461" s="6">
        <f>[1]Results!AF321</f>
        <v>0.1072093705</v>
      </c>
      <c r="AD461" s="6">
        <f>[1]Results!AG321</f>
        <v>0.1102671174</v>
      </c>
      <c r="AE461" s="6">
        <f>[1]Results!AH321</f>
        <v>0.11362974200000001</v>
      </c>
      <c r="AF461" s="6">
        <f>[1]Results!AI321</f>
        <v>0.1172678712</v>
      </c>
      <c r="AG461" s="6">
        <f>[1]Results!AJ321</f>
        <v>0.12113316089999999</v>
      </c>
      <c r="AH461" s="6">
        <f>[1]Results!AK321</f>
        <v>0.12517796079999999</v>
      </c>
      <c r="AI461" s="6">
        <f>[1]Results!AL321</f>
        <v>0.12935980959999999</v>
      </c>
      <c r="AJ461" s="6">
        <f>[1]Results!AM321</f>
        <v>0.1336371489</v>
      </c>
      <c r="AK461" s="6">
        <f>[1]Results!AN321</f>
        <v>0.1379674166</v>
      </c>
      <c r="AL461" s="6">
        <f>[1]Results!AO321</f>
        <v>0.14230635899999999</v>
      </c>
    </row>
    <row r="462" spans="1:38" x14ac:dyDescent="0.35">
      <c r="B462" s="6" t="str">
        <f>[1]Results!E324</f>
        <v>CF_toe_cfut_0</v>
      </c>
      <c r="C462" s="6">
        <f>[1]Results!F324</f>
        <v>47.250386450000001</v>
      </c>
      <c r="D462" s="6">
        <f>[1]Results!G324</f>
        <v>47.454060499999997</v>
      </c>
      <c r="E462" s="6">
        <f>[1]Results!H324</f>
        <v>47.664295989999999</v>
      </c>
      <c r="F462" s="6">
        <f>[1]Results!I324</f>
        <v>47.948049589999997</v>
      </c>
      <c r="G462" s="6">
        <f>[1]Results!J324</f>
        <v>48.425846210000003</v>
      </c>
      <c r="H462" s="6">
        <f>[1]Results!K324</f>
        <v>49.07758389</v>
      </c>
      <c r="I462" s="6">
        <f>[1]Results!L324</f>
        <v>49.83447245</v>
      </c>
      <c r="J462" s="6">
        <f>[1]Results!M324</f>
        <v>50.641320829999998</v>
      </c>
      <c r="K462" s="6">
        <f>[1]Results!N324</f>
        <v>51.473443109999998</v>
      </c>
      <c r="L462" s="6">
        <f>[1]Results!O324</f>
        <v>52.319605029999998</v>
      </c>
      <c r="M462" s="6">
        <f>[1]Results!P324</f>
        <v>53.160364110000003</v>
      </c>
      <c r="N462" s="6">
        <f>[1]Results!Q324</f>
        <v>53.891897489999998</v>
      </c>
      <c r="O462" s="6">
        <f>[1]Results!R324</f>
        <v>54.522624110000002</v>
      </c>
      <c r="P462" s="6">
        <f>[1]Results!S324</f>
        <v>55.066043520000001</v>
      </c>
      <c r="Q462" s="6">
        <f>[1]Results!T324</f>
        <v>55.540980769999997</v>
      </c>
      <c r="R462" s="6">
        <f>[1]Results!U324</f>
        <v>55.967389230000002</v>
      </c>
      <c r="S462" s="6">
        <f>[1]Results!V324</f>
        <v>56.391210319999999</v>
      </c>
      <c r="T462" s="6">
        <f>[1]Results!W324</f>
        <v>56.848010520000003</v>
      </c>
      <c r="U462" s="6">
        <f>[1]Results!X324</f>
        <v>57.357065650000003</v>
      </c>
      <c r="V462" s="6">
        <f>[1]Results!Y324</f>
        <v>57.926533310000003</v>
      </c>
      <c r="W462" s="6">
        <f>[1]Results!Z324</f>
        <v>58.55280166</v>
      </c>
      <c r="X462" s="6">
        <f>[1]Results!AA324</f>
        <v>59.251237490000001</v>
      </c>
      <c r="Y462" s="6">
        <f>[1]Results!AB324</f>
        <v>60.028312939999999</v>
      </c>
      <c r="Z462" s="6">
        <f>[1]Results!AC324</f>
        <v>60.889576210000001</v>
      </c>
      <c r="AA462" s="6">
        <f>[1]Results!AD324</f>
        <v>61.83726308</v>
      </c>
      <c r="AB462" s="6">
        <f>[1]Results!AE324</f>
        <v>62.848447100000001</v>
      </c>
      <c r="AC462" s="6">
        <f>[1]Results!AF324</f>
        <v>63.946229330000001</v>
      </c>
      <c r="AD462" s="6">
        <f>[1]Results!AG324</f>
        <v>65.137926089999993</v>
      </c>
      <c r="AE462" s="6">
        <f>[1]Results!AH324</f>
        <v>66.427111839999995</v>
      </c>
      <c r="AF462" s="6">
        <f>[1]Results!AI324</f>
        <v>67.806281350000006</v>
      </c>
      <c r="AG462" s="6">
        <f>[1]Results!AJ324</f>
        <v>69.260976790000001</v>
      </c>
      <c r="AH462" s="6">
        <f>[1]Results!AK324</f>
        <v>70.775979430000007</v>
      </c>
      <c r="AI462" s="6">
        <f>[1]Results!AL324</f>
        <v>72.336886879999994</v>
      </c>
      <c r="AJ462" s="6">
        <f>[1]Results!AM324</f>
        <v>73.92892114</v>
      </c>
      <c r="AK462" s="6">
        <f>[1]Results!AN324</f>
        <v>75.536540540000004</v>
      </c>
      <c r="AL462" s="6">
        <f>[1]Results!AO324</f>
        <v>77.143438810000006</v>
      </c>
    </row>
    <row r="463" spans="1:38" x14ac:dyDescent="0.35">
      <c r="B463" s="6" t="str">
        <f>[1]Results!E327</f>
        <v>CF_toe_cfuh_0</v>
      </c>
      <c r="C463" s="6">
        <f>[1]Results!F327</f>
        <v>14.789342299999999</v>
      </c>
      <c r="D463" s="6">
        <f>[1]Results!G327</f>
        <v>14.8739124</v>
      </c>
      <c r="E463" s="6">
        <f>[1]Results!H327</f>
        <v>14.95895898</v>
      </c>
      <c r="F463" s="6">
        <f>[1]Results!I327</f>
        <v>15.04068777</v>
      </c>
      <c r="G463" s="6">
        <f>[1]Results!J327</f>
        <v>15.16769277</v>
      </c>
      <c r="H463" s="6">
        <f>[1]Results!K327</f>
        <v>15.33089058</v>
      </c>
      <c r="I463" s="6">
        <f>[1]Results!L327</f>
        <v>15.499626449999999</v>
      </c>
      <c r="J463" s="6">
        <f>[1]Results!M327</f>
        <v>15.661530190000001</v>
      </c>
      <c r="K463" s="6">
        <f>[1]Results!N327</f>
        <v>15.81800499</v>
      </c>
      <c r="L463" s="6">
        <f>[1]Results!O327</f>
        <v>15.972204959999999</v>
      </c>
      <c r="M463" s="6">
        <f>[1]Results!P327</f>
        <v>16.125966030000001</v>
      </c>
      <c r="N463" s="6">
        <f>[1]Results!Q327</f>
        <v>16.24689193</v>
      </c>
      <c r="O463" s="6">
        <f>[1]Results!R327</f>
        <v>16.34042754</v>
      </c>
      <c r="P463" s="6">
        <f>[1]Results!S327</f>
        <v>16.412436849999999</v>
      </c>
      <c r="Q463" s="6">
        <f>[1]Results!T327</f>
        <v>16.469381349999999</v>
      </c>
      <c r="R463" s="6">
        <f>[1]Results!U327</f>
        <v>16.51745189</v>
      </c>
      <c r="S463" s="6">
        <f>[1]Results!V327</f>
        <v>16.579918970000001</v>
      </c>
      <c r="T463" s="6">
        <f>[1]Results!W327</f>
        <v>16.66475011</v>
      </c>
      <c r="U463" s="6">
        <f>[1]Results!X327</f>
        <v>16.773228809999999</v>
      </c>
      <c r="V463" s="6">
        <f>[1]Results!Y327</f>
        <v>16.904561579999999</v>
      </c>
      <c r="W463" s="6">
        <f>[1]Results!Z327</f>
        <v>17.053696970000001</v>
      </c>
      <c r="X463" s="6">
        <f>[1]Results!AA327</f>
        <v>17.227450149999999</v>
      </c>
      <c r="Y463" s="6">
        <f>[1]Results!AB327</f>
        <v>17.425206620000001</v>
      </c>
      <c r="Z463" s="6">
        <f>[1]Results!AC327</f>
        <v>17.647444539999999</v>
      </c>
      <c r="AA463" s="6">
        <f>[1]Results!AD327</f>
        <v>17.894248640000001</v>
      </c>
      <c r="AB463" s="6">
        <f>[1]Results!AE327</f>
        <v>18.15345305</v>
      </c>
      <c r="AC463" s="6">
        <f>[1]Results!AF327</f>
        <v>18.439118369999999</v>
      </c>
      <c r="AD463" s="6">
        <f>[1]Results!AG327</f>
        <v>18.752471440000001</v>
      </c>
      <c r="AE463" s="6">
        <f>[1]Results!AH327</f>
        <v>19.094091819999999</v>
      </c>
      <c r="AF463" s="6">
        <f>[1]Results!AI327</f>
        <v>19.461582669999999</v>
      </c>
      <c r="AG463" s="6">
        <f>[1]Results!AJ327</f>
        <v>19.850640819999999</v>
      </c>
      <c r="AH463" s="6">
        <f>[1]Results!AK327</f>
        <v>20.25686924</v>
      </c>
      <c r="AI463" s="6">
        <f>[1]Results!AL327</f>
        <v>20.675953060000001</v>
      </c>
      <c r="AJ463" s="6">
        <f>[1]Results!AM327</f>
        <v>21.103669490000001</v>
      </c>
      <c r="AK463" s="6">
        <f>[1]Results!AN327</f>
        <v>21.535954690000001</v>
      </c>
      <c r="AL463" s="6">
        <f>[1]Results!AO327</f>
        <v>21.968737140000002</v>
      </c>
    </row>
    <row r="464" spans="1:38" x14ac:dyDescent="0.35">
      <c r="B464" s="6" t="str">
        <f>[1]Results!E329</f>
        <v>CF_toe_cgas_0</v>
      </c>
      <c r="C464" s="6">
        <f>[1]Results!F329</f>
        <v>34.131798310000001</v>
      </c>
      <c r="D464" s="6">
        <f>[1]Results!G329</f>
        <v>33.929692789999997</v>
      </c>
      <c r="E464" s="6">
        <f>[1]Results!H329</f>
        <v>33.776773660000003</v>
      </c>
      <c r="F464" s="6">
        <f>[1]Results!I329</f>
        <v>33.548397710000003</v>
      </c>
      <c r="G464" s="6">
        <f>[1]Results!J329</f>
        <v>33.636096180000003</v>
      </c>
      <c r="H464" s="6">
        <f>[1]Results!K329</f>
        <v>33.922644429999998</v>
      </c>
      <c r="I464" s="6">
        <f>[1]Results!L329</f>
        <v>34.060924020000002</v>
      </c>
      <c r="J464" s="6">
        <f>[1]Results!M329</f>
        <v>34.108610419999998</v>
      </c>
      <c r="K464" s="6">
        <f>[1]Results!N329</f>
        <v>34.122116810000001</v>
      </c>
      <c r="L464" s="6">
        <f>[1]Results!O329</f>
        <v>34.127861600000003</v>
      </c>
      <c r="M464" s="6">
        <f>[1]Results!P329</f>
        <v>34.13361819</v>
      </c>
      <c r="N464" s="6">
        <f>[1]Results!Q329</f>
        <v>34.055143020000003</v>
      </c>
      <c r="O464" s="6">
        <f>[1]Results!R329</f>
        <v>33.913877239999998</v>
      </c>
      <c r="P464" s="6">
        <f>[1]Results!S329</f>
        <v>33.728950490000003</v>
      </c>
      <c r="Q464" s="6">
        <f>[1]Results!T329</f>
        <v>33.519454349999997</v>
      </c>
      <c r="R464" s="6">
        <f>[1]Results!U329</f>
        <v>33.302300729999999</v>
      </c>
      <c r="S464" s="6">
        <f>[1]Results!V329</f>
        <v>33.261266820000003</v>
      </c>
      <c r="T464" s="6">
        <f>[1]Results!W329</f>
        <v>33.336980580000002</v>
      </c>
      <c r="U464" s="6">
        <f>[1]Results!X329</f>
        <v>33.504235299999998</v>
      </c>
      <c r="V464" s="6">
        <f>[1]Results!Y329</f>
        <v>33.746555450000002</v>
      </c>
      <c r="W464" s="6">
        <f>[1]Results!Z329</f>
        <v>34.044931759999997</v>
      </c>
      <c r="X464" s="6">
        <f>[1]Results!AA329</f>
        <v>34.41116238</v>
      </c>
      <c r="Y464" s="6">
        <f>[1]Results!AB329</f>
        <v>34.842888209999998</v>
      </c>
      <c r="Z464" s="6">
        <f>[1]Results!AC329</f>
        <v>35.340401079999999</v>
      </c>
      <c r="AA464" s="6">
        <f>[1]Results!AD329</f>
        <v>35.902791749999999</v>
      </c>
      <c r="AB464" s="6">
        <f>[1]Results!AE329</f>
        <v>36.502722480000003</v>
      </c>
      <c r="AC464" s="6">
        <f>[1]Results!AF329</f>
        <v>37.172273060000002</v>
      </c>
      <c r="AD464" s="6">
        <f>[1]Results!AG329</f>
        <v>37.913267740000002</v>
      </c>
      <c r="AE464" s="6">
        <f>[1]Results!AH329</f>
        <v>38.72645911</v>
      </c>
      <c r="AF464" s="6">
        <f>[1]Results!AI329</f>
        <v>39.605393800000002</v>
      </c>
      <c r="AG464" s="6">
        <f>[1]Results!AJ329</f>
        <v>40.539042559999999</v>
      </c>
      <c r="AH464" s="6">
        <f>[1]Results!AK329</f>
        <v>41.516408390000002</v>
      </c>
      <c r="AI464" s="6">
        <f>[1]Results!AL329</f>
        <v>42.52662677</v>
      </c>
      <c r="AJ464" s="6">
        <f>[1]Results!AM329</f>
        <v>43.559629829999999</v>
      </c>
      <c r="AK464" s="6">
        <f>[1]Results!AN329</f>
        <v>44.605528210000003</v>
      </c>
      <c r="AL464" s="6">
        <f>[1]Results!AO329</f>
        <v>45.654267230000002</v>
      </c>
    </row>
    <row r="465" spans="1:38" x14ac:dyDescent="0.35">
      <c r="B465" s="6" t="str">
        <f>[1]Results!E335</f>
        <v>CF_toe_cele_0</v>
      </c>
      <c r="C465" s="6">
        <f>[1]Results!F335</f>
        <v>38.029212489999999</v>
      </c>
      <c r="D465" s="6">
        <f>[1]Results!G335</f>
        <v>38.611234510000003</v>
      </c>
      <c r="E465" s="6">
        <f>[1]Results!H335</f>
        <v>39.202308809999998</v>
      </c>
      <c r="F465" s="6">
        <f>[1]Results!I335</f>
        <v>39.870031519999998</v>
      </c>
      <c r="G465" s="6">
        <f>[1]Results!J335</f>
        <v>40.497500559999999</v>
      </c>
      <c r="H465" s="6">
        <f>[1]Results!K335</f>
        <v>41.143904259999999</v>
      </c>
      <c r="I465" s="6">
        <f>[1]Results!L335</f>
        <v>41.836099480000001</v>
      </c>
      <c r="J465" s="6">
        <f>[1]Results!M335</f>
        <v>42.571367889999998</v>
      </c>
      <c r="K465" s="6">
        <f>[1]Results!N335</f>
        <v>43.330928839999999</v>
      </c>
      <c r="L465" s="6">
        <f>[1]Results!O335</f>
        <v>44.10407155</v>
      </c>
      <c r="M465" s="6">
        <f>[1]Results!P335</f>
        <v>44.873485590000001</v>
      </c>
      <c r="N465" s="6">
        <f>[1]Results!Q335</f>
        <v>45.521797290000002</v>
      </c>
      <c r="O465" s="6">
        <f>[1]Results!R335</f>
        <v>46.060187829999997</v>
      </c>
      <c r="P465" s="6">
        <f>[1]Results!S335</f>
        <v>46.507932070000003</v>
      </c>
      <c r="Q465" s="6">
        <f>[1]Results!T335</f>
        <v>46.892754320000002</v>
      </c>
      <c r="R465" s="6">
        <f>[1]Results!U335</f>
        <v>47.244078969999997</v>
      </c>
      <c r="S465" s="6">
        <f>[1]Results!V335</f>
        <v>47.570777139999997</v>
      </c>
      <c r="T465" s="6">
        <f>[1]Results!W335</f>
        <v>47.91076537</v>
      </c>
      <c r="U465" s="6">
        <f>[1]Results!X335</f>
        <v>48.295669310000001</v>
      </c>
      <c r="V465" s="6">
        <f>[1]Results!Y335</f>
        <v>48.745669139999997</v>
      </c>
      <c r="W465" s="6">
        <f>[1]Results!Z335</f>
        <v>49.26416261</v>
      </c>
      <c r="X465" s="6">
        <f>[1]Results!AA335</f>
        <v>49.87969691</v>
      </c>
      <c r="Y465" s="6">
        <f>[1]Results!AB335</f>
        <v>50.599729949999997</v>
      </c>
      <c r="Z465" s="6">
        <f>[1]Results!AC335</f>
        <v>51.430031319999998</v>
      </c>
      <c r="AA465" s="6">
        <f>[1]Results!AD335</f>
        <v>52.372653880000001</v>
      </c>
      <c r="AB465" s="6">
        <f>[1]Results!AE335</f>
        <v>53.395168069999997</v>
      </c>
      <c r="AC465" s="6">
        <f>[1]Results!AF335</f>
        <v>54.532331990000003</v>
      </c>
      <c r="AD465" s="6">
        <f>[1]Results!AG335</f>
        <v>55.784584129999999</v>
      </c>
      <c r="AE465" s="6">
        <f>[1]Results!AH335</f>
        <v>57.149436430000002</v>
      </c>
      <c r="AF465" s="6">
        <f>[1]Results!AI335</f>
        <v>58.611532089999997</v>
      </c>
      <c r="AG465" s="6">
        <f>[1]Results!AJ335</f>
        <v>60.148728009999999</v>
      </c>
      <c r="AH465" s="6">
        <f>[1]Results!AK335</f>
        <v>61.739439689999998</v>
      </c>
      <c r="AI465" s="6">
        <f>[1]Results!AL335</f>
        <v>63.364757670000003</v>
      </c>
      <c r="AJ465" s="6">
        <f>[1]Results!AM335</f>
        <v>65.007330710000005</v>
      </c>
      <c r="AK465" s="6">
        <f>[1]Results!AN335</f>
        <v>66.650818020000003</v>
      </c>
      <c r="AL465" s="6">
        <f>[1]Results!AO335</f>
        <v>68.279729959999997</v>
      </c>
    </row>
    <row r="466" spans="1:38" x14ac:dyDescent="0.35">
      <c r="B466" s="6" t="s">
        <v>75</v>
      </c>
      <c r="C466" s="6">
        <f>SUM(C467:C469)</f>
        <v>22.006702949999998</v>
      </c>
      <c r="D466" s="6">
        <f t="shared" ref="D466:AL466" si="97">SUM(D467:D469)</f>
        <v>22.200582259999997</v>
      </c>
      <c r="E466" s="6">
        <f t="shared" si="97"/>
        <v>22.421376084999999</v>
      </c>
      <c r="F466" s="6">
        <f t="shared" si="97"/>
        <v>22.638085314999998</v>
      </c>
      <c r="G466" s="6">
        <f t="shared" si="97"/>
        <v>22.923235391999999</v>
      </c>
      <c r="H466" s="6">
        <f t="shared" si="97"/>
        <v>23.261693923999999</v>
      </c>
      <c r="I466" s="6">
        <f t="shared" si="97"/>
        <v>23.615480087000002</v>
      </c>
      <c r="J466" s="6">
        <f t="shared" si="97"/>
        <v>23.968227622000001</v>
      </c>
      <c r="K466" s="6">
        <f t="shared" si="97"/>
        <v>24.316375491999999</v>
      </c>
      <c r="L466" s="6">
        <f t="shared" si="97"/>
        <v>24.660007436999997</v>
      </c>
      <c r="M466" s="6">
        <f t="shared" si="97"/>
        <v>24.993736863000002</v>
      </c>
      <c r="N466" s="6">
        <f t="shared" si="97"/>
        <v>25.24204142</v>
      </c>
      <c r="O466" s="6">
        <f t="shared" si="97"/>
        <v>25.427131515999999</v>
      </c>
      <c r="P466" s="6">
        <f t="shared" si="97"/>
        <v>25.569076441</v>
      </c>
      <c r="Q466" s="6">
        <f t="shared" si="97"/>
        <v>25.687442345000001</v>
      </c>
      <c r="R466" s="6">
        <f t="shared" si="97"/>
        <v>25.798635774999997</v>
      </c>
      <c r="S466" s="6">
        <f t="shared" si="97"/>
        <v>25.931002710000001</v>
      </c>
      <c r="T466" s="6">
        <f t="shared" si="97"/>
        <v>26.101485265000001</v>
      </c>
      <c r="U466" s="6">
        <f t="shared" si="97"/>
        <v>26.318371980999999</v>
      </c>
      <c r="V466" s="6">
        <f t="shared" si="97"/>
        <v>26.583450575000001</v>
      </c>
      <c r="W466" s="6">
        <f t="shared" si="97"/>
        <v>26.889484393</v>
      </c>
      <c r="X466" s="6">
        <f t="shared" si="97"/>
        <v>27.249321911000003</v>
      </c>
      <c r="Y466" s="6">
        <f t="shared" si="97"/>
        <v>27.662674909</v>
      </c>
      <c r="Z466" s="6">
        <f t="shared" si="97"/>
        <v>28.129163822999999</v>
      </c>
      <c r="AA466" s="6">
        <f t="shared" si="97"/>
        <v>28.646475478999999</v>
      </c>
      <c r="AB466" s="6">
        <f t="shared" si="97"/>
        <v>29.190225144999999</v>
      </c>
      <c r="AC466" s="6">
        <f t="shared" si="97"/>
        <v>29.784121837000001</v>
      </c>
      <c r="AD466" s="6">
        <f t="shared" si="97"/>
        <v>30.429178495000002</v>
      </c>
      <c r="AE466" s="6">
        <f t="shared" si="97"/>
        <v>31.124200342999998</v>
      </c>
      <c r="AF466" s="6">
        <f t="shared" si="97"/>
        <v>31.860573276</v>
      </c>
      <c r="AG466" s="6">
        <f t="shared" si="97"/>
        <v>32.626504331</v>
      </c>
      <c r="AH466" s="6">
        <f t="shared" si="97"/>
        <v>33.411899777000002</v>
      </c>
      <c r="AI466" s="6">
        <f t="shared" si="97"/>
        <v>34.208950240999997</v>
      </c>
      <c r="AJ466" s="6">
        <f t="shared" si="97"/>
        <v>35.010965513000002</v>
      </c>
      <c r="AK466" s="6">
        <f t="shared" si="97"/>
        <v>35.811719721000003</v>
      </c>
      <c r="AL466" s="6">
        <f t="shared" si="97"/>
        <v>36.605168741</v>
      </c>
    </row>
    <row r="467" spans="1:38" x14ac:dyDescent="0.35">
      <c r="B467" s="6" t="str">
        <f>[1]Results!E345</f>
        <v>CF_toe_chea_0</v>
      </c>
      <c r="C467" s="6">
        <f>[1]Results!F345</f>
        <v>5.1300730310000002</v>
      </c>
      <c r="D467" s="6">
        <f>[1]Results!G345</f>
        <v>5.1883076279999996</v>
      </c>
      <c r="E467" s="6">
        <f>[1]Results!H345</f>
        <v>5.2475719620000003</v>
      </c>
      <c r="F467" s="6">
        <f>[1]Results!I345</f>
        <v>5.3047974169999996</v>
      </c>
      <c r="G467" s="6">
        <f>[1]Results!J345</f>
        <v>5.3652882670000004</v>
      </c>
      <c r="H467" s="6">
        <f>[1]Results!K345</f>
        <v>5.435544567</v>
      </c>
      <c r="I467" s="6">
        <f>[1]Results!L345</f>
        <v>5.5031941639999999</v>
      </c>
      <c r="J467" s="6">
        <f>[1]Results!M345</f>
        <v>5.5677499179999996</v>
      </c>
      <c r="K467" s="6">
        <f>[1]Results!N345</f>
        <v>5.629670001</v>
      </c>
      <c r="L467" s="6">
        <f>[1]Results!O345</f>
        <v>5.6900498620000004</v>
      </c>
      <c r="M467" s="6">
        <f>[1]Results!P345</f>
        <v>5.7536190410000003</v>
      </c>
      <c r="N467" s="6">
        <f>[1]Results!Q345</f>
        <v>5.8030338439999998</v>
      </c>
      <c r="O467" s="6">
        <f>[1]Results!R345</f>
        <v>5.8421537529999998</v>
      </c>
      <c r="P467" s="6">
        <f>[1]Results!S345</f>
        <v>5.8739409050000004</v>
      </c>
      <c r="Q467" s="6">
        <f>[1]Results!T345</f>
        <v>5.9011817869999996</v>
      </c>
      <c r="R467" s="6">
        <f>[1]Results!U345</f>
        <v>5.9262851579999998</v>
      </c>
      <c r="S467" s="6">
        <f>[1]Results!V345</f>
        <v>5.9584090080000003</v>
      </c>
      <c r="T467" s="6">
        <f>[1]Results!W345</f>
        <v>5.9994862510000004</v>
      </c>
      <c r="U467" s="6">
        <f>[1]Results!X345</f>
        <v>6.049133222</v>
      </c>
      <c r="V467" s="6">
        <f>[1]Results!Y345</f>
        <v>6.1064183879999998</v>
      </c>
      <c r="W467" s="6">
        <f>[1]Results!Z345</f>
        <v>6.1669845539999999</v>
      </c>
      <c r="X467" s="6">
        <f>[1]Results!AA345</f>
        <v>6.2374580699999997</v>
      </c>
      <c r="Y467" s="6">
        <f>[1]Results!AB345</f>
        <v>6.3169089659999997</v>
      </c>
      <c r="Z467" s="6">
        <f>[1]Results!AC345</f>
        <v>6.4050093529999996</v>
      </c>
      <c r="AA467" s="6">
        <f>[1]Results!AD345</f>
        <v>6.5014699040000004</v>
      </c>
      <c r="AB467" s="6">
        <f>[1]Results!AE345</f>
        <v>6.5948254390000001</v>
      </c>
      <c r="AC467" s="6">
        <f>[1]Results!AF345</f>
        <v>6.6978542640000001</v>
      </c>
      <c r="AD467" s="6">
        <f>[1]Results!AG345</f>
        <v>6.8101743480000003</v>
      </c>
      <c r="AE467" s="6">
        <f>[1]Results!AH345</f>
        <v>6.931437173</v>
      </c>
      <c r="AF467" s="6">
        <f>[1]Results!AI345</f>
        <v>7.0603438150000004</v>
      </c>
      <c r="AG467" s="6">
        <f>[1]Results!AJ345</f>
        <v>7.1951055410000002</v>
      </c>
      <c r="AH467" s="6">
        <f>[1]Results!AK345</f>
        <v>7.3340419189999997</v>
      </c>
      <c r="AI467" s="6">
        <f>[1]Results!AL345</f>
        <v>7.475716748</v>
      </c>
      <c r="AJ467" s="6">
        <f>[1]Results!AM345</f>
        <v>7.618805257</v>
      </c>
      <c r="AK467" s="6">
        <f>[1]Results!AN345</f>
        <v>7.7620335469999997</v>
      </c>
      <c r="AL467" s="6">
        <f>[1]Results!AO345</f>
        <v>7.9041603499999997</v>
      </c>
    </row>
    <row r="468" spans="1:38" x14ac:dyDescent="0.35">
      <c r="B468" s="6" t="str">
        <f>[1]Results!E347</f>
        <v>CF_toe_cbio_0</v>
      </c>
      <c r="C468" s="6">
        <f>[1]Results!F347</f>
        <v>8.1755841379999996</v>
      </c>
      <c r="D468" s="6">
        <f>[1]Results!G347</f>
        <v>8.1153657940000006</v>
      </c>
      <c r="E468" s="6">
        <f>[1]Results!H347</f>
        <v>8.0589231540000004</v>
      </c>
      <c r="F468" s="6">
        <f>[1]Results!I347</f>
        <v>7.9938662069999999</v>
      </c>
      <c r="G468" s="6">
        <f>[1]Results!J347</f>
        <v>7.9783202869999998</v>
      </c>
      <c r="H468" s="6">
        <f>[1]Results!K347</f>
        <v>7.989975566</v>
      </c>
      <c r="I468" s="6">
        <f>[1]Results!L347</f>
        <v>8.0139564130000007</v>
      </c>
      <c r="J468" s="6">
        <f>[1]Results!M347</f>
        <v>8.0424932039999995</v>
      </c>
      <c r="K468" s="6">
        <f>[1]Results!N347</f>
        <v>8.074009641</v>
      </c>
      <c r="L468" s="6">
        <f>[1]Results!O347</f>
        <v>8.1070676049999992</v>
      </c>
      <c r="M468" s="6">
        <f>[1]Results!P347</f>
        <v>8.1428524220000007</v>
      </c>
      <c r="N468" s="6">
        <f>[1]Results!Q347</f>
        <v>8.1688706660000001</v>
      </c>
      <c r="O468" s="6">
        <f>[1]Results!R347</f>
        <v>8.1868036629999992</v>
      </c>
      <c r="P468" s="6">
        <f>[1]Results!S347</f>
        <v>8.1985003859999992</v>
      </c>
      <c r="Q468" s="6">
        <f>[1]Results!T347</f>
        <v>8.2060887480000009</v>
      </c>
      <c r="R468" s="6">
        <f>[1]Results!U347</f>
        <v>8.2116294369999991</v>
      </c>
      <c r="S468" s="6">
        <f>[1]Results!V347</f>
        <v>8.2174963820000002</v>
      </c>
      <c r="T468" s="6">
        <f>[1]Results!W347</f>
        <v>8.2258936640000009</v>
      </c>
      <c r="U468" s="6">
        <f>[1]Results!X347</f>
        <v>8.2390502290000001</v>
      </c>
      <c r="V468" s="6">
        <f>[1]Results!Y347</f>
        <v>8.2579918869999993</v>
      </c>
      <c r="W468" s="6">
        <f>[1]Results!Z347</f>
        <v>8.2807674290000008</v>
      </c>
      <c r="X468" s="6">
        <f>[1]Results!AA347</f>
        <v>8.3117082010000001</v>
      </c>
      <c r="Y468" s="6">
        <f>[1]Results!AB347</f>
        <v>8.3504832530000002</v>
      </c>
      <c r="Z468" s="6">
        <f>[1]Results!AC347</f>
        <v>8.3970105799999999</v>
      </c>
      <c r="AA468" s="6">
        <f>[1]Results!AD347</f>
        <v>8.4510151649999994</v>
      </c>
      <c r="AB468" s="6">
        <f>[1]Results!AE347</f>
        <v>8.5053136659999993</v>
      </c>
      <c r="AC468" s="6">
        <f>[1]Results!AF347</f>
        <v>8.5674772630000007</v>
      </c>
      <c r="AD468" s="6">
        <f>[1]Results!AG347</f>
        <v>8.6373549169999997</v>
      </c>
      <c r="AE468" s="6">
        <f>[1]Results!AH347</f>
        <v>8.7146658299999995</v>
      </c>
      <c r="AF468" s="6">
        <f>[1]Results!AI347</f>
        <v>8.7983649009999993</v>
      </c>
      <c r="AG468" s="6">
        <f>[1]Results!AJ347</f>
        <v>8.8869942900000005</v>
      </c>
      <c r="AH468" s="6">
        <f>[1]Results!AK347</f>
        <v>8.9791528679999999</v>
      </c>
      <c r="AI468" s="6">
        <f>[1]Results!AL347</f>
        <v>9.0734672029999999</v>
      </c>
      <c r="AJ468" s="6">
        <f>[1]Results!AM347</f>
        <v>9.1687282159999999</v>
      </c>
      <c r="AK468" s="6">
        <f>[1]Results!AN347</f>
        <v>9.2638356739999992</v>
      </c>
      <c r="AL468" s="6">
        <f>[1]Results!AO347</f>
        <v>9.3577595309999992</v>
      </c>
    </row>
    <row r="469" spans="1:38" x14ac:dyDescent="0.35">
      <c r="B469" s="6" t="str">
        <f>[1]Results!E350</f>
        <v>CF_toe_cote_0</v>
      </c>
      <c r="C469" s="6">
        <f>[1]Results!F350</f>
        <v>8.7010457809999995</v>
      </c>
      <c r="D469" s="6">
        <f>[1]Results!G350</f>
        <v>8.8969088379999999</v>
      </c>
      <c r="E469" s="6">
        <f>[1]Results!H350</f>
        <v>9.1148809689999997</v>
      </c>
      <c r="F469" s="6">
        <f>[1]Results!I350</f>
        <v>9.3394216910000001</v>
      </c>
      <c r="G469" s="6">
        <f>[1]Results!J350</f>
        <v>9.5796268379999994</v>
      </c>
      <c r="H469" s="6">
        <f>[1]Results!K350</f>
        <v>9.8361737910000002</v>
      </c>
      <c r="I469" s="6">
        <f>[1]Results!L350</f>
        <v>10.098329509999999</v>
      </c>
      <c r="J469" s="6">
        <f>[1]Results!M350</f>
        <v>10.357984500000001</v>
      </c>
      <c r="K469" s="6">
        <f>[1]Results!N350</f>
        <v>10.61269585</v>
      </c>
      <c r="L469" s="6">
        <f>[1]Results!O350</f>
        <v>10.862889969999999</v>
      </c>
      <c r="M469" s="6">
        <f>[1]Results!P350</f>
        <v>11.0972654</v>
      </c>
      <c r="N469" s="6">
        <f>[1]Results!Q350</f>
        <v>11.27013691</v>
      </c>
      <c r="O469" s="6">
        <f>[1]Results!R350</f>
        <v>11.3981741</v>
      </c>
      <c r="P469" s="6">
        <f>[1]Results!S350</f>
        <v>11.496635149999999</v>
      </c>
      <c r="Q469" s="6">
        <f>[1]Results!T350</f>
        <v>11.58017181</v>
      </c>
      <c r="R469" s="6">
        <f>[1]Results!U350</f>
        <v>11.660721179999999</v>
      </c>
      <c r="S469" s="6">
        <f>[1]Results!V350</f>
        <v>11.755097320000001</v>
      </c>
      <c r="T469" s="6">
        <f>[1]Results!W350</f>
        <v>11.87610535</v>
      </c>
      <c r="U469" s="6">
        <f>[1]Results!X350</f>
        <v>12.03018853</v>
      </c>
      <c r="V469" s="6">
        <f>[1]Results!Y350</f>
        <v>12.2190403</v>
      </c>
      <c r="W469" s="6">
        <f>[1]Results!Z350</f>
        <v>12.44173241</v>
      </c>
      <c r="X469" s="6">
        <f>[1]Results!AA350</f>
        <v>12.70015564</v>
      </c>
      <c r="Y469" s="6">
        <f>[1]Results!AB350</f>
        <v>12.99528269</v>
      </c>
      <c r="Z469" s="6">
        <f>[1]Results!AC350</f>
        <v>13.32714389</v>
      </c>
      <c r="AA469" s="6">
        <f>[1]Results!AD350</f>
        <v>13.69399041</v>
      </c>
      <c r="AB469" s="6">
        <f>[1]Results!AE350</f>
        <v>14.090086039999999</v>
      </c>
      <c r="AC469" s="6">
        <f>[1]Results!AF350</f>
        <v>14.51879031</v>
      </c>
      <c r="AD469" s="6">
        <f>[1]Results!AG350</f>
        <v>14.98164923</v>
      </c>
      <c r="AE469" s="6">
        <f>[1]Results!AH350</f>
        <v>15.47809734</v>
      </c>
      <c r="AF469" s="6">
        <f>[1]Results!AI350</f>
        <v>16.001864560000001</v>
      </c>
      <c r="AG469" s="6">
        <f>[1]Results!AJ350</f>
        <v>16.544404499999999</v>
      </c>
      <c r="AH469" s="6">
        <f>[1]Results!AK350</f>
        <v>17.098704990000002</v>
      </c>
      <c r="AI469" s="6">
        <f>[1]Results!AL350</f>
        <v>17.65976629</v>
      </c>
      <c r="AJ469" s="6">
        <f>[1]Results!AM350</f>
        <v>18.223432039999999</v>
      </c>
      <c r="AK469" s="6">
        <f>[1]Results!AN350</f>
        <v>18.785850499999999</v>
      </c>
      <c r="AL469" s="6">
        <f>[1]Results!AO350</f>
        <v>19.343248859999999</v>
      </c>
    </row>
    <row r="471" spans="1:3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</row>
    <row r="472" spans="1:38" x14ac:dyDescent="0.35">
      <c r="A472" s="12" t="s">
        <v>93</v>
      </c>
      <c r="B472" t="s">
        <v>77</v>
      </c>
      <c r="C472" s="4">
        <f>C445/C458-1</f>
        <v>0</v>
      </c>
      <c r="D472" s="4">
        <f t="shared" ref="D472:AL472" si="98">D445/D458-1</f>
        <v>-1.8450655447921349E-9</v>
      </c>
      <c r="E472" s="4">
        <f t="shared" si="98"/>
        <v>-2.4450466096226364E-9</v>
      </c>
      <c r="F472" s="4">
        <f t="shared" si="98"/>
        <v>-3.644155532889215E-9</v>
      </c>
      <c r="G472" s="4">
        <f t="shared" si="98"/>
        <v>-4.2087135998514213E-9</v>
      </c>
      <c r="H472" s="4">
        <f t="shared" si="98"/>
        <v>-4.1540961781549868E-9</v>
      </c>
      <c r="I472" s="4">
        <f t="shared" si="98"/>
        <v>-4.6857425717306E-9</v>
      </c>
      <c r="J472" s="4">
        <f t="shared" si="98"/>
        <v>-1.1997697296443732E-2</v>
      </c>
      <c r="K472" s="4">
        <f t="shared" si="98"/>
        <v>-2.5186999370334195E-2</v>
      </c>
      <c r="L472" s="4">
        <f t="shared" si="98"/>
        <v>-3.481486142268253E-2</v>
      </c>
      <c r="M472" s="4">
        <f t="shared" si="98"/>
        <v>-4.2909851443620028E-2</v>
      </c>
      <c r="N472" s="4">
        <f t="shared" si="98"/>
        <v>-4.8687050751567096E-2</v>
      </c>
      <c r="O472" s="4">
        <f t="shared" si="98"/>
        <v>-5.2959855243570386E-2</v>
      </c>
      <c r="P472" s="4">
        <f t="shared" si="98"/>
        <v>-5.6072131832979544E-2</v>
      </c>
      <c r="Q472" s="4">
        <f t="shared" si="98"/>
        <v>-5.8140194934671929E-2</v>
      </c>
      <c r="R472" s="4">
        <f t="shared" si="98"/>
        <v>-5.9396958428822311E-2</v>
      </c>
      <c r="S472" s="4">
        <f t="shared" si="98"/>
        <v>-6.1113239034454314E-2</v>
      </c>
      <c r="T472" s="4">
        <f t="shared" si="98"/>
        <v>-6.32824281848684E-2</v>
      </c>
      <c r="U472" s="4">
        <f t="shared" si="98"/>
        <v>-6.5794776933559396E-2</v>
      </c>
      <c r="V472" s="4">
        <f t="shared" si="98"/>
        <v>-6.8482586664916356E-2</v>
      </c>
      <c r="W472" s="4">
        <f t="shared" si="98"/>
        <v>-7.1189606519409199E-2</v>
      </c>
      <c r="X472" s="4">
        <f t="shared" si="98"/>
        <v>-7.376942522319252E-2</v>
      </c>
      <c r="Y472" s="4">
        <f t="shared" si="98"/>
        <v>-7.6132343258870638E-2</v>
      </c>
      <c r="Z472" s="4">
        <f t="shared" si="98"/>
        <v>-7.8226352204506466E-2</v>
      </c>
      <c r="AA472" s="4">
        <f t="shared" si="98"/>
        <v>-8.0001447252889824E-2</v>
      </c>
      <c r="AB472" s="4">
        <f t="shared" si="98"/>
        <v>-8.1425989711015556E-2</v>
      </c>
      <c r="AC472" s="4">
        <f t="shared" si="98"/>
        <v>-8.2397728939787029E-2</v>
      </c>
      <c r="AD472" s="4">
        <f t="shared" si="98"/>
        <v>-8.2743355493617665E-2</v>
      </c>
      <c r="AE472" s="4">
        <f t="shared" si="98"/>
        <v>-8.2381584900824145E-2</v>
      </c>
      <c r="AF472" s="4">
        <f t="shared" si="98"/>
        <v>-8.1225268301940767E-2</v>
      </c>
      <c r="AG472" s="4">
        <f t="shared" si="98"/>
        <v>-7.9158653539283752E-2</v>
      </c>
      <c r="AH472" s="4">
        <f t="shared" si="98"/>
        <v>-7.6005627280539612E-2</v>
      </c>
      <c r="AI472" s="4">
        <f t="shared" si="98"/>
        <v>-7.1530578850365956E-2</v>
      </c>
      <c r="AJ472" s="4">
        <f t="shared" si="98"/>
        <v>-6.5471900041705444E-2</v>
      </c>
      <c r="AK472" s="4">
        <f t="shared" si="98"/>
        <v>-5.7483267924927306E-2</v>
      </c>
      <c r="AL472" s="4">
        <f t="shared" si="98"/>
        <v>-4.7056240930452242E-2</v>
      </c>
    </row>
    <row r="473" spans="1:38" x14ac:dyDescent="0.35">
      <c r="A473" t="s">
        <v>88</v>
      </c>
      <c r="B473" t="s">
        <v>76</v>
      </c>
      <c r="C473" s="4">
        <f>(C446-C459)/C$458</f>
        <v>6.1845112585886993E-12</v>
      </c>
      <c r="D473" s="4">
        <f t="shared" ref="D473:AL473" si="99">(D446-D459)/D$458</f>
        <v>0</v>
      </c>
      <c r="E473" s="4">
        <f t="shared" si="99"/>
        <v>0</v>
      </c>
      <c r="F473" s="4">
        <f t="shared" si="99"/>
        <v>0</v>
      </c>
      <c r="G473" s="4">
        <f t="shared" si="99"/>
        <v>0</v>
      </c>
      <c r="H473" s="4">
        <f t="shared" si="99"/>
        <v>0</v>
      </c>
      <c r="I473" s="4">
        <f t="shared" si="99"/>
        <v>0</v>
      </c>
      <c r="J473" s="4">
        <f t="shared" si="99"/>
        <v>-1.2620616389748857E-3</v>
      </c>
      <c r="K473" s="4">
        <f t="shared" si="99"/>
        <v>-2.6793237359126858E-3</v>
      </c>
      <c r="L473" s="4">
        <f t="shared" si="99"/>
        <v>-3.8825241544502001E-3</v>
      </c>
      <c r="M473" s="4">
        <f t="shared" si="99"/>
        <v>-4.9959117071588822E-3</v>
      </c>
      <c r="N473" s="4">
        <f t="shared" si="99"/>
        <v>-5.8617554959334893E-3</v>
      </c>
      <c r="O473" s="4">
        <f t="shared" si="99"/>
        <v>-6.5663810859437925E-3</v>
      </c>
      <c r="P473" s="4">
        <f t="shared" si="99"/>
        <v>-7.1538046126903478E-3</v>
      </c>
      <c r="Q473" s="4">
        <f t="shared" si="99"/>
        <v>-7.6466385201779613E-3</v>
      </c>
      <c r="R473" s="4">
        <f t="shared" si="99"/>
        <v>-8.0696439742285568E-3</v>
      </c>
      <c r="S473" s="4">
        <f t="shared" si="99"/>
        <v>-8.5556652640878684E-3</v>
      </c>
      <c r="T473" s="4">
        <f t="shared" si="99"/>
        <v>-9.097956110109575E-3</v>
      </c>
      <c r="U473" s="4">
        <f t="shared" si="99"/>
        <v>-9.6803281867093496E-3</v>
      </c>
      <c r="V473" s="4">
        <f t="shared" si="99"/>
        <v>-1.0287155820397614E-2</v>
      </c>
      <c r="W473" s="4">
        <f t="shared" si="99"/>
        <v>-1.0906995544816412E-2</v>
      </c>
      <c r="X473" s="4">
        <f t="shared" si="99"/>
        <v>-1.1526754996626882E-2</v>
      </c>
      <c r="Y473" s="4">
        <f t="shared" si="99"/>
        <v>-1.2139687236461173E-2</v>
      </c>
      <c r="Z473" s="4">
        <f t="shared" si="99"/>
        <v>-1.2741526941131308E-2</v>
      </c>
      <c r="AA473" s="4">
        <f t="shared" si="99"/>
        <v>-1.3328435879501294E-2</v>
      </c>
      <c r="AB473" s="4">
        <f t="shared" si="99"/>
        <v>-1.3902450700595183E-2</v>
      </c>
      <c r="AC473" s="4">
        <f t="shared" si="99"/>
        <v>-1.4456276156880875E-2</v>
      </c>
      <c r="AD473" s="4">
        <f t="shared" si="99"/>
        <v>-1.4984968957999757E-2</v>
      </c>
      <c r="AE473" s="4">
        <f t="shared" si="99"/>
        <v>-1.5488593319152838E-2</v>
      </c>
      <c r="AF473" s="4">
        <f t="shared" si="99"/>
        <v>-1.5965790913505449E-2</v>
      </c>
      <c r="AG473" s="4">
        <f t="shared" si="99"/>
        <v>-1.641458783516209E-2</v>
      </c>
      <c r="AH473" s="4">
        <f t="shared" si="99"/>
        <v>-1.6833064482780071E-2</v>
      </c>
      <c r="AI473" s="4">
        <f t="shared" si="99"/>
        <v>-1.7220321259211312E-2</v>
      </c>
      <c r="AJ473" s="4">
        <f t="shared" si="99"/>
        <v>-1.7577338692701339E-2</v>
      </c>
      <c r="AK473" s="4">
        <f t="shared" si="99"/>
        <v>-1.7905216262964634E-2</v>
      </c>
      <c r="AL473" s="4">
        <f t="shared" si="99"/>
        <v>-1.8204417784105243E-2</v>
      </c>
    </row>
    <row r="474" spans="1:38" x14ac:dyDescent="0.35">
      <c r="B474" t="s">
        <v>74</v>
      </c>
      <c r="C474" s="4">
        <f>(C447-C460)/C$458</f>
        <v>0</v>
      </c>
      <c r="D474" s="4">
        <f t="shared" ref="D474:AL474" si="100">(D447-D460)/D$458</f>
        <v>6.1502186622754158E-11</v>
      </c>
      <c r="E474" s="4">
        <f t="shared" si="100"/>
        <v>6.0514896713478086E-11</v>
      </c>
      <c r="F474" s="4">
        <f t="shared" si="100"/>
        <v>1.2086449190959683E-10</v>
      </c>
      <c r="G474" s="4">
        <f t="shared" si="100"/>
        <v>1.797721170621165E-10</v>
      </c>
      <c r="H474" s="4">
        <f t="shared" si="100"/>
        <v>1.1809502204202085E-10</v>
      </c>
      <c r="I474" s="4">
        <f t="shared" si="100"/>
        <v>1.7454385972038054E-10</v>
      </c>
      <c r="J474" s="4">
        <f t="shared" si="100"/>
        <v>-3.825948868341247E-3</v>
      </c>
      <c r="K474" s="4">
        <f t="shared" si="100"/>
        <v>-8.3893567932356063E-3</v>
      </c>
      <c r="L474" s="4">
        <f t="shared" si="100"/>
        <v>-1.2029504235960045E-2</v>
      </c>
      <c r="M474" s="4">
        <f t="shared" si="100"/>
        <v>-1.5237725780983032E-2</v>
      </c>
      <c r="N474" s="4">
        <f t="shared" si="100"/>
        <v>-1.7548154789617611E-2</v>
      </c>
      <c r="O474" s="4">
        <f t="shared" si="100"/>
        <v>-1.9236369217629536E-2</v>
      </c>
      <c r="P474" s="4">
        <f t="shared" si="100"/>
        <v>-2.0463633012244947E-2</v>
      </c>
      <c r="Q474" s="4">
        <f t="shared" si="100"/>
        <v>-2.1307934982757352E-2</v>
      </c>
      <c r="R474" s="4">
        <f t="shared" si="100"/>
        <v>-2.186538936850799E-2</v>
      </c>
      <c r="S474" s="4">
        <f t="shared" si="100"/>
        <v>-2.2585341319654763E-2</v>
      </c>
      <c r="T474" s="4">
        <f t="shared" si="100"/>
        <v>-2.3512269996311917E-2</v>
      </c>
      <c r="U474" s="4">
        <f t="shared" si="100"/>
        <v>-2.4593515094786456E-2</v>
      </c>
      <c r="V474" s="4">
        <f t="shared" si="100"/>
        <v>-2.5758046956433345E-2</v>
      </c>
      <c r="W474" s="4">
        <f t="shared" si="100"/>
        <v>-2.6940185498947281E-2</v>
      </c>
      <c r="X474" s="4">
        <f t="shared" si="100"/>
        <v>-2.8078162893306613E-2</v>
      </c>
      <c r="Y474" s="4">
        <f t="shared" si="100"/>
        <v>-2.9122078875328607E-2</v>
      </c>
      <c r="Z474" s="4">
        <f t="shared" si="100"/>
        <v>-3.004558946979051E-2</v>
      </c>
      <c r="AA474" s="4">
        <f t="shared" si="100"/>
        <v>-3.0826844128168499E-2</v>
      </c>
      <c r="AB474" s="4">
        <f t="shared" si="100"/>
        <v>-3.1450704117570207E-2</v>
      </c>
      <c r="AC474" s="4">
        <f t="shared" si="100"/>
        <v>-3.1871196615012261E-2</v>
      </c>
      <c r="AD474" s="4">
        <f t="shared" si="100"/>
        <v>-3.203272719463271E-2</v>
      </c>
      <c r="AE474" s="4">
        <f t="shared" si="100"/>
        <v>-3.189606617077545E-2</v>
      </c>
      <c r="AF474" s="4">
        <f t="shared" si="100"/>
        <v>-3.1419275591544747E-2</v>
      </c>
      <c r="AG474" s="4">
        <f t="shared" si="100"/>
        <v>-3.0549906791997091E-2</v>
      </c>
      <c r="AH474" s="4">
        <f t="shared" si="100"/>
        <v>-2.9211374667535647E-2</v>
      </c>
      <c r="AI474" s="4">
        <f t="shared" si="100"/>
        <v>-2.7297696966866177E-2</v>
      </c>
      <c r="AJ474" s="4">
        <f t="shared" si="100"/>
        <v>-2.4676692970527117E-2</v>
      </c>
      <c r="AK474" s="4">
        <f t="shared" si="100"/>
        <v>-2.1167069078439744E-2</v>
      </c>
      <c r="AL474" s="4">
        <f t="shared" si="100"/>
        <v>-1.6500705796456263E-2</v>
      </c>
    </row>
    <row r="475" spans="1:38" x14ac:dyDescent="0.35">
      <c r="B475" t="s">
        <v>54</v>
      </c>
      <c r="C475" s="4">
        <f>(C451-C464)/C$458</f>
        <v>-4.9476085674350404E-10</v>
      </c>
      <c r="D475" s="4">
        <f t="shared" ref="D475:AL475" si="101">(D451-D464)/D$458</f>
        <v>-1.6605588640146491E-9</v>
      </c>
      <c r="E475" s="4">
        <f t="shared" si="101"/>
        <v>-2.5672989353699771E-9</v>
      </c>
      <c r="F475" s="4">
        <f t="shared" si="101"/>
        <v>-3.6441555581669169E-9</v>
      </c>
      <c r="G475" s="4">
        <f t="shared" si="101"/>
        <v>-4.2087136792712728E-9</v>
      </c>
      <c r="H475" s="4">
        <f t="shared" si="101"/>
        <v>-4.569505906401441E-9</v>
      </c>
      <c r="I475" s="4">
        <f t="shared" si="101"/>
        <v>-4.5685989299592954E-9</v>
      </c>
      <c r="J475" s="4">
        <f t="shared" si="101"/>
        <v>-6.6368062065381792E-3</v>
      </c>
      <c r="K475" s="4">
        <f t="shared" si="101"/>
        <v>-1.2792668185081063E-2</v>
      </c>
      <c r="L475" s="4">
        <f t="shared" si="101"/>
        <v>-1.7392005370672411E-2</v>
      </c>
      <c r="M475" s="4">
        <f t="shared" si="101"/>
        <v>-2.0928803522087838E-2</v>
      </c>
      <c r="N475" s="4">
        <f t="shared" si="101"/>
        <v>-2.2748046378468095E-2</v>
      </c>
      <c r="O475" s="4">
        <f t="shared" si="101"/>
        <v>-2.360701659226443E-2</v>
      </c>
      <c r="P475" s="4">
        <f t="shared" si="101"/>
        <v>-2.3869644222957124E-2</v>
      </c>
      <c r="Q475" s="4">
        <f t="shared" si="101"/>
        <v>-2.3707246263329915E-2</v>
      </c>
      <c r="R475" s="4">
        <f t="shared" si="101"/>
        <v>-2.3239647032828759E-2</v>
      </c>
      <c r="S475" s="4">
        <f t="shared" si="101"/>
        <v>-2.3278231855907237E-2</v>
      </c>
      <c r="T475" s="4">
        <f t="shared" si="101"/>
        <v>-2.3533395271881044E-2</v>
      </c>
      <c r="U475" s="4">
        <f t="shared" si="101"/>
        <v>-2.386153378320556E-2</v>
      </c>
      <c r="V475" s="4">
        <f t="shared" si="101"/>
        <v>-2.4164596611165864E-2</v>
      </c>
      <c r="W475" s="4">
        <f t="shared" si="101"/>
        <v>-2.4376842756565115E-2</v>
      </c>
      <c r="X475" s="4">
        <f t="shared" si="101"/>
        <v>-2.4460376570905881E-2</v>
      </c>
      <c r="Y475" s="4">
        <f t="shared" si="101"/>
        <v>-2.4412980960376262E-2</v>
      </c>
      <c r="Z475" s="4">
        <f t="shared" si="101"/>
        <v>-2.4231552056007372E-2</v>
      </c>
      <c r="AA475" s="4">
        <f t="shared" si="101"/>
        <v>-2.3908079524080594E-2</v>
      </c>
      <c r="AB475" s="4">
        <f t="shared" si="101"/>
        <v>-2.3435143856086763E-2</v>
      </c>
      <c r="AC475" s="4">
        <f t="shared" si="101"/>
        <v>-2.2798620383787042E-2</v>
      </c>
      <c r="AD475" s="4">
        <f t="shared" si="101"/>
        <v>-2.1954932625117222E-2</v>
      </c>
      <c r="AE475" s="4">
        <f t="shared" si="101"/>
        <v>-2.0878054266767077E-2</v>
      </c>
      <c r="AF475" s="4">
        <f t="shared" si="101"/>
        <v>-1.9536819100625529E-2</v>
      </c>
      <c r="AG475" s="4">
        <f t="shared" si="101"/>
        <v>-1.7886467190223326E-2</v>
      </c>
      <c r="AH475" s="4">
        <f t="shared" si="101"/>
        <v>-1.5860254804630797E-2</v>
      </c>
      <c r="AI475" s="4">
        <f t="shared" si="101"/>
        <v>-1.3364155543186306E-2</v>
      </c>
      <c r="AJ475" s="4">
        <f t="shared" si="101"/>
        <v>-1.0285621068146358E-2</v>
      </c>
      <c r="AK475" s="4">
        <f t="shared" si="101"/>
        <v>-6.474187621720578E-3</v>
      </c>
      <c r="AL475" s="4">
        <f t="shared" si="101"/>
        <v>-1.7132374690302747E-3</v>
      </c>
    </row>
    <row r="476" spans="1:38" x14ac:dyDescent="0.35">
      <c r="B476" t="s">
        <v>11</v>
      </c>
      <c r="C476" s="4">
        <f>(C452-C465)/C$458</f>
        <v>6.1845112585886994E-11</v>
      </c>
      <c r="D476" s="4">
        <f t="shared" ref="D476:AL476" si="102">(D452-D465)/D$458</f>
        <v>6.1502142922825843E-11</v>
      </c>
      <c r="E476" s="4">
        <f t="shared" si="102"/>
        <v>1.2225233852861831E-10</v>
      </c>
      <c r="F476" s="4">
        <f t="shared" si="102"/>
        <v>1.2147186200850714E-10</v>
      </c>
      <c r="G476" s="4">
        <f t="shared" si="102"/>
        <v>1.2024897202969653E-10</v>
      </c>
      <c r="H476" s="4">
        <f t="shared" si="102"/>
        <v>1.1868847495846652E-10</v>
      </c>
      <c r="I476" s="4">
        <f t="shared" si="102"/>
        <v>1.1714357191074557E-10</v>
      </c>
      <c r="J476" s="4">
        <f t="shared" si="102"/>
        <v>1.6475487895563229E-3</v>
      </c>
      <c r="K476" s="4">
        <f t="shared" si="102"/>
        <v>2.7781464767144752E-3</v>
      </c>
      <c r="L476" s="4">
        <f t="shared" si="102"/>
        <v>4.2563082474624701E-3</v>
      </c>
      <c r="M476" s="4">
        <f t="shared" si="102"/>
        <v>5.5566042450140157E-3</v>
      </c>
      <c r="N476" s="4">
        <f t="shared" si="102"/>
        <v>5.9650040629974166E-3</v>
      </c>
      <c r="O476" s="4">
        <f t="shared" si="102"/>
        <v>5.9433179946143857E-3</v>
      </c>
      <c r="P476" s="4">
        <f t="shared" si="102"/>
        <v>5.769095540527863E-3</v>
      </c>
      <c r="Q476" s="4">
        <f t="shared" si="102"/>
        <v>5.6064158458144445E-3</v>
      </c>
      <c r="R476" s="4">
        <f t="shared" si="102"/>
        <v>5.4940415093567528E-3</v>
      </c>
      <c r="S476" s="4">
        <f t="shared" si="102"/>
        <v>5.7384571063878115E-3</v>
      </c>
      <c r="T476" s="4">
        <f t="shared" si="102"/>
        <v>6.087128033253471E-3</v>
      </c>
      <c r="U476" s="4">
        <f t="shared" si="102"/>
        <v>6.4095493385866028E-3</v>
      </c>
      <c r="V476" s="4">
        <f t="shared" si="102"/>
        <v>6.6606068158717767E-3</v>
      </c>
      <c r="W476" s="4">
        <f t="shared" si="102"/>
        <v>6.8325594315157443E-3</v>
      </c>
      <c r="X476" s="4">
        <f t="shared" si="102"/>
        <v>6.9395268126615584E-3</v>
      </c>
      <c r="Y476" s="4">
        <f t="shared" si="102"/>
        <v>6.9978396648018052E-3</v>
      </c>
      <c r="Z476" s="4">
        <f t="shared" si="102"/>
        <v>7.0180100763218203E-3</v>
      </c>
      <c r="AA476" s="4">
        <f t="shared" si="102"/>
        <v>7.0097303256491349E-3</v>
      </c>
      <c r="AB476" s="4">
        <f t="shared" si="102"/>
        <v>6.9810337105779422E-3</v>
      </c>
      <c r="AC476" s="4">
        <f t="shared" si="102"/>
        <v>6.9585042699699005E-3</v>
      </c>
      <c r="AD476" s="4">
        <f t="shared" si="102"/>
        <v>6.9872365544340958E-3</v>
      </c>
      <c r="AE476" s="4">
        <f t="shared" si="102"/>
        <v>7.0802926064274024E-3</v>
      </c>
      <c r="AF476" s="4">
        <f t="shared" si="102"/>
        <v>7.2499575483002034E-3</v>
      </c>
      <c r="AG476" s="4">
        <f t="shared" si="102"/>
        <v>7.5118610826412531E-3</v>
      </c>
      <c r="AH476" s="4">
        <f t="shared" si="102"/>
        <v>7.8917171361901767E-3</v>
      </c>
      <c r="AI476" s="4">
        <f t="shared" si="102"/>
        <v>8.4184460885094303E-3</v>
      </c>
      <c r="AJ476" s="4">
        <f t="shared" si="102"/>
        <v>9.108707802338644E-3</v>
      </c>
      <c r="AK476" s="4">
        <f t="shared" si="102"/>
        <v>9.9773871180026553E-3</v>
      </c>
      <c r="AL476" s="4">
        <f t="shared" si="102"/>
        <v>1.1045947555564144E-2</v>
      </c>
    </row>
    <row r="477" spans="1:38" x14ac:dyDescent="0.35">
      <c r="B477" t="s">
        <v>75</v>
      </c>
      <c r="C477" s="4">
        <f>(C453-C466)/C$458</f>
        <v>-6.1844892867927723E-12</v>
      </c>
      <c r="D477" s="4">
        <f t="shared" ref="D477:AL477" si="103">(D453-D466)/D$458</f>
        <v>-4.9201727448239167E-11</v>
      </c>
      <c r="E477" s="4">
        <f t="shared" si="103"/>
        <v>-7.946399832722594E-11</v>
      </c>
      <c r="F477" s="4">
        <f t="shared" si="103"/>
        <v>-1.2754543353119699E-10</v>
      </c>
      <c r="G477" s="4">
        <f t="shared" si="103"/>
        <v>-1.623360908795837E-10</v>
      </c>
      <c r="H477" s="4">
        <f t="shared" si="103"/>
        <v>-1.7803269135439311E-10</v>
      </c>
      <c r="I477" s="4">
        <f t="shared" si="103"/>
        <v>-1.8157253646165564E-10</v>
      </c>
      <c r="J477" s="4">
        <f t="shared" si="103"/>
        <v>-1.9204296346526321E-3</v>
      </c>
      <c r="K477" s="4">
        <f t="shared" si="103"/>
        <v>-4.1037972081749809E-3</v>
      </c>
      <c r="L477" s="4">
        <f t="shared" si="103"/>
        <v>-5.7671361283371326E-3</v>
      </c>
      <c r="M477" s="4">
        <f t="shared" si="103"/>
        <v>-7.3040149940876552E-3</v>
      </c>
      <c r="N477" s="4">
        <f t="shared" si="103"/>
        <v>-8.4940981957605903E-3</v>
      </c>
      <c r="O477" s="4">
        <f t="shared" si="103"/>
        <v>-9.4934065432093536E-3</v>
      </c>
      <c r="P477" s="4">
        <f t="shared" si="103"/>
        <v>-1.0354145603974378E-2</v>
      </c>
      <c r="Q477" s="4">
        <f t="shared" si="103"/>
        <v>-1.1084791379289539E-2</v>
      </c>
      <c r="R477" s="4">
        <f t="shared" si="103"/>
        <v>-1.1716319571244978E-2</v>
      </c>
      <c r="S477" s="4">
        <f t="shared" si="103"/>
        <v>-1.2432457561645172E-2</v>
      </c>
      <c r="T477" s="4">
        <f t="shared" si="103"/>
        <v>-1.3225934747556239E-2</v>
      </c>
      <c r="U477" s="4">
        <f t="shared" si="103"/>
        <v>-1.4068949365663899E-2</v>
      </c>
      <c r="V477" s="4">
        <f t="shared" si="103"/>
        <v>-1.4933394323993147E-2</v>
      </c>
      <c r="W477" s="4">
        <f t="shared" si="103"/>
        <v>-1.5798142171865232E-2</v>
      </c>
      <c r="X477" s="4">
        <f t="shared" si="103"/>
        <v>-1.6643657669312115E-2</v>
      </c>
      <c r="Y477" s="4">
        <f t="shared" si="103"/>
        <v>-1.7455435633647341E-2</v>
      </c>
      <c r="Z477" s="4">
        <f t="shared" si="103"/>
        <v>-1.8225693846253558E-2</v>
      </c>
      <c r="AA477" s="4">
        <f t="shared" si="103"/>
        <v>-1.8947817837806302E-2</v>
      </c>
      <c r="AB477" s="4">
        <f t="shared" si="103"/>
        <v>-1.9618724926681999E-2</v>
      </c>
      <c r="AC477" s="4">
        <f t="shared" si="103"/>
        <v>-2.0230140362553078E-2</v>
      </c>
      <c r="AD477" s="4">
        <f t="shared" si="103"/>
        <v>-2.0757963481009296E-2</v>
      </c>
      <c r="AE477" s="4">
        <f t="shared" si="103"/>
        <v>-2.1199163806614647E-2</v>
      </c>
      <c r="AF477" s="4">
        <f t="shared" si="103"/>
        <v>-2.1553340210542133E-2</v>
      </c>
      <c r="AG477" s="4">
        <f t="shared" si="103"/>
        <v>-2.1819552748004987E-2</v>
      </c>
      <c r="AH477" s="4">
        <f t="shared" si="103"/>
        <v>-2.1992650194605588E-2</v>
      </c>
      <c r="AI477" s="4">
        <f t="shared" si="103"/>
        <v>-2.2066851298402967E-2</v>
      </c>
      <c r="AJ477" s="4">
        <f t="shared" si="103"/>
        <v>-2.2040955004973967E-2</v>
      </c>
      <c r="AK477" s="4">
        <f t="shared" si="103"/>
        <v>-2.191418230005953E-2</v>
      </c>
      <c r="AL477" s="4">
        <f t="shared" si="103"/>
        <v>-2.1683827744246178E-2</v>
      </c>
    </row>
    <row r="479" spans="1:38" x14ac:dyDescent="0.35">
      <c r="A479" s="12" t="s">
        <v>94</v>
      </c>
      <c r="B479" s="3" t="str">
        <f>[1]Results!E205</f>
        <v>YG_toe_2</v>
      </c>
      <c r="C479" s="3">
        <f>[1]Results!F205</f>
        <v>148.5608263</v>
      </c>
      <c r="D479" s="3">
        <f>[1]Results!G205</f>
        <v>150.23110610000001</v>
      </c>
      <c r="E479" s="3">
        <f>[1]Results!H205</f>
        <v>151.9580167</v>
      </c>
      <c r="F479" s="3">
        <f>[1]Results!I205</f>
        <v>153.83581849999999</v>
      </c>
      <c r="G479" s="3">
        <f>[1]Results!J205</f>
        <v>155.93581879999999</v>
      </c>
      <c r="H479" s="3">
        <f>[1]Results!K205</f>
        <v>158.27513730000001</v>
      </c>
      <c r="I479" s="3">
        <f>[1]Results!L205</f>
        <v>160.76631520000001</v>
      </c>
      <c r="J479" s="3">
        <f>[1]Results!M205</f>
        <v>164.1630327</v>
      </c>
      <c r="K479" s="3">
        <f>[1]Results!N205</f>
        <v>167.8630747</v>
      </c>
      <c r="L479" s="3">
        <f>[1]Results!O205</f>
        <v>172.4066057</v>
      </c>
      <c r="M479" s="3">
        <f>[1]Results!P205</f>
        <v>177.11953370000001</v>
      </c>
      <c r="N479" s="3">
        <f>[1]Results!Q205</f>
        <v>181.37210289999999</v>
      </c>
      <c r="O479" s="3">
        <f>[1]Results!R205</f>
        <v>185.27544900000001</v>
      </c>
      <c r="P479" s="3">
        <f>[1]Results!S205</f>
        <v>188.9927252</v>
      </c>
      <c r="Q479" s="3">
        <f>[1]Results!T205</f>
        <v>192.71258990000001</v>
      </c>
      <c r="R479" s="3">
        <f>[1]Results!U205</f>
        <v>196.55463270000001</v>
      </c>
      <c r="S479" s="3">
        <f>[1]Results!V205</f>
        <v>200.41546890000001</v>
      </c>
      <c r="T479" s="3">
        <f>[1]Results!W205</f>
        <v>204.5841743</v>
      </c>
      <c r="U479" s="3">
        <f>[1]Results!X205</f>
        <v>209.1468711</v>
      </c>
      <c r="V479" s="3">
        <f>[1]Results!Y205</f>
        <v>214.1780388</v>
      </c>
      <c r="W479" s="3">
        <f>[1]Results!Z205</f>
        <v>219.71852290000001</v>
      </c>
      <c r="X479" s="3">
        <f>[1]Results!AA205</f>
        <v>225.91281499999999</v>
      </c>
      <c r="Y479" s="3">
        <f>[1]Results!AB205</f>
        <v>232.8570048</v>
      </c>
      <c r="Z479" s="3">
        <f>[1]Results!AC205</f>
        <v>240.6392965</v>
      </c>
      <c r="AA479" s="3">
        <f>[1]Results!AD205</f>
        <v>249.3423377</v>
      </c>
      <c r="AB479" s="3">
        <f>[1]Results!AE205</f>
        <v>258.94347529999999</v>
      </c>
      <c r="AC479" s="3">
        <f>[1]Results!AF205</f>
        <v>269.79083009999999</v>
      </c>
      <c r="AD479" s="3">
        <f>[1]Results!AG205</f>
        <v>282.01856670000001</v>
      </c>
      <c r="AE479" s="3">
        <f>[1]Results!AH205</f>
        <v>295.8092029</v>
      </c>
      <c r="AF479" s="3">
        <f>[1]Results!AI205</f>
        <v>311.31555730000002</v>
      </c>
      <c r="AG479" s="3">
        <f>[1]Results!AJ205</f>
        <v>328.70201320000001</v>
      </c>
      <c r="AH479" s="3">
        <f>[1]Results!AK205</f>
        <v>348.2106483</v>
      </c>
      <c r="AI479" s="3">
        <f>[1]Results!AL205</f>
        <v>370.18340369999999</v>
      </c>
      <c r="AJ479" s="3">
        <f>[1]Results!AM205</f>
        <v>395.05187740000002</v>
      </c>
      <c r="AK479" s="3">
        <f>[1]Results!AN205</f>
        <v>423.38094230000002</v>
      </c>
      <c r="AL479" s="3">
        <f>[1]Results!AO205</f>
        <v>455.93164489999998</v>
      </c>
    </row>
    <row r="480" spans="1:38" x14ac:dyDescent="0.35">
      <c r="A480" t="s">
        <v>39</v>
      </c>
      <c r="B480" s="3" t="str">
        <f>[1]Results!E206</f>
        <v>YG_toe_ccoa_2</v>
      </c>
      <c r="C480" s="3">
        <f>[1]Results!F206</f>
        <v>2.3689359419999998</v>
      </c>
      <c r="D480" s="3">
        <f>[1]Results!G206</f>
        <v>2.3855640629999999</v>
      </c>
      <c r="E480" s="3">
        <f>[1]Results!H206</f>
        <v>2.4037502399999999</v>
      </c>
      <c r="F480" s="3">
        <f>[1]Results!I206</f>
        <v>2.4165889589999998</v>
      </c>
      <c r="G480" s="3">
        <f>[1]Results!J206</f>
        <v>2.4446119020000001</v>
      </c>
      <c r="H480" s="3">
        <f>[1]Results!K206</f>
        <v>2.484923422</v>
      </c>
      <c r="I480" s="3">
        <f>[1]Results!L206</f>
        <v>2.529940769</v>
      </c>
      <c r="J480" s="3">
        <f>[1]Results!M206</f>
        <v>2.4748079239999998</v>
      </c>
      <c r="K480" s="3">
        <f>[1]Results!N206</f>
        <v>2.4047080420000002</v>
      </c>
      <c r="L480" s="3">
        <f>[1]Results!O206</f>
        <v>2.347587329</v>
      </c>
      <c r="M480" s="3">
        <f>[1]Results!P206</f>
        <v>2.2930269509999999</v>
      </c>
      <c r="N480" s="3">
        <f>[1]Results!Q206</f>
        <v>2.2443445789999998</v>
      </c>
      <c r="O480" s="3">
        <f>[1]Results!R206</f>
        <v>2.1985683210000002</v>
      </c>
      <c r="P480" s="3">
        <f>[1]Results!S206</f>
        <v>2.155427934</v>
      </c>
      <c r="Q480" s="3">
        <f>[1]Results!T206</f>
        <v>2.11601558</v>
      </c>
      <c r="R480" s="3">
        <f>[1]Results!U206</f>
        <v>2.080642375</v>
      </c>
      <c r="S480" s="3">
        <f>[1]Results!V206</f>
        <v>2.0435526789999998</v>
      </c>
      <c r="T480" s="3">
        <f>[1]Results!W206</f>
        <v>2.007936258</v>
      </c>
      <c r="U480" s="3">
        <f>[1]Results!X206</f>
        <v>1.975395781</v>
      </c>
      <c r="V480" s="3">
        <f>[1]Results!Y206</f>
        <v>1.9465251770000001</v>
      </c>
      <c r="W480" s="3">
        <f>[1]Results!Z206</f>
        <v>1.921517645</v>
      </c>
      <c r="X480" s="3">
        <f>[1]Results!AA206</f>
        <v>1.900549262</v>
      </c>
      <c r="Y480" s="3">
        <f>[1]Results!AB206</f>
        <v>1.883857482</v>
      </c>
      <c r="Z480" s="3">
        <f>[1]Results!AC206</f>
        <v>1.8714283270000001</v>
      </c>
      <c r="AA480" s="3">
        <f>[1]Results!AD206</f>
        <v>1.863015549</v>
      </c>
      <c r="AB480" s="3">
        <f>[1]Results!AE206</f>
        <v>1.858282668</v>
      </c>
      <c r="AC480" s="3">
        <f>[1]Results!AF206</f>
        <v>1.8577813219999999</v>
      </c>
      <c r="AD480" s="3">
        <f>[1]Results!AG206</f>
        <v>1.8617251859999999</v>
      </c>
      <c r="AE480" s="3">
        <f>[1]Results!AH206</f>
        <v>1.8701937280000001</v>
      </c>
      <c r="AF480" s="3">
        <f>[1]Results!AI206</f>
        <v>1.882733634</v>
      </c>
      <c r="AG480" s="3">
        <f>[1]Results!AJ206</f>
        <v>1.8988022229999999</v>
      </c>
      <c r="AH480" s="3">
        <f>[1]Results!AK206</f>
        <v>1.9182906019999999</v>
      </c>
      <c r="AI480" s="3">
        <f>[1]Results!AL206</f>
        <v>1.9415660340000001</v>
      </c>
      <c r="AJ480" s="3">
        <f>[1]Results!AM206</f>
        <v>1.9692733549999999</v>
      </c>
      <c r="AK480" s="3">
        <f>[1]Results!AN206</f>
        <v>2.0024513759999998</v>
      </c>
      <c r="AL480" s="3">
        <f>[1]Results!AO206</f>
        <v>2.0428739990000002</v>
      </c>
    </row>
    <row r="481" spans="1:38" x14ac:dyDescent="0.35">
      <c r="B481" s="3" t="s">
        <v>74</v>
      </c>
      <c r="C481" s="3">
        <f>SUM(C482:C484)</f>
        <v>51.304317173000001</v>
      </c>
      <c r="D481" s="3">
        <f t="shared" ref="D481:AL481" si="104">SUM(D482:D484)</f>
        <v>51.634878225000001</v>
      </c>
      <c r="E481" s="3">
        <f t="shared" si="104"/>
        <v>51.969814706999998</v>
      </c>
      <c r="F481" s="3">
        <f t="shared" si="104"/>
        <v>52.35958162</v>
      </c>
      <c r="G481" s="3">
        <f t="shared" si="104"/>
        <v>52.897913139000003</v>
      </c>
      <c r="H481" s="3">
        <f t="shared" si="104"/>
        <v>53.568557124000002</v>
      </c>
      <c r="I481" s="3">
        <f t="shared" si="104"/>
        <v>54.315448148999998</v>
      </c>
      <c r="J481" s="3">
        <f t="shared" si="104"/>
        <v>54.952906326000004</v>
      </c>
      <c r="K481" s="3">
        <f t="shared" si="104"/>
        <v>55.608594065000005</v>
      </c>
      <c r="L481" s="3">
        <f t="shared" si="104"/>
        <v>56.394936547</v>
      </c>
      <c r="M481" s="3">
        <f t="shared" si="104"/>
        <v>57.231223843999999</v>
      </c>
      <c r="N481" s="3">
        <f t="shared" si="104"/>
        <v>58.073802381999997</v>
      </c>
      <c r="O481" s="3">
        <f t="shared" si="104"/>
        <v>58.909594319</v>
      </c>
      <c r="P481" s="3">
        <f t="shared" si="104"/>
        <v>59.741187111999999</v>
      </c>
      <c r="Q481" s="3">
        <f t="shared" si="104"/>
        <v>60.582063589000001</v>
      </c>
      <c r="R481" s="3">
        <f t="shared" si="104"/>
        <v>61.441430918000002</v>
      </c>
      <c r="S481" s="3">
        <f t="shared" si="104"/>
        <v>62.304922472000001</v>
      </c>
      <c r="T481" s="3">
        <f t="shared" si="104"/>
        <v>63.197571973000002</v>
      </c>
      <c r="U481" s="3">
        <f t="shared" si="104"/>
        <v>64.139631169999987</v>
      </c>
      <c r="V481" s="3">
        <f t="shared" si="104"/>
        <v>65.145237445999996</v>
      </c>
      <c r="W481" s="3">
        <f t="shared" si="104"/>
        <v>66.218940382</v>
      </c>
      <c r="X481" s="3">
        <f t="shared" si="104"/>
        <v>67.381866060999997</v>
      </c>
      <c r="Y481" s="3">
        <f t="shared" si="104"/>
        <v>68.646433656499994</v>
      </c>
      <c r="Z481" s="3">
        <f t="shared" si="104"/>
        <v>70.022939684199997</v>
      </c>
      <c r="AA481" s="3">
        <f t="shared" si="104"/>
        <v>71.519117452900005</v>
      </c>
      <c r="AB481" s="3">
        <f t="shared" si="104"/>
        <v>73.122036329499991</v>
      </c>
      <c r="AC481" s="3">
        <f t="shared" si="104"/>
        <v>74.862470190100012</v>
      </c>
      <c r="AD481" s="3">
        <f t="shared" si="104"/>
        <v>76.759449518899999</v>
      </c>
      <c r="AE481" s="3">
        <f t="shared" si="104"/>
        <v>78.82849709300001</v>
      </c>
      <c r="AF481" s="3">
        <f t="shared" si="104"/>
        <v>81.077620056900003</v>
      </c>
      <c r="AG481" s="3">
        <f t="shared" si="104"/>
        <v>83.511647843199995</v>
      </c>
      <c r="AH481" s="3">
        <f t="shared" si="104"/>
        <v>86.140132391800009</v>
      </c>
      <c r="AI481" s="3">
        <f t="shared" si="104"/>
        <v>88.980166545000003</v>
      </c>
      <c r="AJ481" s="3">
        <f t="shared" si="104"/>
        <v>92.055371307000001</v>
      </c>
      <c r="AK481" s="3">
        <f t="shared" si="104"/>
        <v>95.400570914200003</v>
      </c>
      <c r="AL481" s="3">
        <f t="shared" si="104"/>
        <v>99.070234979999995</v>
      </c>
    </row>
    <row r="482" spans="1:38" x14ac:dyDescent="0.35">
      <c r="B482" s="3" t="str">
        <f>[1]Results!E209</f>
        <v>YG_toe_ccoi_2</v>
      </c>
      <c r="C482" s="3">
        <f>[1]Results!F209</f>
        <v>1.0946754059999999</v>
      </c>
      <c r="D482" s="3">
        <f>[1]Results!G209</f>
        <v>1.1050674069999999</v>
      </c>
      <c r="E482" s="3">
        <f>[1]Results!H209</f>
        <v>1.115693635</v>
      </c>
      <c r="F482" s="3">
        <f>[1]Results!I209</f>
        <v>1.127378923</v>
      </c>
      <c r="G482" s="3">
        <f>[1]Results!J209</f>
        <v>1.1418979680000001</v>
      </c>
      <c r="H482" s="3">
        <f>[1]Results!K209</f>
        <v>1.159242806</v>
      </c>
      <c r="I482" s="3">
        <f>[1]Results!L209</f>
        <v>1.178159183</v>
      </c>
      <c r="J482" s="3">
        <f>[1]Results!M209</f>
        <v>1.1724732760000001</v>
      </c>
      <c r="K482" s="3">
        <f>[1]Results!N209</f>
        <v>1.163809163</v>
      </c>
      <c r="L482" s="3">
        <f>[1]Results!O209</f>
        <v>1.1588943039999999</v>
      </c>
      <c r="M482" s="3">
        <f>[1]Results!P209</f>
        <v>1.1540212679999999</v>
      </c>
      <c r="N482" s="3">
        <f>[1]Results!Q209</f>
        <v>1.146412934</v>
      </c>
      <c r="O482" s="3">
        <f>[1]Results!R209</f>
        <v>1.1361086840000001</v>
      </c>
      <c r="P482" s="3">
        <f>[1]Results!S209</f>
        <v>1.123758153</v>
      </c>
      <c r="Q482" s="3">
        <f>[1]Results!T209</f>
        <v>1.1102410149999999</v>
      </c>
      <c r="R482" s="3">
        <f>[1]Results!U209</f>
        <v>1.0960526390000001</v>
      </c>
      <c r="S482" s="3">
        <f>[1]Results!V209</f>
        <v>1.080261167</v>
      </c>
      <c r="T482" s="3">
        <f>[1]Results!W209</f>
        <v>1.064132453</v>
      </c>
      <c r="U482" s="3">
        <f>[1]Results!X209</f>
        <v>1.048070485</v>
      </c>
      <c r="V482" s="3">
        <f>[1]Results!Y209</f>
        <v>1.032206146</v>
      </c>
      <c r="W482" s="3">
        <f>[1]Results!Z209</f>
        <v>1.0165042369999999</v>
      </c>
      <c r="X482" s="3">
        <f>[1]Results!AA209</f>
        <v>1.001113487</v>
      </c>
      <c r="Y482" s="3">
        <f>[1]Results!AB209</f>
        <v>0.98609455950000002</v>
      </c>
      <c r="Z482" s="3">
        <f>[1]Results!AC209</f>
        <v>0.97140231320000003</v>
      </c>
      <c r="AA482" s="3">
        <f>[1]Results!AD209</f>
        <v>0.95688909489999996</v>
      </c>
      <c r="AB482" s="3">
        <f>[1]Results!AE209</f>
        <v>0.94217371650000004</v>
      </c>
      <c r="AC482" s="3">
        <f>[1]Results!AF209</f>
        <v>0.92779346009999997</v>
      </c>
      <c r="AD482" s="3">
        <f>[1]Results!AG209</f>
        <v>0.91346761089999995</v>
      </c>
      <c r="AE482" s="3">
        <f>[1]Results!AH209</f>
        <v>0.89904002900000002</v>
      </c>
      <c r="AF482" s="3">
        <f>[1]Results!AI209</f>
        <v>0.88413008689999995</v>
      </c>
      <c r="AG482" s="3">
        <f>[1]Results!AJ209</f>
        <v>0.86824731320000004</v>
      </c>
      <c r="AH482" s="3">
        <f>[1]Results!AK209</f>
        <v>0.85096310180000001</v>
      </c>
      <c r="AI482" s="3">
        <f>[1]Results!AL209</f>
        <v>0.83192416499999999</v>
      </c>
      <c r="AJ482" s="3">
        <f>[1]Results!AM209</f>
        <v>0.81077170200000004</v>
      </c>
      <c r="AK482" s="3">
        <f>[1]Results!AN209</f>
        <v>0.78711699619999997</v>
      </c>
      <c r="AL482" s="3">
        <f>[1]Results!AO209</f>
        <v>0.7605219137</v>
      </c>
    </row>
    <row r="483" spans="1:38" x14ac:dyDescent="0.35">
      <c r="B483" s="3" t="str">
        <f>[1]Results!E212</f>
        <v>YG_toe_cfut_2</v>
      </c>
      <c r="C483" s="3">
        <f>[1]Results!F212</f>
        <v>42.288296580000001</v>
      </c>
      <c r="D483" s="3">
        <f>[1]Results!G212</f>
        <v>42.54865933</v>
      </c>
      <c r="E483" s="3">
        <f>[1]Results!H212</f>
        <v>42.810732649999999</v>
      </c>
      <c r="F483" s="3">
        <f>[1]Results!I212</f>
        <v>43.126445740000001</v>
      </c>
      <c r="G483" s="3">
        <f>[1]Results!J212</f>
        <v>43.566980770000001</v>
      </c>
      <c r="H483" s="3">
        <f>[1]Results!K212</f>
        <v>44.120174730000002</v>
      </c>
      <c r="I483" s="3">
        <f>[1]Results!L212</f>
        <v>44.745495519999999</v>
      </c>
      <c r="J483" s="3">
        <f>[1]Results!M212</f>
        <v>45.653468930000003</v>
      </c>
      <c r="K483" s="3">
        <f>[1]Results!N212</f>
        <v>46.595935310000002</v>
      </c>
      <c r="L483" s="3">
        <f>[1]Results!O212</f>
        <v>47.646002320000001</v>
      </c>
      <c r="M483" s="3">
        <f>[1]Results!P212</f>
        <v>48.738561679999997</v>
      </c>
      <c r="N483" s="3">
        <f>[1]Results!Q212</f>
        <v>49.83823108</v>
      </c>
      <c r="O483" s="3">
        <f>[1]Results!R212</f>
        <v>50.936084389999998</v>
      </c>
      <c r="P483" s="3">
        <f>[1]Results!S212</f>
        <v>52.034513330000003</v>
      </c>
      <c r="Q483" s="3">
        <f>[1]Results!T212</f>
        <v>53.14451287</v>
      </c>
      <c r="R483" s="3">
        <f>[1]Results!U212</f>
        <v>54.273820260000001</v>
      </c>
      <c r="S483" s="3">
        <f>[1]Results!V212</f>
        <v>55.408992189999999</v>
      </c>
      <c r="T483" s="3">
        <f>[1]Results!W212</f>
        <v>56.571383240000003</v>
      </c>
      <c r="U483" s="3">
        <f>[1]Results!X212</f>
        <v>57.780071139999997</v>
      </c>
      <c r="V483" s="3">
        <f>[1]Results!Y212</f>
        <v>59.049331680000002</v>
      </c>
      <c r="W483" s="3">
        <f>[1]Results!Z212</f>
        <v>60.385466209999997</v>
      </c>
      <c r="X483" s="3">
        <f>[1]Results!AA212</f>
        <v>61.808267549999997</v>
      </c>
      <c r="Y483" s="3">
        <f>[1]Results!AB212</f>
        <v>63.331085190000003</v>
      </c>
      <c r="Z483" s="3">
        <f>[1]Results!AC212</f>
        <v>64.965548130000002</v>
      </c>
      <c r="AA483" s="3">
        <f>[1]Results!AD212</f>
        <v>66.720959339999993</v>
      </c>
      <c r="AB483" s="3">
        <f>[1]Results!AE212</f>
        <v>68.588491959999999</v>
      </c>
      <c r="AC483" s="3">
        <f>[1]Results!AF212</f>
        <v>70.596914060000003</v>
      </c>
      <c r="AD483" s="3">
        <f>[1]Results!AG212</f>
        <v>72.766762400000005</v>
      </c>
      <c r="AE483" s="3">
        <f>[1]Results!AH212</f>
        <v>75.115225870000003</v>
      </c>
      <c r="AF483" s="3">
        <f>[1]Results!AI212</f>
        <v>77.652695640000005</v>
      </c>
      <c r="AG483" s="3">
        <f>[1]Results!AJ212</f>
        <v>80.38664867</v>
      </c>
      <c r="AH483" s="3">
        <f>[1]Results!AK212</f>
        <v>83.329091320000003</v>
      </c>
      <c r="AI483" s="3">
        <f>[1]Results!AL212</f>
        <v>86.499375029999996</v>
      </c>
      <c r="AJ483" s="3">
        <f>[1]Results!AM212</f>
        <v>89.923408600000002</v>
      </c>
      <c r="AK483" s="3">
        <f>[1]Results!AN212</f>
        <v>93.638483030000003</v>
      </c>
      <c r="AL483" s="3">
        <f>[1]Results!AO212</f>
        <v>97.701892279999996</v>
      </c>
    </row>
    <row r="484" spans="1:38" x14ac:dyDescent="0.35">
      <c r="B484" s="3" t="str">
        <f>[1]Results!E215</f>
        <v>YG_toe_cfuh_2</v>
      </c>
      <c r="C484" s="3">
        <f>[1]Results!F215</f>
        <v>7.921345187</v>
      </c>
      <c r="D484" s="3">
        <f>[1]Results!G215</f>
        <v>7.9811514880000001</v>
      </c>
      <c r="E484" s="3">
        <f>[1]Results!H215</f>
        <v>8.0433884219999996</v>
      </c>
      <c r="F484" s="3">
        <f>[1]Results!I215</f>
        <v>8.1057569570000005</v>
      </c>
      <c r="G484" s="3">
        <f>[1]Results!J215</f>
        <v>8.1890344010000007</v>
      </c>
      <c r="H484" s="3">
        <f>[1]Results!K215</f>
        <v>8.2891395879999994</v>
      </c>
      <c r="I484" s="3">
        <f>[1]Results!L215</f>
        <v>8.3917934459999994</v>
      </c>
      <c r="J484" s="3">
        <f>[1]Results!M215</f>
        <v>8.1269641200000002</v>
      </c>
      <c r="K484" s="3">
        <f>[1]Results!N215</f>
        <v>7.8488495919999997</v>
      </c>
      <c r="L484" s="3">
        <f>[1]Results!O215</f>
        <v>7.590039923</v>
      </c>
      <c r="M484" s="3">
        <f>[1]Results!P215</f>
        <v>7.3386408960000002</v>
      </c>
      <c r="N484" s="3">
        <f>[1]Results!Q215</f>
        <v>7.0891583679999997</v>
      </c>
      <c r="O484" s="3">
        <f>[1]Results!R215</f>
        <v>6.8374012449999997</v>
      </c>
      <c r="P484" s="3">
        <f>[1]Results!S215</f>
        <v>6.5829156290000004</v>
      </c>
      <c r="Q484" s="3">
        <f>[1]Results!T215</f>
        <v>6.3273097040000001</v>
      </c>
      <c r="R484" s="3">
        <f>[1]Results!U215</f>
        <v>6.0715580190000003</v>
      </c>
      <c r="S484" s="3">
        <f>[1]Results!V215</f>
        <v>5.8156691150000004</v>
      </c>
      <c r="T484" s="3">
        <f>[1]Results!W215</f>
        <v>5.5620562800000002</v>
      </c>
      <c r="U484" s="3">
        <f>[1]Results!X215</f>
        <v>5.3114895449999997</v>
      </c>
      <c r="V484" s="3">
        <f>[1]Results!Y215</f>
        <v>5.0636996200000004</v>
      </c>
      <c r="W484" s="3">
        <f>[1]Results!Z215</f>
        <v>4.8169699350000004</v>
      </c>
      <c r="X484" s="3">
        <f>[1]Results!AA215</f>
        <v>4.5724850239999997</v>
      </c>
      <c r="Y484" s="3">
        <f>[1]Results!AB215</f>
        <v>4.329253907</v>
      </c>
      <c r="Z484" s="3">
        <f>[1]Results!AC215</f>
        <v>4.085989241</v>
      </c>
      <c r="AA484" s="3">
        <f>[1]Results!AD215</f>
        <v>3.8412690180000002</v>
      </c>
      <c r="AB484" s="3">
        <f>[1]Results!AE215</f>
        <v>3.5913706529999998</v>
      </c>
      <c r="AC484" s="3">
        <f>[1]Results!AF215</f>
        <v>3.33776267</v>
      </c>
      <c r="AD484" s="3">
        <f>[1]Results!AG215</f>
        <v>3.079219508</v>
      </c>
      <c r="AE484" s="3">
        <f>[1]Results!AH215</f>
        <v>2.814231194</v>
      </c>
      <c r="AF484" s="3">
        <f>[1]Results!AI215</f>
        <v>2.5407943300000002</v>
      </c>
      <c r="AG484" s="3">
        <f>[1]Results!AJ215</f>
        <v>2.2567518600000001</v>
      </c>
      <c r="AH484" s="3">
        <f>[1]Results!AK215</f>
        <v>1.9600779699999999</v>
      </c>
      <c r="AI484" s="3">
        <f>[1]Results!AL215</f>
        <v>1.64886735</v>
      </c>
      <c r="AJ484" s="3">
        <f>[1]Results!AM215</f>
        <v>1.321191005</v>
      </c>
      <c r="AK484" s="3">
        <f>[1]Results!AN215</f>
        <v>0.97497088799999998</v>
      </c>
      <c r="AL484" s="3">
        <f>[1]Results!AO215</f>
        <v>0.60782078630000003</v>
      </c>
    </row>
    <row r="485" spans="1:38" x14ac:dyDescent="0.35">
      <c r="B485" s="3" t="str">
        <f>[1]Results!E217</f>
        <v>YG_toe_cgas_2</v>
      </c>
      <c r="C485" s="3">
        <f>[1]Results!F217</f>
        <v>6.6386592799999997</v>
      </c>
      <c r="D485" s="3">
        <f>[1]Results!G217</f>
        <v>6.5227854140000003</v>
      </c>
      <c r="E485" s="3">
        <f>[1]Results!H217</f>
        <v>6.4213881370000001</v>
      </c>
      <c r="F485" s="3">
        <f>[1]Results!I217</f>
        <v>6.3202532060000003</v>
      </c>
      <c r="G485" s="3">
        <f>[1]Results!J217</f>
        <v>6.2588779150000002</v>
      </c>
      <c r="H485" s="3">
        <f>[1]Results!K217</f>
        <v>6.2034837109999996</v>
      </c>
      <c r="I485" s="3">
        <f>[1]Results!L217</f>
        <v>6.1262466409999998</v>
      </c>
      <c r="J485" s="3">
        <f>[1]Results!M217</f>
        <v>5.9181607300000003</v>
      </c>
      <c r="K485" s="3">
        <f>[1]Results!N217</f>
        <v>5.7892196719999998</v>
      </c>
      <c r="L485" s="3">
        <f>[1]Results!O217</f>
        <v>5.6783459660000002</v>
      </c>
      <c r="M485" s="3">
        <f>[1]Results!P217</f>
        <v>5.6045656490000004</v>
      </c>
      <c r="N485" s="3">
        <f>[1]Results!Q217</f>
        <v>5.5897221000000004</v>
      </c>
      <c r="O485" s="3">
        <f>[1]Results!R217</f>
        <v>5.6029806520000003</v>
      </c>
      <c r="P485" s="3">
        <f>[1]Results!S217</f>
        <v>5.6263334570000003</v>
      </c>
      <c r="Q485" s="3">
        <f>[1]Results!T217</f>
        <v>5.647900098</v>
      </c>
      <c r="R485" s="3">
        <f>[1]Results!U217</f>
        <v>5.6622355640000004</v>
      </c>
      <c r="S485" s="3">
        <f>[1]Results!V217</f>
        <v>5.6662953890000001</v>
      </c>
      <c r="T485" s="3">
        <f>[1]Results!W217</f>
        <v>5.6572467309999999</v>
      </c>
      <c r="U485" s="3">
        <f>[1]Results!X217</f>
        <v>5.6333783200000003</v>
      </c>
      <c r="V485" s="3">
        <f>[1]Results!Y217</f>
        <v>5.5942658600000001</v>
      </c>
      <c r="W485" s="3">
        <f>[1]Results!Z217</f>
        <v>5.5389083230000002</v>
      </c>
      <c r="X485" s="3">
        <f>[1]Results!AA217</f>
        <v>5.4680122679999998</v>
      </c>
      <c r="Y485" s="3">
        <f>[1]Results!AB217</f>
        <v>5.3783878019999998</v>
      </c>
      <c r="Z485" s="3">
        <f>[1]Results!AC217</f>
        <v>5.2687018319999996</v>
      </c>
      <c r="AA485" s="3">
        <f>[1]Results!AD217</f>
        <v>5.138773756</v>
      </c>
      <c r="AB485" s="3">
        <f>[1]Results!AE217</f>
        <v>4.9866223950000004</v>
      </c>
      <c r="AC485" s="3">
        <f>[1]Results!AF217</f>
        <v>4.8135849019999997</v>
      </c>
      <c r="AD485" s="3">
        <f>[1]Results!AG217</f>
        <v>4.6167034769999997</v>
      </c>
      <c r="AE485" s="3">
        <f>[1]Results!AH217</f>
        <v>4.3945717589999997</v>
      </c>
      <c r="AF485" s="3">
        <f>[1]Results!AI217</f>
        <v>4.1476517550000001</v>
      </c>
      <c r="AG485" s="3">
        <f>[1]Results!AJ217</f>
        <v>3.8768283229999998</v>
      </c>
      <c r="AH485" s="3">
        <f>[1]Results!AK217</f>
        <v>3.581673908</v>
      </c>
      <c r="AI485" s="3">
        <f>[1]Results!AL217</f>
        <v>3.260307649</v>
      </c>
      <c r="AJ485" s="3">
        <f>[1]Results!AM217</f>
        <v>2.9101540199999998</v>
      </c>
      <c r="AK485" s="3">
        <f>[1]Results!AN217</f>
        <v>2.5275852300000001</v>
      </c>
      <c r="AL485" s="3">
        <f>[1]Results!AO217</f>
        <v>2.1073037000000001</v>
      </c>
    </row>
    <row r="486" spans="1:38" x14ac:dyDescent="0.35">
      <c r="B486" s="3" t="str">
        <f>[1]Results!E223</f>
        <v>YG_toe_cele_2</v>
      </c>
      <c r="C486" s="3">
        <f>[1]Results!F223</f>
        <v>57.5470325</v>
      </c>
      <c r="D486" s="3">
        <f>[1]Results!G223</f>
        <v>58.579871850000004</v>
      </c>
      <c r="E486" s="3">
        <f>[1]Results!H223</f>
        <v>59.61858118</v>
      </c>
      <c r="F486" s="3">
        <f>[1]Results!I223</f>
        <v>60.747890910000002</v>
      </c>
      <c r="G486" s="3">
        <f>[1]Results!J223</f>
        <v>61.825270539999998</v>
      </c>
      <c r="H486" s="3">
        <f>[1]Results!K223</f>
        <v>62.928380220000001</v>
      </c>
      <c r="I486" s="3">
        <f>[1]Results!L223</f>
        <v>64.089645149999996</v>
      </c>
      <c r="J486" s="3">
        <f>[1]Results!M223</f>
        <v>66.750840629999999</v>
      </c>
      <c r="K486" s="3">
        <f>[1]Results!N223</f>
        <v>69.662521470000002</v>
      </c>
      <c r="L486" s="3">
        <f>[1]Results!O223</f>
        <v>73.047892480000002</v>
      </c>
      <c r="M486" s="3">
        <f>[1]Results!P223</f>
        <v>76.514796579999995</v>
      </c>
      <c r="N486" s="3">
        <f>[1]Results!Q223</f>
        <v>79.575011790000005</v>
      </c>
      <c r="O486" s="3">
        <f>[1]Results!R223</f>
        <v>82.353640859999999</v>
      </c>
      <c r="P486" s="3">
        <f>[1]Results!S223</f>
        <v>84.987430540000005</v>
      </c>
      <c r="Q486" s="3">
        <f>[1]Results!T223</f>
        <v>87.615516850000006</v>
      </c>
      <c r="R486" s="3">
        <f>[1]Results!U223</f>
        <v>90.329806180000006</v>
      </c>
      <c r="S486" s="3">
        <f>[1]Results!V223</f>
        <v>93.136396590000004</v>
      </c>
      <c r="T486" s="3">
        <f>[1]Results!W223</f>
        <v>96.200484750000001</v>
      </c>
      <c r="U486" s="3">
        <f>[1]Results!X223</f>
        <v>99.571243199999998</v>
      </c>
      <c r="V486" s="3">
        <f>[1]Results!Y223</f>
        <v>103.29974489999999</v>
      </c>
      <c r="W486" s="3">
        <f>[1]Results!Z223</f>
        <v>107.4252717</v>
      </c>
      <c r="X486" s="3">
        <f>[1]Results!AA223</f>
        <v>112.0477824</v>
      </c>
      <c r="Y486" s="3">
        <f>[1]Results!AB223</f>
        <v>117.2469354</v>
      </c>
      <c r="Z486" s="3">
        <f>[1]Results!AC223</f>
        <v>123.09775209999999</v>
      </c>
      <c r="AA486" s="3">
        <f>[1]Results!AD223</f>
        <v>129.6748747</v>
      </c>
      <c r="AB486" s="3">
        <f>[1]Results!AE223</f>
        <v>136.99677740000001</v>
      </c>
      <c r="AC486" s="3">
        <f>[1]Results!AF223</f>
        <v>145.31100839999999</v>
      </c>
      <c r="AD486" s="3">
        <f>[1]Results!AG223</f>
        <v>154.75002599999999</v>
      </c>
      <c r="AE486" s="3">
        <f>[1]Results!AH223</f>
        <v>165.47620839999999</v>
      </c>
      <c r="AF486" s="3">
        <f>[1]Results!AI223</f>
        <v>177.64035659999999</v>
      </c>
      <c r="AG486" s="3">
        <f>[1]Results!AJ223</f>
        <v>191.41090249999999</v>
      </c>
      <c r="AH486" s="3">
        <f>[1]Results!AK223</f>
        <v>207.02367240000001</v>
      </c>
      <c r="AI486" s="3">
        <f>[1]Results!AL223</f>
        <v>224.8011486</v>
      </c>
      <c r="AJ486" s="3">
        <f>[1]Results!AM223</f>
        <v>245.1458562</v>
      </c>
      <c r="AK486" s="3">
        <f>[1]Results!AN223</f>
        <v>268.57890620000001</v>
      </c>
      <c r="AL486" s="3">
        <f>[1]Results!AO223</f>
        <v>295.79340860000002</v>
      </c>
    </row>
    <row r="487" spans="1:38" x14ac:dyDescent="0.35">
      <c r="B487" s="3" t="s">
        <v>75</v>
      </c>
      <c r="C487" s="3">
        <f>SUM(C488:C490)</f>
        <v>30.701881367999999</v>
      </c>
      <c r="D487" s="3">
        <f t="shared" ref="D487:AL487" si="105">SUM(D488:D490)</f>
        <v>31.108006570999997</v>
      </c>
      <c r="E487" s="3">
        <f t="shared" si="105"/>
        <v>31.544482437999999</v>
      </c>
      <c r="F487" s="3">
        <f t="shared" si="105"/>
        <v>31.991503766999998</v>
      </c>
      <c r="G487" s="3">
        <f t="shared" si="105"/>
        <v>32.509145297000003</v>
      </c>
      <c r="H487" s="3">
        <f t="shared" si="105"/>
        <v>33.089792856000003</v>
      </c>
      <c r="I487" s="3">
        <f t="shared" si="105"/>
        <v>33.705034484000002</v>
      </c>
      <c r="J487" s="3">
        <f t="shared" si="105"/>
        <v>34.066317122000001</v>
      </c>
      <c r="K487" s="3">
        <f t="shared" si="105"/>
        <v>34.398031399000004</v>
      </c>
      <c r="L487" s="3">
        <f t="shared" si="105"/>
        <v>34.937843375</v>
      </c>
      <c r="M487" s="3">
        <f t="shared" si="105"/>
        <v>35.475920708000004</v>
      </c>
      <c r="N487" s="3">
        <f t="shared" si="105"/>
        <v>35.88922204</v>
      </c>
      <c r="O487" s="3">
        <f t="shared" si="105"/>
        <v>36.210664809999997</v>
      </c>
      <c r="P487" s="3">
        <f t="shared" si="105"/>
        <v>36.482346176999997</v>
      </c>
      <c r="Q487" s="3">
        <f t="shared" si="105"/>
        <v>36.751093812999997</v>
      </c>
      <c r="R487" s="3">
        <f t="shared" si="105"/>
        <v>37.040517656999995</v>
      </c>
      <c r="S487" s="3">
        <f t="shared" si="105"/>
        <v>37.264301743000004</v>
      </c>
      <c r="T487" s="3">
        <f t="shared" si="105"/>
        <v>37.520934648999997</v>
      </c>
      <c r="U487" s="3">
        <f t="shared" si="105"/>
        <v>37.827222628000001</v>
      </c>
      <c r="V487" s="3">
        <f t="shared" si="105"/>
        <v>38.192265395</v>
      </c>
      <c r="W487" s="3">
        <f t="shared" si="105"/>
        <v>38.613884915</v>
      </c>
      <c r="X487" s="3">
        <f t="shared" si="105"/>
        <v>39.114604978000003</v>
      </c>
      <c r="Y487" s="3">
        <f t="shared" si="105"/>
        <v>39.701390455999999</v>
      </c>
      <c r="Z487" s="3">
        <f t="shared" si="105"/>
        <v>40.378474499999996</v>
      </c>
      <c r="AA487" s="3">
        <f t="shared" si="105"/>
        <v>41.146556271999998</v>
      </c>
      <c r="AB487" s="3">
        <f t="shared" si="105"/>
        <v>41.979756445</v>
      </c>
      <c r="AC487" s="3">
        <f t="shared" si="105"/>
        <v>42.945985356999998</v>
      </c>
      <c r="AD487" s="3">
        <f t="shared" si="105"/>
        <v>44.030662551999995</v>
      </c>
      <c r="AE487" s="3">
        <f t="shared" si="105"/>
        <v>45.239731931000001</v>
      </c>
      <c r="AF487" s="3">
        <f t="shared" si="105"/>
        <v>46.567195205000004</v>
      </c>
      <c r="AG487" s="3">
        <f t="shared" si="105"/>
        <v>48.003832259000006</v>
      </c>
      <c r="AH487" s="3">
        <f t="shared" si="105"/>
        <v>49.546879069999996</v>
      </c>
      <c r="AI487" s="3">
        <f t="shared" si="105"/>
        <v>51.200214782000003</v>
      </c>
      <c r="AJ487" s="3">
        <f t="shared" si="105"/>
        <v>52.971222573999995</v>
      </c>
      <c r="AK487" s="3">
        <f t="shared" si="105"/>
        <v>54.871428576</v>
      </c>
      <c r="AL487" s="3">
        <f t="shared" si="105"/>
        <v>56.917823630000001</v>
      </c>
    </row>
    <row r="488" spans="1:38" x14ac:dyDescent="0.35">
      <c r="B488" s="3" t="str">
        <f>[1]Results!E233</f>
        <v>YG_toe_chea_2</v>
      </c>
      <c r="C488" s="3">
        <f>[1]Results!F233</f>
        <v>5.7001631780000004</v>
      </c>
      <c r="D488" s="3">
        <f>[1]Results!G233</f>
        <v>5.7648837410000002</v>
      </c>
      <c r="E488" s="3">
        <f>[1]Results!H233</f>
        <v>5.8307450080000001</v>
      </c>
      <c r="F488" s="3">
        <f>[1]Results!I233</f>
        <v>5.8943501969999996</v>
      </c>
      <c r="G488" s="3">
        <f>[1]Results!J233</f>
        <v>5.9615710670000004</v>
      </c>
      <c r="H488" s="3">
        <f>[1]Results!K233</f>
        <v>6.0396302559999997</v>
      </c>
      <c r="I488" s="3">
        <f>[1]Results!L233</f>
        <v>6.1147977439999996</v>
      </c>
      <c r="J488" s="3">
        <f>[1]Results!M233</f>
        <v>6.1522181920000003</v>
      </c>
      <c r="K488" s="3">
        <f>[1]Results!N233</f>
        <v>6.151481779</v>
      </c>
      <c r="L488" s="3">
        <f>[1]Results!O233</f>
        <v>6.1479906250000003</v>
      </c>
      <c r="M488" s="3">
        <f>[1]Results!P233</f>
        <v>6.1470882480000002</v>
      </c>
      <c r="N488" s="3">
        <f>[1]Results!Q233</f>
        <v>6.1381217000000001</v>
      </c>
      <c r="O488" s="3">
        <f>[1]Results!R233</f>
        <v>6.1326687099999999</v>
      </c>
      <c r="P488" s="3">
        <f>[1]Results!S233</f>
        <v>6.1334877670000001</v>
      </c>
      <c r="Q488" s="3">
        <f>[1]Results!T233</f>
        <v>6.1412118830000004</v>
      </c>
      <c r="R488" s="3">
        <f>[1]Results!U233</f>
        <v>6.1552046169999999</v>
      </c>
      <c r="S488" s="3">
        <f>[1]Results!V233</f>
        <v>6.1778336429999996</v>
      </c>
      <c r="T488" s="3">
        <f>[1]Results!W233</f>
        <v>6.2063148989999997</v>
      </c>
      <c r="U488" s="3">
        <f>[1]Results!X233</f>
        <v>6.2405416679999997</v>
      </c>
      <c r="V488" s="3">
        <f>[1]Results!Y233</f>
        <v>6.2812701049999999</v>
      </c>
      <c r="W488" s="3">
        <f>[1]Results!Z233</f>
        <v>6.3251370749999998</v>
      </c>
      <c r="X488" s="3">
        <f>[1]Results!AA233</f>
        <v>6.380404178</v>
      </c>
      <c r="Y488" s="3">
        <f>[1]Results!AB233</f>
        <v>6.4468226959999999</v>
      </c>
      <c r="Z488" s="3">
        <f>[1]Results!AC233</f>
        <v>6.5246330700000001</v>
      </c>
      <c r="AA488" s="3">
        <f>[1]Results!AD233</f>
        <v>6.6141288520000003</v>
      </c>
      <c r="AB488" s="3">
        <f>[1]Results!AE233</f>
        <v>6.7033517549999999</v>
      </c>
      <c r="AC488" s="3">
        <f>[1]Results!AF233</f>
        <v>6.8071912770000003</v>
      </c>
      <c r="AD488" s="3">
        <f>[1]Results!AG233</f>
        <v>6.9262463519999997</v>
      </c>
      <c r="AE488" s="3">
        <f>[1]Results!AH233</f>
        <v>7.0608562109999999</v>
      </c>
      <c r="AF488" s="3">
        <f>[1]Results!AI233</f>
        <v>7.2105776549999998</v>
      </c>
      <c r="AG488" s="3">
        <f>[1]Results!AJ233</f>
        <v>7.3747403790000003</v>
      </c>
      <c r="AH488" s="3">
        <f>[1]Results!AK233</f>
        <v>7.5530321799999998</v>
      </c>
      <c r="AI488" s="3">
        <f>[1]Results!AL233</f>
        <v>7.7452374019999999</v>
      </c>
      <c r="AJ488" s="3">
        <f>[1]Results!AM233</f>
        <v>7.951645504</v>
      </c>
      <c r="AK488" s="3">
        <f>[1]Results!AN233</f>
        <v>8.1730073959999991</v>
      </c>
      <c r="AL488" s="3">
        <f>[1]Results!AO233</f>
        <v>8.4106647999999993</v>
      </c>
    </row>
    <row r="489" spans="1:38" x14ac:dyDescent="0.35">
      <c r="B489" s="3" t="str">
        <f>[1]Results!E235</f>
        <v>YG_toe_cbio_2</v>
      </c>
      <c r="C489" s="3">
        <f>[1]Results!F235</f>
        <v>11.16413483</v>
      </c>
      <c r="D489" s="3">
        <f>[1]Results!G235</f>
        <v>11.17232259</v>
      </c>
      <c r="E489" s="3">
        <f>[1]Results!H235</f>
        <v>11.187110179999999</v>
      </c>
      <c r="F489" s="3">
        <f>[1]Results!I235</f>
        <v>11.20148272</v>
      </c>
      <c r="G489" s="3">
        <f>[1]Results!J235</f>
        <v>11.25614294</v>
      </c>
      <c r="H489" s="3">
        <f>[1]Results!K235</f>
        <v>11.33480389</v>
      </c>
      <c r="I489" s="3">
        <f>[1]Results!L235</f>
        <v>11.427494190000001</v>
      </c>
      <c r="J489" s="3">
        <f>[1]Results!M235</f>
        <v>11.41159779</v>
      </c>
      <c r="K489" s="3">
        <f>[1]Results!N235</f>
        <v>11.41629798</v>
      </c>
      <c r="L489" s="3">
        <f>[1]Results!O235</f>
        <v>11.4666871</v>
      </c>
      <c r="M489" s="3">
        <f>[1]Results!P235</f>
        <v>11.540218940000001</v>
      </c>
      <c r="N489" s="3">
        <f>[1]Results!Q235</f>
        <v>11.627434360000001</v>
      </c>
      <c r="O489" s="3">
        <f>[1]Results!R235</f>
        <v>11.712511940000001</v>
      </c>
      <c r="P489" s="3">
        <f>[1]Results!S235</f>
        <v>11.793644970000001</v>
      </c>
      <c r="Q489" s="3">
        <f>[1]Results!T235</f>
        <v>11.874929359999999</v>
      </c>
      <c r="R489" s="3">
        <f>[1]Results!U235</f>
        <v>11.95996487</v>
      </c>
      <c r="S489" s="3">
        <f>[1]Results!V235</f>
        <v>12.03062225</v>
      </c>
      <c r="T489" s="3">
        <f>[1]Results!W235</f>
        <v>12.106796409999999</v>
      </c>
      <c r="U489" s="3">
        <f>[1]Results!X235</f>
        <v>12.195803590000001</v>
      </c>
      <c r="V489" s="3">
        <f>[1]Results!Y235</f>
        <v>12.301983359999999</v>
      </c>
      <c r="W489" s="3">
        <f>[1]Results!Z235</f>
        <v>12.42467987</v>
      </c>
      <c r="X489" s="3">
        <f>[1]Results!AA235</f>
        <v>12.572955869999999</v>
      </c>
      <c r="Y489" s="3">
        <f>[1]Results!AB235</f>
        <v>12.74922675</v>
      </c>
      <c r="Z489" s="3">
        <f>[1]Results!AC235</f>
        <v>12.95564212</v>
      </c>
      <c r="AA489" s="3">
        <f>[1]Results!AD235</f>
        <v>13.19421305</v>
      </c>
      <c r="AB489" s="3">
        <f>[1]Results!AE235</f>
        <v>13.45608769</v>
      </c>
      <c r="AC489" s="3">
        <f>[1]Results!AF235</f>
        <v>13.75976535</v>
      </c>
      <c r="AD489" s="3">
        <f>[1]Results!AG235</f>
        <v>14.108276549999999</v>
      </c>
      <c r="AE489" s="3">
        <f>[1]Results!AH235</f>
        <v>14.505945499999999</v>
      </c>
      <c r="AF489" s="3">
        <f>[1]Results!AI235</f>
        <v>14.955727850000001</v>
      </c>
      <c r="AG489" s="3">
        <f>[1]Results!AJ235</f>
        <v>15.4605289</v>
      </c>
      <c r="AH489" s="3">
        <f>[1]Results!AK235</f>
        <v>16.025194679999998</v>
      </c>
      <c r="AI489" s="3">
        <f>[1]Results!AL235</f>
        <v>16.657061250000002</v>
      </c>
      <c r="AJ489" s="3">
        <f>[1]Results!AM235</f>
        <v>17.365741329999999</v>
      </c>
      <c r="AK489" s="3">
        <f>[1]Results!AN235</f>
        <v>18.16397138</v>
      </c>
      <c r="AL489" s="3">
        <f>[1]Results!AO235</f>
        <v>19.06860146</v>
      </c>
    </row>
    <row r="490" spans="1:38" x14ac:dyDescent="0.35">
      <c r="B490" s="3" t="str">
        <f>[1]Results!E238</f>
        <v>YG_toe_cote_2</v>
      </c>
      <c r="C490" s="3">
        <f>[1]Results!F238</f>
        <v>13.83758336</v>
      </c>
      <c r="D490" s="3">
        <f>[1]Results!G238</f>
        <v>14.17080024</v>
      </c>
      <c r="E490" s="3">
        <f>[1]Results!H238</f>
        <v>14.526627250000001</v>
      </c>
      <c r="F490" s="3">
        <f>[1]Results!I238</f>
        <v>14.89567085</v>
      </c>
      <c r="G490" s="3">
        <f>[1]Results!J238</f>
        <v>15.29143129</v>
      </c>
      <c r="H490" s="3">
        <f>[1]Results!K238</f>
        <v>15.71535871</v>
      </c>
      <c r="I490" s="3">
        <f>[1]Results!L238</f>
        <v>16.162742550000001</v>
      </c>
      <c r="J490" s="3">
        <f>[1]Results!M238</f>
        <v>16.50250114</v>
      </c>
      <c r="K490" s="3">
        <f>[1]Results!N238</f>
        <v>16.83025164</v>
      </c>
      <c r="L490" s="3">
        <f>[1]Results!O238</f>
        <v>17.32316565</v>
      </c>
      <c r="M490" s="3">
        <f>[1]Results!P238</f>
        <v>17.788613519999998</v>
      </c>
      <c r="N490" s="3">
        <f>[1]Results!Q238</f>
        <v>18.123665979999998</v>
      </c>
      <c r="O490" s="3">
        <f>[1]Results!R238</f>
        <v>18.365484160000001</v>
      </c>
      <c r="P490" s="3">
        <f>[1]Results!S238</f>
        <v>18.555213439999999</v>
      </c>
      <c r="Q490" s="3">
        <f>[1]Results!T238</f>
        <v>18.734952570000001</v>
      </c>
      <c r="R490" s="3">
        <f>[1]Results!U238</f>
        <v>18.925348169999999</v>
      </c>
      <c r="S490" s="3">
        <f>[1]Results!V238</f>
        <v>19.055845850000001</v>
      </c>
      <c r="T490" s="3">
        <f>[1]Results!W238</f>
        <v>19.207823340000001</v>
      </c>
      <c r="U490" s="3">
        <f>[1]Results!X238</f>
        <v>19.390877369999998</v>
      </c>
      <c r="V490" s="3">
        <f>[1]Results!Y238</f>
        <v>19.609011930000001</v>
      </c>
      <c r="W490" s="3">
        <f>[1]Results!Z238</f>
        <v>19.864067970000001</v>
      </c>
      <c r="X490" s="3">
        <f>[1]Results!AA238</f>
        <v>20.161244929999999</v>
      </c>
      <c r="Y490" s="3">
        <f>[1]Results!AB238</f>
        <v>20.505341009999999</v>
      </c>
      <c r="Z490" s="3">
        <f>[1]Results!AC238</f>
        <v>20.898199309999999</v>
      </c>
      <c r="AA490" s="3">
        <f>[1]Results!AD238</f>
        <v>21.338214369999999</v>
      </c>
      <c r="AB490" s="3">
        <f>[1]Results!AE238</f>
        <v>21.820316999999999</v>
      </c>
      <c r="AC490" s="3">
        <f>[1]Results!AF238</f>
        <v>22.379028730000002</v>
      </c>
      <c r="AD490" s="3">
        <f>[1]Results!AG238</f>
        <v>22.99613965</v>
      </c>
      <c r="AE490" s="3">
        <f>[1]Results!AH238</f>
        <v>23.672930220000001</v>
      </c>
      <c r="AF490" s="3">
        <f>[1]Results!AI238</f>
        <v>24.4008897</v>
      </c>
      <c r="AG490" s="3">
        <f>[1]Results!AJ238</f>
        <v>25.168562980000001</v>
      </c>
      <c r="AH490" s="3">
        <f>[1]Results!AK238</f>
        <v>25.968652209999998</v>
      </c>
      <c r="AI490" s="3">
        <f>[1]Results!AL238</f>
        <v>26.797916130000001</v>
      </c>
      <c r="AJ490" s="3">
        <f>[1]Results!AM238</f>
        <v>27.653835740000002</v>
      </c>
      <c r="AK490" s="3">
        <f>[1]Results!AN238</f>
        <v>28.534449800000001</v>
      </c>
      <c r="AL490" s="3">
        <f>[1]Results!AO238</f>
        <v>29.438557370000002</v>
      </c>
    </row>
    <row r="491" spans="1:3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1:38" x14ac:dyDescent="0.35">
      <c r="A492" s="12" t="s">
        <v>94</v>
      </c>
      <c r="B492" s="3" t="str">
        <f>[1]Results!E241</f>
        <v>YG_toe_0</v>
      </c>
      <c r="C492" s="3">
        <f>[1]Results!F241</f>
        <v>148.56082459999999</v>
      </c>
      <c r="D492" s="3">
        <f>[1]Results!G241</f>
        <v>150.23110449999999</v>
      </c>
      <c r="E492" s="3">
        <f>[1]Results!H241</f>
        <v>151.95801510000001</v>
      </c>
      <c r="F492" s="3">
        <f>[1]Results!I241</f>
        <v>153.8358169</v>
      </c>
      <c r="G492" s="3">
        <f>[1]Results!J241</f>
        <v>155.9358172</v>
      </c>
      <c r="H492" s="3">
        <f>[1]Results!K241</f>
        <v>158.27513579999999</v>
      </c>
      <c r="I492" s="3">
        <f>[1]Results!L241</f>
        <v>160.76631370000001</v>
      </c>
      <c r="J492" s="3">
        <f>[1]Results!M241</f>
        <v>163.3566146</v>
      </c>
      <c r="K492" s="3">
        <f>[1]Results!N241</f>
        <v>166.0078475</v>
      </c>
      <c r="L492" s="3">
        <f>[1]Results!O241</f>
        <v>168.70072500000001</v>
      </c>
      <c r="M492" s="3">
        <f>[1]Results!P241</f>
        <v>171.36709740000001</v>
      </c>
      <c r="N492" s="3">
        <f>[1]Results!Q241</f>
        <v>173.59150030000001</v>
      </c>
      <c r="O492" s="3">
        <f>[1]Results!R241</f>
        <v>175.46617040000001</v>
      </c>
      <c r="P492" s="3">
        <f>[1]Results!S241</f>
        <v>177.07619829999999</v>
      </c>
      <c r="Q492" s="3">
        <f>[1]Results!T241</f>
        <v>178.519182</v>
      </c>
      <c r="R492" s="3">
        <f>[1]Results!U241</f>
        <v>179.88549850000001</v>
      </c>
      <c r="S492" s="3">
        <f>[1]Results!V241</f>
        <v>181.27750030000001</v>
      </c>
      <c r="T492" s="3">
        <f>[1]Results!W241</f>
        <v>182.7952244</v>
      </c>
      <c r="U492" s="3">
        <f>[1]Results!X241</f>
        <v>184.51010410000001</v>
      </c>
      <c r="V492" s="3">
        <f>[1]Results!Y241</f>
        <v>186.45643250000001</v>
      </c>
      <c r="W492" s="3">
        <f>[1]Results!Z241</f>
        <v>188.6244471</v>
      </c>
      <c r="X492" s="3">
        <f>[1]Results!AA241</f>
        <v>191.08369519999999</v>
      </c>
      <c r="Y492" s="3">
        <f>[1]Results!AB241</f>
        <v>193.85173649999999</v>
      </c>
      <c r="Z492" s="3">
        <f>[1]Results!AC241</f>
        <v>196.93976019999999</v>
      </c>
      <c r="AA492" s="3">
        <f>[1]Results!AD241</f>
        <v>200.34539459999999</v>
      </c>
      <c r="AB492" s="3">
        <f>[1]Results!AE241</f>
        <v>203.9694901</v>
      </c>
      <c r="AC492" s="3">
        <f>[1]Results!AF241</f>
        <v>207.9128149</v>
      </c>
      <c r="AD492" s="3">
        <f>[1]Results!AG241</f>
        <v>212.18854339999999</v>
      </c>
      <c r="AE492" s="3">
        <f>[1]Results!AH241</f>
        <v>216.79317560000001</v>
      </c>
      <c r="AF492" s="3">
        <f>[1]Results!AI241</f>
        <v>221.6777889</v>
      </c>
      <c r="AG492" s="3">
        <f>[1]Results!AJ241</f>
        <v>226.77293660000001</v>
      </c>
      <c r="AH492" s="3">
        <f>[1]Results!AK241</f>
        <v>232.01644630000001</v>
      </c>
      <c r="AI492" s="3">
        <f>[1]Results!AL241</f>
        <v>237.35715440000001</v>
      </c>
      <c r="AJ492" s="3">
        <f>[1]Results!AM241</f>
        <v>242.7490301</v>
      </c>
      <c r="AK492" s="3">
        <f>[1]Results!AN241</f>
        <v>248.1483351</v>
      </c>
      <c r="AL492" s="3">
        <f>[1]Results!AO241</f>
        <v>253.51238839999999</v>
      </c>
    </row>
    <row r="493" spans="1:38" x14ac:dyDescent="0.35">
      <c r="A493" t="s">
        <v>38</v>
      </c>
      <c r="B493" s="3" t="str">
        <f>[1]Results!E242</f>
        <v>YG_toe_ccoa_0</v>
      </c>
      <c r="C493" s="3">
        <f>[1]Results!F242</f>
        <v>2.3689359379999999</v>
      </c>
      <c r="D493" s="3">
        <f>[1]Results!G242</f>
        <v>2.385564059</v>
      </c>
      <c r="E493" s="3">
        <f>[1]Results!H242</f>
        <v>2.403750236</v>
      </c>
      <c r="F493" s="3">
        <f>[1]Results!I242</f>
        <v>2.416588956</v>
      </c>
      <c r="G493" s="3">
        <f>[1]Results!J242</f>
        <v>2.4446118989999999</v>
      </c>
      <c r="H493" s="3">
        <f>[1]Results!K242</f>
        <v>2.4849234189999998</v>
      </c>
      <c r="I493" s="3">
        <f>[1]Results!L242</f>
        <v>2.5299407660000002</v>
      </c>
      <c r="J493" s="3">
        <f>[1]Results!M242</f>
        <v>2.5751061649999998</v>
      </c>
      <c r="K493" s="3">
        <f>[1]Results!N242</f>
        <v>2.6198690390000001</v>
      </c>
      <c r="L493" s="3">
        <f>[1]Results!O242</f>
        <v>2.664388507</v>
      </c>
      <c r="M493" s="3">
        <f>[1]Results!P242</f>
        <v>2.7064529429999999</v>
      </c>
      <c r="N493" s="3">
        <f>[1]Results!Q242</f>
        <v>2.73770844</v>
      </c>
      <c r="O493" s="3">
        <f>[1]Results!R242</f>
        <v>2.760917418</v>
      </c>
      <c r="P493" s="3">
        <f>[1]Results!S242</f>
        <v>2.7790304950000002</v>
      </c>
      <c r="Q493" s="3">
        <f>[1]Results!T242</f>
        <v>2.794785005</v>
      </c>
      <c r="R493" s="3">
        <f>[1]Results!U242</f>
        <v>2.810296873</v>
      </c>
      <c r="S493" s="3">
        <f>[1]Results!V242</f>
        <v>2.8312591189999998</v>
      </c>
      <c r="T493" s="3">
        <f>[1]Results!W242</f>
        <v>2.859631518</v>
      </c>
      <c r="U493" s="3">
        <f>[1]Results!X242</f>
        <v>2.8959052669999998</v>
      </c>
      <c r="V493" s="3">
        <f>[1]Results!Y242</f>
        <v>2.9397291499999998</v>
      </c>
      <c r="W493" s="3">
        <f>[1]Results!Z242</f>
        <v>2.9905278530000001</v>
      </c>
      <c r="X493" s="3">
        <f>[1]Results!AA242</f>
        <v>3.0480493320000002</v>
      </c>
      <c r="Y493" s="3">
        <f>[1]Results!AB242</f>
        <v>3.112332334</v>
      </c>
      <c r="Z493" s="3">
        <f>[1]Results!AC242</f>
        <v>3.1833156859999998</v>
      </c>
      <c r="AA493" s="3">
        <f>[1]Results!AD242</f>
        <v>3.260643586</v>
      </c>
      <c r="AB493" s="3">
        <f>[1]Results!AE242</f>
        <v>3.3436328190000002</v>
      </c>
      <c r="AC493" s="3">
        <f>[1]Results!AF242</f>
        <v>3.4324544229999998</v>
      </c>
      <c r="AD493" s="3">
        <f>[1]Results!AG242</f>
        <v>3.5275865639999999</v>
      </c>
      <c r="AE493" s="3">
        <f>[1]Results!AH242</f>
        <v>3.6291069199999999</v>
      </c>
      <c r="AF493" s="3">
        <f>[1]Results!AI242</f>
        <v>3.736042994</v>
      </c>
      <c r="AG493" s="3">
        <f>[1]Results!AJ242</f>
        <v>3.8469590409999999</v>
      </c>
      <c r="AH493" s="3">
        <f>[1]Results!AK242</f>
        <v>3.9606748110000001</v>
      </c>
      <c r="AI493" s="3">
        <f>[1]Results!AL242</f>
        <v>4.0763667469999998</v>
      </c>
      <c r="AJ493" s="3">
        <f>[1]Results!AM242</f>
        <v>4.1933451420000001</v>
      </c>
      <c r="AK493" s="3">
        <f>[1]Results!AN242</f>
        <v>4.3109364189999999</v>
      </c>
      <c r="AL493" s="3">
        <f>[1]Results!AO242</f>
        <v>4.4284291720000004</v>
      </c>
    </row>
    <row r="494" spans="1:38" x14ac:dyDescent="0.35">
      <c r="B494" s="3" t="s">
        <v>74</v>
      </c>
      <c r="C494" s="3">
        <f>SUM(C495:C497)</f>
        <v>51.304317161</v>
      </c>
      <c r="D494" s="3">
        <f t="shared" ref="D494:AL494" si="106">SUM(D495:D497)</f>
        <v>51.634878221000001</v>
      </c>
      <c r="E494" s="3">
        <f t="shared" si="106"/>
        <v>51.969814692999996</v>
      </c>
      <c r="F494" s="3">
        <f t="shared" si="106"/>
        <v>52.359581605000002</v>
      </c>
      <c r="G494" s="3">
        <f t="shared" si="106"/>
        <v>52.897913125000002</v>
      </c>
      <c r="H494" s="3">
        <f t="shared" si="106"/>
        <v>53.568557099000003</v>
      </c>
      <c r="I494" s="3">
        <f t="shared" si="106"/>
        <v>54.315448124</v>
      </c>
      <c r="J494" s="3">
        <f t="shared" si="106"/>
        <v>55.094304882000003</v>
      </c>
      <c r="K494" s="3">
        <f t="shared" si="106"/>
        <v>55.887871036999996</v>
      </c>
      <c r="L494" s="3">
        <f t="shared" si="106"/>
        <v>56.689783064000004</v>
      </c>
      <c r="M494" s="3">
        <f t="shared" si="106"/>
        <v>57.487535587000004</v>
      </c>
      <c r="N494" s="3">
        <f t="shared" si="106"/>
        <v>58.192569933000001</v>
      </c>
      <c r="O494" s="3">
        <f t="shared" si="106"/>
        <v>58.813919124999998</v>
      </c>
      <c r="P494" s="3">
        <f t="shared" si="106"/>
        <v>59.365542959999999</v>
      </c>
      <c r="Q494" s="3">
        <f t="shared" si="106"/>
        <v>59.865068609000005</v>
      </c>
      <c r="R494" s="3">
        <f t="shared" si="106"/>
        <v>60.330225770999995</v>
      </c>
      <c r="S494" s="3">
        <f t="shared" si="106"/>
        <v>60.801314886</v>
      </c>
      <c r="T494" s="3">
        <f t="shared" si="106"/>
        <v>61.308806017999999</v>
      </c>
      <c r="U494" s="3">
        <f t="shared" si="106"/>
        <v>61.867679058999997</v>
      </c>
      <c r="V494" s="3">
        <f t="shared" si="106"/>
        <v>62.483286354999997</v>
      </c>
      <c r="W494" s="3">
        <f t="shared" si="106"/>
        <v>63.150254271999998</v>
      </c>
      <c r="X494" s="3">
        <f t="shared" si="106"/>
        <v>63.882123075999999</v>
      </c>
      <c r="Y494" s="3">
        <f t="shared" si="106"/>
        <v>64.682520275000002</v>
      </c>
      <c r="Z494" s="3">
        <f t="shared" si="106"/>
        <v>65.554973352000005</v>
      </c>
      <c r="AA494" s="3">
        <f t="shared" si="106"/>
        <v>66.500531123999991</v>
      </c>
      <c r="AB494" s="3">
        <f t="shared" si="106"/>
        <v>67.496794942999998</v>
      </c>
      <c r="AC494" s="3">
        <f t="shared" si="106"/>
        <v>68.566430943</v>
      </c>
      <c r="AD494" s="3">
        <f t="shared" si="106"/>
        <v>69.714761354999993</v>
      </c>
      <c r="AE494" s="3">
        <f t="shared" si="106"/>
        <v>70.944164228000005</v>
      </c>
      <c r="AF494" s="3">
        <f t="shared" si="106"/>
        <v>72.247763461000005</v>
      </c>
      <c r="AG494" s="3">
        <f t="shared" si="106"/>
        <v>73.612942959000009</v>
      </c>
      <c r="AH494" s="3">
        <f t="shared" si="106"/>
        <v>75.026746567999993</v>
      </c>
      <c r="AI494" s="3">
        <f t="shared" si="106"/>
        <v>76.477145180000008</v>
      </c>
      <c r="AJ494" s="3">
        <f t="shared" si="106"/>
        <v>77.952149238999993</v>
      </c>
      <c r="AK494" s="3">
        <f t="shared" si="106"/>
        <v>79.439487087000003</v>
      </c>
      <c r="AL494" s="3">
        <f t="shared" si="106"/>
        <v>80.926477631999987</v>
      </c>
    </row>
    <row r="495" spans="1:38" x14ac:dyDescent="0.35">
      <c r="B495" s="3" t="str">
        <f>[1]Results!E245</f>
        <v>YG_toe_ccoi_0</v>
      </c>
      <c r="C495" s="3">
        <f>[1]Results!F245</f>
        <v>1.0946754030000001</v>
      </c>
      <c r="D495" s="3">
        <f>[1]Results!G245</f>
        <v>1.1050674030000001</v>
      </c>
      <c r="E495" s="3">
        <f>[1]Results!H245</f>
        <v>1.1156936310000001</v>
      </c>
      <c r="F495" s="3">
        <f>[1]Results!I245</f>
        <v>1.1273789190000001</v>
      </c>
      <c r="G495" s="3">
        <f>[1]Results!J245</f>
        <v>1.1418979650000001</v>
      </c>
      <c r="H495" s="3">
        <f>[1]Results!K245</f>
        <v>1.1592428020000001</v>
      </c>
      <c r="I495" s="3">
        <f>[1]Results!L245</f>
        <v>1.17815918</v>
      </c>
      <c r="J495" s="3">
        <f>[1]Results!M245</f>
        <v>1.197776497</v>
      </c>
      <c r="K495" s="3">
        <f>[1]Results!N245</f>
        <v>1.217724987</v>
      </c>
      <c r="L495" s="3">
        <f>[1]Results!O245</f>
        <v>1.2378948910000001</v>
      </c>
      <c r="M495" s="3">
        <f>[1]Results!P245</f>
        <v>1.2577078880000001</v>
      </c>
      <c r="N495" s="3">
        <f>[1]Results!Q245</f>
        <v>1.2745566770000001</v>
      </c>
      <c r="O495" s="3">
        <f>[1]Results!R245</f>
        <v>1.288830712</v>
      </c>
      <c r="P495" s="3">
        <f>[1]Results!S245</f>
        <v>1.301185338</v>
      </c>
      <c r="Q495" s="3">
        <f>[1]Results!T245</f>
        <v>1.312313217</v>
      </c>
      <c r="R495" s="3">
        <f>[1]Results!U245</f>
        <v>1.3228188890000001</v>
      </c>
      <c r="S495" s="3">
        <f>[1]Results!V245</f>
        <v>1.3337756679999999</v>
      </c>
      <c r="T495" s="3">
        <f>[1]Results!W245</f>
        <v>1.3459513110000001</v>
      </c>
      <c r="U495" s="3">
        <f>[1]Results!X245</f>
        <v>1.3597405760000001</v>
      </c>
      <c r="V495" s="3">
        <f>[1]Results!Y245</f>
        <v>1.3752593259999999</v>
      </c>
      <c r="W495" s="3">
        <f>[1]Results!Z245</f>
        <v>1.3924263720000001</v>
      </c>
      <c r="X495" s="3">
        <f>[1]Results!AA245</f>
        <v>1.411436076</v>
      </c>
      <c r="Y495" s="3">
        <f>[1]Results!AB245</f>
        <v>1.432409316</v>
      </c>
      <c r="Z495" s="3">
        <f>[1]Results!AC245</f>
        <v>1.4554198270000001</v>
      </c>
      <c r="AA495" s="3">
        <f>[1]Results!AD245</f>
        <v>1.4804462460000001</v>
      </c>
      <c r="AB495" s="3">
        <f>[1]Results!AE245</f>
        <v>1.5071096230000001</v>
      </c>
      <c r="AC495" s="3">
        <f>[1]Results!AF245</f>
        <v>1.5357329930000001</v>
      </c>
      <c r="AD495" s="3">
        <f>[1]Results!AG245</f>
        <v>1.566519665</v>
      </c>
      <c r="AE495" s="3">
        <f>[1]Results!AH245</f>
        <v>1.5995314380000001</v>
      </c>
      <c r="AF495" s="3">
        <f>[1]Results!AI245</f>
        <v>1.6345155309999999</v>
      </c>
      <c r="AG495" s="3">
        <f>[1]Results!AJ245</f>
        <v>1.671046019</v>
      </c>
      <c r="AH495" s="3">
        <f>[1]Results!AK245</f>
        <v>1.708729438</v>
      </c>
      <c r="AI495" s="3">
        <f>[1]Results!AL245</f>
        <v>1.74724722</v>
      </c>
      <c r="AJ495" s="3">
        <f>[1]Results!AM245</f>
        <v>1.786308239</v>
      </c>
      <c r="AK495" s="3">
        <f>[1]Results!AN245</f>
        <v>1.825623057</v>
      </c>
      <c r="AL495" s="3">
        <f>[1]Results!AO245</f>
        <v>1.8648919020000001</v>
      </c>
    </row>
    <row r="496" spans="1:38" x14ac:dyDescent="0.35">
      <c r="B496" s="3" t="str">
        <f>[1]Results!E248</f>
        <v>YG_toe_cfut_0</v>
      </c>
      <c r="C496" s="3">
        <f>[1]Results!F248</f>
        <v>42.28829657</v>
      </c>
      <c r="D496" s="3">
        <f>[1]Results!G248</f>
        <v>42.54865933</v>
      </c>
      <c r="E496" s="3">
        <f>[1]Results!H248</f>
        <v>42.810732639999998</v>
      </c>
      <c r="F496" s="3">
        <f>[1]Results!I248</f>
        <v>43.12644573</v>
      </c>
      <c r="G496" s="3">
        <f>[1]Results!J248</f>
        <v>43.56698076</v>
      </c>
      <c r="H496" s="3">
        <f>[1]Results!K248</f>
        <v>44.120174710000001</v>
      </c>
      <c r="I496" s="3">
        <f>[1]Results!L248</f>
        <v>44.745495499999997</v>
      </c>
      <c r="J496" s="3">
        <f>[1]Results!M248</f>
        <v>45.405224650000001</v>
      </c>
      <c r="K496" s="3">
        <f>[1]Results!N248</f>
        <v>46.081889089999997</v>
      </c>
      <c r="L496" s="3">
        <f>[1]Results!O248</f>
        <v>46.767753159999998</v>
      </c>
      <c r="M496" s="3">
        <f>[1]Results!P248</f>
        <v>47.450421990000002</v>
      </c>
      <c r="N496" s="3">
        <f>[1]Results!Q248</f>
        <v>48.061299230000003</v>
      </c>
      <c r="O496" s="3">
        <f>[1]Results!R248</f>
        <v>48.605979320000003</v>
      </c>
      <c r="P496" s="3">
        <f>[1]Results!S248</f>
        <v>49.094404019999999</v>
      </c>
      <c r="Q496" s="3">
        <f>[1]Results!T248</f>
        <v>49.539836020000003</v>
      </c>
      <c r="R496" s="3">
        <f>[1]Results!U248</f>
        <v>49.95593135</v>
      </c>
      <c r="S496" s="3">
        <f>[1]Results!V248</f>
        <v>50.370538570000001</v>
      </c>
      <c r="T496" s="3">
        <f>[1]Results!W248</f>
        <v>50.809029559999999</v>
      </c>
      <c r="U496" s="3">
        <f>[1]Results!X248</f>
        <v>51.284967999999999</v>
      </c>
      <c r="V496" s="3">
        <f>[1]Results!Y248</f>
        <v>51.803757519999998</v>
      </c>
      <c r="W496" s="3">
        <f>[1]Results!Z248</f>
        <v>52.362505329999998</v>
      </c>
      <c r="X496" s="3">
        <f>[1]Results!AA248</f>
        <v>52.971068629999998</v>
      </c>
      <c r="Y496" s="3">
        <f>[1]Results!AB248</f>
        <v>53.633131229999996</v>
      </c>
      <c r="Z496" s="3">
        <f>[1]Results!AC248</f>
        <v>54.351880909999998</v>
      </c>
      <c r="AA496" s="3">
        <f>[1]Results!AD248</f>
        <v>55.128416209999997</v>
      </c>
      <c r="AB496" s="3">
        <f>[1]Results!AE248</f>
        <v>55.946980740000001</v>
      </c>
      <c r="AC496" s="3">
        <f>[1]Results!AF248</f>
        <v>56.822975630000002</v>
      </c>
      <c r="AD496" s="3">
        <f>[1]Results!AG248</f>
        <v>57.760894039999997</v>
      </c>
      <c r="AE496" s="3">
        <f>[1]Results!AH248</f>
        <v>58.762807180000003</v>
      </c>
      <c r="AF496" s="3">
        <f>[1]Results!AI248</f>
        <v>59.823477500000003</v>
      </c>
      <c r="AG496" s="3">
        <f>[1]Results!AJ248</f>
        <v>60.933118360000002</v>
      </c>
      <c r="AH496" s="3">
        <f>[1]Results!AK248</f>
        <v>62.081569459999997</v>
      </c>
      <c r="AI496" s="3">
        <f>[1]Results!AL248</f>
        <v>63.259390420000003</v>
      </c>
      <c r="AJ496" s="3">
        <f>[1]Results!AM248</f>
        <v>64.45706414</v>
      </c>
      <c r="AK496" s="3">
        <f>[1]Results!AN248</f>
        <v>65.664695359999996</v>
      </c>
      <c r="AL496" s="3">
        <f>[1]Results!AO248</f>
        <v>66.871979229999994</v>
      </c>
    </row>
    <row r="497" spans="1:38" x14ac:dyDescent="0.35">
      <c r="B497" s="3" t="str">
        <f>[1]Results!E251</f>
        <v>YG_toe_cfuh_0</v>
      </c>
      <c r="C497" s="3">
        <f>[1]Results!F251</f>
        <v>7.9213451880000001</v>
      </c>
      <c r="D497" s="3">
        <f>[1]Results!G251</f>
        <v>7.9811514880000001</v>
      </c>
      <c r="E497" s="3">
        <f>[1]Results!H251</f>
        <v>8.0433884219999996</v>
      </c>
      <c r="F497" s="3">
        <f>[1]Results!I251</f>
        <v>8.1057569560000005</v>
      </c>
      <c r="G497" s="3">
        <f>[1]Results!J251</f>
        <v>8.1890344000000006</v>
      </c>
      <c r="H497" s="3">
        <f>[1]Results!K251</f>
        <v>8.2891395869999993</v>
      </c>
      <c r="I497" s="3">
        <f>[1]Results!L251</f>
        <v>8.3917934439999993</v>
      </c>
      <c r="J497" s="3">
        <f>[1]Results!M251</f>
        <v>8.4913037350000007</v>
      </c>
      <c r="K497" s="3">
        <f>[1]Results!N251</f>
        <v>8.5882569600000007</v>
      </c>
      <c r="L497" s="3">
        <f>[1]Results!O251</f>
        <v>8.6841350130000006</v>
      </c>
      <c r="M497" s="3">
        <f>[1]Results!P251</f>
        <v>8.7794057090000006</v>
      </c>
      <c r="N497" s="3">
        <f>[1]Results!Q251</f>
        <v>8.8567140260000006</v>
      </c>
      <c r="O497" s="3">
        <f>[1]Results!R251</f>
        <v>8.9191090929999994</v>
      </c>
      <c r="P497" s="3">
        <f>[1]Results!S251</f>
        <v>8.9699536020000004</v>
      </c>
      <c r="Q497" s="3">
        <f>[1]Results!T251</f>
        <v>9.0129193720000007</v>
      </c>
      <c r="R497" s="3">
        <f>[1]Results!U251</f>
        <v>9.0514755319999995</v>
      </c>
      <c r="S497" s="3">
        <f>[1]Results!V251</f>
        <v>9.0970006479999999</v>
      </c>
      <c r="T497" s="3">
        <f>[1]Results!W251</f>
        <v>9.1538251469999992</v>
      </c>
      <c r="U497" s="3">
        <f>[1]Results!X251</f>
        <v>9.2229704829999992</v>
      </c>
      <c r="V497" s="3">
        <f>[1]Results!Y251</f>
        <v>9.3042695089999992</v>
      </c>
      <c r="W497" s="3">
        <f>[1]Results!Z251</f>
        <v>9.3953225699999994</v>
      </c>
      <c r="X497" s="3">
        <f>[1]Results!AA251</f>
        <v>9.4996183700000003</v>
      </c>
      <c r="Y497" s="3">
        <f>[1]Results!AB251</f>
        <v>9.6169797290000005</v>
      </c>
      <c r="Z497" s="3">
        <f>[1]Results!AC251</f>
        <v>9.7476726150000008</v>
      </c>
      <c r="AA497" s="3">
        <f>[1]Results!AD251</f>
        <v>9.8916686679999994</v>
      </c>
      <c r="AB497" s="3">
        <f>[1]Results!AE251</f>
        <v>10.042704580000001</v>
      </c>
      <c r="AC497" s="3">
        <f>[1]Results!AF251</f>
        <v>10.20772232</v>
      </c>
      <c r="AD497" s="3">
        <f>[1]Results!AG251</f>
        <v>10.387347650000001</v>
      </c>
      <c r="AE497" s="3">
        <f>[1]Results!AH251</f>
        <v>10.581825609999999</v>
      </c>
      <c r="AF497" s="3">
        <f>[1]Results!AI251</f>
        <v>10.789770430000001</v>
      </c>
      <c r="AG497" s="3">
        <f>[1]Results!AJ251</f>
        <v>11.00877858</v>
      </c>
      <c r="AH497" s="3">
        <f>[1]Results!AK251</f>
        <v>11.23644767</v>
      </c>
      <c r="AI497" s="3">
        <f>[1]Results!AL251</f>
        <v>11.47050754</v>
      </c>
      <c r="AJ497" s="3">
        <f>[1]Results!AM251</f>
        <v>11.70877686</v>
      </c>
      <c r="AK497" s="3">
        <f>[1]Results!AN251</f>
        <v>11.949168670000001</v>
      </c>
      <c r="AL497" s="3">
        <f>[1]Results!AO251</f>
        <v>12.1896065</v>
      </c>
    </row>
    <row r="498" spans="1:38" x14ac:dyDescent="0.35">
      <c r="B498" s="3" t="str">
        <f>[1]Results!E253</f>
        <v>YG_toe_cgas_0</v>
      </c>
      <c r="C498" s="3">
        <f>[1]Results!F253</f>
        <v>6.6386576159999997</v>
      </c>
      <c r="D498" s="3">
        <f>[1]Results!G253</f>
        <v>6.5227838069999997</v>
      </c>
      <c r="E498" s="3">
        <f>[1]Results!H253</f>
        <v>6.421386569</v>
      </c>
      <c r="F498" s="3">
        <f>[1]Results!I253</f>
        <v>6.3202516710000003</v>
      </c>
      <c r="G498" s="3">
        <f>[1]Results!J253</f>
        <v>6.2588763900000002</v>
      </c>
      <c r="H498" s="3">
        <f>[1]Results!K253</f>
        <v>6.2034821899999999</v>
      </c>
      <c r="I498" s="3">
        <f>[1]Results!L253</f>
        <v>6.1262451269999998</v>
      </c>
      <c r="J498" s="3">
        <f>[1]Results!M253</f>
        <v>6.0475107670000003</v>
      </c>
      <c r="K498" s="3">
        <f>[1]Results!N253</f>
        <v>5.9780897059999996</v>
      </c>
      <c r="L498" s="3">
        <f>[1]Results!O253</f>
        <v>5.9197500129999998</v>
      </c>
      <c r="M498" s="3">
        <f>[1]Results!P253</f>
        <v>5.880083495</v>
      </c>
      <c r="N498" s="3">
        <f>[1]Results!Q253</f>
        <v>5.8770997659999997</v>
      </c>
      <c r="O498" s="3">
        <f>[1]Results!R253</f>
        <v>5.9025768330000004</v>
      </c>
      <c r="P498" s="3">
        <f>[1]Results!S253</f>
        <v>5.9488175329999997</v>
      </c>
      <c r="Q498" s="3">
        <f>[1]Results!T253</f>
        <v>6.0078217970000001</v>
      </c>
      <c r="R498" s="3">
        <f>[1]Results!U253</f>
        <v>6.0726582599999999</v>
      </c>
      <c r="S498" s="3">
        <f>[1]Results!V253</f>
        <v>6.1439686160000004</v>
      </c>
      <c r="T498" s="3">
        <f>[1]Results!W253</f>
        <v>6.2037564669999998</v>
      </c>
      <c r="U498" s="3">
        <f>[1]Results!X253</f>
        <v>6.2470753009999997</v>
      </c>
      <c r="V498" s="3">
        <f>[1]Results!Y253</f>
        <v>6.2717184269999997</v>
      </c>
      <c r="W498" s="3">
        <f>[1]Results!Z253</f>
        <v>6.2757247649999996</v>
      </c>
      <c r="X498" s="3">
        <f>[1]Results!AA253</f>
        <v>6.2603778500000002</v>
      </c>
      <c r="Y498" s="3">
        <f>[1]Results!AB253</f>
        <v>6.2249996379999999</v>
      </c>
      <c r="Z498" s="3">
        <f>[1]Results!AC253</f>
        <v>6.1695112559999998</v>
      </c>
      <c r="AA498" s="3">
        <f>[1]Results!AD253</f>
        <v>6.0946249010000004</v>
      </c>
      <c r="AB498" s="3">
        <f>[1]Results!AE253</f>
        <v>5.9992632090000004</v>
      </c>
      <c r="AC498" s="3">
        <f>[1]Results!AF253</f>
        <v>5.8864243869999999</v>
      </c>
      <c r="AD498" s="3">
        <f>[1]Results!AG253</f>
        <v>5.7556302500000003</v>
      </c>
      <c r="AE498" s="3">
        <f>[1]Results!AH253</f>
        <v>5.6070978130000002</v>
      </c>
      <c r="AF498" s="3">
        <f>[1]Results!AI253</f>
        <v>5.4437993950000001</v>
      </c>
      <c r="AG498" s="3">
        <f>[1]Results!AJ253</f>
        <v>5.2698809029999998</v>
      </c>
      <c r="AH498" s="3">
        <f>[1]Results!AK253</f>
        <v>5.0889386620000003</v>
      </c>
      <c r="AI498" s="3">
        <f>[1]Results!AL253</f>
        <v>4.9032760079999997</v>
      </c>
      <c r="AJ498" s="3">
        <f>[1]Results!AM253</f>
        <v>4.7151909959999996</v>
      </c>
      <c r="AK498" s="3">
        <f>[1]Results!AN253</f>
        <v>4.5270943519999998</v>
      </c>
      <c r="AL498" s="3">
        <f>[1]Results!AO253</f>
        <v>4.3414947650000002</v>
      </c>
    </row>
    <row r="499" spans="1:38" x14ac:dyDescent="0.35">
      <c r="B499" s="3" t="str">
        <f>[1]Results!E259</f>
        <v>YG_toe_cele_0</v>
      </c>
      <c r="C499" s="3">
        <f>[1]Results!F259</f>
        <v>57.547032489999999</v>
      </c>
      <c r="D499" s="3">
        <f>[1]Results!G259</f>
        <v>58.579871840000003</v>
      </c>
      <c r="E499" s="3">
        <f>[1]Results!H259</f>
        <v>59.618581159999998</v>
      </c>
      <c r="F499" s="3">
        <f>[1]Results!I259</f>
        <v>60.747890890000001</v>
      </c>
      <c r="G499" s="3">
        <f>[1]Results!J259</f>
        <v>61.825270519999997</v>
      </c>
      <c r="H499" s="3">
        <f>[1]Results!K259</f>
        <v>62.92838021</v>
      </c>
      <c r="I499" s="3">
        <f>[1]Results!L259</f>
        <v>64.089645140000002</v>
      </c>
      <c r="J499" s="3">
        <f>[1]Results!M259</f>
        <v>65.30424223</v>
      </c>
      <c r="K499" s="3">
        <f>[1]Results!N259</f>
        <v>66.547481180000005</v>
      </c>
      <c r="L499" s="3">
        <f>[1]Results!O259</f>
        <v>67.805765460000003</v>
      </c>
      <c r="M499" s="3">
        <f>[1]Results!P259</f>
        <v>69.035064790000007</v>
      </c>
      <c r="N499" s="3">
        <f>[1]Results!Q259</f>
        <v>70.022052590000001</v>
      </c>
      <c r="O499" s="3">
        <f>[1]Results!R259</f>
        <v>70.815913019999996</v>
      </c>
      <c r="P499" s="3">
        <f>[1]Results!S259</f>
        <v>71.46296341</v>
      </c>
      <c r="Q499" s="3">
        <f>[1]Results!T259</f>
        <v>72.019131639999998</v>
      </c>
      <c r="R499" s="3">
        <f>[1]Results!U259</f>
        <v>72.537583769999998</v>
      </c>
      <c r="S499" s="3">
        <f>[1]Results!V259</f>
        <v>73.045948210000006</v>
      </c>
      <c r="T499" s="3">
        <f>[1]Results!W259</f>
        <v>73.602990259999999</v>
      </c>
      <c r="U499" s="3">
        <f>[1]Results!X259</f>
        <v>74.255273090000003</v>
      </c>
      <c r="V499" s="3">
        <f>[1]Results!Y259</f>
        <v>75.029884179999996</v>
      </c>
      <c r="W499" s="3">
        <f>[1]Results!Z259</f>
        <v>75.931882020000003</v>
      </c>
      <c r="X499" s="3">
        <f>[1]Results!AA259</f>
        <v>76.99756404</v>
      </c>
      <c r="Y499" s="3">
        <f>[1]Results!AB259</f>
        <v>78.238592240000003</v>
      </c>
      <c r="Z499" s="3">
        <f>[1]Results!AC259</f>
        <v>79.661652880000005</v>
      </c>
      <c r="AA499" s="3">
        <f>[1]Results!AD259</f>
        <v>81.265827939999994</v>
      </c>
      <c r="AB499" s="3">
        <f>[1]Results!AE259</f>
        <v>83.006750499999995</v>
      </c>
      <c r="AC499" s="3">
        <f>[1]Results!AF259</f>
        <v>84.927465400000003</v>
      </c>
      <c r="AD499" s="3">
        <f>[1]Results!AG259</f>
        <v>87.030995180000005</v>
      </c>
      <c r="AE499" s="3">
        <f>[1]Results!AH259</f>
        <v>89.311771710000002</v>
      </c>
      <c r="AF499" s="3">
        <f>[1]Results!AI259</f>
        <v>91.739338889999999</v>
      </c>
      <c r="AG499" s="3">
        <f>[1]Results!AJ259</f>
        <v>94.272704020000006</v>
      </c>
      <c r="AH499" s="3">
        <f>[1]Results!AK259</f>
        <v>96.875279770000006</v>
      </c>
      <c r="AI499" s="3">
        <f>[1]Results!AL259</f>
        <v>99.517502629999996</v>
      </c>
      <c r="AJ499" s="3">
        <f>[1]Results!AM259</f>
        <v>102.1733217</v>
      </c>
      <c r="AK499" s="3">
        <f>[1]Results!AN259</f>
        <v>104.8187581</v>
      </c>
      <c r="AL499" s="3">
        <f>[1]Results!AO259</f>
        <v>107.4313471</v>
      </c>
    </row>
    <row r="500" spans="1:38" x14ac:dyDescent="0.35">
      <c r="B500" s="3" t="s">
        <v>75</v>
      </c>
      <c r="C500" s="3">
        <f>SUM(C501:C503)</f>
        <v>30.701881369999999</v>
      </c>
      <c r="D500" s="3">
        <f t="shared" ref="D500:AL500" si="107">SUM(D501:D503)</f>
        <v>31.108006578999998</v>
      </c>
      <c r="E500" s="3">
        <f t="shared" si="107"/>
        <v>31.544482442</v>
      </c>
      <c r="F500" s="3">
        <f t="shared" si="107"/>
        <v>31.991503778000002</v>
      </c>
      <c r="G500" s="3">
        <f t="shared" si="107"/>
        <v>32.509145312999998</v>
      </c>
      <c r="H500" s="3">
        <f t="shared" si="107"/>
        <v>33.089792885000001</v>
      </c>
      <c r="I500" s="3">
        <f t="shared" si="107"/>
        <v>33.705034505</v>
      </c>
      <c r="J500" s="3">
        <f t="shared" si="107"/>
        <v>34.335450508999998</v>
      </c>
      <c r="K500" s="3">
        <f t="shared" si="107"/>
        <v>34.974536521000005</v>
      </c>
      <c r="L500" s="3">
        <f t="shared" si="107"/>
        <v>35.621037942000001</v>
      </c>
      <c r="M500" s="3">
        <f t="shared" si="107"/>
        <v>36.257960546999996</v>
      </c>
      <c r="N500" s="3">
        <f t="shared" si="107"/>
        <v>36.762069597</v>
      </c>
      <c r="O500" s="3">
        <f t="shared" si="107"/>
        <v>37.172844037000004</v>
      </c>
      <c r="P500" s="3">
        <f t="shared" si="107"/>
        <v>37.519843926</v>
      </c>
      <c r="Q500" s="3">
        <f t="shared" si="107"/>
        <v>37.832374983000001</v>
      </c>
      <c r="R500" s="3">
        <f t="shared" si="107"/>
        <v>38.13473381</v>
      </c>
      <c r="S500" s="3">
        <f t="shared" si="107"/>
        <v>38.455009421</v>
      </c>
      <c r="T500" s="3">
        <f t="shared" si="107"/>
        <v>38.820040116999998</v>
      </c>
      <c r="U500" s="3">
        <f t="shared" si="107"/>
        <v>39.24417141</v>
      </c>
      <c r="V500" s="3">
        <f t="shared" si="107"/>
        <v>39.731814403000001</v>
      </c>
      <c r="W500" s="3">
        <f t="shared" si="107"/>
        <v>40.276058214000003</v>
      </c>
      <c r="X500" s="3">
        <f t="shared" si="107"/>
        <v>40.895580929999994</v>
      </c>
      <c r="Y500" s="3">
        <f t="shared" si="107"/>
        <v>41.593292016999996</v>
      </c>
      <c r="Z500" s="3">
        <f t="shared" si="107"/>
        <v>42.370307019000002</v>
      </c>
      <c r="AA500" s="3">
        <f t="shared" si="107"/>
        <v>43.223767022999994</v>
      </c>
      <c r="AB500" s="3">
        <f t="shared" si="107"/>
        <v>44.123048674000003</v>
      </c>
      <c r="AC500" s="3">
        <f t="shared" si="107"/>
        <v>45.100039719999998</v>
      </c>
      <c r="AD500" s="3">
        <f t="shared" si="107"/>
        <v>46.159570035999998</v>
      </c>
      <c r="AE500" s="3">
        <f t="shared" si="107"/>
        <v>47.301034921999999</v>
      </c>
      <c r="AF500" s="3">
        <f t="shared" si="107"/>
        <v>48.510844186</v>
      </c>
      <c r="AG500" s="3">
        <f t="shared" si="107"/>
        <v>49.770449713000005</v>
      </c>
      <c r="AH500" s="3">
        <f t="shared" si="107"/>
        <v>51.064806524000005</v>
      </c>
      <c r="AI500" s="3">
        <f t="shared" si="107"/>
        <v>52.382863858999997</v>
      </c>
      <c r="AJ500" s="3">
        <f t="shared" si="107"/>
        <v>53.715023039000002</v>
      </c>
      <c r="AK500" s="3">
        <f t="shared" si="107"/>
        <v>55.052059076999996</v>
      </c>
      <c r="AL500" s="3">
        <f t="shared" si="107"/>
        <v>56.384639799999995</v>
      </c>
    </row>
    <row r="501" spans="1:38" x14ac:dyDescent="0.35">
      <c r="B501" s="3" t="str">
        <f>[1]Results!E269</f>
        <v>YG_toe_chea_0</v>
      </c>
      <c r="C501" s="3">
        <f>[1]Results!F269</f>
        <v>5.7001631799999997</v>
      </c>
      <c r="D501" s="3">
        <f>[1]Results!G269</f>
        <v>5.764883749</v>
      </c>
      <c r="E501" s="3">
        <f>[1]Results!H269</f>
        <v>5.8307450220000003</v>
      </c>
      <c r="F501" s="3">
        <f>[1]Results!I269</f>
        <v>5.8943502179999996</v>
      </c>
      <c r="G501" s="3">
        <f>[1]Results!J269</f>
        <v>5.9615710929999999</v>
      </c>
      <c r="H501" s="3">
        <f>[1]Results!K269</f>
        <v>6.0396302850000003</v>
      </c>
      <c r="I501" s="3">
        <f>[1]Results!L269</f>
        <v>6.1147977750000004</v>
      </c>
      <c r="J501" s="3">
        <f>[1]Results!M269</f>
        <v>6.1865335090000002</v>
      </c>
      <c r="K501" s="3">
        <f>[1]Results!N269</f>
        <v>6.2553450010000002</v>
      </c>
      <c r="L501" s="3">
        <f>[1]Results!O269</f>
        <v>6.3224477319999997</v>
      </c>
      <c r="M501" s="3">
        <f>[1]Results!P269</f>
        <v>6.3930927869999996</v>
      </c>
      <c r="N501" s="3">
        <f>[1]Results!Q269</f>
        <v>6.448015957</v>
      </c>
      <c r="O501" s="3">
        <f>[1]Results!R269</f>
        <v>6.491500437</v>
      </c>
      <c r="P501" s="3">
        <f>[1]Results!S269</f>
        <v>6.5268366259999997</v>
      </c>
      <c r="Q501" s="3">
        <f>[1]Results!T269</f>
        <v>6.5571205929999996</v>
      </c>
      <c r="R501" s="3">
        <f>[1]Results!U269</f>
        <v>6.5850290999999999</v>
      </c>
      <c r="S501" s="3">
        <f>[1]Results!V269</f>
        <v>6.6207291809999997</v>
      </c>
      <c r="T501" s="3">
        <f>[1]Results!W269</f>
        <v>6.6663703769999998</v>
      </c>
      <c r="U501" s="3">
        <f>[1]Results!X269</f>
        <v>6.7215295099999999</v>
      </c>
      <c r="V501" s="3">
        <f>[1]Results!Y269</f>
        <v>6.7851738429999999</v>
      </c>
      <c r="W501" s="3">
        <f>[1]Results!Z269</f>
        <v>6.8524653139999998</v>
      </c>
      <c r="X501" s="3">
        <f>[1]Results!AA269</f>
        <v>6.9307632799999999</v>
      </c>
      <c r="Y501" s="3">
        <f>[1]Results!AB269</f>
        <v>7.0190365569999997</v>
      </c>
      <c r="Z501" s="3">
        <f>[1]Results!AC269</f>
        <v>7.1169213090000003</v>
      </c>
      <c r="AA501" s="3">
        <f>[1]Results!AD269</f>
        <v>7.2240962929999997</v>
      </c>
      <c r="AB501" s="3">
        <f>[1]Results!AE269</f>
        <v>7.327828094</v>
      </c>
      <c r="AC501" s="3">
        <f>[1]Results!AF269</f>
        <v>7.4423065199999998</v>
      </c>
      <c r="AD501" s="3">
        <f>[1]Results!AG269</f>
        <v>7.5671092160000004</v>
      </c>
      <c r="AE501" s="3">
        <f>[1]Results!AH269</f>
        <v>7.7018491119999997</v>
      </c>
      <c r="AF501" s="3">
        <f>[1]Results!AI269</f>
        <v>7.8450830060000003</v>
      </c>
      <c r="AG501" s="3">
        <f>[1]Results!AJ269</f>
        <v>7.9948233130000004</v>
      </c>
      <c r="AH501" s="3">
        <f>[1]Results!AK269</f>
        <v>8.1492026739999996</v>
      </c>
      <c r="AI501" s="3">
        <f>[1]Results!AL269</f>
        <v>8.3066251090000005</v>
      </c>
      <c r="AJ501" s="3">
        <f>[1]Results!AM269</f>
        <v>8.4656185389999994</v>
      </c>
      <c r="AK501" s="3">
        <f>[1]Results!AN269</f>
        <v>8.6247674869999997</v>
      </c>
      <c r="AL501" s="3">
        <f>[1]Results!AO269</f>
        <v>8.7826927999999995</v>
      </c>
    </row>
    <row r="502" spans="1:38" x14ac:dyDescent="0.35">
      <c r="B502" s="3" t="str">
        <f>[1]Results!E271</f>
        <v>YG_toe_cbio_0</v>
      </c>
      <c r="C502" s="3">
        <f>[1]Results!F271</f>
        <v>11.16413483</v>
      </c>
      <c r="D502" s="3">
        <f>[1]Results!G271</f>
        <v>11.17232259</v>
      </c>
      <c r="E502" s="3">
        <f>[1]Results!H271</f>
        <v>11.187110179999999</v>
      </c>
      <c r="F502" s="3">
        <f>[1]Results!I271</f>
        <v>11.20148272</v>
      </c>
      <c r="G502" s="3">
        <f>[1]Results!J271</f>
        <v>11.25614294</v>
      </c>
      <c r="H502" s="3">
        <f>[1]Results!K271</f>
        <v>11.33480389</v>
      </c>
      <c r="I502" s="3">
        <f>[1]Results!L271</f>
        <v>11.427494190000001</v>
      </c>
      <c r="J502" s="3">
        <f>[1]Results!M271</f>
        <v>11.52726816</v>
      </c>
      <c r="K502" s="3">
        <f>[1]Results!N271</f>
        <v>11.63159778</v>
      </c>
      <c r="L502" s="3">
        <f>[1]Results!O271</f>
        <v>11.73868863</v>
      </c>
      <c r="M502" s="3">
        <f>[1]Results!P271</f>
        <v>11.84932272</v>
      </c>
      <c r="N502" s="3">
        <f>[1]Results!Q271</f>
        <v>11.93955841</v>
      </c>
      <c r="O502" s="3">
        <f>[1]Results!R271</f>
        <v>12.01310129</v>
      </c>
      <c r="P502" s="3">
        <f>[1]Results!S271</f>
        <v>12.073995249999999</v>
      </c>
      <c r="Q502" s="3">
        <f>[1]Results!T271</f>
        <v>12.12685184</v>
      </c>
      <c r="R502" s="3">
        <f>[1]Results!U271</f>
        <v>12.17602278</v>
      </c>
      <c r="S502" s="3">
        <f>[1]Results!V271</f>
        <v>12.22270681</v>
      </c>
      <c r="T502" s="3">
        <f>[1]Results!W271</f>
        <v>12.272600799999999</v>
      </c>
      <c r="U502" s="3">
        <f>[1]Results!X271</f>
        <v>12.33017263</v>
      </c>
      <c r="V502" s="3">
        <f>[1]Results!Y271</f>
        <v>12.397671450000001</v>
      </c>
      <c r="W502" s="3">
        <f>[1]Results!Z271</f>
        <v>12.47259642</v>
      </c>
      <c r="X502" s="3">
        <f>[1]Results!AA271</f>
        <v>12.56244107</v>
      </c>
      <c r="Y502" s="3">
        <f>[1]Results!AB271</f>
        <v>12.66753265</v>
      </c>
      <c r="Z502" s="3">
        <f>[1]Results!AC271</f>
        <v>12.78805017</v>
      </c>
      <c r="AA502" s="3">
        <f>[1]Results!AD271</f>
        <v>12.923654259999999</v>
      </c>
      <c r="AB502" s="3">
        <f>[1]Results!AE271</f>
        <v>13.062703490000001</v>
      </c>
      <c r="AC502" s="3">
        <f>[1]Results!AF271</f>
        <v>13.21724096</v>
      </c>
      <c r="AD502" s="3">
        <f>[1]Results!AG271</f>
        <v>13.38770375</v>
      </c>
      <c r="AE502" s="3">
        <f>[1]Results!AH271</f>
        <v>13.57360557</v>
      </c>
      <c r="AF502" s="3">
        <f>[1]Results!AI271</f>
        <v>13.772573639999999</v>
      </c>
      <c r="AG502" s="3">
        <f>[1]Results!AJ271</f>
        <v>13.981340400000001</v>
      </c>
      <c r="AH502" s="3">
        <f>[1]Results!AK271</f>
        <v>14.19691006</v>
      </c>
      <c r="AI502" s="3">
        <f>[1]Results!AL271</f>
        <v>14.416653760000001</v>
      </c>
      <c r="AJ502" s="3">
        <f>[1]Results!AM271</f>
        <v>14.638265049999999</v>
      </c>
      <c r="AK502" s="3">
        <f>[1]Results!AN271</f>
        <v>14.859628259999999</v>
      </c>
      <c r="AL502" s="3">
        <f>[1]Results!AO271</f>
        <v>15.07874767</v>
      </c>
    </row>
    <row r="503" spans="1:38" x14ac:dyDescent="0.35">
      <c r="B503" s="3" t="str">
        <f>[1]Results!E274</f>
        <v>YG_toe_cote_0</v>
      </c>
      <c r="C503" s="3">
        <f>[1]Results!F274</f>
        <v>13.83758336</v>
      </c>
      <c r="D503" s="3">
        <f>[1]Results!G274</f>
        <v>14.17080024</v>
      </c>
      <c r="E503" s="3">
        <f>[1]Results!H274</f>
        <v>14.52662724</v>
      </c>
      <c r="F503" s="3">
        <f>[1]Results!I274</f>
        <v>14.895670839999999</v>
      </c>
      <c r="G503" s="3">
        <f>[1]Results!J274</f>
        <v>15.291431279999999</v>
      </c>
      <c r="H503" s="3">
        <f>[1]Results!K274</f>
        <v>15.71535871</v>
      </c>
      <c r="I503" s="3">
        <f>[1]Results!L274</f>
        <v>16.16274254</v>
      </c>
      <c r="J503" s="3">
        <f>[1]Results!M274</f>
        <v>16.621648839999999</v>
      </c>
      <c r="K503" s="3">
        <f>[1]Results!N274</f>
        <v>17.087593739999999</v>
      </c>
      <c r="L503" s="3">
        <f>[1]Results!O274</f>
        <v>17.559901579999998</v>
      </c>
      <c r="M503" s="3">
        <f>[1]Results!P274</f>
        <v>18.015545039999999</v>
      </c>
      <c r="N503" s="3">
        <f>[1]Results!Q274</f>
        <v>18.374495230000001</v>
      </c>
      <c r="O503" s="3">
        <f>[1]Results!R274</f>
        <v>18.66824231</v>
      </c>
      <c r="P503" s="3">
        <f>[1]Results!S274</f>
        <v>18.919012049999999</v>
      </c>
      <c r="Q503" s="3">
        <f>[1]Results!T274</f>
        <v>19.14840255</v>
      </c>
      <c r="R503" s="3">
        <f>[1]Results!U274</f>
        <v>19.37368193</v>
      </c>
      <c r="S503" s="3">
        <f>[1]Results!V274</f>
        <v>19.61157343</v>
      </c>
      <c r="T503" s="3">
        <f>[1]Results!W274</f>
        <v>19.881068939999999</v>
      </c>
      <c r="U503" s="3">
        <f>[1]Results!X274</f>
        <v>20.19246927</v>
      </c>
      <c r="V503" s="3">
        <f>[1]Results!Y274</f>
        <v>20.548969110000002</v>
      </c>
      <c r="W503" s="3">
        <f>[1]Results!Z274</f>
        <v>20.950996480000001</v>
      </c>
      <c r="X503" s="3">
        <f>[1]Results!AA274</f>
        <v>21.402376579999999</v>
      </c>
      <c r="Y503" s="3">
        <f>[1]Results!AB274</f>
        <v>21.906722810000002</v>
      </c>
      <c r="Z503" s="3">
        <f>[1]Results!AC274</f>
        <v>22.465335540000002</v>
      </c>
      <c r="AA503" s="3">
        <f>[1]Results!AD274</f>
        <v>23.076016469999999</v>
      </c>
      <c r="AB503" s="3">
        <f>[1]Results!AE274</f>
        <v>23.732517090000002</v>
      </c>
      <c r="AC503" s="3">
        <f>[1]Results!AF274</f>
        <v>24.440492240000001</v>
      </c>
      <c r="AD503" s="3">
        <f>[1]Results!AG274</f>
        <v>25.204757069999999</v>
      </c>
      <c r="AE503" s="3">
        <f>[1]Results!AH274</f>
        <v>26.02558024</v>
      </c>
      <c r="AF503" s="3">
        <f>[1]Results!AI274</f>
        <v>26.89318754</v>
      </c>
      <c r="AG503" s="3">
        <f>[1]Results!AJ274</f>
        <v>27.794286</v>
      </c>
      <c r="AH503" s="3">
        <f>[1]Results!AK274</f>
        <v>28.71869379</v>
      </c>
      <c r="AI503" s="3">
        <f>[1]Results!AL274</f>
        <v>29.659584989999999</v>
      </c>
      <c r="AJ503" s="3">
        <f>[1]Results!AM274</f>
        <v>30.61113945</v>
      </c>
      <c r="AK503" s="3">
        <f>[1]Results!AN274</f>
        <v>31.567663329999998</v>
      </c>
      <c r="AL503" s="3">
        <f>[1]Results!AO274</f>
        <v>32.523199329999997</v>
      </c>
    </row>
    <row r="504" spans="1:3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1:3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</row>
    <row r="506" spans="1:38" x14ac:dyDescent="0.35">
      <c r="A506" t="s">
        <v>95</v>
      </c>
      <c r="B506" t="s">
        <v>94</v>
      </c>
      <c r="C506" s="4">
        <f>C479/C492-1</f>
        <v>1.1443124448007325E-8</v>
      </c>
      <c r="D506" s="4">
        <f t="shared" ref="D506" si="108">D479/D492-1</f>
        <v>1.0650258008837454E-8</v>
      </c>
      <c r="E506" s="4">
        <f t="shared" ref="E506:AL506" si="109">E479/E492-1</f>
        <v>1.0529224159228079E-8</v>
      </c>
      <c r="F506" s="4">
        <f t="shared" si="109"/>
        <v>1.0400698746693138E-8</v>
      </c>
      <c r="G506" s="4">
        <f t="shared" si="109"/>
        <v>1.0260631677638798E-8</v>
      </c>
      <c r="H506" s="4">
        <f t="shared" si="109"/>
        <v>9.4771677172644786E-9</v>
      </c>
      <c r="I506" s="4">
        <f t="shared" si="109"/>
        <v>9.3303127446375811E-9</v>
      </c>
      <c r="J506" s="4">
        <f t="shared" si="109"/>
        <v>4.9365500256883799E-3</v>
      </c>
      <c r="K506" s="4">
        <f t="shared" si="109"/>
        <v>1.1175539156364378E-2</v>
      </c>
      <c r="L506" s="4">
        <f t="shared" si="109"/>
        <v>2.1967188937688231E-2</v>
      </c>
      <c r="M506" s="4">
        <f t="shared" si="109"/>
        <v>3.3567915820928107E-2</v>
      </c>
      <c r="N506" s="4">
        <f t="shared" si="109"/>
        <v>4.4821333916427841E-2</v>
      </c>
      <c r="O506" s="4">
        <f t="shared" si="109"/>
        <v>5.5904101500809933E-2</v>
      </c>
      <c r="P506" s="4">
        <f t="shared" si="109"/>
        <v>6.7296039865341939E-2</v>
      </c>
      <c r="Q506" s="4">
        <f t="shared" si="109"/>
        <v>7.9506346270396877E-2</v>
      </c>
      <c r="R506" s="4">
        <f t="shared" si="109"/>
        <v>9.2665247276728202E-2</v>
      </c>
      <c r="S506" s="4">
        <f t="shared" si="109"/>
        <v>0.10557277416297195</v>
      </c>
      <c r="T506" s="4">
        <f t="shared" si="109"/>
        <v>0.11919868241371856</v>
      </c>
      <c r="U506" s="4">
        <f t="shared" si="109"/>
        <v>0.13352529998382878</v>
      </c>
      <c r="V506" s="4">
        <f t="shared" si="109"/>
        <v>0.14867605224614588</v>
      </c>
      <c r="W506" s="4">
        <f t="shared" si="109"/>
        <v>0.16484647816364628</v>
      </c>
      <c r="X506" s="4">
        <f t="shared" si="109"/>
        <v>0.18227154212998498</v>
      </c>
      <c r="Y506" s="4">
        <f t="shared" si="109"/>
        <v>0.20121185914679707</v>
      </c>
      <c r="Z506" s="4">
        <f t="shared" si="109"/>
        <v>0.22189290905818826</v>
      </c>
      <c r="AA506" s="4">
        <f t="shared" si="109"/>
        <v>0.24456236290245137</v>
      </c>
      <c r="AB506" s="4">
        <f t="shared" si="109"/>
        <v>0.26952062866386495</v>
      </c>
      <c r="AC506" s="4">
        <f t="shared" si="109"/>
        <v>0.29761520582442946</v>
      </c>
      <c r="AD506" s="4">
        <f t="shared" si="109"/>
        <v>0.32909422055064641</v>
      </c>
      <c r="AE506" s="4">
        <f t="shared" si="109"/>
        <v>0.36447654351348491</v>
      </c>
      <c r="AF506" s="4">
        <f t="shared" si="109"/>
        <v>0.40436062108340542</v>
      </c>
      <c r="AG506" s="4">
        <f t="shared" si="109"/>
        <v>0.44947637107063865</v>
      </c>
      <c r="AH506" s="4">
        <f t="shared" si="109"/>
        <v>0.5008015761510265</v>
      </c>
      <c r="AI506" s="4">
        <f t="shared" si="109"/>
        <v>0.55960499541613973</v>
      </c>
      <c r="AJ506" s="4">
        <f t="shared" si="109"/>
        <v>0.62740867486580343</v>
      </c>
      <c r="AK506" s="4">
        <f t="shared" si="109"/>
        <v>0.70616072088246717</v>
      </c>
      <c r="AL506" s="4">
        <f t="shared" si="109"/>
        <v>0.79845903301820642</v>
      </c>
    </row>
    <row r="507" spans="1:38" x14ac:dyDescent="0.35">
      <c r="B507" t="s">
        <v>76</v>
      </c>
      <c r="C507" s="4">
        <f>(C480-C493)/C$492</f>
        <v>2.6924997876407011E-11</v>
      </c>
      <c r="D507" s="4">
        <f>(D480-D493)/D$492</f>
        <v>2.6625643871720816E-11</v>
      </c>
      <c r="E507" s="4">
        <f t="shared" ref="E507:AL507" si="110">(E480-E493)/E$492</f>
        <v>2.6323059591427066E-11</v>
      </c>
      <c r="F507" s="4">
        <f t="shared" si="110"/>
        <v>1.9501309022735806E-11</v>
      </c>
      <c r="G507" s="4">
        <f t="shared" si="110"/>
        <v>1.9238686160046065E-11</v>
      </c>
      <c r="H507" s="4">
        <f t="shared" si="110"/>
        <v>1.895433690868527E-11</v>
      </c>
      <c r="I507" s="4">
        <f t="shared" si="110"/>
        <v>1.8660624449784239E-11</v>
      </c>
      <c r="J507" s="4">
        <f t="shared" si="110"/>
        <v>-6.1398334708143469E-4</v>
      </c>
      <c r="K507" s="4">
        <f t="shared" si="110"/>
        <v>-1.2960893128862471E-3</v>
      </c>
      <c r="L507" s="4">
        <f t="shared" si="110"/>
        <v>-1.8778886575620819E-3</v>
      </c>
      <c r="M507" s="4">
        <f t="shared" si="110"/>
        <v>-2.4125167448859415E-3</v>
      </c>
      <c r="N507" s="4">
        <f t="shared" si="110"/>
        <v>-2.8420968777121639E-3</v>
      </c>
      <c r="O507" s="4">
        <f t="shared" si="110"/>
        <v>-3.2048861368436168E-3</v>
      </c>
      <c r="P507" s="4">
        <f t="shared" si="110"/>
        <v>-3.521662239119803E-3</v>
      </c>
      <c r="Q507" s="4">
        <f t="shared" si="110"/>
        <v>-3.8022212369312786E-3</v>
      </c>
      <c r="R507" s="4">
        <f t="shared" si="110"/>
        <v>-4.0562163380835278E-3</v>
      </c>
      <c r="S507" s="4">
        <f t="shared" si="110"/>
        <v>-4.3453072703253728E-3</v>
      </c>
      <c r="T507" s="4">
        <f t="shared" si="110"/>
        <v>-4.659286164589758E-3</v>
      </c>
      <c r="U507" s="4">
        <f t="shared" si="110"/>
        <v>-4.9889380881878746E-3</v>
      </c>
      <c r="V507" s="4">
        <f t="shared" si="110"/>
        <v>-5.3267348285235463E-3</v>
      </c>
      <c r="W507" s="4">
        <f t="shared" si="110"/>
        <v>-5.6674000875043522E-3</v>
      </c>
      <c r="X507" s="4">
        <f t="shared" si="110"/>
        <v>-6.0052223126570575E-3</v>
      </c>
      <c r="Y507" s="4">
        <f t="shared" si="110"/>
        <v>-6.3371877610185869E-3</v>
      </c>
      <c r="Z507" s="4">
        <f t="shared" si="110"/>
        <v>-6.6613636457550623E-3</v>
      </c>
      <c r="AA507" s="4">
        <f t="shared" si="110"/>
        <v>-6.9760926613283885E-3</v>
      </c>
      <c r="AB507" s="4">
        <f t="shared" si="110"/>
        <v>-7.2822173074599469E-3</v>
      </c>
      <c r="AC507" s="4">
        <f t="shared" si="110"/>
        <v>-7.5737183480362753E-3</v>
      </c>
      <c r="AD507" s="4">
        <f t="shared" si="110"/>
        <v>-7.8508544868026095E-3</v>
      </c>
      <c r="AE507" s="4">
        <f t="shared" si="110"/>
        <v>-8.1133236188454996E-3</v>
      </c>
      <c r="AF507" s="4">
        <f t="shared" si="110"/>
        <v>-8.3603746193807327E-3</v>
      </c>
      <c r="AG507" s="4">
        <f t="shared" si="110"/>
        <v>-8.5907818067211105E-3</v>
      </c>
      <c r="AH507" s="4">
        <f t="shared" si="110"/>
        <v>-8.8027561906502665E-3</v>
      </c>
      <c r="AI507" s="4">
        <f t="shared" si="110"/>
        <v>-8.9940440952640584E-3</v>
      </c>
      <c r="AJ507" s="4">
        <f t="shared" si="110"/>
        <v>-9.162021310996785E-3</v>
      </c>
      <c r="AK507" s="4">
        <f t="shared" si="110"/>
        <v>-9.3028431646326216E-3</v>
      </c>
      <c r="AL507" s="4">
        <f t="shared" si="110"/>
        <v>-9.4100141932156565E-3</v>
      </c>
    </row>
    <row r="508" spans="1:38" x14ac:dyDescent="0.35">
      <c r="B508" t="s">
        <v>74</v>
      </c>
      <c r="C508" s="4">
        <f>(C481-C494)/C$493</f>
        <v>5.0655658519054695E-9</v>
      </c>
      <c r="D508" s="4">
        <f>(D481-D494)/D$492</f>
        <v>2.6625646827761187E-11</v>
      </c>
      <c r="E508" s="4">
        <f t="shared" ref="E508:AL508" si="111">(E481-E494)/E$492</f>
        <v>9.2130718798558416E-11</v>
      </c>
      <c r="F508" s="4">
        <f t="shared" si="111"/>
        <v>9.7506536453357542E-11</v>
      </c>
      <c r="G508" s="4">
        <f t="shared" si="111"/>
        <v>8.9780535413548292E-11</v>
      </c>
      <c r="H508" s="4">
        <f t="shared" si="111"/>
        <v>1.579527851259351E-10</v>
      </c>
      <c r="I508" s="4">
        <f t="shared" si="111"/>
        <v>1.5550520466897783E-10</v>
      </c>
      <c r="J508" s="4">
        <f t="shared" si="111"/>
        <v>-8.6558206624342366E-4</v>
      </c>
      <c r="K508" s="4">
        <f t="shared" si="111"/>
        <v>-1.6823118678169176E-3</v>
      </c>
      <c r="L508" s="4">
        <f t="shared" si="111"/>
        <v>-1.7477489619561707E-3</v>
      </c>
      <c r="M508" s="4">
        <f t="shared" si="111"/>
        <v>-1.4956881857065567E-3</v>
      </c>
      <c r="N508" s="4">
        <f t="shared" si="111"/>
        <v>-6.8417837736727482E-4</v>
      </c>
      <c r="O508" s="4">
        <f t="shared" si="111"/>
        <v>5.4526290613111711E-4</v>
      </c>
      <c r="P508" s="4">
        <f t="shared" si="111"/>
        <v>2.1213700972029484E-3</v>
      </c>
      <c r="Q508" s="4">
        <f t="shared" si="111"/>
        <v>4.0163469940165614E-3</v>
      </c>
      <c r="R508" s="4">
        <f t="shared" si="111"/>
        <v>6.177291422965964E-3</v>
      </c>
      <c r="S508" s="4">
        <f t="shared" si="111"/>
        <v>8.2945075009951529E-3</v>
      </c>
      <c r="T508" s="4">
        <f t="shared" si="111"/>
        <v>1.0332687635574815E-2</v>
      </c>
      <c r="U508" s="4">
        <f t="shared" si="111"/>
        <v>1.2313429240539842E-2</v>
      </c>
      <c r="V508" s="4">
        <f t="shared" si="111"/>
        <v>1.4276531280303236E-2</v>
      </c>
      <c r="W508" s="4">
        <f t="shared" si="111"/>
        <v>1.6268761325371178E-2</v>
      </c>
      <c r="X508" s="4">
        <f t="shared" si="111"/>
        <v>1.8315236061020018E-2</v>
      </c>
      <c r="Y508" s="4">
        <f t="shared" si="111"/>
        <v>2.0448170612595944E-2</v>
      </c>
      <c r="Z508" s="4">
        <f t="shared" si="111"/>
        <v>2.2686969495964649E-2</v>
      </c>
      <c r="AA508" s="4">
        <f t="shared" si="111"/>
        <v>2.5049671538094911E-2</v>
      </c>
      <c r="AB508" s="4">
        <f t="shared" si="111"/>
        <v>2.7578837323866966E-2</v>
      </c>
      <c r="AC508" s="4">
        <f t="shared" si="111"/>
        <v>3.0282112481273573E-2</v>
      </c>
      <c r="AD508" s="4">
        <f t="shared" si="111"/>
        <v>3.3200134422997345E-2</v>
      </c>
      <c r="AE508" s="4">
        <f t="shared" si="111"/>
        <v>3.6367993794911707E-2</v>
      </c>
      <c r="AF508" s="4">
        <f t="shared" si="111"/>
        <v>3.9831940943272359E-2</v>
      </c>
      <c r="AG508" s="4">
        <f t="shared" si="111"/>
        <v>4.365029192905899E-2</v>
      </c>
      <c r="AH508" s="4">
        <f t="shared" si="111"/>
        <v>4.7899129570454141E-2</v>
      </c>
      <c r="AI508" s="4">
        <f t="shared" si="111"/>
        <v>5.2675982725718058E-2</v>
      </c>
      <c r="AJ508" s="4">
        <f t="shared" si="111"/>
        <v>5.8097954344823594E-2</v>
      </c>
      <c r="AK508" s="4">
        <f t="shared" si="111"/>
        <v>6.4320737113823176E-2</v>
      </c>
      <c r="AL508" s="4">
        <f t="shared" si="111"/>
        <v>7.1569509728937608E-2</v>
      </c>
    </row>
    <row r="509" spans="1:38" x14ac:dyDescent="0.35">
      <c r="B509" t="s">
        <v>54</v>
      </c>
      <c r="C509" s="4">
        <f>(C485-C498)/C$492</f>
        <v>1.1200799433448503E-8</v>
      </c>
      <c r="D509" s="4">
        <f>(D485-D498)/D$492</f>
        <v>1.0696852732153026E-8</v>
      </c>
      <c r="E509" s="4">
        <f t="shared" ref="E509:AL509" si="112">(E485-E498)/E$492</f>
        <v>1.0318639652084086E-8</v>
      </c>
      <c r="F509" s="4">
        <f t="shared" si="112"/>
        <v>9.9781704347484478E-9</v>
      </c>
      <c r="G509" s="4">
        <f t="shared" si="112"/>
        <v>9.7796646558872185E-9</v>
      </c>
      <c r="H509" s="4">
        <f t="shared" si="112"/>
        <v>9.6098480158547355E-9</v>
      </c>
      <c r="I509" s="4">
        <f t="shared" si="112"/>
        <v>9.4173957540693701E-9</v>
      </c>
      <c r="J509" s="4">
        <f t="shared" si="112"/>
        <v>-7.9182613643610626E-4</v>
      </c>
      <c r="K509" s="4">
        <f t="shared" si="112"/>
        <v>-1.1377175045896538E-3</v>
      </c>
      <c r="L509" s="4">
        <f t="shared" si="112"/>
        <v>-1.4309603411603573E-3</v>
      </c>
      <c r="M509" s="4">
        <f t="shared" si="112"/>
        <v>-1.6077639767504144E-3</v>
      </c>
      <c r="N509" s="4">
        <f t="shared" si="112"/>
        <v>-1.6554823565863228E-3</v>
      </c>
      <c r="O509" s="4">
        <f t="shared" si="112"/>
        <v>-1.7074298727613882E-3</v>
      </c>
      <c r="P509" s="4">
        <f t="shared" si="112"/>
        <v>-1.8211599249135192E-3</v>
      </c>
      <c r="Q509" s="4">
        <f t="shared" si="112"/>
        <v>-2.0161514015899985E-3</v>
      </c>
      <c r="R509" s="4">
        <f t="shared" si="112"/>
        <v>-2.2815774446654433E-3</v>
      </c>
      <c r="S509" s="4">
        <f t="shared" si="112"/>
        <v>-2.6350386904579371E-3</v>
      </c>
      <c r="T509" s="4">
        <f t="shared" si="112"/>
        <v>-2.9897374933827866E-3</v>
      </c>
      <c r="U509" s="4">
        <f t="shared" si="112"/>
        <v>-3.3260887472449235E-3</v>
      </c>
      <c r="V509" s="4">
        <f t="shared" si="112"/>
        <v>-3.6333022031835751E-3</v>
      </c>
      <c r="W509" s="4">
        <f t="shared" si="112"/>
        <v>-3.9062616396133062E-3</v>
      </c>
      <c r="X509" s="4">
        <f t="shared" si="112"/>
        <v>-4.1466938409928785E-3</v>
      </c>
      <c r="Y509" s="4">
        <f t="shared" si="112"/>
        <v>-4.3673162350031372E-3</v>
      </c>
      <c r="Z509" s="4">
        <f t="shared" si="112"/>
        <v>-4.5740353450476083E-3</v>
      </c>
      <c r="AA509" s="4">
        <f t="shared" si="112"/>
        <v>-4.7710163086524E-3</v>
      </c>
      <c r="AB509" s="4">
        <f t="shared" si="112"/>
        <v>-4.9646680663050797E-3</v>
      </c>
      <c r="AC509" s="4">
        <f t="shared" si="112"/>
        <v>-5.1600450194279977E-3</v>
      </c>
      <c r="AD509" s="4">
        <f t="shared" si="112"/>
        <v>-5.3675224625723151E-3</v>
      </c>
      <c r="AE509" s="4">
        <f t="shared" si="112"/>
        <v>-5.5930084083329439E-3</v>
      </c>
      <c r="AF509" s="4">
        <f t="shared" si="112"/>
        <v>-5.8469892109249567E-3</v>
      </c>
      <c r="AG509" s="4">
        <f t="shared" si="112"/>
        <v>-6.1429401624638127E-3</v>
      </c>
      <c r="AH509" s="4">
        <f t="shared" si="112"/>
        <v>-6.4963703135556576E-3</v>
      </c>
      <c r="AI509" s="4">
        <f t="shared" si="112"/>
        <v>-6.9219247389157258E-3</v>
      </c>
      <c r="AJ509" s="4">
        <f t="shared" si="112"/>
        <v>-7.4358153985472908E-3</v>
      </c>
      <c r="AK509" s="4">
        <f t="shared" si="112"/>
        <v>-8.0577172568747149E-3</v>
      </c>
      <c r="AL509" s="4">
        <f t="shared" si="112"/>
        <v>-8.8129462986038451E-3</v>
      </c>
    </row>
    <row r="510" spans="1:38" x14ac:dyDescent="0.35">
      <c r="B510" t="s">
        <v>11</v>
      </c>
      <c r="C510" s="4">
        <f>(C486-C499)/C$493</f>
        <v>4.2213048765878908E-9</v>
      </c>
      <c r="D510" s="4">
        <f>(D486-D499)/D$492</f>
        <v>6.6564117069402966E-11</v>
      </c>
      <c r="E510" s="4">
        <f t="shared" ref="E510:AL510" si="113">(E486-E499)/E$492</f>
        <v>1.3161531256936916E-10</v>
      </c>
      <c r="F510" s="4">
        <f t="shared" si="113"/>
        <v>1.3000874606339754E-10</v>
      </c>
      <c r="G510" s="4">
        <f t="shared" si="113"/>
        <v>1.2825790773364044E-10</v>
      </c>
      <c r="H510" s="4">
        <f t="shared" si="113"/>
        <v>6.3181123028950899E-11</v>
      </c>
      <c r="I510" s="4">
        <f t="shared" si="113"/>
        <v>6.2202046509799096E-11</v>
      </c>
      <c r="J510" s="4">
        <f t="shared" si="113"/>
        <v>8.8554626547702655E-3</v>
      </c>
      <c r="K510" s="4">
        <f t="shared" si="113"/>
        <v>1.8764415881002229E-2</v>
      </c>
      <c r="L510" s="4">
        <f t="shared" si="113"/>
        <v>3.1073529885541379E-2</v>
      </c>
      <c r="M510" s="4">
        <f t="shared" si="113"/>
        <v>4.3647420674582701E-2</v>
      </c>
      <c r="N510" s="4">
        <f t="shared" si="113"/>
        <v>5.5031261228174332E-2</v>
      </c>
      <c r="O510" s="4">
        <f t="shared" si="113"/>
        <v>6.5754713935444742E-2</v>
      </c>
      <c r="P510" s="4">
        <f t="shared" si="113"/>
        <v>7.6376538799907176E-2</v>
      </c>
      <c r="Q510" s="4">
        <f t="shared" si="113"/>
        <v>8.7365318590805596E-2</v>
      </c>
      <c r="R510" s="4">
        <f t="shared" si="113"/>
        <v>9.8908597737799336E-2</v>
      </c>
      <c r="S510" s="4">
        <f t="shared" si="113"/>
        <v>0.11082703781082531</v>
      </c>
      <c r="T510" s="4">
        <f t="shared" si="113"/>
        <v>0.12362190841786566</v>
      </c>
      <c r="U510" s="4">
        <f t="shared" si="113"/>
        <v>0.13720641605773173</v>
      </c>
      <c r="V510" s="4">
        <f t="shared" si="113"/>
        <v>0.15161644112224446</v>
      </c>
      <c r="W510" s="4">
        <f t="shared" si="113"/>
        <v>0.16696345656246589</v>
      </c>
      <c r="X510" s="4">
        <f t="shared" si="113"/>
        <v>0.18342861918864548</v>
      </c>
      <c r="Y510" s="4">
        <f t="shared" si="113"/>
        <v>0.20122772106299908</v>
      </c>
      <c r="Z510" s="4">
        <f t="shared" si="113"/>
        <v>0.22055525596196998</v>
      </c>
      <c r="AA510" s="4">
        <f t="shared" si="113"/>
        <v>0.24162794885627989</v>
      </c>
      <c r="AB510" s="4">
        <f t="shared" si="113"/>
        <v>0.26469658218751424</v>
      </c>
      <c r="AC510" s="4">
        <f t="shared" si="113"/>
        <v>0.29042723041887875</v>
      </c>
      <c r="AD510" s="4">
        <f t="shared" si="113"/>
        <v>0.31914555675299477</v>
      </c>
      <c r="AE510" s="4">
        <f t="shared" si="113"/>
        <v>0.35132303624967048</v>
      </c>
      <c r="AF510" s="4">
        <f t="shared" si="113"/>
        <v>0.38750394496559321</v>
      </c>
      <c r="AG510" s="4">
        <f t="shared" si="113"/>
        <v>0.42835004889203337</v>
      </c>
      <c r="AH510" s="4">
        <f t="shared" si="113"/>
        <v>0.47474390021290486</v>
      </c>
      <c r="AI510" s="4">
        <f t="shared" si="113"/>
        <v>0.52782755289890682</v>
      </c>
      <c r="AJ510" s="4">
        <f t="shared" si="113"/>
        <v>0.58897262922575933</v>
      </c>
      <c r="AK510" s="4">
        <f t="shared" si="113"/>
        <v>0.65992845784763043</v>
      </c>
      <c r="AL510" s="4">
        <f t="shared" si="113"/>
        <v>0.7430092970557175</v>
      </c>
    </row>
    <row r="511" spans="1:38" x14ac:dyDescent="0.35">
      <c r="B511" t="s">
        <v>75</v>
      </c>
      <c r="C511" s="4">
        <f>(C487-C500)/C$494</f>
        <v>-3.8983077373478467E-11</v>
      </c>
      <c r="D511" s="4">
        <f>(D487-D500)/D$492</f>
        <v>-5.3251293655522373E-11</v>
      </c>
      <c r="E511" s="4">
        <f t="shared" ref="E511:AL511" si="114">(E487-E500)/E$492</f>
        <v>-2.6323062513873832E-11</v>
      </c>
      <c r="F511" s="4">
        <f t="shared" si="114"/>
        <v>-7.1504833429059259E-11</v>
      </c>
      <c r="G511" s="4">
        <f t="shared" si="114"/>
        <v>-1.0260628062055378E-10</v>
      </c>
      <c r="H511" s="4">
        <f t="shared" si="114"/>
        <v>-1.8322523433751546E-10</v>
      </c>
      <c r="I511" s="4">
        <f t="shared" si="114"/>
        <v>-1.3062436838616218E-10</v>
      </c>
      <c r="J511" s="4">
        <f t="shared" si="114"/>
        <v>-1.6475205957163399E-3</v>
      </c>
      <c r="K511" s="4">
        <f t="shared" si="114"/>
        <v>-3.4727582501785067E-3</v>
      </c>
      <c r="L511" s="4">
        <f t="shared" si="114"/>
        <v>-4.0497429219702582E-3</v>
      </c>
      <c r="M511" s="4">
        <f t="shared" si="114"/>
        <v>-4.5635355378318516E-3</v>
      </c>
      <c r="N511" s="4">
        <f t="shared" si="114"/>
        <v>-5.0281699017034193E-3</v>
      </c>
      <c r="O511" s="4">
        <f t="shared" si="114"/>
        <v>-5.4835597357974089E-3</v>
      </c>
      <c r="P511" s="4">
        <f t="shared" si="114"/>
        <v>-5.8590468903239584E-3</v>
      </c>
      <c r="Q511" s="4">
        <f t="shared" si="114"/>
        <v>-6.0569466983105714E-3</v>
      </c>
      <c r="R511" s="4">
        <f t="shared" si="114"/>
        <v>-6.0828480456972742E-3</v>
      </c>
      <c r="S511" s="4">
        <f t="shared" si="114"/>
        <v>-6.568425072220589E-3</v>
      </c>
      <c r="T511" s="4">
        <f t="shared" si="114"/>
        <v>-7.1068895386306409E-3</v>
      </c>
      <c r="U511" s="4">
        <f t="shared" si="114"/>
        <v>-7.6795186307631515E-3</v>
      </c>
      <c r="V511" s="4">
        <f t="shared" si="114"/>
        <v>-8.2568833231323434E-3</v>
      </c>
      <c r="W511" s="4">
        <f t="shared" si="114"/>
        <v>-8.8120777797100446E-3</v>
      </c>
      <c r="X511" s="4">
        <f t="shared" si="114"/>
        <v>-9.3203972747958018E-3</v>
      </c>
      <c r="Y511" s="4">
        <f t="shared" si="114"/>
        <v>-9.7595285714657375E-3</v>
      </c>
      <c r="Z511" s="4">
        <f t="shared" si="114"/>
        <v>-1.0113917661813047E-2</v>
      </c>
      <c r="AA511" s="4">
        <f t="shared" si="114"/>
        <v>-1.036814824292445E-2</v>
      </c>
      <c r="AB511" s="4">
        <f t="shared" si="114"/>
        <v>-1.0507906000790672E-2</v>
      </c>
      <c r="AC511" s="4">
        <f t="shared" si="114"/>
        <v>-1.0360373236426228E-2</v>
      </c>
      <c r="AD511" s="4">
        <f t="shared" si="114"/>
        <v>-1.0033093445515413E-2</v>
      </c>
      <c r="AE511" s="4">
        <f t="shared" si="114"/>
        <v>-9.5081544208903499E-3</v>
      </c>
      <c r="AF511" s="4">
        <f t="shared" si="114"/>
        <v>-8.7679013339346575E-3</v>
      </c>
      <c r="AG511" s="4">
        <f t="shared" si="114"/>
        <v>-7.7902481684403897E-3</v>
      </c>
      <c r="AH511" s="4">
        <f t="shared" si="114"/>
        <v>-6.5423269695171144E-3</v>
      </c>
      <c r="AI511" s="4">
        <f t="shared" si="114"/>
        <v>-4.9825718545941306E-3</v>
      </c>
      <c r="AJ511" s="4">
        <f t="shared" si="114"/>
        <v>-3.0640718304563342E-3</v>
      </c>
      <c r="AK511" s="4">
        <f t="shared" si="114"/>
        <v>-7.2791341085244306E-4</v>
      </c>
      <c r="AL511" s="4">
        <f t="shared" si="114"/>
        <v>2.1031864886962891E-3</v>
      </c>
    </row>
    <row r="513" spans="2:38" x14ac:dyDescent="0.35">
      <c r="B513" s="6" t="str">
        <f>[1]Macro!A100</f>
        <v>y_toe_2</v>
      </c>
      <c r="C513" s="6">
        <f>[1]Macro!B100</f>
        <v>139.4020707</v>
      </c>
      <c r="D513" s="6">
        <f>[1]Macro!C100</f>
        <v>140.9922345</v>
      </c>
      <c r="E513" s="6">
        <f>[1]Macro!D100</f>
        <v>142.632555</v>
      </c>
      <c r="F513" s="6">
        <f>[1]Macro!E100</f>
        <v>144.41430890000001</v>
      </c>
      <c r="G513" s="6">
        <f>[1]Macro!F100</f>
        <v>146.40814409999999</v>
      </c>
      <c r="H513" s="6">
        <f>[1]Macro!G100</f>
        <v>148.63448679999999</v>
      </c>
      <c r="I513" s="6">
        <f>[1]Macro!H100</f>
        <v>151.01393830000001</v>
      </c>
      <c r="J513" s="6">
        <f>[1]Macro!I100</f>
        <v>154.53184089999999</v>
      </c>
      <c r="K513" s="6">
        <f>[1]Macro!J100</f>
        <v>158.30411219999999</v>
      </c>
      <c r="L513" s="6">
        <f>[1]Macro!K100</f>
        <v>162.86351400000001</v>
      </c>
      <c r="M513" s="6">
        <f>[1]Macro!L100</f>
        <v>167.5757164</v>
      </c>
      <c r="N513" s="6">
        <f>[1]Macro!M100</f>
        <v>171.858057</v>
      </c>
      <c r="O513" s="6">
        <f>[1]Macro!N100</f>
        <v>175.8171226</v>
      </c>
      <c r="P513" s="6">
        <f>[1]Macro!O100</f>
        <v>179.60672030000001</v>
      </c>
      <c r="Q513" s="6">
        <f>[1]Macro!P100</f>
        <v>183.40445299999999</v>
      </c>
      <c r="R513" s="6">
        <f>[1]Macro!Q100</f>
        <v>187.32233189999999</v>
      </c>
      <c r="S513" s="6">
        <f>[1]Macro!R100</f>
        <v>191.2594685</v>
      </c>
      <c r="T513" s="6">
        <f>[1]Macro!S100</f>
        <v>195.4887712</v>
      </c>
      <c r="U513" s="6">
        <f>[1]Macro!T100</f>
        <v>200.0931449</v>
      </c>
      <c r="V513" s="6">
        <f>[1]Macro!U100</f>
        <v>205.14319499999999</v>
      </c>
      <c r="W513" s="6">
        <f>[1]Macro!V100</f>
        <v>210.67673429999999</v>
      </c>
      <c r="X513" s="6">
        <f>[1]Macro!W100</f>
        <v>216.83010490000001</v>
      </c>
      <c r="Y513" s="6">
        <f>[1]Macro!X100</f>
        <v>223.6937533</v>
      </c>
      <c r="Z513" s="6">
        <f>[1]Macro!Y100</f>
        <v>231.35014849999999</v>
      </c>
      <c r="AA513" s="6">
        <f>[1]Macro!Z100</f>
        <v>239.87604619999999</v>
      </c>
      <c r="AB513" s="6">
        <f>[1]Macro!AA100</f>
        <v>249.24634019999999</v>
      </c>
      <c r="AC513" s="6">
        <f>[1]Macro!AB100</f>
        <v>259.78753819999997</v>
      </c>
      <c r="AD513" s="6">
        <f>[1]Macro!AC100</f>
        <v>271.62434580000001</v>
      </c>
      <c r="AE513" s="6">
        <f>[1]Macro!AD100</f>
        <v>284.92606039999998</v>
      </c>
      <c r="AF513" s="6">
        <f>[1]Macro!AE100</f>
        <v>299.83277820000001</v>
      </c>
      <c r="AG513" s="6">
        <f>[1]Macro!AF100</f>
        <v>316.49413090000002</v>
      </c>
      <c r="AH513" s="6">
        <f>[1]Macro!AG100</f>
        <v>335.13128590000002</v>
      </c>
      <c r="AI513" s="6">
        <f>[1]Macro!AH100</f>
        <v>356.05769190000001</v>
      </c>
      <c r="AJ513" s="6">
        <f>[1]Macro!AI100</f>
        <v>379.6696306</v>
      </c>
      <c r="AK513" s="6">
        <f>[1]Macro!AJ100</f>
        <v>406.48654590000001</v>
      </c>
      <c r="AL513" s="6">
        <f>[1]Macro!AK100</f>
        <v>437.20966499999997</v>
      </c>
    </row>
    <row r="514" spans="2:38" x14ac:dyDescent="0.35">
      <c r="B514" s="6" t="str">
        <f>[1]Macro!A101</f>
        <v>m_toe_2</v>
      </c>
      <c r="C514" s="6">
        <f>[1]Macro!B101</f>
        <v>150.64917399999999</v>
      </c>
      <c r="D514" s="6">
        <f>[1]Macro!C101</f>
        <v>151.65968330000001</v>
      </c>
      <c r="E514" s="6">
        <f>[1]Macro!D101</f>
        <v>152.7455712</v>
      </c>
      <c r="F514" s="6">
        <f>[1]Macro!E101</f>
        <v>153.8333509</v>
      </c>
      <c r="G514" s="6">
        <f>[1]Macro!F101</f>
        <v>155.5374195</v>
      </c>
      <c r="H514" s="6">
        <f>[1]Macro!G101</f>
        <v>157.74960340000001</v>
      </c>
      <c r="I514" s="6">
        <f>[1]Macro!H101</f>
        <v>159.97266730000001</v>
      </c>
      <c r="J514" s="6">
        <f>[1]Macro!I101</f>
        <v>159.16782359999999</v>
      </c>
      <c r="K514" s="6">
        <f>[1]Macro!J101</f>
        <v>158.0856445</v>
      </c>
      <c r="L514" s="6">
        <f>[1]Macro!K101</f>
        <v>157.64380929999999</v>
      </c>
      <c r="M514" s="6">
        <f>[1]Macro!L101</f>
        <v>157.3870805</v>
      </c>
      <c r="N514" s="6">
        <f>[1]Macro!M101</f>
        <v>157.10597200000001</v>
      </c>
      <c r="O514" s="6">
        <f>[1]Macro!N101</f>
        <v>156.71956589999999</v>
      </c>
      <c r="P514" s="6">
        <f>[1]Macro!O101</f>
        <v>156.25570759999999</v>
      </c>
      <c r="Q514" s="6">
        <f>[1]Macro!P101</f>
        <v>155.7943927</v>
      </c>
      <c r="R514" s="6">
        <f>[1]Macro!Q101</f>
        <v>155.38011560000001</v>
      </c>
      <c r="S514" s="6">
        <f>[1]Macro!R101</f>
        <v>154.9568707</v>
      </c>
      <c r="T514" s="6">
        <f>[1]Macro!S101</f>
        <v>154.64028709999999</v>
      </c>
      <c r="U514" s="6">
        <f>[1]Macro!T101</f>
        <v>154.4767674</v>
      </c>
      <c r="V514" s="6">
        <f>[1]Macro!U101</f>
        <v>154.4912458</v>
      </c>
      <c r="W514" s="6">
        <f>[1]Macro!V101</f>
        <v>154.6804391</v>
      </c>
      <c r="X514" s="6">
        <f>[1]Macro!W101</f>
        <v>155.09950660000001</v>
      </c>
      <c r="Y514" s="6">
        <f>[1]Macro!X101</f>
        <v>155.76814619999999</v>
      </c>
      <c r="Z514" s="6">
        <f>[1]Macro!Y101</f>
        <v>156.69731669999999</v>
      </c>
      <c r="AA514" s="6">
        <f>[1]Macro!Z101</f>
        <v>157.88748870000001</v>
      </c>
      <c r="AB514" s="6">
        <f>[1]Macro!AA101</f>
        <v>159.2735782</v>
      </c>
      <c r="AC514" s="6">
        <f>[1]Macro!AB101</f>
        <v>160.971541</v>
      </c>
      <c r="AD514" s="6">
        <f>[1]Macro!AC101</f>
        <v>162.99717530000001</v>
      </c>
      <c r="AE514" s="6">
        <f>[1]Macro!AD101</f>
        <v>165.36931179999999</v>
      </c>
      <c r="AF514" s="6">
        <f>[1]Macro!AE101</f>
        <v>168.0757131</v>
      </c>
      <c r="AG514" s="6">
        <f>[1]Macro!AF101</f>
        <v>171.09344970000001</v>
      </c>
      <c r="AH514" s="6">
        <f>[1]Macro!AG101</f>
        <v>174.4180681</v>
      </c>
      <c r="AI514" s="6">
        <f>[1]Macro!AH101</f>
        <v>178.0694585</v>
      </c>
      <c r="AJ514" s="6">
        <f>[1]Macro!AI101</f>
        <v>182.08429849999999</v>
      </c>
      <c r="AK514" s="6">
        <f>[1]Macro!AJ101</f>
        <v>186.52406350000001</v>
      </c>
      <c r="AL514" s="6">
        <f>[1]Macro!AK101</f>
        <v>191.4885142</v>
      </c>
    </row>
    <row r="515" spans="2:38" x14ac:dyDescent="0.35">
      <c r="B515" s="6" t="str">
        <f>[1]Macro!A102</f>
        <v>ci_toe_2</v>
      </c>
      <c r="C515" s="6">
        <f>[1]Macro!B102</f>
        <v>192.35883190000001</v>
      </c>
      <c r="D515" s="6">
        <f>[1]Macro!C102</f>
        <v>194.59561819999999</v>
      </c>
      <c r="E515" s="6">
        <f>[1]Macro!D102</f>
        <v>197.03085720000001</v>
      </c>
      <c r="F515" s="6">
        <f>[1]Macro!E102</f>
        <v>199.57255119999999</v>
      </c>
      <c r="G515" s="6">
        <f>[1]Macro!F102</f>
        <v>202.6828452</v>
      </c>
      <c r="H515" s="6">
        <f>[1]Macro!G102</f>
        <v>206.3477039</v>
      </c>
      <c r="I515" s="6">
        <f>[1]Macro!H102</f>
        <v>210.20149169999999</v>
      </c>
      <c r="J515" s="6">
        <f>[1]Macro!I102</f>
        <v>212.56923029999999</v>
      </c>
      <c r="K515" s="6">
        <f>[1]Macro!J102</f>
        <v>214.77883750000001</v>
      </c>
      <c r="L515" s="6">
        <f>[1]Macro!K102</f>
        <v>217.95078910000001</v>
      </c>
      <c r="M515" s="6">
        <f>[1]Macro!L102</f>
        <v>221.35121520000001</v>
      </c>
      <c r="N515" s="6">
        <f>[1]Macro!M102</f>
        <v>224.3593468</v>
      </c>
      <c r="O515" s="6">
        <f>[1]Macro!N102</f>
        <v>226.9977389</v>
      </c>
      <c r="P515" s="6">
        <f>[1]Macro!O102</f>
        <v>229.4256207</v>
      </c>
      <c r="Q515" s="6">
        <f>[1]Macro!P102</f>
        <v>231.86064809999999</v>
      </c>
      <c r="R515" s="6">
        <f>[1]Macro!Q102</f>
        <v>234.4470838</v>
      </c>
      <c r="S515" s="6">
        <f>[1]Macro!R102</f>
        <v>237.19940339999999</v>
      </c>
      <c r="T515" s="6">
        <f>[1]Macro!S102</f>
        <v>240.30371460000001</v>
      </c>
      <c r="U515" s="6">
        <f>[1]Macro!T102</f>
        <v>243.88327820000001</v>
      </c>
      <c r="V515" s="6">
        <f>[1]Macro!U102</f>
        <v>248.03077339999999</v>
      </c>
      <c r="W515" s="6">
        <f>[1]Macro!V102</f>
        <v>252.79214959999999</v>
      </c>
      <c r="X515" s="6">
        <f>[1]Macro!W102</f>
        <v>258.3249098</v>
      </c>
      <c r="Y515" s="6">
        <f>[1]Macro!X102</f>
        <v>264.73667799999998</v>
      </c>
      <c r="Z515" s="6">
        <f>[1]Macro!Y102</f>
        <v>272.12201540000001</v>
      </c>
      <c r="AA515" s="6">
        <f>[1]Macro!Z102</f>
        <v>280.56255420000002</v>
      </c>
      <c r="AB515" s="6">
        <f>[1]Macro!AA102</f>
        <v>290.01658800000001</v>
      </c>
      <c r="AC515" s="6">
        <f>[1]Macro!AB102</f>
        <v>300.78592190000001</v>
      </c>
      <c r="AD515" s="6">
        <f>[1]Macro!AC102</f>
        <v>313.0625718</v>
      </c>
      <c r="AE515" s="6">
        <f>[1]Macro!AD102</f>
        <v>327.03171579999997</v>
      </c>
      <c r="AF515" s="6">
        <f>[1]Macro!AE102</f>
        <v>342.83476899999999</v>
      </c>
      <c r="AG515" s="6">
        <f>[1]Macro!AF102</f>
        <v>360.61574839999997</v>
      </c>
      <c r="AH515" s="6">
        <f>[1]Macro!AG102</f>
        <v>380.59767820000002</v>
      </c>
      <c r="AI515" s="6">
        <f>[1]Macro!AH102</f>
        <v>403.1124221</v>
      </c>
      <c r="AJ515" s="6">
        <f>[1]Macro!AI102</f>
        <v>428.59471009999999</v>
      </c>
      <c r="AK515" s="6">
        <f>[1]Macro!AJ102</f>
        <v>457.62745210000003</v>
      </c>
      <c r="AL515" s="6">
        <f>[1]Macro!AK102</f>
        <v>491.0122834</v>
      </c>
    </row>
    <row r="516" spans="2:3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63.959274899999997</v>
      </c>
      <c r="E516" s="6">
        <f>[1]Macro!D103</f>
        <v>63.535335439999997</v>
      </c>
      <c r="F516" s="6">
        <f>[1]Macro!E103</f>
        <v>63.140045450000002</v>
      </c>
      <c r="G516" s="6">
        <f>[1]Macro!F103</f>
        <v>62.990036979999999</v>
      </c>
      <c r="H516" s="6">
        <f>[1]Macro!G103</f>
        <v>63.008604390000002</v>
      </c>
      <c r="I516" s="6">
        <f>[1]Macro!H103</f>
        <v>62.986963529999997</v>
      </c>
      <c r="J516" s="6">
        <f>[1]Macro!I103</f>
        <v>62.45233837</v>
      </c>
      <c r="K516" s="6">
        <f>[1]Macro!J103</f>
        <v>61.987019949999997</v>
      </c>
      <c r="L516" s="6">
        <f>[1]Macro!K103</f>
        <v>61.634344460000001</v>
      </c>
      <c r="M516" s="6">
        <f>[1]Macro!L103</f>
        <v>61.425074940000002</v>
      </c>
      <c r="N516" s="6">
        <f>[1]Macro!M103</f>
        <v>61.385735259999997</v>
      </c>
      <c r="O516" s="6">
        <f>[1]Macro!N103</f>
        <v>61.45951135</v>
      </c>
      <c r="P516" s="6">
        <f>[1]Macro!O103</f>
        <v>61.599997469999998</v>
      </c>
      <c r="Q516" s="6">
        <f>[1]Macro!P103</f>
        <v>61.773071109999997</v>
      </c>
      <c r="R516" s="6">
        <f>[1]Macro!Q103</f>
        <v>61.956237260000002</v>
      </c>
      <c r="S516" s="6">
        <f>[1]Macro!R103</f>
        <v>62.167114179999999</v>
      </c>
      <c r="T516" s="6">
        <f>[1]Macro!S103</f>
        <v>62.387704169999999</v>
      </c>
      <c r="U516" s="6">
        <f>[1]Macro!T103</f>
        <v>62.612347849999999</v>
      </c>
      <c r="V516" s="6">
        <f>[1]Macro!U103</f>
        <v>62.840838189999999</v>
      </c>
      <c r="W516" s="6">
        <f>[1]Macro!V103</f>
        <v>63.058136879999999</v>
      </c>
      <c r="X516" s="6">
        <f>[1]Macro!W103</f>
        <v>63.29366461</v>
      </c>
      <c r="Y516" s="6">
        <f>[1]Macro!X103</f>
        <v>63.542131849999997</v>
      </c>
      <c r="Z516" s="6">
        <f>[1]Macro!Y103</f>
        <v>63.802809230000001</v>
      </c>
      <c r="AA516" s="6">
        <f>[1]Macro!Z103</f>
        <v>64.077623110000005</v>
      </c>
      <c r="AB516" s="6">
        <f>[1]Macro!AA103</f>
        <v>64.321485139999993</v>
      </c>
      <c r="AC516" s="6">
        <f>[1]Macro!AB103</f>
        <v>64.587884439999996</v>
      </c>
      <c r="AD516" s="6">
        <f>[1]Macro!AC103</f>
        <v>64.879034840000003</v>
      </c>
      <c r="AE516" s="6">
        <f>[1]Macro!AD103</f>
        <v>65.198975230000002</v>
      </c>
      <c r="AF516" s="6">
        <f>[1]Macro!AE103</f>
        <v>65.552790189999996</v>
      </c>
      <c r="AG516" s="6">
        <f>[1]Macro!AF103</f>
        <v>65.945512359999995</v>
      </c>
      <c r="AH516" s="6">
        <f>[1]Macro!AG103</f>
        <v>66.381396460000005</v>
      </c>
      <c r="AI516" s="6">
        <f>[1]Macro!AH103</f>
        <v>66.864045989999994</v>
      </c>
      <c r="AJ516" s="6">
        <f>[1]Macro!AI103</f>
        <v>67.39809984</v>
      </c>
      <c r="AK516" s="6">
        <f>[1]Macro!AJ103</f>
        <v>67.989633769999998</v>
      </c>
      <c r="AL516" s="6">
        <f>[1]Macro!AK103</f>
        <v>68.6471047</v>
      </c>
    </row>
    <row r="517" spans="2:38" x14ac:dyDescent="0.35">
      <c r="B517" s="6" t="str">
        <f>[1]Macro!A104</f>
        <v>x_toe_2</v>
      </c>
      <c r="C517" s="6">
        <f>[1]Macro!B104</f>
        <v>33.390972560000002</v>
      </c>
      <c r="D517" s="6">
        <f>[1]Macro!C104</f>
        <v>34.097024730000001</v>
      </c>
      <c r="E517" s="6">
        <f>[1]Macro!D104</f>
        <v>34.811933619999998</v>
      </c>
      <c r="F517" s="6">
        <f>[1]Macro!E104</f>
        <v>35.535063119999997</v>
      </c>
      <c r="G517" s="6">
        <f>[1]Macro!F104</f>
        <v>36.272681489999997</v>
      </c>
      <c r="H517" s="6">
        <f>[1]Macro!G104</f>
        <v>37.027781869999998</v>
      </c>
      <c r="I517" s="6">
        <f>[1]Macro!H104</f>
        <v>37.79815035</v>
      </c>
      <c r="J517" s="6">
        <f>[1]Macro!I104</f>
        <v>38.678095730000003</v>
      </c>
      <c r="K517" s="6">
        <f>[1]Macro!J104</f>
        <v>39.623899280000003</v>
      </c>
      <c r="L517" s="6">
        <f>[1]Macro!K104</f>
        <v>40.922189699999997</v>
      </c>
      <c r="M517" s="6">
        <f>[1]Macro!L104</f>
        <v>42.186506749999999</v>
      </c>
      <c r="N517" s="6">
        <f>[1]Macro!M104</f>
        <v>43.218946979999998</v>
      </c>
      <c r="O517" s="6">
        <f>[1]Macro!N104</f>
        <v>44.079438240000002</v>
      </c>
      <c r="P517" s="6">
        <f>[1]Macro!O104</f>
        <v>44.836809789999997</v>
      </c>
      <c r="Q517" s="6">
        <f>[1]Macro!P104</f>
        <v>45.565126360000001</v>
      </c>
      <c r="R517" s="6">
        <f>[1]Macro!Q104</f>
        <v>46.299126440000002</v>
      </c>
      <c r="S517" s="6">
        <f>[1]Macro!R104</f>
        <v>46.849821660000003</v>
      </c>
      <c r="T517" s="6">
        <f>[1]Macro!S104</f>
        <v>47.437639609999998</v>
      </c>
      <c r="U517" s="6">
        <f>[1]Macro!T104</f>
        <v>48.074286190000002</v>
      </c>
      <c r="V517" s="6">
        <f>[1]Macro!U104</f>
        <v>48.76282922</v>
      </c>
      <c r="W517" s="6">
        <f>[1]Macro!V104</f>
        <v>49.506886940000001</v>
      </c>
      <c r="X517" s="6">
        <f>[1]Macro!W104</f>
        <v>50.311037110000001</v>
      </c>
      <c r="Y517" s="6">
        <f>[1]Macro!X104</f>
        <v>51.183089649999999</v>
      </c>
      <c r="Z517" s="6">
        <f>[1]Macro!Y104</f>
        <v>52.122640670000003</v>
      </c>
      <c r="AA517" s="6">
        <f>[1]Macro!Z104</f>
        <v>53.123357570000003</v>
      </c>
      <c r="AB517" s="6">
        <f>[1]Macro!AA104</f>
        <v>54.181845199999998</v>
      </c>
      <c r="AC517" s="6">
        <f>[1]Macro!AB104</f>
        <v>55.385272829999998</v>
      </c>
      <c r="AD517" s="6">
        <f>[1]Macro!AC104</f>
        <v>56.679914439999997</v>
      </c>
      <c r="AE517" s="6">
        <f>[1]Macro!AD104</f>
        <v>58.064681229999998</v>
      </c>
      <c r="AF517" s="6">
        <f>[1]Macro!AE104</f>
        <v>59.520932109999997</v>
      </c>
      <c r="AG517" s="6">
        <f>[1]Macro!AF104</f>
        <v>61.02631976</v>
      </c>
      <c r="AH517" s="6">
        <f>[1]Macro!AG104</f>
        <v>62.570279370000002</v>
      </c>
      <c r="AI517" s="6">
        <f>[1]Macro!AH104</f>
        <v>64.150682309999993</v>
      </c>
      <c r="AJ517" s="6">
        <f>[1]Macro!AI104</f>
        <v>65.761119129999997</v>
      </c>
      <c r="AK517" s="6">
        <f>[1]Macro!AJ104</f>
        <v>67.393523579999993</v>
      </c>
      <c r="AL517" s="6">
        <f>[1]Macro!AK104</f>
        <v>69.038791189999998</v>
      </c>
    </row>
    <row r="518" spans="2:3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</row>
    <row r="519" spans="2:38" x14ac:dyDescent="0.35">
      <c r="B519" s="6" t="str">
        <f>[1]Macro!A105</f>
        <v>y_toe_0</v>
      </c>
      <c r="C519" s="6">
        <f>[1]Macro!B105</f>
        <v>139.4020707</v>
      </c>
      <c r="D519" s="6">
        <f>[1]Macro!C105</f>
        <v>140.9922345</v>
      </c>
      <c r="E519" s="6">
        <f>[1]Macro!D105</f>
        <v>142.632555</v>
      </c>
      <c r="F519" s="6">
        <f>[1]Macro!E105</f>
        <v>144.41430890000001</v>
      </c>
      <c r="G519" s="6">
        <f>[1]Macro!F105</f>
        <v>146.40814409999999</v>
      </c>
      <c r="H519" s="6">
        <f>[1]Macro!G105</f>
        <v>148.63448679999999</v>
      </c>
      <c r="I519" s="6">
        <f>[1]Macro!H105</f>
        <v>151.01393830000001</v>
      </c>
      <c r="J519" s="6">
        <f>[1]Macro!I105</f>
        <v>153.48761060000001</v>
      </c>
      <c r="K519" s="6">
        <f>[1]Macro!J105</f>
        <v>156.01612270000001</v>
      </c>
      <c r="L519" s="6">
        <f>[1]Macro!K105</f>
        <v>158.58084600000001</v>
      </c>
      <c r="M519" s="6">
        <f>[1]Macro!L105</f>
        <v>161.11560399999999</v>
      </c>
      <c r="N519" s="6">
        <f>[1]Macro!M105</f>
        <v>163.2245073</v>
      </c>
      <c r="O519" s="6">
        <f>[1]Macro!N105</f>
        <v>164.99633549999999</v>
      </c>
      <c r="P519" s="6">
        <f>[1]Macro!O105</f>
        <v>166.51320190000001</v>
      </c>
      <c r="Q519" s="6">
        <f>[1]Macro!P105</f>
        <v>167.8689024</v>
      </c>
      <c r="R519" s="6">
        <f>[1]Macro!Q105</f>
        <v>169.15008850000001</v>
      </c>
      <c r="S519" s="6">
        <f>[1]Macro!R105</f>
        <v>170.45455050000001</v>
      </c>
      <c r="T519" s="6">
        <f>[1]Macro!S105</f>
        <v>171.88189109999999</v>
      </c>
      <c r="U519" s="6">
        <f>[1]Macro!T105</f>
        <v>173.50030570000001</v>
      </c>
      <c r="V519" s="6">
        <f>[1]Macro!U105</f>
        <v>175.34213740000001</v>
      </c>
      <c r="W519" s="6">
        <f>[1]Macro!V105</f>
        <v>177.39827120000001</v>
      </c>
      <c r="X519" s="6">
        <f>[1]Macro!W105</f>
        <v>179.7333051</v>
      </c>
      <c r="Y519" s="6">
        <f>[1]Macro!X105</f>
        <v>182.3638502</v>
      </c>
      <c r="Z519" s="6">
        <f>[1]Macro!Y105</f>
        <v>185.30044290000001</v>
      </c>
      <c r="AA519" s="6">
        <f>[1]Macro!Z105</f>
        <v>188.54065180000001</v>
      </c>
      <c r="AB519" s="6">
        <f>[1]Macro!AA105</f>
        <v>191.99162770000001</v>
      </c>
      <c r="AC519" s="6">
        <f>[1]Macro!AB105</f>
        <v>195.74717380000001</v>
      </c>
      <c r="AD519" s="6">
        <f>[1]Macro!AC105</f>
        <v>199.8202139</v>
      </c>
      <c r="AE519" s="6">
        <f>[1]Macro!AD105</f>
        <v>204.20775639999999</v>
      </c>
      <c r="AF519" s="6">
        <f>[1]Macro!AE105</f>
        <v>208.86334529999999</v>
      </c>
      <c r="AG519" s="6">
        <f>[1]Macro!AF105</f>
        <v>213.7208162</v>
      </c>
      <c r="AH519" s="6">
        <f>[1]Macro!AG105</f>
        <v>218.72092269999999</v>
      </c>
      <c r="AI519" s="6">
        <f>[1]Macro!AH105</f>
        <v>223.81504390000001</v>
      </c>
      <c r="AJ519" s="6">
        <f>[1]Macro!AI105</f>
        <v>228.95929820000001</v>
      </c>
      <c r="AK519" s="6">
        <f>[1]Macro!AJ105</f>
        <v>234.11184059999999</v>
      </c>
      <c r="AL519" s="6">
        <f>[1]Macro!AK105</f>
        <v>239.23170250000001</v>
      </c>
    </row>
    <row r="520" spans="2:38" x14ac:dyDescent="0.35">
      <c r="B520" s="6" t="str">
        <f>[1]Macro!A106</f>
        <v>m_toe_0</v>
      </c>
      <c r="C520" s="6">
        <f>[1]Macro!B106</f>
        <v>150.64917389999999</v>
      </c>
      <c r="D520" s="6">
        <f>[1]Macro!C106</f>
        <v>151.65968330000001</v>
      </c>
      <c r="E520" s="6">
        <f>[1]Macro!D106</f>
        <v>152.74557150000001</v>
      </c>
      <c r="F520" s="6">
        <f>[1]Macro!E106</f>
        <v>153.8333513</v>
      </c>
      <c r="G520" s="6">
        <f>[1]Macro!F106</f>
        <v>155.53742</v>
      </c>
      <c r="H520" s="6">
        <f>[1]Macro!G106</f>
        <v>157.74960400000001</v>
      </c>
      <c r="I520" s="6">
        <f>[1]Macro!H106</f>
        <v>159.9726679</v>
      </c>
      <c r="J520" s="6">
        <f>[1]Macro!I106</f>
        <v>162.1645777</v>
      </c>
      <c r="K520" s="6">
        <f>[1]Macro!J106</f>
        <v>164.34453329999999</v>
      </c>
      <c r="L520" s="6">
        <f>[1]Macro!K106</f>
        <v>166.52996709999999</v>
      </c>
      <c r="M520" s="6">
        <f>[1]Macro!L106</f>
        <v>168.6697187</v>
      </c>
      <c r="N520" s="6">
        <f>[1]Macro!M106</f>
        <v>170.3739545</v>
      </c>
      <c r="O520" s="6">
        <f>[1]Macro!N106</f>
        <v>171.71964059999999</v>
      </c>
      <c r="P520" s="6">
        <f>[1]Macro!O106</f>
        <v>172.7976783</v>
      </c>
      <c r="Q520" s="6">
        <f>[1]Macro!P106</f>
        <v>173.70554920000001</v>
      </c>
      <c r="R520" s="6">
        <f>[1]Macro!Q106</f>
        <v>174.53085730000001</v>
      </c>
      <c r="S520" s="6">
        <f>[1]Macro!R106</f>
        <v>175.593975</v>
      </c>
      <c r="T520" s="6">
        <f>[1]Macro!S106</f>
        <v>176.9233778</v>
      </c>
      <c r="U520" s="6">
        <f>[1]Macro!T106</f>
        <v>178.53682850000001</v>
      </c>
      <c r="V520" s="6">
        <f>[1]Macro!U106</f>
        <v>180.43222180000001</v>
      </c>
      <c r="W520" s="6">
        <f>[1]Macro!V106</f>
        <v>182.58024159999999</v>
      </c>
      <c r="X520" s="6">
        <f>[1]Macro!W106</f>
        <v>185.0236635</v>
      </c>
      <c r="Y520" s="6">
        <f>[1]Macro!X106</f>
        <v>187.77342200000001</v>
      </c>
      <c r="Z520" s="6">
        <f>[1]Macro!Y106</f>
        <v>190.83846080000001</v>
      </c>
      <c r="AA520" s="6">
        <f>[1]Macro!Z106</f>
        <v>194.2162519</v>
      </c>
      <c r="AB520" s="6">
        <f>[1]Macro!AA106</f>
        <v>197.8258586</v>
      </c>
      <c r="AC520" s="6">
        <f>[1]Macro!AB106</f>
        <v>201.74947689999999</v>
      </c>
      <c r="AD520" s="6">
        <f>[1]Macro!AC106</f>
        <v>206.0087541</v>
      </c>
      <c r="AE520" s="6">
        <f>[1]Macro!AD106</f>
        <v>210.6094827</v>
      </c>
      <c r="AF520" s="6">
        <f>[1]Macro!AE106</f>
        <v>215.51469689999999</v>
      </c>
      <c r="AG520" s="6">
        <f>[1]Macro!AF106</f>
        <v>220.6638772</v>
      </c>
      <c r="AH520" s="6">
        <f>[1]Macro!AG106</f>
        <v>225.9999431</v>
      </c>
      <c r="AI520" s="6">
        <f>[1]Macro!AH106</f>
        <v>231.47395589999999</v>
      </c>
      <c r="AJ520" s="6">
        <f>[1]Macro!AI106</f>
        <v>237.0401353</v>
      </c>
      <c r="AK520" s="6">
        <f>[1]Macro!AJ106</f>
        <v>242.65286599999999</v>
      </c>
      <c r="AL520" s="6">
        <f>[1]Macro!AK106</f>
        <v>248.26529980000001</v>
      </c>
    </row>
    <row r="521" spans="2:38" x14ac:dyDescent="0.35">
      <c r="B521" s="6" t="str">
        <f>[1]Macro!A107</f>
        <v>ci_toe_0</v>
      </c>
      <c r="C521" s="6">
        <f>[1]Macro!B107</f>
        <v>192.35883179999999</v>
      </c>
      <c r="D521" s="6">
        <f>[1]Macro!C107</f>
        <v>194.5956181</v>
      </c>
      <c r="E521" s="6">
        <f>[1]Macro!D107</f>
        <v>197.03085720000001</v>
      </c>
      <c r="F521" s="6">
        <f>[1]Macro!E107</f>
        <v>199.57255140000001</v>
      </c>
      <c r="G521" s="6">
        <f>[1]Macro!F107</f>
        <v>202.68284539999999</v>
      </c>
      <c r="H521" s="6">
        <f>[1]Macro!G107</f>
        <v>206.34770420000001</v>
      </c>
      <c r="I521" s="6">
        <f>[1]Macro!H107</f>
        <v>210.201492</v>
      </c>
      <c r="J521" s="6">
        <f>[1]Macro!I107</f>
        <v>214.11837070000001</v>
      </c>
      <c r="K521" s="6">
        <f>[1]Macro!J107</f>
        <v>218.05457029999999</v>
      </c>
      <c r="L521" s="6">
        <f>[1]Macro!K107</f>
        <v>221.9985284</v>
      </c>
      <c r="M521" s="6">
        <f>[1]Macro!L107</f>
        <v>225.84138949999999</v>
      </c>
      <c r="N521" s="6">
        <f>[1]Macro!M107</f>
        <v>228.95075929999999</v>
      </c>
      <c r="O521" s="6">
        <f>[1]Macro!N107</f>
        <v>231.4335438</v>
      </c>
      <c r="P521" s="6">
        <f>[1]Macro!O107</f>
        <v>233.4351278</v>
      </c>
      <c r="Q521" s="6">
        <f>[1]Macro!P107</f>
        <v>235.12347729999999</v>
      </c>
      <c r="R521" s="6">
        <f>[1]Macro!Q107</f>
        <v>236.656622</v>
      </c>
      <c r="S521" s="6">
        <f>[1]Macro!R107</f>
        <v>238.34604340000001</v>
      </c>
      <c r="T521" s="6">
        <f>[1]Macro!S107</f>
        <v>240.34407039999999</v>
      </c>
      <c r="U521" s="6">
        <f>[1]Macro!T107</f>
        <v>242.7439072</v>
      </c>
      <c r="V521" s="6">
        <f>[1]Macro!U107</f>
        <v>245.5880587</v>
      </c>
      <c r="W521" s="6">
        <f>[1]Macro!V107</f>
        <v>248.8617438</v>
      </c>
      <c r="X521" s="6">
        <f>[1]Macro!W107</f>
        <v>252.64727020000001</v>
      </c>
      <c r="Y521" s="6">
        <f>[1]Macro!X107</f>
        <v>256.97177770000002</v>
      </c>
      <c r="Z521" s="6">
        <f>[1]Macro!Y107</f>
        <v>261.85385609999997</v>
      </c>
      <c r="AA521" s="6">
        <f>[1]Macro!Z107</f>
        <v>267.29133350000001</v>
      </c>
      <c r="AB521" s="6">
        <f>[1]Macro!AA107</f>
        <v>273.15611810000001</v>
      </c>
      <c r="AC521" s="6">
        <f>[1]Macro!AB107</f>
        <v>279.56880640000003</v>
      </c>
      <c r="AD521" s="6">
        <f>[1]Macro!AC107</f>
        <v>286.55522730000001</v>
      </c>
      <c r="AE521" s="6">
        <f>[1]Macro!AD107</f>
        <v>294.11580939999999</v>
      </c>
      <c r="AF521" s="6">
        <f>[1]Macro!AE107</f>
        <v>302.17846489999999</v>
      </c>
      <c r="AG521" s="6">
        <f>[1]Macro!AF107</f>
        <v>310.63225310000001</v>
      </c>
      <c r="AH521" s="6">
        <f>[1]Macro!AG107</f>
        <v>319.37233429999998</v>
      </c>
      <c r="AI521" s="6">
        <f>[1]Macro!AH107</f>
        <v>328.31047000000001</v>
      </c>
      <c r="AJ521" s="6">
        <f>[1]Macro!AI107</f>
        <v>337.36548119999998</v>
      </c>
      <c r="AK521" s="6">
        <f>[1]Macro!AJ107</f>
        <v>346.45841539999998</v>
      </c>
      <c r="AL521" s="6">
        <f>[1]Macro!AK107</f>
        <v>355.51060159999997</v>
      </c>
    </row>
    <row r="522" spans="2:3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63.959274999999998</v>
      </c>
      <c r="E522" s="6">
        <f>[1]Macro!D108</f>
        <v>63.535335609999997</v>
      </c>
      <c r="F522" s="6">
        <f>[1]Macro!E108</f>
        <v>63.14004568</v>
      </c>
      <c r="G522" s="6">
        <f>[1]Macro!F108</f>
        <v>62.990037229999999</v>
      </c>
      <c r="H522" s="6">
        <f>[1]Macro!G108</f>
        <v>63.008604640000001</v>
      </c>
      <c r="I522" s="6">
        <f>[1]Macro!H108</f>
        <v>62.986963770000003</v>
      </c>
      <c r="J522" s="6">
        <f>[1]Macro!I108</f>
        <v>62.951802499999999</v>
      </c>
      <c r="K522" s="6">
        <f>[1]Macro!J108</f>
        <v>62.926951080000002</v>
      </c>
      <c r="L522" s="6">
        <f>[1]Macro!K108</f>
        <v>62.921980329999997</v>
      </c>
      <c r="M522" s="6">
        <f>[1]Macro!L108</f>
        <v>62.966428620000002</v>
      </c>
      <c r="N522" s="6">
        <f>[1]Macro!M108</f>
        <v>63.014464709999999</v>
      </c>
      <c r="O522" s="6">
        <f>[1]Macro!N108</f>
        <v>63.066609339999999</v>
      </c>
      <c r="P522" s="6">
        <f>[1]Macro!O108</f>
        <v>63.119659470000002</v>
      </c>
      <c r="Q522" s="6">
        <f>[1]Macro!P108</f>
        <v>63.168063009999997</v>
      </c>
      <c r="R522" s="6">
        <f>[1]Macro!Q108</f>
        <v>63.206469179999999</v>
      </c>
      <c r="S522" s="6">
        <f>[1]Macro!R108</f>
        <v>63.321667339999998</v>
      </c>
      <c r="T522" s="6">
        <f>[1]Macro!S108</f>
        <v>63.474355060000001</v>
      </c>
      <c r="U522" s="6">
        <f>[1]Macro!T108</f>
        <v>63.648251520000002</v>
      </c>
      <c r="V522" s="6">
        <f>[1]Macro!U108</f>
        <v>63.828812759999998</v>
      </c>
      <c r="W522" s="6">
        <f>[1]Macro!V108</f>
        <v>63.989376550000003</v>
      </c>
      <c r="X522" s="6">
        <f>[1]Macro!W108</f>
        <v>64.153487580000004</v>
      </c>
      <c r="Y522" s="6">
        <f>[1]Macro!X108</f>
        <v>64.316103389999995</v>
      </c>
      <c r="Z522" s="6">
        <f>[1]Macro!Y108</f>
        <v>64.47681944</v>
      </c>
      <c r="AA522" s="6">
        <f>[1]Macro!Z108</f>
        <v>64.636800050000005</v>
      </c>
      <c r="AB522" s="6">
        <f>[1]Macro!AA108</f>
        <v>64.751569779999997</v>
      </c>
      <c r="AC522" s="6">
        <f>[1]Macro!AB108</f>
        <v>64.875775070000003</v>
      </c>
      <c r="AD522" s="6">
        <f>[1]Macro!AC108</f>
        <v>65.011964969999994</v>
      </c>
      <c r="AE522" s="6">
        <f>[1]Macro!AD108</f>
        <v>65.163461380000001</v>
      </c>
      <c r="AF522" s="6">
        <f>[1]Macro!AE108</f>
        <v>65.333973040000004</v>
      </c>
      <c r="AG522" s="6">
        <f>[1]Macro!AF108</f>
        <v>65.526093270000004</v>
      </c>
      <c r="AH522" s="6">
        <f>[1]Macro!AG108</f>
        <v>65.740739399999995</v>
      </c>
      <c r="AI522" s="6">
        <f>[1]Macro!AH108</f>
        <v>65.975677450000006</v>
      </c>
      <c r="AJ522" s="6">
        <f>[1]Macro!AI108</f>
        <v>66.227973849999998</v>
      </c>
      <c r="AK522" s="6">
        <f>[1]Macro!AJ108</f>
        <v>66.494305879999999</v>
      </c>
      <c r="AL522" s="6">
        <f>[1]Macro!AK108</f>
        <v>66.77089325</v>
      </c>
    </row>
    <row r="523" spans="2:38" x14ac:dyDescent="0.35">
      <c r="B523" s="6" t="str">
        <f>[1]Macro!A109</f>
        <v>x_toe_0</v>
      </c>
      <c r="C523" s="6">
        <f>[1]Macro!B109</f>
        <v>33.390972560000002</v>
      </c>
      <c r="D523" s="6">
        <f>[1]Macro!C109</f>
        <v>34.097024730000001</v>
      </c>
      <c r="E523" s="6">
        <f>[1]Macro!D109</f>
        <v>34.811933619999998</v>
      </c>
      <c r="F523" s="6">
        <f>[1]Macro!E109</f>
        <v>35.535063119999997</v>
      </c>
      <c r="G523" s="6">
        <f>[1]Macro!F109</f>
        <v>36.272681499999997</v>
      </c>
      <c r="H523" s="6">
        <f>[1]Macro!G109</f>
        <v>37.027781879999999</v>
      </c>
      <c r="I523" s="6">
        <f>[1]Macro!H109</f>
        <v>37.798150360000001</v>
      </c>
      <c r="J523" s="6">
        <f>[1]Macro!I109</f>
        <v>38.582015089999999</v>
      </c>
      <c r="K523" s="6">
        <f>[1]Macro!J109</f>
        <v>39.379134530000002</v>
      </c>
      <c r="L523" s="6">
        <f>[1]Macro!K109</f>
        <v>40.19030446</v>
      </c>
      <c r="M523" s="6">
        <f>[1]Macro!L109</f>
        <v>40.977504609999997</v>
      </c>
      <c r="N523" s="6">
        <f>[1]Macro!M109</f>
        <v>41.63323785</v>
      </c>
      <c r="O523" s="6">
        <f>[1]Macro!N109</f>
        <v>42.215822959999997</v>
      </c>
      <c r="P523" s="6">
        <f>[1]Macro!O109</f>
        <v>42.75609291</v>
      </c>
      <c r="Q523" s="6">
        <f>[1]Macro!P109</f>
        <v>43.282911259999999</v>
      </c>
      <c r="R523" s="6">
        <f>[1]Macro!Q109</f>
        <v>43.817854539999999</v>
      </c>
      <c r="S523" s="6">
        <f>[1]Macro!R109</f>
        <v>44.380814749999999</v>
      </c>
      <c r="T523" s="6">
        <f>[1]Macro!S109</f>
        <v>44.986843360000002</v>
      </c>
      <c r="U523" s="6">
        <f>[1]Macro!T109</f>
        <v>45.644975510000002</v>
      </c>
      <c r="V523" s="6">
        <f>[1]Macro!U109</f>
        <v>46.357487720000002</v>
      </c>
      <c r="W523" s="6">
        <f>[1]Macro!V109</f>
        <v>47.127392380000003</v>
      </c>
      <c r="X523" s="6">
        <f>[1]Macro!W109</f>
        <v>47.956210710000001</v>
      </c>
      <c r="Y523" s="6">
        <f>[1]Macro!X109</f>
        <v>48.849391130000001</v>
      </c>
      <c r="Z523" s="6">
        <f>[1]Macro!Y109</f>
        <v>49.80822818</v>
      </c>
      <c r="AA523" s="6">
        <f>[1]Macro!Z109</f>
        <v>50.828770149999997</v>
      </c>
      <c r="AB523" s="6">
        <f>[1]Macro!AA109</f>
        <v>51.909798449999997</v>
      </c>
      <c r="AC523" s="6">
        <f>[1]Macro!AB109</f>
        <v>53.052069230000001</v>
      </c>
      <c r="AD523" s="6">
        <f>[1]Macro!AC109</f>
        <v>54.261775749999998</v>
      </c>
      <c r="AE523" s="6">
        <f>[1]Macro!AD109</f>
        <v>55.537968329999998</v>
      </c>
      <c r="AF523" s="6">
        <f>[1]Macro!AE109</f>
        <v>56.865604240000003</v>
      </c>
      <c r="AG523" s="6">
        <f>[1]Macro!AF109</f>
        <v>58.226347070000003</v>
      </c>
      <c r="AH523" s="6">
        <f>[1]Macro!AG109</f>
        <v>59.60779204</v>
      </c>
      <c r="AI523" s="6">
        <f>[1]Macro!AH109</f>
        <v>61.002852359999999</v>
      </c>
      <c r="AJ523" s="6">
        <f>[1]Macro!AI109</f>
        <v>62.405978529999999</v>
      </c>
      <c r="AK523" s="6">
        <f>[1]Macro!AJ109</f>
        <v>63.811985319999998</v>
      </c>
      <c r="AL523" s="6">
        <f>[1]Macro!AK109</f>
        <v>65.215507509999995</v>
      </c>
    </row>
    <row r="525" spans="2:3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</row>
    <row r="526" spans="2:38" x14ac:dyDescent="0.35">
      <c r="B526" t="s">
        <v>105</v>
      </c>
      <c r="C526" s="9">
        <f>C513/C519-1</f>
        <v>0</v>
      </c>
      <c r="D526" s="9">
        <f t="shared" ref="D526:AL526" si="115">D513/D519-1</f>
        <v>0</v>
      </c>
      <c r="E526" s="9">
        <f t="shared" si="115"/>
        <v>0</v>
      </c>
      <c r="F526" s="9">
        <f t="shared" si="115"/>
        <v>0</v>
      </c>
      <c r="G526" s="9">
        <f t="shared" si="115"/>
        <v>0</v>
      </c>
      <c r="H526" s="9">
        <f t="shared" si="115"/>
        <v>0</v>
      </c>
      <c r="I526" s="9">
        <f t="shared" si="115"/>
        <v>0</v>
      </c>
      <c r="J526" s="9">
        <f t="shared" si="115"/>
        <v>6.8033523742925262E-3</v>
      </c>
      <c r="K526" s="9">
        <f t="shared" si="115"/>
        <v>1.4665083713171878E-2</v>
      </c>
      <c r="L526" s="9">
        <f t="shared" si="115"/>
        <v>2.7006212339162339E-2</v>
      </c>
      <c r="M526" s="9">
        <f t="shared" si="115"/>
        <v>4.009613122264688E-2</v>
      </c>
      <c r="N526" s="9">
        <f t="shared" si="115"/>
        <v>5.2893709669050493E-2</v>
      </c>
      <c r="O526" s="9">
        <f t="shared" si="115"/>
        <v>6.5581984395041371E-2</v>
      </c>
      <c r="P526" s="9">
        <f t="shared" si="115"/>
        <v>7.8633515244414864E-2</v>
      </c>
      <c r="Q526" s="9">
        <f t="shared" si="115"/>
        <v>9.2545732877800768E-2</v>
      </c>
      <c r="R526" s="9">
        <f t="shared" si="115"/>
        <v>0.10743265676742464</v>
      </c>
      <c r="S526" s="9">
        <f t="shared" si="115"/>
        <v>0.12205551532049008</v>
      </c>
      <c r="T526" s="9">
        <f t="shared" si="115"/>
        <v>0.13734361397190842</v>
      </c>
      <c r="U526" s="9">
        <f t="shared" si="115"/>
        <v>0.15327257835488628</v>
      </c>
      <c r="V526" s="9">
        <f t="shared" si="115"/>
        <v>0.1699594748980171</v>
      </c>
      <c r="W526" s="9">
        <f t="shared" si="115"/>
        <v>0.18759181177409334</v>
      </c>
      <c r="X526" s="9">
        <f t="shared" si="115"/>
        <v>0.20639914110164548</v>
      </c>
      <c r="Y526" s="9">
        <f t="shared" si="115"/>
        <v>0.22663429761256482</v>
      </c>
      <c r="Z526" s="9">
        <f t="shared" si="115"/>
        <v>0.24851373736246996</v>
      </c>
      <c r="AA526" s="9">
        <f t="shared" si="115"/>
        <v>0.27227759058802614</v>
      </c>
      <c r="AB526" s="9">
        <f t="shared" si="115"/>
        <v>0.29821463147062</v>
      </c>
      <c r="AC526" s="9">
        <f t="shared" si="115"/>
        <v>0.32715856457489223</v>
      </c>
      <c r="AD526" s="9">
        <f t="shared" si="115"/>
        <v>0.3593436844979776</v>
      </c>
      <c r="AE526" s="9">
        <f t="shared" si="115"/>
        <v>0.39527540688459362</v>
      </c>
      <c r="AF526" s="9">
        <f t="shared" si="115"/>
        <v>0.4355452258477257</v>
      </c>
      <c r="AG526" s="9">
        <f t="shared" si="115"/>
        <v>0.480876484225218</v>
      </c>
      <c r="AH526" s="9">
        <f t="shared" si="115"/>
        <v>0.53223240722914178</v>
      </c>
      <c r="AI526" s="9">
        <f t="shared" si="115"/>
        <v>0.59085683292623381</v>
      </c>
      <c r="AJ526" s="9">
        <f t="shared" si="115"/>
        <v>0.65824071607850509</v>
      </c>
      <c r="AK526" s="9">
        <f t="shared" si="115"/>
        <v>0.7362921279770589</v>
      </c>
      <c r="AL526" s="9">
        <f t="shared" si="115"/>
        <v>0.82755738654662614</v>
      </c>
    </row>
    <row r="527" spans="2:38" x14ac:dyDescent="0.35">
      <c r="B527" t="s">
        <v>103</v>
      </c>
      <c r="C527" s="9">
        <f>(C516-C522)/C519</f>
        <v>0</v>
      </c>
      <c r="D527" s="9">
        <f t="shared" ref="D527:AL527" si="116">(D516-D522)/D519</f>
        <v>-7.0925892850226261E-10</v>
      </c>
      <c r="E527" s="9">
        <f t="shared" si="116"/>
        <v>-1.1918737616037822E-9</v>
      </c>
      <c r="F527" s="9">
        <f t="shared" si="116"/>
        <v>-1.5926399500569381E-9</v>
      </c>
      <c r="G527" s="9">
        <f t="shared" si="116"/>
        <v>-1.7075552791520612E-9</v>
      </c>
      <c r="H527" s="9">
        <f t="shared" si="116"/>
        <v>-1.6819784206959075E-9</v>
      </c>
      <c r="I527" s="9">
        <f t="shared" si="116"/>
        <v>-1.5892573119314133E-9</v>
      </c>
      <c r="J527" s="9">
        <f t="shared" si="116"/>
        <v>-3.2541006277154185E-3</v>
      </c>
      <c r="K527" s="9">
        <f t="shared" si="116"/>
        <v>-6.024576907396796E-3</v>
      </c>
      <c r="L527" s="9">
        <f t="shared" si="116"/>
        <v>-8.1197439821956516E-3</v>
      </c>
      <c r="M527" s="9">
        <f t="shared" si="116"/>
        <v>-9.5667560542428923E-3</v>
      </c>
      <c r="N527" s="9">
        <f t="shared" si="116"/>
        <v>-9.9784614267909109E-3</v>
      </c>
      <c r="O527" s="9">
        <f t="shared" si="116"/>
        <v>-9.74020413926102E-3</v>
      </c>
      <c r="P527" s="9">
        <f t="shared" si="116"/>
        <v>-9.1263754624851985E-3</v>
      </c>
      <c r="Q527" s="9">
        <f t="shared" si="116"/>
        <v>-8.3100078695695391E-3</v>
      </c>
      <c r="R527" s="9">
        <f t="shared" si="116"/>
        <v>-7.3912578532289528E-3</v>
      </c>
      <c r="S527" s="9">
        <f t="shared" si="116"/>
        <v>-6.7733783381746611E-3</v>
      </c>
      <c r="T527" s="9">
        <f t="shared" si="116"/>
        <v>-6.322078975543698E-3</v>
      </c>
      <c r="U527" s="9">
        <f t="shared" si="116"/>
        <v>-5.9706158200734695E-3</v>
      </c>
      <c r="V527" s="9">
        <f t="shared" si="116"/>
        <v>-5.6345530210241326E-3</v>
      </c>
      <c r="W527" s="9">
        <f t="shared" si="116"/>
        <v>-5.2494292289360462E-3</v>
      </c>
      <c r="X527" s="9">
        <f t="shared" si="116"/>
        <v>-4.7838822611180219E-3</v>
      </c>
      <c r="Y527" s="9">
        <f t="shared" si="116"/>
        <v>-4.2441061600266543E-3</v>
      </c>
      <c r="Z527" s="9">
        <f t="shared" si="116"/>
        <v>-3.6373912520205783E-3</v>
      </c>
      <c r="AA527" s="9">
        <f t="shared" si="116"/>
        <v>-2.9658163089049021E-3</v>
      </c>
      <c r="AB527" s="9">
        <f t="shared" si="116"/>
        <v>-2.2401218488133272E-3</v>
      </c>
      <c r="AC527" s="9">
        <f t="shared" si="116"/>
        <v>-1.4707268790207523E-3</v>
      </c>
      <c r="AD527" s="9">
        <f t="shared" si="116"/>
        <v>-6.6524866231259302E-4</v>
      </c>
      <c r="AE527" s="9">
        <f t="shared" si="116"/>
        <v>1.7391038727459894E-4</v>
      </c>
      <c r="AF527" s="9">
        <f t="shared" si="116"/>
        <v>1.0476570203627419E-3</v>
      </c>
      <c r="AG527" s="9">
        <f t="shared" si="116"/>
        <v>1.9624625128115665E-3</v>
      </c>
      <c r="AH527" s="9">
        <f t="shared" si="116"/>
        <v>2.9291073395787638E-3</v>
      </c>
      <c r="AI527" s="9">
        <f t="shared" si="116"/>
        <v>3.9692083450695494E-3</v>
      </c>
      <c r="AJ527" s="9">
        <f t="shared" si="116"/>
        <v>5.1106288287880615E-3</v>
      </c>
      <c r="AK527" s="9">
        <f t="shared" si="116"/>
        <v>6.3872373399297376E-3</v>
      </c>
      <c r="AL527" s="9">
        <f t="shared" si="116"/>
        <v>7.8426539225084496E-3</v>
      </c>
    </row>
    <row r="528" spans="2:38" x14ac:dyDescent="0.35">
      <c r="B528" t="s">
        <v>104</v>
      </c>
      <c r="C528" s="9">
        <f>(C515-C521)/C519</f>
        <v>7.1734962029435488E-10</v>
      </c>
      <c r="D528" s="9">
        <f t="shared" ref="D528:AL528" si="117">(D515-D521)/D519</f>
        <v>7.0925887810638522E-10</v>
      </c>
      <c r="E528" s="9">
        <f t="shared" si="117"/>
        <v>0</v>
      </c>
      <c r="F528" s="9">
        <f t="shared" si="117"/>
        <v>-1.3849044327495597E-9</v>
      </c>
      <c r="G528" s="9">
        <f t="shared" si="117"/>
        <v>-1.3660441456710248E-9</v>
      </c>
      <c r="H528" s="9">
        <f t="shared" si="117"/>
        <v>-2.0183741813226121E-9</v>
      </c>
      <c r="I528" s="9">
        <f t="shared" si="117"/>
        <v>-1.9865716634400002E-9</v>
      </c>
      <c r="J528" s="9">
        <f t="shared" si="117"/>
        <v>-1.0092934497737417E-2</v>
      </c>
      <c r="K528" s="9">
        <f t="shared" si="117"/>
        <v>-2.0996117217313627E-2</v>
      </c>
      <c r="L528" s="9">
        <f t="shared" si="117"/>
        <v>-2.5524767978599313E-2</v>
      </c>
      <c r="M528" s="9">
        <f t="shared" si="117"/>
        <v>-2.7869270191855401E-2</v>
      </c>
      <c r="N528" s="9">
        <f t="shared" si="117"/>
        <v>-2.8129430904399427E-2</v>
      </c>
      <c r="O528" s="9">
        <f t="shared" si="117"/>
        <v>-2.6884263135650028E-2</v>
      </c>
      <c r="P528" s="9">
        <f t="shared" si="117"/>
        <v>-2.4079214466177456E-2</v>
      </c>
      <c r="Q528" s="9">
        <f t="shared" si="117"/>
        <v>-1.94367697253735E-2</v>
      </c>
      <c r="R528" s="9">
        <f t="shared" si="117"/>
        <v>-1.3062589677569085E-2</v>
      </c>
      <c r="S528" s="9">
        <f t="shared" si="117"/>
        <v>-6.7269544675489269E-3</v>
      </c>
      <c r="T528" s="9">
        <f t="shared" si="117"/>
        <v>-2.3478796830613983E-4</v>
      </c>
      <c r="U528" s="9">
        <f t="shared" si="117"/>
        <v>6.5669682563562837E-3</v>
      </c>
      <c r="V528" s="9">
        <f t="shared" si="117"/>
        <v>1.3931133361443681E-2</v>
      </c>
      <c r="W528" s="9">
        <f t="shared" si="117"/>
        <v>2.2155829216446096E-2</v>
      </c>
      <c r="X528" s="9">
        <f t="shared" si="117"/>
        <v>3.1589246060105929E-2</v>
      </c>
      <c r="Y528" s="9">
        <f t="shared" si="117"/>
        <v>4.2579164080403721E-2</v>
      </c>
      <c r="Z528" s="9">
        <f t="shared" si="117"/>
        <v>5.5413571275387576E-2</v>
      </c>
      <c r="AA528" s="9">
        <f t="shared" si="117"/>
        <v>7.0389173758017176E-2</v>
      </c>
      <c r="AB528" s="9">
        <f t="shared" si="117"/>
        <v>8.7818776797630102E-2</v>
      </c>
      <c r="AC528" s="9">
        <f t="shared" si="117"/>
        <v>0.10839040527695208</v>
      </c>
      <c r="AD528" s="9">
        <f t="shared" si="117"/>
        <v>0.13265597099833745</v>
      </c>
      <c r="AE528" s="9">
        <f t="shared" si="117"/>
        <v>0.16118832594940544</v>
      </c>
      <c r="AF528" s="9">
        <f t="shared" si="117"/>
        <v>0.19465504606183287</v>
      </c>
      <c r="AG528" s="9">
        <f t="shared" si="117"/>
        <v>0.23387284490447288</v>
      </c>
      <c r="AH528" s="9">
        <f t="shared" si="117"/>
        <v>0.27992449530755403</v>
      </c>
      <c r="AI528" s="9">
        <f t="shared" si="117"/>
        <v>0.33421324499268834</v>
      </c>
      <c r="AJ528" s="9">
        <f t="shared" si="117"/>
        <v>0.39845173188952415</v>
      </c>
      <c r="AK528" s="9">
        <f t="shared" si="117"/>
        <v>0.47485439615137542</v>
      </c>
      <c r="AL528" s="9">
        <f t="shared" si="117"/>
        <v>0.56640353424730583</v>
      </c>
    </row>
    <row r="529" spans="2:38" x14ac:dyDescent="0.35">
      <c r="B529" t="s">
        <v>20</v>
      </c>
      <c r="C529" s="9">
        <f>(C517-C514-(C523-C520))/C519</f>
        <v>-7.1734941641137608E-10</v>
      </c>
      <c r="D529" s="9">
        <f t="shared" ref="D529:AL529" si="118">(D517-D514-(D523-D520))/D519</f>
        <v>0</v>
      </c>
      <c r="E529" s="9">
        <f t="shared" si="118"/>
        <v>2.1033067143139697E-9</v>
      </c>
      <c r="F529" s="9">
        <f t="shared" si="118"/>
        <v>2.7698086686923789E-9</v>
      </c>
      <c r="G529" s="9">
        <f t="shared" si="118"/>
        <v>3.3468082927826029E-9</v>
      </c>
      <c r="H529" s="9">
        <f t="shared" si="118"/>
        <v>3.9694690766667177E-9</v>
      </c>
      <c r="I529" s="9">
        <f t="shared" si="118"/>
        <v>3.9069241271408345E-9</v>
      </c>
      <c r="J529" s="9">
        <f t="shared" si="118"/>
        <v>2.0150386913378664E-2</v>
      </c>
      <c r="K529" s="9">
        <f t="shared" si="118"/>
        <v>4.1685778607033638E-2</v>
      </c>
      <c r="L529" s="9">
        <f t="shared" si="118"/>
        <v>6.0650723480186269E-2</v>
      </c>
      <c r="M529" s="9">
        <f t="shared" si="118"/>
        <v>7.7532157220476419E-2</v>
      </c>
      <c r="N529" s="9">
        <f t="shared" si="118"/>
        <v>9.10016018777101E-2</v>
      </c>
      <c r="O529" s="9">
        <f t="shared" si="118"/>
        <v>0.10220645160934501</v>
      </c>
      <c r="P529" s="9">
        <f t="shared" si="118"/>
        <v>0.11183910565351989</v>
      </c>
      <c r="Q529" s="9">
        <f t="shared" si="118"/>
        <v>0.12029250987704085</v>
      </c>
      <c r="R529" s="9">
        <f t="shared" si="118"/>
        <v>0.12788650477117541</v>
      </c>
      <c r="S529" s="9">
        <f t="shared" si="118"/>
        <v>0.13555584841954685</v>
      </c>
      <c r="T529" s="9">
        <f t="shared" si="118"/>
        <v>0.1439004818466301</v>
      </c>
      <c r="U529" s="9">
        <f t="shared" si="118"/>
        <v>0.15267622539987274</v>
      </c>
      <c r="V529" s="9">
        <f t="shared" si="118"/>
        <v>0.16166289472869178</v>
      </c>
      <c r="W529" s="9">
        <f t="shared" si="118"/>
        <v>0.17068541229391637</v>
      </c>
      <c r="X529" s="9">
        <f t="shared" si="118"/>
        <v>0.17959377802595136</v>
      </c>
      <c r="Y529" s="9">
        <f t="shared" si="118"/>
        <v>0.18829923958251696</v>
      </c>
      <c r="Z529" s="9">
        <f t="shared" si="118"/>
        <v>0.19673755777083474</v>
      </c>
      <c r="AA529" s="9">
        <f t="shared" si="118"/>
        <v>0.20485423303283604</v>
      </c>
      <c r="AB529" s="9">
        <f t="shared" si="118"/>
        <v>0.21263597605303294</v>
      </c>
      <c r="AC529" s="9">
        <f t="shared" si="118"/>
        <v>0.22023888602370195</v>
      </c>
      <c r="AD529" s="9">
        <f t="shared" si="118"/>
        <v>0.22735296196177279</v>
      </c>
      <c r="AE529" s="9">
        <f t="shared" si="118"/>
        <v>0.23391317079276225</v>
      </c>
      <c r="AF529" s="9">
        <f t="shared" si="118"/>
        <v>0.23984252286128624</v>
      </c>
      <c r="AG529" s="9">
        <f t="shared" si="118"/>
        <v>0.24504117624645305</v>
      </c>
      <c r="AH529" s="9">
        <f t="shared" si="118"/>
        <v>0.24937880499349235</v>
      </c>
      <c r="AI529" s="9">
        <f t="shared" si="118"/>
        <v>0.25267437954379612</v>
      </c>
      <c r="AJ529" s="9">
        <f t="shared" si="118"/>
        <v>0.25467835487975832</v>
      </c>
      <c r="AK529" s="9">
        <f t="shared" si="118"/>
        <v>0.25505049469932695</v>
      </c>
      <c r="AL529" s="9">
        <f t="shared" si="118"/>
        <v>0.25331119850221367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2022-02-16T00:05:05Z</dcterms:modified>
</cp:coreProperties>
</file>