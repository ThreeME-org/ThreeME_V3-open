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firstSheet="4" activeTab="8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523" i="2" l="1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I526" i="2" l="1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L528" i="2" l="1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F507" i="2" l="1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L507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L510" i="2"/>
  <c r="AD510" i="2"/>
  <c r="V510" i="2"/>
  <c r="N510" i="2"/>
  <c r="F510" i="2"/>
  <c r="AH507" i="2"/>
  <c r="Z507" i="2"/>
  <c r="R507" i="2"/>
  <c r="J507" i="2"/>
  <c r="AL506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L509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L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L494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L481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E508" i="2" s="1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I508" i="2" s="1"/>
  <c r="AA481" i="2"/>
  <c r="AA508" i="2" s="1"/>
  <c r="S481" i="2"/>
  <c r="S508" i="2" s="1"/>
  <c r="K481" i="2"/>
  <c r="K508" i="2" s="1"/>
  <c r="D487" i="2"/>
  <c r="AL487" i="2"/>
  <c r="AD487" i="2"/>
  <c r="V487" i="2"/>
  <c r="N487" i="2"/>
  <c r="F487" i="2"/>
  <c r="AH481" i="2"/>
  <c r="Z481" i="2"/>
  <c r="R481" i="2"/>
  <c r="J481" i="2"/>
  <c r="AE476" i="2"/>
  <c r="AL453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L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L473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L472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L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L475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L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L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M508" i="2" l="1"/>
  <c r="P511" i="2"/>
  <c r="AL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AL508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L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AL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L283" i="2"/>
  <c r="E292" i="2" s="1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L282" i="2"/>
  <c r="E291" i="2" s="1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L279" i="2"/>
  <c r="E288" i="2" s="1"/>
  <c r="AD279" i="2"/>
  <c r="V279" i="2"/>
  <c r="N279" i="2"/>
  <c r="F279" i="2"/>
  <c r="AI285" i="2"/>
  <c r="AA285" i="2"/>
  <c r="S285" i="2"/>
  <c r="K285" i="2"/>
  <c r="AL284" i="2"/>
  <c r="E293" i="2" s="1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L281" i="2"/>
  <c r="E290" i="2" s="1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L285" i="2"/>
  <c r="E294" i="2" s="1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L280" i="2"/>
  <c r="E289" i="2" s="1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L198" i="2" l="1"/>
  <c r="E107" i="2"/>
  <c r="AL259" i="2"/>
  <c r="AD216" i="2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AL216" i="2"/>
  <c r="E226" i="2" s="1"/>
  <c r="AL220" i="2"/>
  <c r="E230" i="2" s="1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L87" i="2"/>
  <c r="AL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AL258" i="2"/>
  <c r="E110" i="2"/>
  <c r="E119" i="2"/>
  <c r="AL65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AL257" i="2"/>
  <c r="AL99" i="2"/>
  <c r="AL98" i="2" s="1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AL244" i="2"/>
  <c r="AL261" i="2"/>
  <c r="E108" i="2"/>
  <c r="E117" i="2"/>
  <c r="AL60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AL256" i="2"/>
  <c r="E114" i="2"/>
  <c r="E122" i="2"/>
  <c r="AL218" i="2"/>
  <c r="E228" i="2" s="1"/>
  <c r="AL217" i="2"/>
  <c r="E227" i="2" s="1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AL260" i="2"/>
  <c r="AL197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E111" i="2"/>
  <c r="E120" i="2"/>
  <c r="AL210" i="2"/>
  <c r="AL209" i="2" s="1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AL255" i="2"/>
  <c r="AL235" i="2"/>
  <c r="E109" i="2"/>
  <c r="E118" i="2"/>
  <c r="AL219" i="2"/>
  <c r="E229" i="2" s="1"/>
  <c r="AL223" i="2"/>
  <c r="E233" i="2" s="1"/>
  <c r="AL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E112" i="2"/>
  <c r="E121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L222" i="2"/>
  <c r="E232" i="2" s="1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E113" i="2"/>
  <c r="L221" i="2"/>
  <c r="AL254" i="2"/>
  <c r="L222" i="2"/>
  <c r="AA221" i="2"/>
  <c r="AL221" i="2"/>
  <c r="E231" i="2" s="1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<sst xmlns="http://schemas.openxmlformats.org/spreadsheetml/2006/main" count="400" uniqueCount="106">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</sst>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3.9901400149330416E-8</c:v>
                </c:pt>
                <c:pt idx="7">
                  <c:v>-2.2776848299618485E-2</c:v>
                </c:pt>
                <c:pt idx="8">
                  <c:v>-6.7440811530857084E-2</c:v>
                </c:pt>
                <c:pt idx="9">
                  <c:v>-3.5360785306948819E-2</c:v>
                </c:pt>
                <c:pt idx="10">
                  <c:v>8.3143089630283884E-2</c:v>
                </c:pt>
                <c:pt idx="11">
                  <c:v>0.26037011455561931</c:v>
                </c:pt>
                <c:pt idx="12">
                  <c:v>0.48110809371676688</c:v>
                </c:pt>
                <c:pt idx="13">
                  <c:v>0.71459053804091788</c:v>
                </c:pt>
                <c:pt idx="14">
                  <c:v>0.94181908153168448</c:v>
                </c:pt>
                <c:pt idx="15">
                  <c:v>1.1538055376055112</c:v>
                </c:pt>
                <c:pt idx="16">
                  <c:v>1.3398583508013979</c:v>
                </c:pt>
                <c:pt idx="17">
                  <c:v>1.4906113512949781</c:v>
                </c:pt>
                <c:pt idx="18">
                  <c:v>1.6122076211418941</c:v>
                </c:pt>
                <c:pt idx="19">
                  <c:v>1.7107913280858102</c:v>
                </c:pt>
                <c:pt idx="20">
                  <c:v>1.7900381258181397</c:v>
                </c:pt>
                <c:pt idx="21">
                  <c:v>1.8491638879083436</c:v>
                </c:pt>
                <c:pt idx="22">
                  <c:v>1.8889391280539722</c:v>
                </c:pt>
                <c:pt idx="23">
                  <c:v>1.9121387089655513</c:v>
                </c:pt>
                <c:pt idx="24">
                  <c:v>1.9214367992704338</c:v>
                </c:pt>
                <c:pt idx="25">
                  <c:v>1.9190792096066116</c:v>
                </c:pt>
                <c:pt idx="26">
                  <c:v>1.9003822258065022</c:v>
                </c:pt>
                <c:pt idx="27">
                  <c:v>1.8640613377059752</c:v>
                </c:pt>
                <c:pt idx="28">
                  <c:v>1.8160709013147029</c:v>
                </c:pt>
                <c:pt idx="29">
                  <c:v>1.7623604809879825</c:v>
                </c:pt>
                <c:pt idx="30">
                  <c:v>1.7069717835259062</c:v>
                </c:pt>
                <c:pt idx="31">
                  <c:v>1.6505999161249816</c:v>
                </c:pt>
                <c:pt idx="32">
                  <c:v>1.593550125388566</c:v>
                </c:pt>
                <c:pt idx="33">
                  <c:v>1.5393928642582082</c:v>
                </c:pt>
                <c:pt idx="34">
                  <c:v>1.492009215723302</c:v>
                </c:pt>
                <c:pt idx="35">
                  <c:v>1.4543132248357626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4.5496879916593708E-9</c:v>
                </c:pt>
                <c:pt idx="1">
                  <c:v>0</c:v>
                </c:pt>
                <c:pt idx="2">
                  <c:v>0</c:v>
                </c:pt>
                <c:pt idx="3">
                  <c:v>4.2803067784301251E-9</c:v>
                </c:pt>
                <c:pt idx="4">
                  <c:v>4.1832280990306635E-9</c:v>
                </c:pt>
                <c:pt idx="5">
                  <c:v>4.0852683241777045E-9</c:v>
                </c:pt>
                <c:pt idx="6">
                  <c:v>3.9901428020138379E-9</c:v>
                </c:pt>
                <c:pt idx="7">
                  <c:v>-5.3308995832319517E-2</c:v>
                </c:pt>
                <c:pt idx="8">
                  <c:v>-0.12179525511426306</c:v>
                </c:pt>
                <c:pt idx="9">
                  <c:v>-0.13584928284208264</c:v>
                </c:pt>
                <c:pt idx="10">
                  <c:v>-0.12044009292598806</c:v>
                </c:pt>
                <c:pt idx="11">
                  <c:v>-8.9609888503138307E-2</c:v>
                </c:pt>
                <c:pt idx="12">
                  <c:v>-5.3161376050509912E-2</c:v>
                </c:pt>
                <c:pt idx="13">
                  <c:v>-1.305280483649276E-2</c:v>
                </c:pt>
                <c:pt idx="14">
                  <c:v>3.3856945115273394E-2</c:v>
                </c:pt>
                <c:pt idx="15">
                  <c:v>8.9184926202934237E-2</c:v>
                </c:pt>
                <c:pt idx="16">
                  <c:v>0.14397483936877029</c:v>
                </c:pt>
                <c:pt idx="17">
                  <c:v>0.1977596419546894</c:v>
                </c:pt>
                <c:pt idx="18">
                  <c:v>0.25214769072746124</c:v>
                </c:pt>
                <c:pt idx="19">
                  <c:v>0.30946047005988941</c:v>
                </c:pt>
                <c:pt idx="20">
                  <c:v>0.37203607899229862</c:v>
                </c:pt>
                <c:pt idx="21">
                  <c:v>0.44136488320890227</c:v>
                </c:pt>
                <c:pt idx="22">
                  <c:v>0.51885553516658789</c:v>
                </c:pt>
                <c:pt idx="23">
                  <c:v>0.60596865656939269</c:v>
                </c:pt>
                <c:pt idx="24">
                  <c:v>0.70413999942954175</c:v>
                </c:pt>
                <c:pt idx="25">
                  <c:v>0.81492718744803017</c:v>
                </c:pt>
                <c:pt idx="26">
                  <c:v>0.93856322943363291</c:v>
                </c:pt>
                <c:pt idx="27">
                  <c:v>1.07416754605697</c:v>
                </c:pt>
                <c:pt idx="28">
                  <c:v>1.2221215406605022</c:v>
                </c:pt>
                <c:pt idx="29">
                  <c:v>1.3836300561132733</c:v>
                </c:pt>
                <c:pt idx="30">
                  <c:v>1.5602439360220033</c:v>
                </c:pt>
                <c:pt idx="31">
                  <c:v>1.7533078173605479</c:v>
                </c:pt>
                <c:pt idx="32">
                  <c:v>1.9643424748128218</c:v>
                </c:pt>
                <c:pt idx="33">
                  <c:v>2.1959151746567249</c:v>
                </c:pt>
                <c:pt idx="34">
                  <c:v>2.4516325073169818</c:v>
                </c:pt>
                <c:pt idx="35">
                  <c:v>2.7362314956100002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#\ ##0.0</c:formatCode>
                <c:ptCount val="36"/>
                <c:pt idx="0">
                  <c:v>-4.5496906399262041E-9</c:v>
                </c:pt>
                <c:pt idx="1">
                  <c:v>-4.465808454817137E-9</c:v>
                </c:pt>
                <c:pt idx="2">
                  <c:v>-4.3753499868102769E-9</c:v>
                </c:pt>
                <c:pt idx="3">
                  <c:v>-1.2840922826756713E-8</c:v>
                </c:pt>
                <c:pt idx="4">
                  <c:v>-8.3664610679795506E-9</c:v>
                </c:pt>
                <c:pt idx="5">
                  <c:v>-1.2255814484294733E-8</c:v>
                </c:pt>
                <c:pt idx="6">
                  <c:v>-1.5960566562920693E-8</c:v>
                </c:pt>
                <c:pt idx="7">
                  <c:v>-0.1483870819715073</c:v>
                </c:pt>
                <c:pt idx="8">
                  <c:v>-0.2607495804072737</c:v>
                </c:pt>
                <c:pt idx="9">
                  <c:v>-0.14034861071074589</c:v>
                </c:pt>
                <c:pt idx="10">
                  <c:v>-0.11619272066462744</c:v>
                </c:pt>
                <c:pt idx="11">
                  <c:v>-0.19203223965779753</c:v>
                </c:pt>
                <c:pt idx="12">
                  <c:v>-0.35050602971386563</c:v>
                </c:pt>
                <c:pt idx="13">
                  <c:v>-0.54455884037025049</c:v>
                </c:pt>
                <c:pt idx="14">
                  <c:v>-0.73713520213110983</c:v>
                </c:pt>
                <c:pt idx="15">
                  <c:v>-0.92177343095124376</c:v>
                </c:pt>
                <c:pt idx="16">
                  <c:v>-1.1119166313323621</c:v>
                </c:pt>
                <c:pt idx="17">
                  <c:v>-1.2916226354388531</c:v>
                </c:pt>
                <c:pt idx="18">
                  <c:v>-1.464222455845007</c:v>
                </c:pt>
                <c:pt idx="19">
                  <c:v>-1.6315810745965416</c:v>
                </c:pt>
                <c:pt idx="20">
                  <c:v>-1.7942298543676136</c:v>
                </c:pt>
                <c:pt idx="21">
                  <c:v>-1.9489108272699345</c:v>
                </c:pt>
                <c:pt idx="22">
                  <c:v>-2.0941495281433724</c:v>
                </c:pt>
                <c:pt idx="23">
                  <c:v>-2.2304526855716267</c:v>
                </c:pt>
                <c:pt idx="24">
                  <c:v>-2.3581927294804577</c:v>
                </c:pt>
                <c:pt idx="25">
                  <c:v>-2.4790241728708828</c:v>
                </c:pt>
                <c:pt idx="26">
                  <c:v>-2.5839019150737408</c:v>
                </c:pt>
                <c:pt idx="27">
                  <c:v>-2.6711348971324442</c:v>
                </c:pt>
                <c:pt idx="28">
                  <c:v>-2.743777729491951</c:v>
                </c:pt>
                <c:pt idx="29">
                  <c:v>-2.8051463085807438</c:v>
                </c:pt>
                <c:pt idx="30">
                  <c:v>-2.8580574012875561</c:v>
                </c:pt>
                <c:pt idx="31">
                  <c:v>-2.9032159123318411</c:v>
                </c:pt>
                <c:pt idx="32">
                  <c:v>-2.9415437699283506</c:v>
                </c:pt>
                <c:pt idx="33">
                  <c:v>-2.9778715859199996</c:v>
                </c:pt>
                <c:pt idx="34">
                  <c:v>-3.018174065213004</c:v>
                </c:pt>
                <c:pt idx="35">
                  <c:v>-3.0688933210829799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-6.0996874218233188E-9</c:v>
                      </c:pt>
                      <c:pt idx="3">
                        <c:v>0</c:v>
                      </c:pt>
                      <c:pt idx="4">
                        <c:v>-5.8156368609729725E-9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-0.28740829915229194</c:v>
                      </c:pt>
                      <c:pt idx="8">
                        <c:v>-0.56948268299276128</c:v>
                      </c:pt>
                      <c:pt idx="9">
                        <c:v>-0.40032441510007288</c:v>
                      </c:pt>
                      <c:pt idx="10">
                        <c:v>-0.22826104255397883</c:v>
                      </c:pt>
                      <c:pt idx="11">
                        <c:v>-0.10469901168774776</c:v>
                      </c:pt>
                      <c:pt idx="12">
                        <c:v>-3.449960558767895E-2</c:v>
                      </c:pt>
                      <c:pt idx="13">
                        <c:v>7.3745540138281385E-3</c:v>
                      </c:pt>
                      <c:pt idx="14">
                        <c:v>5.1666434918451465E-2</c:v>
                      </c:pt>
                      <c:pt idx="15">
                        <c:v>9.8723351166984941E-2</c:v>
                      </c:pt>
                      <c:pt idx="16">
                        <c:v>0.11032945646207715</c:v>
                      </c:pt>
                      <c:pt idx="17">
                        <c:v>9.5361458199305638E-2</c:v>
                      </c:pt>
                      <c:pt idx="18">
                        <c:v>5.8116383947348638E-2</c:v>
                      </c:pt>
                      <c:pt idx="19">
                        <c:v>5.7072916017197883E-3</c:v>
                      </c:pt>
                      <c:pt idx="20">
                        <c:v>-5.5763347753612358E-2</c:v>
                      </c:pt>
                      <c:pt idx="21">
                        <c:v>-0.12120999125722065</c:v>
                      </c:pt>
                      <c:pt idx="22">
                        <c:v>-0.18634427603819725</c:v>
                      </c:pt>
                      <c:pt idx="23">
                        <c:v>-0.24710711826314569</c:v>
                      </c:pt>
                      <c:pt idx="24">
                        <c:v>-0.29945990570229286</c:v>
                      </c:pt>
                      <c:pt idx="25">
                        <c:v>-0.34146914164152609</c:v>
                      </c:pt>
                      <c:pt idx="26">
                        <c:v>-0.36696541474323663</c:v>
                      </c:pt>
                      <c:pt idx="27">
                        <c:v>-0.37670872437211012</c:v>
                      </c:pt>
                      <c:pt idx="28">
                        <c:v>-0.36820101648253889</c:v>
                      </c:pt>
                      <c:pt idx="29">
                        <c:v>-0.33837725408010222</c:v>
                      </c:pt>
                      <c:pt idx="30">
                        <c:v>-0.28531709336648836</c:v>
                      </c:pt>
                      <c:pt idx="31">
                        <c:v>-0.20848650629790022</c:v>
                      </c:pt>
                      <c:pt idx="32">
                        <c:v>-0.10806122046174149</c:v>
                      </c:pt>
                      <c:pt idx="33">
                        <c:v>1.5424775696493143E-2</c:v>
                      </c:pt>
                      <c:pt idx="34">
                        <c:v>0.16123403623435895</c:v>
                      </c:pt>
                      <c:pt idx="35">
                        <c:v>0.32777482307573269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8.7506974268332731E-10</c:v>
                      </c:pt>
                      <c:pt idx="3">
                        <c:v>1.7121225867987333E-9</c:v>
                      </c:pt>
                      <c:pt idx="4">
                        <c:v>2.0916140495153317E-9</c:v>
                      </c:pt>
                      <c:pt idx="5">
                        <c:v>2.0426353510590547E-9</c:v>
                      </c:pt>
                      <c:pt idx="6">
                        <c:v>2.7930985678692885E-9</c:v>
                      </c:pt>
                      <c:pt idx="7">
                        <c:v>-6.6196187633177819E-2</c:v>
                      </c:pt>
                      <c:pt idx="8">
                        <c:v>-0.11385530883051768</c:v>
                      </c:pt>
                      <c:pt idx="9">
                        <c:v>-0.13011759335138726</c:v>
                      </c:pt>
                      <c:pt idx="10">
                        <c:v>-0.12610183164749289</c:v>
                      </c:pt>
                      <c:pt idx="11">
                        <c:v>-9.2540770919934692E-2</c:v>
                      </c:pt>
                      <c:pt idx="12">
                        <c:v>-5.365916301948067E-2</c:v>
                      </c:pt>
                      <c:pt idx="13">
                        <c:v>-2.1661275485749198E-2</c:v>
                      </c:pt>
                      <c:pt idx="14">
                        <c:v>1.2851791146669426E-3</c:v>
                      </c:pt>
                      <c:pt idx="15">
                        <c:v>1.6818704243373193E-2</c:v>
                      </c:pt>
                      <c:pt idx="16">
                        <c:v>1.3365620596801259E-2</c:v>
                      </c:pt>
                      <c:pt idx="17">
                        <c:v>2.8993871904507062E-3</c:v>
                      </c:pt>
                      <c:pt idx="18">
                        <c:v>-7.1725745690467335E-3</c:v>
                      </c:pt>
                      <c:pt idx="19">
                        <c:v>-1.4285607732509264E-2</c:v>
                      </c:pt>
                      <c:pt idx="20">
                        <c:v>-1.83906555445001E-2</c:v>
                      </c:pt>
                      <c:pt idx="21">
                        <c:v>-2.0165839896301833E-2</c:v>
                      </c:pt>
                      <c:pt idx="22">
                        <c:v>-2.0516148788793501E-2</c:v>
                      </c:pt>
                      <c:pt idx="23">
                        <c:v>-1.9880532250457616E-2</c:v>
                      </c:pt>
                      <c:pt idx="24">
                        <c:v>-1.8541289802198584E-2</c:v>
                      </c:pt>
                      <c:pt idx="25">
                        <c:v>-1.6973800870439943E-2</c:v>
                      </c:pt>
                      <c:pt idx="26">
                        <c:v>-1.5455018303294569E-2</c:v>
                      </c:pt>
                      <c:pt idx="27">
                        <c:v>-1.4321239100941626E-2</c:v>
                      </c:pt>
                      <c:pt idx="28">
                        <c:v>-1.3035109485534957E-2</c:v>
                      </c:pt>
                      <c:pt idx="29">
                        <c:v>-1.1152096030258492E-2</c:v>
                      </c:pt>
                      <c:pt idx="30">
                        <c:v>-8.5123986282383424E-3</c:v>
                      </c:pt>
                      <c:pt idx="31">
                        <c:v>-5.1880418284482987E-3</c:v>
                      </c:pt>
                      <c:pt idx="32">
                        <c:v>-1.165730708408291E-3</c:v>
                      </c:pt>
                      <c:pt idx="33">
                        <c:v>3.9291660092922696E-3</c:v>
                      </c:pt>
                      <c:pt idx="34">
                        <c:v>1.0480051016419531E-2</c:v>
                      </c:pt>
                      <c:pt idx="35">
                        <c:v>1.8692375236659429E-2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4.3753489720188554E-8</c:v>
                </c:pt>
                <c:pt idx="3">
                  <c:v>0</c:v>
                </c:pt>
                <c:pt idx="4">
                  <c:v>0</c:v>
                </c:pt>
                <c:pt idx="5">
                  <c:v>4.0852699001447945E-8</c:v>
                </c:pt>
                <c:pt idx="6">
                  <c:v>0</c:v>
                </c:pt>
                <c:pt idx="7">
                  <c:v>-0.22447293389831202</c:v>
                </c:pt>
                <c:pt idx="8">
                  <c:v>-0.44998565847391703</c:v>
                </c:pt>
                <c:pt idx="9">
                  <c:v>-0.31155871233280452</c:v>
                </c:pt>
                <c:pt idx="10">
                  <c:v>-0.15348970215804947</c:v>
                </c:pt>
                <c:pt idx="11">
                  <c:v>-2.127201360531128E-2</c:v>
                </c:pt>
                <c:pt idx="12">
                  <c:v>7.7440684455987174E-2</c:v>
                </c:pt>
                <c:pt idx="13">
                  <c:v>0.15697890314945173</c:v>
                </c:pt>
                <c:pt idx="14">
                  <c:v>0.23854084144154797</c:v>
                </c:pt>
                <c:pt idx="15">
                  <c:v>0.32121706620609203</c:v>
                </c:pt>
                <c:pt idx="16">
                  <c:v>0.37191657197921391</c:v>
                </c:pt>
                <c:pt idx="17">
                  <c:v>0.39674835781082773</c:v>
                </c:pt>
                <c:pt idx="18">
                  <c:v>0.40013283374020769</c:v>
                </c:pt>
                <c:pt idx="19">
                  <c:v>0.38867068285952655</c:v>
                </c:pt>
                <c:pt idx="20">
                  <c:v>0.36784433506447112</c:v>
                </c:pt>
                <c:pt idx="21">
                  <c:v>0.34161791969982147</c:v>
                </c:pt>
                <c:pt idx="22">
                  <c:v>0.31364512028309033</c:v>
                </c:pt>
                <c:pt idx="23">
                  <c:v>0.28765467706639569</c:v>
                </c:pt>
                <c:pt idx="24">
                  <c:v>0.26738408621846954</c:v>
                </c:pt>
                <c:pt idx="25">
                  <c:v>0.25498225743192382</c:v>
                </c:pt>
                <c:pt idx="26">
                  <c:v>0.25504352392853313</c:v>
                </c:pt>
                <c:pt idx="27">
                  <c:v>0.26709399191231498</c:v>
                </c:pt>
                <c:pt idx="28">
                  <c:v>0.29441473050619837</c:v>
                </c:pt>
                <c:pt idx="29">
                  <c:v>0.34084422852052043</c:v>
                </c:pt>
                <c:pt idx="30">
                  <c:v>0.40915831826036086</c:v>
                </c:pt>
                <c:pt idx="31">
                  <c:v>0.50069184493486407</c:v>
                </c:pt>
                <c:pt idx="32">
                  <c:v>0.61634880712060358</c:v>
                </c:pt>
                <c:pt idx="33">
                  <c:v>0.75743647553847548</c:v>
                </c:pt>
                <c:pt idx="34">
                  <c:v>0.92546767978465283</c:v>
                </c:pt>
                <c:pt idx="35">
                  <c:v>1.1216513993627775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1.9528065103666226</c:v>
                </c:pt>
                <c:pt idx="2">
                  <c:v>1.9961097487525725</c:v>
                </c:pt>
                <c:pt idx="3">
                  <c:v>2.143583782842895</c:v>
                </c:pt>
                <c:pt idx="4">
                  <c:v>2.0437537993968746</c:v>
                </c:pt>
                <c:pt idx="5">
                  <c:v>2.0923729487838605</c:v>
                </c:pt>
                <c:pt idx="6">
                  <c:v>2.2363543444374301</c:v>
                </c:pt>
                <c:pt idx="7">
                  <c:v>2.3534586383570311</c:v>
                </c:pt>
                <c:pt idx="8">
                  <c:v>2.4314542705290876</c:v>
                </c:pt>
                <c:pt idx="9">
                  <c:v>2.4878083772877257</c:v>
                </c:pt>
                <c:pt idx="10">
                  <c:v>2.5125981572984291</c:v>
                </c:pt>
                <c:pt idx="11">
                  <c:v>2.4685302181776114</c:v>
                </c:pt>
                <c:pt idx="12">
                  <c:v>2.3628835862147701</c:v>
                </c:pt>
                <c:pt idx="13">
                  <c:v>2.214815541982551</c:v>
                </c:pt>
                <c:pt idx="14">
                  <c:v>2.0485318019565435</c:v>
                </c:pt>
                <c:pt idx="15">
                  <c:v>1.8785146018908128</c:v>
                </c:pt>
                <c:pt idx="16">
                  <c:v>1.6366796355333335</c:v>
                </c:pt>
                <c:pt idx="17">
                  <c:v>1.4257855746279136</c:v>
                </c:pt>
                <c:pt idx="18">
                  <c:v>1.2498611650995528</c:v>
                </c:pt>
                <c:pt idx="19">
                  <c:v>1.1124527845247645</c:v>
                </c:pt>
                <c:pt idx="20">
                  <c:v>1.0160456041416799</c:v>
                </c:pt>
                <c:pt idx="21">
                  <c:v>0.95380732517387212</c:v>
                </c:pt>
                <c:pt idx="22">
                  <c:v>0.9283176171017038</c:v>
                </c:pt>
                <c:pt idx="23">
                  <c:v>0.94048940985282936</c:v>
                </c:pt>
                <c:pt idx="24">
                  <c:v>0.99276846547702302</c:v>
                </c:pt>
                <c:pt idx="25">
                  <c:v>1.0869536425636595</c:v>
                </c:pt>
                <c:pt idx="26">
                  <c:v>1.20866263968189</c:v>
                </c:pt>
                <c:pt idx="27">
                  <c:v>1.35405540200082</c:v>
                </c:pt>
                <c:pt idx="28">
                  <c:v>1.5181247572350953</c:v>
                </c:pt>
                <c:pt idx="29">
                  <c:v>1.6861029175568643</c:v>
                </c:pt>
                <c:pt idx="30">
                  <c:v>1.8520048763592367</c:v>
                </c:pt>
                <c:pt idx="31">
                  <c:v>2.0095529195292006</c:v>
                </c:pt>
                <c:pt idx="32">
                  <c:v>2.1540165916855702</c:v>
                </c:pt>
                <c:pt idx="33">
                  <c:v>2.2816992824498339</c:v>
                </c:pt>
                <c:pt idx="34">
                  <c:v>2.3893797092082947</c:v>
                </c:pt>
                <c:pt idx="35">
                  <c:v>2.4744806989533741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1.9528065103666226</c:v>
                </c:pt>
                <c:pt idx="2">
                  <c:v>1.9961098466483529</c:v>
                </c:pt>
                <c:pt idx="3">
                  <c:v>2.1435837807854963</c:v>
                </c:pt>
                <c:pt idx="4">
                  <c:v>2.0437537035107756</c:v>
                </c:pt>
                <c:pt idx="5">
                  <c:v>2.0923730408675567</c:v>
                </c:pt>
                <c:pt idx="6">
                  <c:v>2.2363543424203325</c:v>
                </c:pt>
                <c:pt idx="7">
                  <c:v>3.2610612825251239</c:v>
                </c:pt>
                <c:pt idx="8">
                  <c:v>3.2145921800993627</c:v>
                </c:pt>
                <c:pt idx="9">
                  <c:v>3.3922962925457156</c:v>
                </c:pt>
                <c:pt idx="10">
                  <c:v>3.5467053170412655</c:v>
                </c:pt>
                <c:pt idx="11">
                  <c:v>3.3436373830565413</c:v>
                </c:pt>
                <c:pt idx="12">
                  <c:v>3.1912860466298598</c:v>
                </c:pt>
                <c:pt idx="13">
                  <c:v>2.9970748036155515</c:v>
                </c:pt>
                <c:pt idx="14">
                  <c:v>2.7783184910359582</c:v>
                </c:pt>
                <c:pt idx="15">
                  <c:v>2.5466660890745008</c:v>
                </c:pt>
                <c:pt idx="16">
                  <c:v>2.3700140821247606</c:v>
                </c:pt>
                <c:pt idx="17">
                  <c:v>2.1467865693489907</c:v>
                </c:pt>
                <c:pt idx="18">
                  <c:v>1.9301359528609119</c:v>
                </c:pt>
                <c:pt idx="19">
                  <c:v>1.7342043619216874</c:v>
                </c:pt>
                <c:pt idx="20">
                  <c:v>1.5674470031508791</c:v>
                </c:pt>
                <c:pt idx="21">
                  <c:v>1.4312280795471199</c:v>
                </c:pt>
                <c:pt idx="22">
                  <c:v>1.3276760041305513</c:v>
                </c:pt>
                <c:pt idx="23">
                  <c:v>1.2525282592574127</c:v>
                </c:pt>
                <c:pt idx="24">
                  <c:v>1.2113830467470832</c:v>
                </c:pt>
                <c:pt idx="25">
                  <c:v>1.2095907400894612</c:v>
                </c:pt>
                <c:pt idx="26">
                  <c:v>1.2539458885596044</c:v>
                </c:pt>
                <c:pt idx="27">
                  <c:v>1.3401335962509364</c:v>
                </c:pt>
                <c:pt idx="28">
                  <c:v>1.4425741682948745</c:v>
                </c:pt>
                <c:pt idx="29">
                  <c:v>1.5526644252459976</c:v>
                </c:pt>
                <c:pt idx="30">
                  <c:v>1.6675158074251462</c:v>
                </c:pt>
                <c:pt idx="31">
                  <c:v>1.7899679201557772</c:v>
                </c:pt>
                <c:pt idx="32">
                  <c:v>1.9161452468919205</c:v>
                </c:pt>
                <c:pt idx="33">
                  <c:v>2.0324237836935266</c:v>
                </c:pt>
                <c:pt idx="34">
                  <c:v>2.1361008768714385</c:v>
                </c:pt>
                <c:pt idx="35">
                  <c:v>2.2251601068516758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348.01864060000003</c:v>
                </c:pt>
                <c:pt idx="1">
                  <c:v>348.27357540000003</c:v>
                </c:pt>
                <c:pt idx="2">
                  <c:v>348.62072999999998</c:v>
                </c:pt>
                <c:pt idx="3">
                  <c:v>348.7386601</c:v>
                </c:pt>
                <c:pt idx="4">
                  <c:v>350.85550749999999</c:v>
                </c:pt>
                <c:pt idx="5">
                  <c:v>354.50504260000002</c:v>
                </c:pt>
                <c:pt idx="6">
                  <c:v>358.46145790000003</c:v>
                </c:pt>
                <c:pt idx="7">
                  <c:v>362.48714469999999</c:v>
                </c:pt>
                <c:pt idx="8">
                  <c:v>366.5842945</c:v>
                </c:pt>
                <c:pt idx="9">
                  <c:v>370.75574330000001</c:v>
                </c:pt>
                <c:pt idx="10">
                  <c:v>374.92304869999998</c:v>
                </c:pt>
                <c:pt idx="11">
                  <c:v>378.20078769999998</c:v>
                </c:pt>
                <c:pt idx="12">
                  <c:v>380.71904380000001</c:v>
                </c:pt>
                <c:pt idx="13">
                  <c:v>382.6324118</c:v>
                </c:pt>
                <c:pt idx="14">
                  <c:v>384.12664999999998</c:v>
                </c:pt>
                <c:pt idx="15">
                  <c:v>385.38380210000003</c:v>
                </c:pt>
                <c:pt idx="16">
                  <c:v>387.11022059999999</c:v>
                </c:pt>
                <c:pt idx="17">
                  <c:v>389.3972842</c:v>
                </c:pt>
                <c:pt idx="18">
                  <c:v>392.28981649999997</c:v>
                </c:pt>
                <c:pt idx="19">
                  <c:v>395.79861360000001</c:v>
                </c:pt>
                <c:pt idx="20">
                  <c:v>399.84686369999997</c:v>
                </c:pt>
                <c:pt idx="21">
                  <c:v>404.58317779999999</c:v>
                </c:pt>
                <c:pt idx="22">
                  <c:v>410.02920519999998</c:v>
                </c:pt>
                <c:pt idx="23">
                  <c:v>416.21124200000003</c:v>
                </c:pt>
                <c:pt idx="24">
                  <c:v>423.13482909999999</c:v>
                </c:pt>
                <c:pt idx="25">
                  <c:v>430.55117159999998</c:v>
                </c:pt>
                <c:pt idx="26">
                  <c:v>438.72702679999998</c:v>
                </c:pt>
                <c:pt idx="27">
                  <c:v>447.69797139999997</c:v>
                </c:pt>
                <c:pt idx="28">
                  <c:v>457.47711829999997</c:v>
                </c:pt>
                <c:pt idx="29">
                  <c:v>467.99003210000001</c:v>
                </c:pt>
                <c:pt idx="30">
                  <c:v>479.1104052</c:v>
                </c:pt>
                <c:pt idx="31">
                  <c:v>490.71201020000001</c:v>
                </c:pt>
                <c:pt idx="32">
                  <c:v>502.67883030000002</c:v>
                </c:pt>
                <c:pt idx="33">
                  <c:v>514.89836070000001</c:v>
                </c:pt>
                <c:pt idx="34">
                  <c:v>527.25684109999997</c:v>
                </c:pt>
                <c:pt idx="35">
                  <c:v>539.63704710000002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348.01866319999999</c:v>
                </c:pt>
                <c:pt idx="1">
                  <c:v>348.27359740000003</c:v>
                </c:pt>
                <c:pt idx="2">
                  <c:v>348.62075160000001</c:v>
                </c:pt>
                <c:pt idx="3">
                  <c:v>348.73868110000001</c:v>
                </c:pt>
                <c:pt idx="4">
                  <c:v>350.85552819999998</c:v>
                </c:pt>
                <c:pt idx="5">
                  <c:v>354.50506330000002</c:v>
                </c:pt>
                <c:pt idx="6">
                  <c:v>358.46147860000002</c:v>
                </c:pt>
                <c:pt idx="7">
                  <c:v>347.68760259999999</c:v>
                </c:pt>
                <c:pt idx="8">
                  <c:v>336.63339930000001</c:v>
                </c:pt>
                <c:pt idx="9">
                  <c:v>327.09314590000002</c:v>
                </c:pt>
                <c:pt idx="10">
                  <c:v>318.3537498</c:v>
                </c:pt>
                <c:pt idx="11">
                  <c:v>310.37766010000001</c:v>
                </c:pt>
                <c:pt idx="12">
                  <c:v>302.68709050000001</c:v>
                </c:pt>
                <c:pt idx="13">
                  <c:v>295.11684869999999</c:v>
                </c:pt>
                <c:pt idx="14">
                  <c:v>287.6702391</c:v>
                </c:pt>
                <c:pt idx="15">
                  <c:v>280.34533640000001</c:v>
                </c:pt>
                <c:pt idx="16">
                  <c:v>272.93632000000002</c:v>
                </c:pt>
                <c:pt idx="17">
                  <c:v>265.6030427</c:v>
                </c:pt>
                <c:pt idx="18">
                  <c:v>258.44423870000003</c:v>
                </c:pt>
                <c:pt idx="19">
                  <c:v>251.50351219999999</c:v>
                </c:pt>
                <c:pt idx="20">
                  <c:v>244.7461442</c:v>
                </c:pt>
                <c:pt idx="21">
                  <c:v>238.25812089999999</c:v>
                </c:pt>
                <c:pt idx="22">
                  <c:v>232.02297609999999</c:v>
                </c:pt>
                <c:pt idx="23">
                  <c:v>226.00584939999999</c:v>
                </c:pt>
                <c:pt idx="24">
                  <c:v>220.1520166</c:v>
                </c:pt>
                <c:pt idx="25">
                  <c:v>214.2771414</c:v>
                </c:pt>
                <c:pt idx="26">
                  <c:v>208.47805679999999</c:v>
                </c:pt>
                <c:pt idx="27">
                  <c:v>202.7268455</c:v>
                </c:pt>
                <c:pt idx="28">
                  <c:v>196.95326</c:v>
                </c:pt>
                <c:pt idx="29">
                  <c:v>191.03862179999999</c:v>
                </c:pt>
                <c:pt idx="30">
                  <c:v>184.84330080000001</c:v>
                </c:pt>
                <c:pt idx="31">
                  <c:v>178.2363651</c:v>
                </c:pt>
                <c:pt idx="32">
                  <c:v>171.09040529999999</c:v>
                </c:pt>
                <c:pt idx="33">
                  <c:v>163.25808960000001</c:v>
                </c:pt>
                <c:pt idx="34">
                  <c:v>154.56461479999999</c:v>
                </c:pt>
                <c:pt idx="35">
                  <c:v>144.78760270000001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118.38066670000001</c:v>
                </c:pt>
                <c:pt idx="2">
                  <c:v>117.1288546</c:v>
                </c:pt>
                <c:pt idx="3">
                  <c:v>115.90024440000001</c:v>
                </c:pt>
                <c:pt idx="4">
                  <c:v>115.30449</c:v>
                </c:pt>
                <c:pt idx="5">
                  <c:v>115.096358</c:v>
                </c:pt>
                <c:pt idx="6">
                  <c:v>114.8585453</c:v>
                </c:pt>
                <c:pt idx="7">
                  <c:v>114.6160071</c:v>
                </c:pt>
                <c:pt idx="8">
                  <c:v>114.4119108</c:v>
                </c:pt>
                <c:pt idx="9">
                  <c:v>114.25863940000001</c:v>
                </c:pt>
                <c:pt idx="10">
                  <c:v>114.1967075</c:v>
                </c:pt>
                <c:pt idx="11">
                  <c:v>114.1505487</c:v>
                </c:pt>
                <c:pt idx="12">
                  <c:v>114.1110559</c:v>
                </c:pt>
                <c:pt idx="13">
                  <c:v>114.0632554</c:v>
                </c:pt>
                <c:pt idx="14">
                  <c:v>113.99187860000001</c:v>
                </c:pt>
                <c:pt idx="15">
                  <c:v>113.8854099</c:v>
                </c:pt>
                <c:pt idx="16">
                  <c:v>113.8987942</c:v>
                </c:pt>
                <c:pt idx="17">
                  <c:v>113.966212</c:v>
                </c:pt>
                <c:pt idx="18">
                  <c:v>114.0480642</c:v>
                </c:pt>
                <c:pt idx="19">
                  <c:v>114.1239492</c:v>
                </c:pt>
                <c:pt idx="20">
                  <c:v>114.1578978</c:v>
                </c:pt>
                <c:pt idx="21">
                  <c:v>114.1890346</c:v>
                </c:pt>
                <c:pt idx="22">
                  <c:v>114.2142286</c:v>
                </c:pt>
                <c:pt idx="23">
                  <c:v>114.2374738</c:v>
                </c:pt>
                <c:pt idx="24">
                  <c:v>114.2646587</c:v>
                </c:pt>
                <c:pt idx="25">
                  <c:v>114.22903460000001</c:v>
                </c:pt>
                <c:pt idx="26">
                  <c:v>114.2117286</c:v>
                </c:pt>
                <c:pt idx="27">
                  <c:v>114.21894469999999</c:v>
                </c:pt>
                <c:pt idx="28">
                  <c:v>114.2576064</c:v>
                </c:pt>
                <c:pt idx="29">
                  <c:v>114.334658</c:v>
                </c:pt>
                <c:pt idx="30">
                  <c:v>114.4540428</c:v>
                </c:pt>
                <c:pt idx="31">
                  <c:v>114.6156123</c:v>
                </c:pt>
                <c:pt idx="32">
                  <c:v>114.8127266</c:v>
                </c:pt>
                <c:pt idx="33">
                  <c:v>115.0370499</c:v>
                </c:pt>
                <c:pt idx="34">
                  <c:v>115.2793521</c:v>
                </c:pt>
                <c:pt idx="35">
                  <c:v>115.52945459999999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118.38067340000001</c:v>
                </c:pt>
                <c:pt idx="2">
                  <c:v>117.12886109999999</c:v>
                </c:pt>
                <c:pt idx="3">
                  <c:v>115.9002507</c:v>
                </c:pt>
                <c:pt idx="4">
                  <c:v>115.3044962</c:v>
                </c:pt>
                <c:pt idx="5">
                  <c:v>115.0963641</c:v>
                </c:pt>
                <c:pt idx="6">
                  <c:v>114.8585514</c:v>
                </c:pt>
                <c:pt idx="7">
                  <c:v>110.101382</c:v>
                </c:pt>
                <c:pt idx="8">
                  <c:v>105.64669019999999</c:v>
                </c:pt>
                <c:pt idx="9">
                  <c:v>101.53280479999999</c:v>
                </c:pt>
                <c:pt idx="10">
                  <c:v>97.74759349</c:v>
                </c:pt>
                <c:pt idx="11">
                  <c:v>94.435221949999999</c:v>
                </c:pt>
                <c:pt idx="12">
                  <c:v>91.342247369999995</c:v>
                </c:pt>
                <c:pt idx="13">
                  <c:v>88.330543019999993</c:v>
                </c:pt>
                <c:pt idx="14">
                  <c:v>85.327737409999997</c:v>
                </c:pt>
                <c:pt idx="15">
                  <c:v>82.299273249999999</c:v>
                </c:pt>
                <c:pt idx="16">
                  <c:v>79.194478430000004</c:v>
                </c:pt>
                <c:pt idx="17">
                  <c:v>76.047381669999993</c:v>
                </c:pt>
                <c:pt idx="18">
                  <c:v>72.877066299999996</c:v>
                </c:pt>
                <c:pt idx="19">
                  <c:v>69.694624770000004</c:v>
                </c:pt>
                <c:pt idx="20">
                  <c:v>66.490804330000003</c:v>
                </c:pt>
                <c:pt idx="21">
                  <c:v>63.29680888</c:v>
                </c:pt>
                <c:pt idx="22">
                  <c:v>60.108199579999997</c:v>
                </c:pt>
                <c:pt idx="23">
                  <c:v>56.924565020000003</c:v>
                </c:pt>
                <c:pt idx="24">
                  <c:v>53.747331250000002</c:v>
                </c:pt>
                <c:pt idx="25">
                  <c:v>50.541254469999998</c:v>
                </c:pt>
                <c:pt idx="26">
                  <c:v>47.349436490000002</c:v>
                </c:pt>
                <c:pt idx="27">
                  <c:v>44.171369140000003</c:v>
                </c:pt>
                <c:pt idx="28">
                  <c:v>41.006637949999998</c:v>
                </c:pt>
                <c:pt idx="29">
                  <c:v>37.854375580000003</c:v>
                </c:pt>
                <c:pt idx="30">
                  <c:v>34.712520830000003</c:v>
                </c:pt>
                <c:pt idx="31">
                  <c:v>31.577802899999998</c:v>
                </c:pt>
                <c:pt idx="32">
                  <c:v>28.446095440000001</c:v>
                </c:pt>
                <c:pt idx="33">
                  <c:v>25.31276407</c:v>
                </c:pt>
                <c:pt idx="34">
                  <c:v>22.172852590000002</c:v>
                </c:pt>
                <c:pt idx="35">
                  <c:v>19.020805500000002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228.52817019439999</c:v>
                      </c:pt>
                      <c:pt idx="1">
                        <c:v>229.89292402519999</c:v>
                      </c:pt>
                      <c:pt idx="2">
                        <c:v>231.49189051979999</c:v>
                      </c:pt>
                      <c:pt idx="3">
                        <c:v>232.83843034110001</c:v>
                      </c:pt>
                      <c:pt idx="4">
                        <c:v>235.5510320459</c:v>
                      </c:pt>
                      <c:pt idx="5">
                        <c:v>239.40869915990001</c:v>
                      </c:pt>
                      <c:pt idx="6">
                        <c:v>243.60292719040001</c:v>
                      </c:pt>
                      <c:pt idx="7">
                        <c:v>237.5862206111</c:v>
                      </c:pt>
                      <c:pt idx="8">
                        <c:v>230.98670916579999</c:v>
                      </c:pt>
                      <c:pt idx="9">
                        <c:v>225.5603410866</c:v>
                      </c:pt>
                      <c:pt idx="10">
                        <c:v>220.60615628480002</c:v>
                      </c:pt>
                      <c:pt idx="11">
                        <c:v>215.94243819499999</c:v>
                      </c:pt>
                      <c:pt idx="12">
                        <c:v>211.3448430386</c:v>
                      </c:pt>
                      <c:pt idx="13">
                        <c:v>206.7863056699</c:v>
                      </c:pt>
                      <c:pt idx="14">
                        <c:v>202.34250167089999</c:v>
                      </c:pt>
                      <c:pt idx="15">
                        <c:v>198.04606313660003</c:v>
                      </c:pt>
                      <c:pt idx="16">
                        <c:v>193.74184153760001</c:v>
                      </c:pt>
                      <c:pt idx="17">
                        <c:v>189.55566100180002</c:v>
                      </c:pt>
                      <c:pt idx="18">
                        <c:v>185.56717237449999</c:v>
                      </c:pt>
                      <c:pt idx="19">
                        <c:v>181.80888741269999</c:v>
                      </c:pt>
                      <c:pt idx="20">
                        <c:v>178.25533979030001</c:v>
                      </c:pt>
                      <c:pt idx="21">
                        <c:v>174.96131206019999</c:v>
                      </c:pt>
                      <c:pt idx="22">
                        <c:v>171.9147765937</c:v>
                      </c:pt>
                      <c:pt idx="23">
                        <c:v>169.08128435770001</c:v>
                      </c:pt>
                      <c:pt idx="24">
                        <c:v>166.4046853751</c:v>
                      </c:pt>
                      <c:pt idx="25">
                        <c:v>163.73588699919998</c:v>
                      </c:pt>
                      <c:pt idx="26">
                        <c:v>161.12862025709998</c:v>
                      </c:pt>
                      <c:pt idx="27">
                        <c:v>158.55547635080001</c:v>
                      </c:pt>
                      <c:pt idx="28">
                        <c:v>155.94662209980001</c:v>
                      </c:pt>
                      <c:pt idx="29">
                        <c:v>153.18424618660001</c:v>
                      </c:pt>
                      <c:pt idx="30">
                        <c:v>150.13077996980002</c:v>
                      </c:pt>
                      <c:pt idx="31">
                        <c:v>146.65856215229999</c:v>
                      </c:pt>
                      <c:pt idx="32">
                        <c:v>142.64430988309999</c:v>
                      </c:pt>
                      <c:pt idx="33">
                        <c:v>137.9453255688</c:v>
                      </c:pt>
                      <c:pt idx="34">
                        <c:v>132.39176213490001</c:v>
                      </c:pt>
                      <c:pt idx="35">
                        <c:v>125.76679717990001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228.52815459440001</c:v>
                      </c:pt>
                      <c:pt idx="1">
                        <c:v>229.89290872519999</c:v>
                      </c:pt>
                      <c:pt idx="2">
                        <c:v>231.4918755198</c:v>
                      </c:pt>
                      <c:pt idx="3">
                        <c:v>232.8384156411</c:v>
                      </c:pt>
                      <c:pt idx="4">
                        <c:v>235.55101755590002</c:v>
                      </c:pt>
                      <c:pt idx="5">
                        <c:v>239.40868455990002</c:v>
                      </c:pt>
                      <c:pt idx="6">
                        <c:v>243.60291260039997</c:v>
                      </c:pt>
                      <c:pt idx="7">
                        <c:v>247.87113755889999</c:v>
                      </c:pt>
                      <c:pt idx="8">
                        <c:v>252.17238363720003</c:v>
                      </c:pt>
                      <c:pt idx="9">
                        <c:v>256.49710397529998</c:v>
                      </c:pt>
                      <c:pt idx="10">
                        <c:v>260.7263411756</c:v>
                      </c:pt>
                      <c:pt idx="11">
                        <c:v>264.0502388928</c:v>
                      </c:pt>
                      <c:pt idx="12">
                        <c:v>266.6079878566</c:v>
                      </c:pt>
                      <c:pt idx="13">
                        <c:v>268.56915639300001</c:v>
                      </c:pt>
                      <c:pt idx="14">
                        <c:v>270.13477143279999</c:v>
                      </c:pt>
                      <c:pt idx="15">
                        <c:v>271.49839221729997</c:v>
                      </c:pt>
                      <c:pt idx="16">
                        <c:v>273.21142641520004</c:v>
                      </c:pt>
                      <c:pt idx="17">
                        <c:v>275.43107229879996</c:v>
                      </c:pt>
                      <c:pt idx="18">
                        <c:v>278.24175228940004</c:v>
                      </c:pt>
                      <c:pt idx="19">
                        <c:v>281.67466439520007</c:v>
                      </c:pt>
                      <c:pt idx="20">
                        <c:v>285.68896580969999</c:v>
                      </c:pt>
                      <c:pt idx="21">
                        <c:v>290.3941431559</c:v>
                      </c:pt>
                      <c:pt idx="22">
                        <c:v>295.81497658390003</c:v>
                      </c:pt>
                      <c:pt idx="23">
                        <c:v>301.97376817849999</c:v>
                      </c:pt>
                      <c:pt idx="24">
                        <c:v>308.87017037639998</c:v>
                      </c:pt>
                      <c:pt idx="25">
                        <c:v>316.32213701429998</c:v>
                      </c:pt>
                      <c:pt idx="26">
                        <c:v>324.51529828680003</c:v>
                      </c:pt>
                      <c:pt idx="27">
                        <c:v>333.47902667950001</c:v>
                      </c:pt>
                      <c:pt idx="28">
                        <c:v>343.21951190530001</c:v>
                      </c:pt>
                      <c:pt idx="29">
                        <c:v>353.6553742241</c:v>
                      </c:pt>
                      <c:pt idx="30">
                        <c:v>364.65636245160005</c:v>
                      </c:pt>
                      <c:pt idx="31">
                        <c:v>376.09639791199999</c:v>
                      </c:pt>
                      <c:pt idx="32">
                        <c:v>387.8661037425</c:v>
                      </c:pt>
                      <c:pt idx="33">
                        <c:v>399.86131078559998</c:v>
                      </c:pt>
                      <c:pt idx="34">
                        <c:v>411.97748900450006</c:v>
                      </c:pt>
                      <c:pt idx="35">
                        <c:v>424.10759245949998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-5.8837127316539064E-12</c:v>
                </c:pt>
                <c:pt idx="7">
                  <c:v>-1.2689542444299746E-3</c:v>
                </c:pt>
                <c:pt idx="8">
                  <c:v>-2.6962555528049475E-3</c:v>
                </c:pt>
                <c:pt idx="9">
                  <c:v>-3.9102804469091802E-3</c:v>
                </c:pt>
                <c:pt idx="10">
                  <c:v>-5.0356549780546838E-3</c:v>
                </c:pt>
                <c:pt idx="11">
                  <c:v>-5.9130514321684971E-3</c:v>
                </c:pt>
                <c:pt idx="12">
                  <c:v>-6.629123242053463E-3</c:v>
                </c:pt>
                <c:pt idx="13">
                  <c:v>-7.2279735060506497E-3</c:v>
                </c:pt>
                <c:pt idx="14">
                  <c:v>-7.7321439644449097E-3</c:v>
                </c:pt>
                <c:pt idx="15">
                  <c:v>-8.1663978042481912E-3</c:v>
                </c:pt>
                <c:pt idx="16">
                  <c:v>-8.6651248672162083E-3</c:v>
                </c:pt>
                <c:pt idx="17">
                  <c:v>-9.221349777585805E-3</c:v>
                </c:pt>
                <c:pt idx="18">
                  <c:v>-9.8190859478365922E-3</c:v>
                </c:pt>
                <c:pt idx="19">
                  <c:v>-1.0442471055195577E-2</c:v>
                </c:pt>
                <c:pt idx="20">
                  <c:v>-1.1079751092910496E-2</c:v>
                </c:pt>
                <c:pt idx="21">
                  <c:v>-1.1717347367381049E-2</c:v>
                </c:pt>
                <c:pt idx="22">
                  <c:v>-1.2348180349593821E-2</c:v>
                </c:pt>
                <c:pt idx="23">
                  <c:v>-1.2967719354843383E-2</c:v>
                </c:pt>
                <c:pt idx="24">
                  <c:v>-1.3571869830183042E-2</c:v>
                </c:pt>
                <c:pt idx="25">
                  <c:v>-1.4162824031789171E-2</c:v>
                </c:pt>
                <c:pt idx="26">
                  <c:v>-1.4732921322176597E-2</c:v>
                </c:pt>
                <c:pt idx="27">
                  <c:v>-1.5277043712635918E-2</c:v>
                </c:pt>
                <c:pt idx="28">
                  <c:v>-1.5795225575794158E-2</c:v>
                </c:pt>
                <c:pt idx="29">
                  <c:v>-1.6286153347567778E-2</c:v>
                </c:pt>
                <c:pt idx="30">
                  <c:v>-1.6747947899360634E-2</c:v>
                </c:pt>
                <c:pt idx="31">
                  <c:v>-1.7178794609497651E-2</c:v>
                </c:pt>
                <c:pt idx="32">
                  <c:v>-1.7577897541018975E-2</c:v>
                </c:pt>
                <c:pt idx="33">
                  <c:v>-1.7946390516736667E-2</c:v>
                </c:pt>
                <c:pt idx="34">
                  <c:v>-1.8285545723596051E-2</c:v>
                </c:pt>
                <c:pt idx="35">
                  <c:v>-1.8596008906663977E-2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0</c:v>
                </c:pt>
                <c:pt idx="1">
                  <c:v>-6.1519485491504389E-13</c:v>
                </c:pt>
                <c:pt idx="2">
                  <c:v>-6.1173018912733737E-13</c:v>
                </c:pt>
                <c:pt idx="3">
                  <c:v>6.0224584925218055E-11</c:v>
                </c:pt>
                <c:pt idx="4">
                  <c:v>5.9673109605720831E-11</c:v>
                </c:pt>
                <c:pt idx="5">
                  <c:v>1.1851042044641017E-10</c:v>
                </c:pt>
                <c:pt idx="6">
                  <c:v>1.7592304203116926E-10</c:v>
                </c:pt>
                <c:pt idx="7">
                  <c:v>-3.8415163761361068E-3</c:v>
                </c:pt>
                <c:pt idx="8">
                  <c:v>-8.4340836855261291E-3</c:v>
                </c:pt>
                <c:pt idx="9">
                  <c:v>-1.2108885384155667E-2</c:v>
                </c:pt>
                <c:pt idx="10">
                  <c:v>-1.5358290632195864E-2</c:v>
                </c:pt>
                <c:pt idx="11">
                  <c:v>-1.7712936718177495E-2</c:v>
                </c:pt>
                <c:pt idx="12">
                  <c:v>-1.9448062655294265E-2</c:v>
                </c:pt>
                <c:pt idx="13">
                  <c:v>-2.072291789082099E-2</c:v>
                </c:pt>
                <c:pt idx="14">
                  <c:v>-2.1613914553056494E-2</c:v>
                </c:pt>
                <c:pt idx="15">
                  <c:v>-2.2216895594377329E-2</c:v>
                </c:pt>
                <c:pt idx="16">
                  <c:v>-2.2985136436899069E-2</c:v>
                </c:pt>
                <c:pt idx="17">
                  <c:v>-2.3964804814134461E-2</c:v>
                </c:pt>
                <c:pt idx="18">
                  <c:v>-2.5098272311351352E-2</c:v>
                </c:pt>
                <c:pt idx="19">
                  <c:v>-2.6314699503313794E-2</c:v>
                </c:pt>
                <c:pt idx="20">
                  <c:v>-2.7549407147111668E-2</c:v>
                </c:pt>
                <c:pt idx="21">
                  <c:v>-2.8740599120034859E-2</c:v>
                </c:pt>
                <c:pt idx="22">
                  <c:v>-2.9838430973708002E-2</c:v>
                </c:pt>
                <c:pt idx="23">
                  <c:v>-3.0815259199187855E-2</c:v>
                </c:pt>
                <c:pt idx="24">
                  <c:v>-3.1648727220122179E-2</c:v>
                </c:pt>
                <c:pt idx="25">
                  <c:v>-3.2322799654871955E-2</c:v>
                </c:pt>
                <c:pt idx="26">
                  <c:v>-3.2789389087397168E-2</c:v>
                </c:pt>
                <c:pt idx="27">
                  <c:v>-3.2991230413534314E-2</c:v>
                </c:pt>
                <c:pt idx="28">
                  <c:v>-3.2888311758865738E-2</c:v>
                </c:pt>
                <c:pt idx="29">
                  <c:v>-3.2438334783037495E-2</c:v>
                </c:pt>
                <c:pt idx="30">
                  <c:v>-3.1588690098548575E-2</c:v>
                </c:pt>
                <c:pt idx="31">
                  <c:v>-3.0262327254276303E-2</c:v>
                </c:pt>
                <c:pt idx="32">
                  <c:v>-2.8352724909928077E-2</c:v>
                </c:pt>
                <c:pt idx="33">
                  <c:v>-2.5727213715815545E-2</c:v>
                </c:pt>
                <c:pt idx="34">
                  <c:v>-2.220354428616899E-2</c:v>
                </c:pt>
                <c:pt idx="35">
                  <c:v>-1.7511880799696986E-2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-4.9476085643751876E-10</c:v>
                </c:pt>
                <c:pt idx="1">
                  <c:v>-1.6609964719119692E-9</c:v>
                </c:pt>
                <c:pt idx="2">
                  <c:v>-2.5694035023178206E-9</c:v>
                </c:pt>
                <c:pt idx="3">
                  <c:v>-3.6499751962968745E-9</c:v>
                </c:pt>
                <c:pt idx="4">
                  <c:v>-4.2193111946447446E-9</c:v>
                </c:pt>
                <c:pt idx="5">
                  <c:v>-4.526026130678618E-9</c:v>
                </c:pt>
                <c:pt idx="6">
                  <c:v>-4.5892955544334371E-9</c:v>
                </c:pt>
                <c:pt idx="7">
                  <c:v>-6.6388079414449134E-3</c:v>
                </c:pt>
                <c:pt idx="8">
                  <c:v>-1.281697416907299E-2</c:v>
                </c:pt>
                <c:pt idx="9">
                  <c:v>-1.7449914252653694E-2</c:v>
                </c:pt>
                <c:pt idx="10">
                  <c:v>-2.1028810888154933E-2</c:v>
                </c:pt>
                <c:pt idx="11">
                  <c:v>-2.2897717267922269E-2</c:v>
                </c:pt>
                <c:pt idx="12">
                  <c:v>-2.3810885224260267E-2</c:v>
                </c:pt>
                <c:pt idx="13">
                  <c:v>-2.4127561762459972E-2</c:v>
                </c:pt>
                <c:pt idx="14">
                  <c:v>-2.4016855031171538E-2</c:v>
                </c:pt>
                <c:pt idx="15">
                  <c:v>-2.359839155151592E-2</c:v>
                </c:pt>
                <c:pt idx="16">
                  <c:v>-2.3684922896370742E-2</c:v>
                </c:pt>
                <c:pt idx="17">
                  <c:v>-2.3993192631484039E-2</c:v>
                </c:pt>
                <c:pt idx="18">
                  <c:v>-2.4360562738459803E-2</c:v>
                </c:pt>
                <c:pt idx="19">
                  <c:v>-2.469091698056592E-2</c:v>
                </c:pt>
                <c:pt idx="20">
                  <c:v>-2.4924844140372337E-2</c:v>
                </c:pt>
                <c:pt idx="21">
                  <c:v>-2.5028680142885652E-2</c:v>
                </c:pt>
                <c:pt idx="22">
                  <c:v>-2.5002643099176547E-2</c:v>
                </c:pt>
                <c:pt idx="23">
                  <c:v>-2.4845136574514936E-2</c:v>
                </c:pt>
                <c:pt idx="24">
                  <c:v>-2.4549977866946671E-2</c:v>
                </c:pt>
                <c:pt idx="25">
                  <c:v>-2.4108190879447343E-2</c:v>
                </c:pt>
                <c:pt idx="26">
                  <c:v>-2.350503462800797E-2</c:v>
                </c:pt>
                <c:pt idx="27">
                  <c:v>-2.2696640633792124E-2</c:v>
                </c:pt>
                <c:pt idx="28">
                  <c:v>-2.1657344872186204E-2</c:v>
                </c:pt>
                <c:pt idx="29">
                  <c:v>-2.0356606060168769E-2</c:v>
                </c:pt>
                <c:pt idx="30">
                  <c:v>-1.8750492257883222E-2</c:v>
                </c:pt>
                <c:pt idx="31">
                  <c:v>-1.677314355095591E-2</c:v>
                </c:pt>
                <c:pt idx="32">
                  <c:v>-1.4331956319417076E-2</c:v>
                </c:pt>
                <c:pt idx="33">
                  <c:v>-1.1316140552851666E-2</c:v>
                </c:pt>
                <c:pt idx="34">
                  <c:v>-7.5775940764647087E-3</c:v>
                </c:pt>
                <c:pt idx="35">
                  <c:v>-2.903035892501289E-3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6.1845112547638822E-11</c:v>
                </c:pt>
                <c:pt idx="1">
                  <c:v>6.1518392705418502E-11</c:v>
                </c:pt>
                <c:pt idx="2">
                  <c:v>6.1176279039514424E-11</c:v>
                </c:pt>
                <c:pt idx="3">
                  <c:v>1.2166584996225332E-10</c:v>
                </c:pt>
                <c:pt idx="4">
                  <c:v>1.2055175820781202E-10</c:v>
                </c:pt>
                <c:pt idx="5">
                  <c:v>1.1910596082929014E-10</c:v>
                </c:pt>
                <c:pt idx="6">
                  <c:v>1.1767425463307814E-10</c:v>
                </c:pt>
                <c:pt idx="7">
                  <c:v>1.6240791445213728E-3</c:v>
                </c:pt>
                <c:pt idx="8">
                  <c:v>2.7181579099932822E-3</c:v>
                </c:pt>
                <c:pt idx="9">
                  <c:v>4.1449512669757002E-3</c:v>
                </c:pt>
                <c:pt idx="10">
                  <c:v>5.3764376143422086E-3</c:v>
                </c:pt>
                <c:pt idx="11">
                  <c:v>5.7115180112923417E-3</c:v>
                </c:pt>
                <c:pt idx="12">
                  <c:v>5.611667324649623E-3</c:v>
                </c:pt>
                <c:pt idx="13">
                  <c:v>5.3587574422917558E-3</c:v>
                </c:pt>
                <c:pt idx="14">
                  <c:v>5.1202614075522577E-3</c:v>
                </c:pt>
                <c:pt idx="15">
                  <c:v>4.9358805110104624E-3</c:v>
                </c:pt>
                <c:pt idx="16">
                  <c:v>5.1028824690174824E-3</c:v>
                </c:pt>
                <c:pt idx="17">
                  <c:v>5.3709825559959644E-3</c:v>
                </c:pt>
                <c:pt idx="18">
                  <c:v>5.6253683719634491E-3</c:v>
                </c:pt>
                <c:pt idx="19">
                  <c:v>5.8194193472218174E-3</c:v>
                </c:pt>
                <c:pt idx="20">
                  <c:v>5.9402165017636748E-3</c:v>
                </c:pt>
                <c:pt idx="21">
                  <c:v>5.9982134274225649E-3</c:v>
                </c:pt>
                <c:pt idx="22">
                  <c:v>6.0076960792792575E-3</c:v>
                </c:pt>
                <c:pt idx="23">
                  <c:v>5.9785369018379355E-3</c:v>
                </c:pt>
                <c:pt idx="24">
                  <c:v>5.9194220788857319E-3</c:v>
                </c:pt>
                <c:pt idx="25">
                  <c:v>5.8397719642301607E-3</c:v>
                </c:pt>
                <c:pt idx="26">
                  <c:v>5.7683351402986506E-3</c:v>
                </c:pt>
                <c:pt idx="27">
                  <c:v>5.7521027248412984E-3</c:v>
                </c:pt>
                <c:pt idx="28">
                  <c:v>5.8050805138898176E-3</c:v>
                </c:pt>
                <c:pt idx="29">
                  <c:v>5.9399801925454033E-3</c:v>
                </c:pt>
                <c:pt idx="30">
                  <c:v>6.1724055096545535E-3</c:v>
                </c:pt>
                <c:pt idx="31">
                  <c:v>6.527861585009064E-3</c:v>
                </c:pt>
                <c:pt idx="32">
                  <c:v>7.0347177587955943E-3</c:v>
                </c:pt>
                <c:pt idx="33">
                  <c:v>7.7086447560029917E-3</c:v>
                </c:pt>
                <c:pt idx="34">
                  <c:v>8.5631561921045291E-3</c:v>
                </c:pt>
                <c:pt idx="35">
                  <c:v>9.617583414280444E-3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-6.1844892829679683E-12</c:v>
                </c:pt>
                <c:pt idx="1">
                  <c:v>-4.3062874893792946E-11</c:v>
                </c:pt>
                <c:pt idx="2">
                  <c:v>-8.5646790655320196E-11</c:v>
                </c:pt>
                <c:pt idx="3">
                  <c:v>-1.2774914246036601E-10</c:v>
                </c:pt>
                <c:pt idx="4">
                  <c:v>-1.6877246149093683E-10</c:v>
                </c:pt>
                <c:pt idx="5">
                  <c:v>-1.9056951616939715E-10</c:v>
                </c:pt>
                <c:pt idx="6">
                  <c:v>-2.0592992470474174E-10</c:v>
                </c:pt>
                <c:pt idx="7">
                  <c:v>-1.9055457982598677E-3</c:v>
                </c:pt>
                <c:pt idx="8">
                  <c:v>-4.0704974315399888E-3</c:v>
                </c:pt>
                <c:pt idx="9">
                  <c:v>-5.7102129892731435E-3</c:v>
                </c:pt>
                <c:pt idx="10">
                  <c:v>-7.2202196203232337E-3</c:v>
                </c:pt>
                <c:pt idx="11">
                  <c:v>-8.3864280324674294E-3</c:v>
                </c:pt>
                <c:pt idx="12">
                  <c:v>-9.3628399255271701E-3</c:v>
                </c:pt>
                <c:pt idx="13">
                  <c:v>-1.0200113161419616E-2</c:v>
                </c:pt>
                <c:pt idx="14">
                  <c:v>-1.0905885421542518E-2</c:v>
                </c:pt>
                <c:pt idx="15">
                  <c:v>-1.1511188573450449E-2</c:v>
                </c:pt>
                <c:pt idx="16">
                  <c:v>-1.2195933220457414E-2</c:v>
                </c:pt>
                <c:pt idx="17">
                  <c:v>-1.2955958660872685E-2</c:v>
                </c:pt>
                <c:pt idx="18">
                  <c:v>-1.3763231379997541E-2</c:v>
                </c:pt>
                <c:pt idx="19">
                  <c:v>-1.459095407853332E-2</c:v>
                </c:pt>
                <c:pt idx="20">
                  <c:v>-1.5419145330962168E-2</c:v>
                </c:pt>
                <c:pt idx="21">
                  <c:v>-1.6229169235148794E-2</c:v>
                </c:pt>
                <c:pt idx="22">
                  <c:v>-1.7006908705184193E-2</c:v>
                </c:pt>
                <c:pt idx="23">
                  <c:v>-1.7744705898837889E-2</c:v>
                </c:pt>
                <c:pt idx="24">
                  <c:v>-1.8436312643440436E-2</c:v>
                </c:pt>
                <c:pt idx="25">
                  <c:v>-1.9078154801154164E-2</c:v>
                </c:pt>
                <c:pt idx="26">
                  <c:v>-1.9662061575718461E-2</c:v>
                </c:pt>
                <c:pt idx="27">
                  <c:v>-2.0163318328120891E-2</c:v>
                </c:pt>
                <c:pt idx="28">
                  <c:v>-2.0578633748431694E-2</c:v>
                </c:pt>
                <c:pt idx="29">
                  <c:v>-2.090740385612332E-2</c:v>
                </c:pt>
                <c:pt idx="30">
                  <c:v>-2.1148561213478322E-2</c:v>
                </c:pt>
                <c:pt idx="31">
                  <c:v>-2.1296589563793884E-2</c:v>
                </c:pt>
                <c:pt idx="32">
                  <c:v>-2.1345820509375207E-2</c:v>
                </c:pt>
                <c:pt idx="33">
                  <c:v>-2.1295329887159389E-2</c:v>
                </c:pt>
                <c:pt idx="34">
                  <c:v>-2.114461653814368E-2</c:v>
                </c:pt>
                <c:pt idx="35">
                  <c:v>-2.089122196003142E-2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-6.18451068135073E-10</c:v>
                </c:pt>
                <c:pt idx="1">
                  <c:v>-1.8455514894100133E-9</c:v>
                </c:pt>
                <c:pt idx="2">
                  <c:v>-2.4470510062712947E-9</c:v>
                </c:pt>
                <c:pt idx="3">
                  <c:v>-3.6499750999396952E-9</c:v>
                </c:pt>
                <c:pt idx="4">
                  <c:v>-4.2193111227106783E-9</c:v>
                </c:pt>
                <c:pt idx="5">
                  <c:v>-4.7642381151291602E-9</c:v>
                </c:pt>
                <c:pt idx="6">
                  <c:v>-4.7069698139168281E-9</c:v>
                </c:pt>
                <c:pt idx="7">
                  <c:v>-1.2030745217493477E-2</c:v>
                </c:pt>
                <c:pt idx="8">
                  <c:v>-2.5299652664648953E-2</c:v>
                </c:pt>
                <c:pt idx="9">
                  <c:v>-3.5034341740145414E-2</c:v>
                </c:pt>
                <c:pt idx="10">
                  <c:v>-4.326653843028716E-2</c:v>
                </c:pt>
                <c:pt idx="11">
                  <c:v>-4.91986154527978E-2</c:v>
                </c:pt>
                <c:pt idx="12">
                  <c:v>-5.363924372580231E-2</c:v>
                </c:pt>
                <c:pt idx="13">
                  <c:v>-5.6919809125438703E-2</c:v>
                </c:pt>
                <c:pt idx="14">
                  <c:v>-5.9148537207568852E-2</c:v>
                </c:pt>
                <c:pt idx="15">
                  <c:v>-6.0556992845979707E-2</c:v>
                </c:pt>
                <c:pt idx="16">
                  <c:v>-6.2428235060708492E-2</c:v>
                </c:pt>
                <c:pt idx="17">
                  <c:v>-6.4764323155535597E-2</c:v>
                </c:pt>
                <c:pt idx="18">
                  <c:v>-6.741578407282145E-2</c:v>
                </c:pt>
                <c:pt idx="19">
                  <c:v>-7.0219622658630909E-2</c:v>
                </c:pt>
                <c:pt idx="20">
                  <c:v>-7.3032931254420341E-2</c:v>
                </c:pt>
                <c:pt idx="21">
                  <c:v>-7.5717582429685737E-2</c:v>
                </c:pt>
                <c:pt idx="22">
                  <c:v>-7.8188466864678285E-2</c:v>
                </c:pt>
                <c:pt idx="23">
                  <c:v>-8.0394283874060557E-2</c:v>
                </c:pt>
                <c:pt idx="24">
                  <c:v>-8.2287465613985922E-2</c:v>
                </c:pt>
                <c:pt idx="25">
                  <c:v>-8.383219722850721E-2</c:v>
                </c:pt>
                <c:pt idx="26">
                  <c:v>-8.4921071395540504E-2</c:v>
                </c:pt>
                <c:pt idx="27">
                  <c:v>-8.5376130435380393E-2</c:v>
                </c:pt>
                <c:pt idx="28">
                  <c:v>-8.5114435480147743E-2</c:v>
                </c:pt>
                <c:pt idx="29">
                  <c:v>-8.4048517909836362E-2</c:v>
                </c:pt>
                <c:pt idx="30">
                  <c:v>-8.2063285868393621E-2</c:v>
                </c:pt>
                <c:pt idx="31">
                  <c:v>-7.8982993422780257E-2</c:v>
                </c:pt>
                <c:pt idx="32">
                  <c:v>-7.4573681576420858E-2</c:v>
                </c:pt>
                <c:pt idx="33">
                  <c:v>-6.8576429765497049E-2</c:v>
                </c:pt>
                <c:pt idx="34">
                  <c:v>-6.0648144508879565E-2</c:v>
                </c:pt>
                <c:pt idx="35">
                  <c:v>-5.028456416696625E-2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-7.09446445021901E-10</c:v>
                </c:pt>
                <c:pt idx="2">
                  <c:v>-1.1226839708596135E-9</c:v>
                </c:pt>
                <c:pt idx="3">
                  <c:v>-1.595177647217086E-9</c:v>
                </c:pt>
                <c:pt idx="4">
                  <c:v>-1.7118343604145102E-9</c:v>
                </c:pt>
                <c:pt idx="5">
                  <c:v>-1.6878606230696775E-9</c:v>
                </c:pt>
                <c:pt idx="6">
                  <c:v>-1.6629328460807759E-9</c:v>
                </c:pt>
                <c:pt idx="7">
                  <c:v>-3.2195401112873486E-3</c:v>
                </c:pt>
                <c:pt idx="8">
                  <c:v>-5.9764599426812923E-3</c:v>
                </c:pt>
                <c:pt idx="9">
                  <c:v>-8.0942868911559954E-3</c:v>
                </c:pt>
                <c:pt idx="10">
                  <c:v>-9.595877583336113E-3</c:v>
                </c:pt>
                <c:pt idx="11">
                  <c:v>-1.0091646950395002E-2</c:v>
                </c:pt>
                <c:pt idx="12">
                  <c:v>-9.9563399209035841E-3</c:v>
                </c:pt>
                <c:pt idx="13">
                  <c:v>-9.4491125205359676E-3</c:v>
                </c:pt>
                <c:pt idx="14">
                  <c:v>-8.7356900752292577E-3</c:v>
                </c:pt>
                <c:pt idx="15">
                  <c:v>-7.914861959103632E-3</c:v>
                </c:pt>
                <c:pt idx="16">
                  <c:v>-7.3883309427157998E-3</c:v>
                </c:pt>
                <c:pt idx="17">
                  <c:v>-7.0330343540429361E-3</c:v>
                </c:pt>
                <c:pt idx="18">
                  <c:v>-6.737672187212683E-3</c:v>
                </c:pt>
                <c:pt idx="19">
                  <c:v>-6.4254083924513887E-3</c:v>
                </c:pt>
                <c:pt idx="20">
                  <c:v>-6.0496482268855047E-3</c:v>
                </c:pt>
                <c:pt idx="21">
                  <c:v>-5.5928267287523618E-3</c:v>
                </c:pt>
                <c:pt idx="22">
                  <c:v>-5.0701735500884946E-3</c:v>
                </c:pt>
                <c:pt idx="23">
                  <c:v>-4.4927914341592809E-3</c:v>
                </c:pt>
                <c:pt idx="24">
                  <c:v>-3.8681339267550934E-3</c:v>
                </c:pt>
                <c:pt idx="25">
                  <c:v>-3.2025377451603801E-3</c:v>
                </c:pt>
                <c:pt idx="26">
                  <c:v>-2.5046673068166141E-3</c:v>
                </c:pt>
                <c:pt idx="27">
                  <c:v>-1.7813609154920893E-3</c:v>
                </c:pt>
                <c:pt idx="28">
                  <c:v>-1.0347022185349757E-3</c:v>
                </c:pt>
                <c:pt idx="29">
                  <c:v>-2.6390624227955076E-4</c:v>
                </c:pt>
                <c:pt idx="30">
                  <c:v>5.365576521485022E-4</c:v>
                </c:pt>
                <c:pt idx="31">
                  <c:v>1.3759191269589982E-3</c:v>
                </c:pt>
                <c:pt idx="32">
                  <c:v>2.2720072380722788E-3</c:v>
                </c:pt>
                <c:pt idx="33">
                  <c:v>3.2481039967901478E-3</c:v>
                </c:pt>
                <c:pt idx="34">
                  <c:v>4.3322932915056496E-3</c:v>
                </c:pt>
                <c:pt idx="35">
                  <c:v>5.5599747960886521E-3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1.434699036705731E-9</c:v>
                </c:pt>
                <c:pt idx="1">
                  <c:v>7.094463946126998E-10</c:v>
                </c:pt>
                <c:pt idx="2">
                  <c:v>-7.0167764382310661E-10</c:v>
                </c:pt>
                <c:pt idx="3">
                  <c:v>-1.3871109290164816E-9</c:v>
                </c:pt>
                <c:pt idx="4">
                  <c:v>-2.0542013103426265E-9</c:v>
                </c:pt>
                <c:pt idx="5">
                  <c:v>-2.0254326325510904E-9</c:v>
                </c:pt>
                <c:pt idx="6">
                  <c:v>-1.9955193018647847E-9</c:v>
                </c:pt>
                <c:pt idx="7">
                  <c:v>-1.0233095046461997E-2</c:v>
                </c:pt>
                <c:pt idx="8">
                  <c:v>-2.1348635255669653E-2</c:v>
                </c:pt>
                <c:pt idx="9">
                  <c:v>-2.6105971879322308E-2</c:v>
                </c:pt>
                <c:pt idx="10">
                  <c:v>-2.8711258010517212E-2</c:v>
                </c:pt>
                <c:pt idx="11">
                  <c:v>-2.924525325340304E-2</c:v>
                </c:pt>
                <c:pt idx="12">
                  <c:v>-2.8295489070080785E-2</c:v>
                </c:pt>
                <c:pt idx="13">
                  <c:v>-2.5807465073244357E-2</c:v>
                </c:pt>
                <c:pt idx="14">
                  <c:v>-2.1499421487572213E-2</c:v>
                </c:pt>
                <c:pt idx="15">
                  <c:v>-1.547708555726849E-2</c:v>
                </c:pt>
                <c:pt idx="16">
                  <c:v>-9.5502316683908108E-3</c:v>
                </c:pt>
                <c:pt idx="17">
                  <c:v>-3.5190789284132887E-3</c:v>
                </c:pt>
                <c:pt idx="18">
                  <c:v>2.7850880258785565E-3</c:v>
                </c:pt>
                <c:pt idx="19">
                  <c:v>9.6180831453766009E-3</c:v>
                </c:pt>
                <c:pt idx="20">
                  <c:v>1.7275743948296604E-2</c:v>
                </c:pt>
                <c:pt idx="21">
                  <c:v>2.6106937945658611E-2</c:v>
                </c:pt>
                <c:pt idx="22">
                  <c:v>3.6460274985122804E-2</c:v>
                </c:pt>
                <c:pt idx="23">
                  <c:v>4.8625027593352584E-2</c:v>
                </c:pt>
                <c:pt idx="24">
                  <c:v>6.2897179963503552E-2</c:v>
                </c:pt>
                <c:pt idx="25">
                  <c:v>7.9586406430984927E-2</c:v>
                </c:pt>
                <c:pt idx="26">
                  <c:v>9.9390224884068901E-2</c:v>
                </c:pt>
                <c:pt idx="27">
                  <c:v>0.12286190843140704</c:v>
                </c:pt>
                <c:pt idx="28">
                  <c:v>0.1505716327642892</c:v>
                </c:pt>
                <c:pt idx="29">
                  <c:v>0.18317917067632963</c:v>
                </c:pt>
                <c:pt idx="30">
                  <c:v>0.22148892596224787</c:v>
                </c:pt>
                <c:pt idx="31">
                  <c:v>0.26656940319841305</c:v>
                </c:pt>
                <c:pt idx="32">
                  <c:v>0.31980591536196618</c:v>
                </c:pt>
                <c:pt idx="33">
                  <c:v>0.38288631206885304</c:v>
                </c:pt>
                <c:pt idx="34">
                  <c:v>0.45799246214764311</c:v>
                </c:pt>
                <c:pt idx="35">
                  <c:v>0.54806289526366347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-7.1734941641137608E-10</c:v>
                </c:pt>
                <c:pt idx="1">
                  <c:v>7.094463946126998E-10</c:v>
                </c:pt>
                <c:pt idx="2">
                  <c:v>1.3331872839494192E-9</c:v>
                </c:pt>
                <c:pt idx="3">
                  <c:v>2.7742220551532936E-9</c:v>
                </c:pt>
                <c:pt idx="4">
                  <c:v>3.35519529192079E-9</c:v>
                </c:pt>
                <c:pt idx="5">
                  <c:v>3.9833512661697269E-9</c:v>
                </c:pt>
                <c:pt idx="6">
                  <c:v>3.9245216150584915E-9</c:v>
                </c:pt>
                <c:pt idx="7">
                  <c:v>2.0232834030606241E-2</c:v>
                </c:pt>
                <c:pt idx="8">
                  <c:v>4.1911763473104387E-2</c:v>
                </c:pt>
                <c:pt idx="9">
                  <c:v>6.1058721612560367E-2</c:v>
                </c:pt>
                <c:pt idx="10">
                  <c:v>7.8152637346652939E-2</c:v>
                </c:pt>
                <c:pt idx="11">
                  <c:v>9.1849978460077267E-2</c:v>
                </c:pt>
                <c:pt idx="12">
                  <c:v>0.10329664118289088</c:v>
                </c:pt>
                <c:pt idx="13">
                  <c:v>0.11317993813894327</c:v>
                </c:pt>
                <c:pt idx="14">
                  <c:v>0.12188956065455146</c:v>
                </c:pt>
                <c:pt idx="15">
                  <c:v>0.12974481670497295</c:v>
                </c:pt>
                <c:pt idx="16">
                  <c:v>0.13768594268445336</c:v>
                </c:pt>
                <c:pt idx="17">
                  <c:v>0.14632696022892572</c:v>
                </c:pt>
                <c:pt idx="18">
                  <c:v>0.1553989905063371</c:v>
                </c:pt>
                <c:pt idx="19">
                  <c:v>0.16468128017313899</c:v>
                </c:pt>
                <c:pt idx="20">
                  <c:v>0.17400420633623712</c:v>
                </c:pt>
                <c:pt idx="21">
                  <c:v>0.18321942366239427</c:v>
                </c:pt>
                <c:pt idx="22">
                  <c:v>0.19223884287022763</c:v>
                </c:pt>
                <c:pt idx="23">
                  <c:v>0.20099635342378869</c:v>
                </c:pt>
                <c:pt idx="24">
                  <c:v>0.20943693119023282</c:v>
                </c:pt>
                <c:pt idx="25">
                  <c:v>0.21754598109063855</c:v>
                </c:pt>
                <c:pt idx="26">
                  <c:v>0.2254790021294191</c:v>
                </c:pt>
                <c:pt idx="27">
                  <c:v>0.23291823797498945</c:v>
                </c:pt>
                <c:pt idx="28">
                  <c:v>0.23979780750478141</c:v>
                </c:pt>
                <c:pt idx="29">
                  <c:v>0.24604187659425633</c:v>
                </c:pt>
                <c:pt idx="30">
                  <c:v>0.25155307024860801</c:v>
                </c:pt>
                <c:pt idx="31">
                  <c:v>0.25620360188563562</c:v>
                </c:pt>
                <c:pt idx="32">
                  <c:v>0.25981556348678964</c:v>
                </c:pt>
                <c:pt idx="33">
                  <c:v>0.26214301028963044</c:v>
                </c:pt>
                <c:pt idx="34">
                  <c:v>0.2628497464350053</c:v>
                </c:pt>
                <c:pt idx="35">
                  <c:v>0.26146086216178699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7.1734951312407702E-10</c:v>
                </c:pt>
                <c:pt idx="1">
                  <c:v>7.0944650154558531E-10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6.7801999865175766E-3</c:v>
                </c:pt>
                <c:pt idx="8">
                  <c:v>1.4586667823193622E-2</c:v>
                </c:pt>
                <c:pt idx="9">
                  <c:v>2.68584627785593E-2</c:v>
                </c:pt>
                <c:pt idx="10">
                  <c:v>3.9845501815377604E-2</c:v>
                </c:pt>
                <c:pt idx="11">
                  <c:v>5.2513078318102258E-2</c:v>
                </c:pt>
                <c:pt idx="12">
                  <c:v>6.5044812742812708E-2</c:v>
                </c:pt>
                <c:pt idx="13">
                  <c:v>7.7923360848693779E-2</c:v>
                </c:pt>
                <c:pt idx="14">
                  <c:v>9.1654448850681192E-2</c:v>
                </c:pt>
                <c:pt idx="15">
                  <c:v>0.10635286930832311</c:v>
                </c:pt>
                <c:pt idx="16">
                  <c:v>0.12074738037060695</c:v>
                </c:pt>
                <c:pt idx="17">
                  <c:v>0.1357748470644804</c:v>
                </c:pt>
                <c:pt idx="18">
                  <c:v>0.15144640687151534</c:v>
                </c:pt>
                <c:pt idx="19">
                  <c:v>0.16787395579503928</c:v>
                </c:pt>
                <c:pt idx="20">
                  <c:v>0.18523030137001451</c:v>
                </c:pt>
                <c:pt idx="21">
                  <c:v>0.20373353487930035</c:v>
                </c:pt>
                <c:pt idx="22">
                  <c:v>0.22362894464016292</c:v>
                </c:pt>
                <c:pt idx="23">
                  <c:v>0.24512858925319914</c:v>
                </c:pt>
                <c:pt idx="24">
                  <c:v>0.26846597717293452</c:v>
                </c:pt>
                <c:pt idx="25">
                  <c:v>0.29392985025435969</c:v>
                </c:pt>
                <c:pt idx="26">
                  <c:v>0.3223645594982647</c:v>
                </c:pt>
                <c:pt idx="27">
                  <c:v>0.35399878549090436</c:v>
                </c:pt>
                <c:pt idx="28">
                  <c:v>0.38933473855028189</c:v>
                </c:pt>
                <c:pt idx="29">
                  <c:v>0.42895714122379713</c:v>
                </c:pt>
                <c:pt idx="30">
                  <c:v>0.47357855362414436</c:v>
                </c:pt>
                <c:pt idx="31">
                  <c:v>0.52414892430438509</c:v>
                </c:pt>
                <c:pt idx="32">
                  <c:v>0.58189348572176147</c:v>
                </c:pt>
                <c:pt idx="33">
                  <c:v>0.64827742657834686</c:v>
                </c:pt>
                <c:pt idx="34">
                  <c:v>0.72517450165596054</c:v>
                </c:pt>
                <c:pt idx="35">
                  <c:v>0.81508373205069806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2.6924997876407011E-11</c:v>
                </c:pt>
                <c:pt idx="1">
                  <c:v>3.329120679278159E-11</c:v>
                </c:pt>
                <c:pt idx="2">
                  <c:v>2.634551992598059E-11</c:v>
                </c:pt>
                <c:pt idx="3">
                  <c:v>1.9533609938938803E-11</c:v>
                </c:pt>
                <c:pt idx="4">
                  <c:v>1.9288787649787849E-11</c:v>
                </c:pt>
                <c:pt idx="5">
                  <c:v>2.5364265722103798E-11</c:v>
                </c:pt>
                <c:pt idx="6">
                  <c:v>2.4997195545006397E-11</c:v>
                </c:pt>
                <c:pt idx="7">
                  <c:v>-6.170172451207068E-4</c:v>
                </c:pt>
                <c:pt idx="8">
                  <c:v>-1.3035015493106641E-3</c:v>
                </c:pt>
                <c:pt idx="9">
                  <c:v>-1.8900018982662891E-3</c:v>
                </c:pt>
                <c:pt idx="10">
                  <c:v>-2.4298223724979915E-3</c:v>
                </c:pt>
                <c:pt idx="11">
                  <c:v>-2.8647703399093528E-3</c:v>
                </c:pt>
                <c:pt idx="12">
                  <c:v>-3.2332129330206695E-3</c:v>
                </c:pt>
                <c:pt idx="13">
                  <c:v>-3.5559559610253764E-3</c:v>
                </c:pt>
                <c:pt idx="14">
                  <c:v>-3.8427619122034379E-3</c:v>
                </c:pt>
                <c:pt idx="15">
                  <c:v>-4.1032751215728204E-3</c:v>
                </c:pt>
                <c:pt idx="16">
                  <c:v>-4.399715624728984E-3</c:v>
                </c:pt>
                <c:pt idx="17">
                  <c:v>-4.7217814368463408E-3</c:v>
                </c:pt>
                <c:pt idx="18">
                  <c:v>-5.0604261133273161E-3</c:v>
                </c:pt>
                <c:pt idx="19">
                  <c:v>-5.4080294192030767E-3</c:v>
                </c:pt>
                <c:pt idx="20">
                  <c:v>-5.7591554087250037E-3</c:v>
                </c:pt>
                <c:pt idx="21">
                  <c:v>-6.1078531617292419E-3</c:v>
                </c:pt>
                <c:pt idx="22">
                  <c:v>-6.4509519526687242E-3</c:v>
                </c:pt>
                <c:pt idx="23">
                  <c:v>-6.7863928337530124E-3</c:v>
                </c:pt>
                <c:pt idx="24">
                  <c:v>-7.1124060960634844E-3</c:v>
                </c:pt>
                <c:pt idx="25">
                  <c:v>-7.4299202905903387E-3</c:v>
                </c:pt>
                <c:pt idx="26">
                  <c:v>-7.7327159644486592E-3</c:v>
                </c:pt>
                <c:pt idx="27">
                  <c:v>-8.0210470042634471E-3</c:v>
                </c:pt>
                <c:pt idx="28">
                  <c:v>-8.2946326685639296E-3</c:v>
                </c:pt>
                <c:pt idx="29">
                  <c:v>-8.5527982511748452E-3</c:v>
                </c:pt>
                <c:pt idx="30">
                  <c:v>-8.7944269918388551E-3</c:v>
                </c:pt>
                <c:pt idx="31">
                  <c:v>-9.0178431954264383E-3</c:v>
                </c:pt>
                <c:pt idx="32">
                  <c:v>-9.2209067920011253E-3</c:v>
                </c:pt>
                <c:pt idx="33">
                  <c:v>-9.4011324903133416E-3</c:v>
                </c:pt>
                <c:pt idx="34">
                  <c:v>-9.5548451997724843E-3</c:v>
                </c:pt>
                <c:pt idx="35">
                  <c:v>-9.675776403112641E-3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5.4876978392728924E-9</c:v>
                </c:pt>
                <c:pt idx="1">
                  <c:v>8.6557169003875635E-11</c:v>
                </c:pt>
                <c:pt idx="2">
                  <c:v>9.2209329978223331E-11</c:v>
                </c:pt>
                <c:pt idx="3">
                  <c:v>9.1156859875639258E-11</c:v>
                </c:pt>
                <c:pt idx="4">
                  <c:v>9.0014250995631219E-11</c:v>
                </c:pt>
                <c:pt idx="5">
                  <c:v>1.5852670089113819E-10</c:v>
                </c:pt>
                <c:pt idx="6">
                  <c:v>9.3739515902917814E-11</c:v>
                </c:pt>
                <c:pt idx="7">
                  <c:v>-8.5199924650546988E-4</c:v>
                </c:pt>
                <c:pt idx="8">
                  <c:v>-1.6526453097580815E-3</c:v>
                </c:pt>
                <c:pt idx="9">
                  <c:v>-1.695629011826217E-3</c:v>
                </c:pt>
                <c:pt idx="10">
                  <c:v>-1.4164175501182885E-3</c:v>
                </c:pt>
                <c:pt idx="11">
                  <c:v>-5.6983919749480983E-4</c:v>
                </c:pt>
                <c:pt idx="12">
                  <c:v>7.0302686795657775E-4</c:v>
                </c:pt>
                <c:pt idx="13">
                  <c:v>2.3324230915912373E-3</c:v>
                </c:pt>
                <c:pt idx="14">
                  <c:v>4.291747736345484E-3</c:v>
                </c:pt>
                <c:pt idx="15">
                  <c:v>6.5282188713941969E-3</c:v>
                </c:pt>
                <c:pt idx="16">
                  <c:v>8.7287268702671405E-3</c:v>
                </c:pt>
                <c:pt idx="17">
                  <c:v>1.085641945126321E-2</c:v>
                </c:pt>
                <c:pt idx="18">
                  <c:v>1.2935865091529573E-2</c:v>
                </c:pt>
                <c:pt idx="19">
                  <c:v>1.5006197672780032E-2</c:v>
                </c:pt>
                <c:pt idx="20">
                  <c:v>1.711303355245665E-2</c:v>
                </c:pt>
                <c:pt idx="21">
                  <c:v>1.9279940881231986E-2</c:v>
                </c:pt>
                <c:pt idx="22">
                  <c:v>2.1538166197011273E-2</c:v>
                </c:pt>
                <c:pt idx="23">
                  <c:v>2.3906687397396126E-2</c:v>
                </c:pt>
                <c:pt idx="24">
                  <c:v>2.6402999432890775E-2</c:v>
                </c:pt>
                <c:pt idx="25">
                  <c:v>2.9071353497149392E-2</c:v>
                </c:pt>
                <c:pt idx="26">
                  <c:v>3.1918732548833886E-2</c:v>
                </c:pt>
                <c:pt idx="27">
                  <c:v>3.4986338110515269E-2</c:v>
                </c:pt>
                <c:pt idx="28">
                  <c:v>3.8309772279500068E-2</c:v>
                </c:pt>
                <c:pt idx="29">
                  <c:v>4.193646961631322E-2</c:v>
                </c:pt>
                <c:pt idx="30">
                  <c:v>4.5926431163401685E-2</c:v>
                </c:pt>
                <c:pt idx="31">
                  <c:v>5.0357816986043684E-2</c:v>
                </c:pt>
                <c:pt idx="32">
                  <c:v>5.5330434831888133E-2</c:v>
                </c:pt>
                <c:pt idx="33">
                  <c:v>6.0963975868069169E-2</c:v>
                </c:pt>
                <c:pt idx="34">
                  <c:v>6.7417446685813218E-2</c:v>
                </c:pt>
                <c:pt idx="35">
                  <c:v>7.4920509183454873E-2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1.1200799433448503E-8</c:v>
                </c:pt>
                <c:pt idx="1">
                  <c:v>1.0686477448490513E-8</c:v>
                </c:pt>
                <c:pt idx="2">
                  <c:v>1.0307684961340236E-8</c:v>
                </c:pt>
                <c:pt idx="3">
                  <c:v>9.9491193080135192E-9</c:v>
                </c:pt>
                <c:pt idx="4">
                  <c:v>9.7344073620610772E-9</c:v>
                </c:pt>
                <c:pt idx="5">
                  <c:v>9.5433052489814829E-9</c:v>
                </c:pt>
                <c:pt idx="6">
                  <c:v>9.3302035015158467E-9</c:v>
                </c:pt>
                <c:pt idx="7">
                  <c:v>-7.6804950161847194E-4</c:v>
                </c:pt>
                <c:pt idx="8">
                  <c:v>-1.0927121431095108E-3</c:v>
                </c:pt>
                <c:pt idx="9">
                  <c:v>-1.3699912247128207E-3</c:v>
                </c:pt>
                <c:pt idx="10">
                  <c:v>-1.5344832063094492E-3</c:v>
                </c:pt>
                <c:pt idx="11">
                  <c:v>-1.5772227248470139E-3</c:v>
                </c:pt>
                <c:pt idx="12">
                  <c:v>-1.6284055271785476E-3</c:v>
                </c:pt>
                <c:pt idx="13">
                  <c:v>-1.7424758280643363E-3</c:v>
                </c:pt>
                <c:pt idx="14">
                  <c:v>-1.9377085377698707E-3</c:v>
                </c:pt>
                <c:pt idx="15">
                  <c:v>-2.2030206200119359E-3</c:v>
                </c:pt>
                <c:pt idx="16">
                  <c:v>-2.551151238784668E-3</c:v>
                </c:pt>
                <c:pt idx="17">
                  <c:v>-2.8997194709476466E-3</c:v>
                </c:pt>
                <c:pt idx="18">
                  <c:v>-3.2199029924030696E-3</c:v>
                </c:pt>
                <c:pt idx="19">
                  <c:v>-3.5026475772081934E-3</c:v>
                </c:pt>
                <c:pt idx="20">
                  <c:v>-3.7466819868932255E-3</c:v>
                </c:pt>
                <c:pt idx="21">
                  <c:v>-3.9566788400172857E-3</c:v>
                </c:pt>
                <c:pt idx="22">
                  <c:v>-4.1471649877931277E-3</c:v>
                </c:pt>
                <c:pt idx="23">
                  <c:v>-4.3251718593132274E-3</c:v>
                </c:pt>
                <c:pt idx="24">
                  <c:v>-4.4960601885869131E-3</c:v>
                </c:pt>
                <c:pt idx="25">
                  <c:v>-4.6652347755771388E-3</c:v>
                </c:pt>
                <c:pt idx="26">
                  <c:v>-4.8379201103060689E-3</c:v>
                </c:pt>
                <c:pt idx="27">
                  <c:v>-5.0248706468343689E-3</c:v>
                </c:pt>
                <c:pt idx="28">
                  <c:v>-5.2322624937069682E-3</c:v>
                </c:pt>
                <c:pt idx="29">
                  <c:v>-5.4707999796334474E-3</c:v>
                </c:pt>
                <c:pt idx="30">
                  <c:v>-5.75421562959527E-3</c:v>
                </c:pt>
                <c:pt idx="31">
                  <c:v>-6.0983999953246951E-3</c:v>
                </c:pt>
                <c:pt idx="32">
                  <c:v>-6.5186709849432327E-3</c:v>
                </c:pt>
                <c:pt idx="33">
                  <c:v>-7.0319178592833757E-3</c:v>
                </c:pt>
                <c:pt idx="34">
                  <c:v>-7.6586820641070417E-3</c:v>
                </c:pt>
                <c:pt idx="35">
                  <c:v>-8.4254970381601266E-3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4.2213018771706237E-9</c:v>
                </c:pt>
                <c:pt idx="1">
                  <c:v>1.3316483899853898E-10</c:v>
                </c:pt>
                <c:pt idx="2">
                  <c:v>6.5863807127302385E-11</c:v>
                </c:pt>
                <c:pt idx="3">
                  <c:v>1.3022408553662752E-10</c:v>
                </c:pt>
                <c:pt idx="4">
                  <c:v>6.4295958832626169E-11</c:v>
                </c:pt>
                <c:pt idx="5">
                  <c:v>6.341067134525765E-11</c:v>
                </c:pt>
                <c:pt idx="6">
                  <c:v>6.2492995800631707E-11</c:v>
                </c:pt>
                <c:pt idx="7">
                  <c:v>8.8009860327495568E-3</c:v>
                </c:pt>
                <c:pt idx="8">
                  <c:v>1.8624400637528266E-2</c:v>
                </c:pt>
                <c:pt idx="9">
                  <c:v>3.0825485935008442E-2</c:v>
                </c:pt>
                <c:pt idx="10">
                  <c:v>4.3255468282553541E-2</c:v>
                </c:pt>
                <c:pt idx="11">
                  <c:v>5.4472149718655126E-2</c:v>
                </c:pt>
                <c:pt idx="12">
                  <c:v>6.5001490881961985E-2</c:v>
                </c:pt>
                <c:pt idx="13">
                  <c:v>7.5406962254041698E-2</c:v>
                </c:pt>
                <c:pt idx="14">
                  <c:v>8.6161930030825701E-2</c:v>
                </c:pt>
                <c:pt idx="15">
                  <c:v>9.745427070097222E-2</c:v>
                </c:pt>
                <c:pt idx="16">
                  <c:v>0.10907617179315615</c:v>
                </c:pt>
                <c:pt idx="17">
                  <c:v>0.12153954327280843</c:v>
                </c:pt>
                <c:pt idx="18">
                  <c:v>0.1347824354350442</c:v>
                </c:pt>
                <c:pt idx="19">
                  <c:v>0.14883850558738679</c:v>
                </c:pt>
                <c:pt idx="20">
                  <c:v>0.16380970592091407</c:v>
                </c:pt>
                <c:pt idx="21">
                  <c:v>0.17987011937919709</c:v>
                </c:pt>
                <c:pt idx="22">
                  <c:v>0.19723066325194583</c:v>
                </c:pt>
                <c:pt idx="23">
                  <c:v>0.21608236813188303</c:v>
                </c:pt>
                <c:pt idx="24">
                  <c:v>0.23663695708951843</c:v>
                </c:pt>
                <c:pt idx="25">
                  <c:v>0.25914272976892749</c:v>
                </c:pt>
                <c:pt idx="26">
                  <c:v>0.28427384659857219</c:v>
                </c:pt>
                <c:pt idx="27">
                  <c:v>0.31235213945213075</c:v>
                </c:pt>
                <c:pt idx="28">
                  <c:v>0.34384550517048462</c:v>
                </c:pt>
                <c:pt idx="29">
                  <c:v>0.3792907339463355</c:v>
                </c:pt>
                <c:pt idx="30">
                  <c:v>0.41933802707177792</c:v>
                </c:pt>
                <c:pt idx="31">
                  <c:v>0.46485556384325172</c:v>
                </c:pt>
                <c:pt idx="32">
                  <c:v>0.51696665130724595</c:v>
                </c:pt>
                <c:pt idx="33">
                  <c:v>0.57701728293279353</c:v>
                </c:pt>
                <c:pt idx="34">
                  <c:v>0.64672251331039932</c:v>
                </c:pt>
                <c:pt idx="35">
                  <c:v>0.72834913197608631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-3.898307737423831E-11</c:v>
                </c:pt>
                <c:pt idx="1">
                  <c:v>1.3316483899853899E-11</c:v>
                </c:pt>
                <c:pt idx="2">
                  <c:v>-2.6345522850920953E-11</c:v>
                </c:pt>
                <c:pt idx="3">
                  <c:v>-1.4324647095784769E-10</c:v>
                </c:pt>
                <c:pt idx="4">
                  <c:v>-1.157327258987271E-10</c:v>
                </c:pt>
                <c:pt idx="5">
                  <c:v>-1.3950347695956684E-10</c:v>
                </c:pt>
                <c:pt idx="6">
                  <c:v>-1.4998323432545662E-10</c:v>
                </c:pt>
                <c:pt idx="7">
                  <c:v>-1.6355786110044471E-3</c:v>
                </c:pt>
                <c:pt idx="8">
                  <c:v>-3.4469078514172769E-3</c:v>
                </c:pt>
                <c:pt idx="9">
                  <c:v>-4.0005862061418384E-3</c:v>
                </c:pt>
                <c:pt idx="10">
                  <c:v>-4.4880719895320619E-3</c:v>
                </c:pt>
                <c:pt idx="11">
                  <c:v>-4.9298728516337254E-3</c:v>
                </c:pt>
                <c:pt idx="12">
                  <c:v>-5.3646193889739964E-3</c:v>
                </c:pt>
                <c:pt idx="13">
                  <c:v>-5.7200437163372024E-3</c:v>
                </c:pt>
                <c:pt idx="14">
                  <c:v>-5.8970068722538167E-3</c:v>
                </c:pt>
                <c:pt idx="15">
                  <c:v>-5.9010688156466541E-3</c:v>
                </c:pt>
                <c:pt idx="16">
                  <c:v>-6.3681364927030172E-3</c:v>
                </c:pt>
                <c:pt idx="17">
                  <c:v>-6.8889746427575563E-3</c:v>
                </c:pt>
                <c:pt idx="18">
                  <c:v>-7.4430098927803058E-3</c:v>
                </c:pt>
                <c:pt idx="19">
                  <c:v>-8.0020169267125268E-3</c:v>
                </c:pt>
                <c:pt idx="20">
                  <c:v>-8.5406384428353566E-3</c:v>
                </c:pt>
                <c:pt idx="21">
                  <c:v>-9.0354131356431278E-3</c:v>
                </c:pt>
                <c:pt idx="22">
                  <c:v>-9.4646251483004439E-3</c:v>
                </c:pt>
                <c:pt idx="23">
                  <c:v>-9.8128499403299565E-3</c:v>
                </c:pt>
                <c:pt idx="24">
                  <c:v>-1.006512956480468E-2</c:v>
                </c:pt>
                <c:pt idx="25">
                  <c:v>-1.0206641763705237E-2</c:v>
                </c:pt>
                <c:pt idx="26">
                  <c:v>-1.0061255607463392E-2</c:v>
                </c:pt>
                <c:pt idx="27">
                  <c:v>-9.7386847636665736E-3</c:v>
                </c:pt>
                <c:pt idx="28">
                  <c:v>-9.2207787473799728E-3</c:v>
                </c:pt>
                <c:pt idx="29">
                  <c:v>-8.4898527465040226E-3</c:v>
                </c:pt>
                <c:pt idx="30">
                  <c:v>-7.524045530888911E-3</c:v>
                </c:pt>
                <c:pt idx="31">
                  <c:v>-6.2905260140844179E-3</c:v>
                </c:pt>
                <c:pt idx="32">
                  <c:v>-4.7485113512242662E-3</c:v>
                </c:pt>
                <c:pt idx="33">
                  <c:v>-2.8522453807818091E-3</c:v>
                </c:pt>
                <c:pt idx="34">
                  <c:v>-5.4423306224366192E-4</c:v>
                </c:pt>
                <c:pt idx="35">
                  <c:v>2.2509979979112348E-3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1.1443124448007325E-8</c:v>
                </c:pt>
                <c:pt idx="1">
                  <c:v>1.0653186111042601E-8</c:v>
                </c:pt>
                <c:pt idx="2">
                  <c:v>1.0538208305987951E-8</c:v>
                </c:pt>
                <c:pt idx="3">
                  <c:v>1.0417925855321641E-8</c:v>
                </c:pt>
                <c:pt idx="4">
                  <c:v>1.0287352525395477E-8</c:v>
                </c:pt>
                <c:pt idx="5">
                  <c:v>9.5115999521055983E-9</c:v>
                </c:pt>
                <c:pt idx="6">
                  <c:v>9.3739485063082384E-9</c:v>
                </c:pt>
                <c:pt idx="7">
                  <c:v>4.9283414408134441E-3</c:v>
                </c:pt>
                <c:pt idx="8">
                  <c:v>1.1128633996173587E-2</c:v>
                </c:pt>
                <c:pt idx="9">
                  <c:v>2.1869277402931431E-2</c:v>
                </c:pt>
                <c:pt idx="10">
                  <c:v>3.3386672746248847E-2</c:v>
                </c:pt>
                <c:pt idx="11">
                  <c:v>4.4530444628029908E-2</c:v>
                </c:pt>
                <c:pt idx="12">
                  <c:v>5.5478279578303535E-2</c:v>
                </c:pt>
                <c:pt idx="13">
                  <c:v>6.6720909588941391E-2</c:v>
                </c:pt>
                <c:pt idx="14">
                  <c:v>7.8776200558331011E-2</c:v>
                </c:pt>
                <c:pt idx="15">
                  <c:v>9.1775125341740926E-2</c:v>
                </c:pt>
                <c:pt idx="16">
                  <c:v>0.10448589495486971</c:v>
                </c:pt>
                <c:pt idx="17">
                  <c:v>0.11788548689043088</c:v>
                </c:pt>
                <c:pt idx="18">
                  <c:v>0.13199496186378745</c:v>
                </c:pt>
                <c:pt idx="19">
                  <c:v>0.14693200949511054</c:v>
                </c:pt>
                <c:pt idx="20">
                  <c:v>0.16287626322511617</c:v>
                </c:pt>
                <c:pt idx="21">
                  <c:v>0.18005011486310241</c:v>
                </c:pt>
                <c:pt idx="22">
                  <c:v>0.19870608679959223</c:v>
                </c:pt>
                <c:pt idx="23">
                  <c:v>0.21906464068371911</c:v>
                </c:pt>
                <c:pt idx="24">
                  <c:v>0.24136636089536445</c:v>
                </c:pt>
                <c:pt idx="25">
                  <c:v>0.26591228656874266</c:v>
                </c:pt>
                <c:pt idx="26">
                  <c:v>0.2935606873891039</c:v>
                </c:pt>
                <c:pt idx="27">
                  <c:v>0.32455387568869321</c:v>
                </c:pt>
                <c:pt idx="28">
                  <c:v>0.35940760355540813</c:v>
                </c:pt>
                <c:pt idx="29">
                  <c:v>0.39871375232497597</c:v>
                </c:pt>
                <c:pt idx="30">
                  <c:v>0.44319176997517196</c:v>
                </c:pt>
                <c:pt idx="31">
                  <c:v>0.49380661135048842</c:v>
                </c:pt>
                <c:pt idx="32">
                  <c:v>0.55180899693259011</c:v>
                </c:pt>
                <c:pt idx="33">
                  <c:v>0.61869596308606623</c:v>
                </c:pt>
                <c:pt idx="34">
                  <c:v>0.69638219945912772</c:v>
                </c:pt>
                <c:pt idx="35">
                  <c:v>0.78741936551247615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5.9873988220000003</c:v>
                </c:pt>
                <c:pt idx="2">
                  <c:v>9.7216995520000005</c:v>
                </c:pt>
                <c:pt idx="3">
                  <c:v>14.72550575</c:v>
                </c:pt>
                <c:pt idx="4">
                  <c:v>21.136822500000001</c:v>
                </c:pt>
                <c:pt idx="5">
                  <c:v>28.986906250000001</c:v>
                </c:pt>
                <c:pt idx="6">
                  <c:v>37.641656130000001</c:v>
                </c:pt>
                <c:pt idx="7">
                  <c:v>46.873311510000001</c:v>
                </c:pt>
                <c:pt idx="8">
                  <c:v>56.669990030000001</c:v>
                </c:pt>
                <c:pt idx="9">
                  <c:v>67.163745719999994</c:v>
                </c:pt>
                <c:pt idx="10">
                  <c:v>78.481265870000001</c:v>
                </c:pt>
                <c:pt idx="11">
                  <c:v>90.573120119999999</c:v>
                </c:pt>
                <c:pt idx="12">
                  <c:v>103.4443417</c:v>
                </c:pt>
                <c:pt idx="13">
                  <c:v>116.9923555</c:v>
                </c:pt>
                <c:pt idx="14">
                  <c:v>131.0670729</c:v>
                </c:pt>
                <c:pt idx="15">
                  <c:v>145.50076749999999</c:v>
                </c:pt>
                <c:pt idx="16">
                  <c:v>160.13335559999999</c:v>
                </c:pt>
                <c:pt idx="17">
                  <c:v>174.84128820000001</c:v>
                </c:pt>
                <c:pt idx="18">
                  <c:v>189.5498959</c:v>
                </c:pt>
                <c:pt idx="19">
                  <c:v>204.1434892</c:v>
                </c:pt>
                <c:pt idx="20">
                  <c:v>218.49206760000001</c:v>
                </c:pt>
                <c:pt idx="21">
                  <c:v>232.5791499</c:v>
                </c:pt>
                <c:pt idx="22">
                  <c:v>246.34927630000001</c:v>
                </c:pt>
                <c:pt idx="23">
                  <c:v>259.8098397</c:v>
                </c:pt>
                <c:pt idx="24">
                  <c:v>272.9990712</c:v>
                </c:pt>
                <c:pt idx="25">
                  <c:v>285.90721129999997</c:v>
                </c:pt>
                <c:pt idx="26">
                  <c:v>298.72598260000001</c:v>
                </c:pt>
                <c:pt idx="27">
                  <c:v>311.51059400000003</c:v>
                </c:pt>
                <c:pt idx="28">
                  <c:v>324.35361920000003</c:v>
                </c:pt>
                <c:pt idx="29">
                  <c:v>337.33550159999999</c:v>
                </c:pt>
                <c:pt idx="30">
                  <c:v>350.51417359999999</c:v>
                </c:pt>
                <c:pt idx="31">
                  <c:v>363.91680919999999</c:v>
                </c:pt>
                <c:pt idx="32">
                  <c:v>377.53797200000002</c:v>
                </c:pt>
                <c:pt idx="33">
                  <c:v>391.34456990000001</c:v>
                </c:pt>
                <c:pt idx="34">
                  <c:v>405.28542800000002</c:v>
                </c:pt>
                <c:pt idx="35">
                  <c:v>419.30203390000003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77.827730689999996</c:v>
                </c:pt>
                <c:pt idx="2">
                  <c:v>88.898411899999999</c:v>
                </c:pt>
                <c:pt idx="3">
                  <c:v>101.0667162</c:v>
                </c:pt>
                <c:pt idx="4">
                  <c:v>113.9317301</c:v>
                </c:pt>
                <c:pt idx="5">
                  <c:v>126.95945519999999</c:v>
                </c:pt>
                <c:pt idx="6">
                  <c:v>139.1610986</c:v>
                </c:pt>
                <c:pt idx="7">
                  <c:v>150.99286660000001</c:v>
                </c:pt>
                <c:pt idx="8">
                  <c:v>162.4418871</c:v>
                </c:pt>
                <c:pt idx="9">
                  <c:v>173.38576560000001</c:v>
                </c:pt>
                <c:pt idx="10">
                  <c:v>184.71514999999999</c:v>
                </c:pt>
                <c:pt idx="11">
                  <c:v>194.23953760000001</c:v>
                </c:pt>
                <c:pt idx="12">
                  <c:v>202.94489250000001</c:v>
                </c:pt>
                <c:pt idx="13">
                  <c:v>210.86820650000001</c:v>
                </c:pt>
                <c:pt idx="14">
                  <c:v>218.11451740000001</c:v>
                </c:pt>
                <c:pt idx="15">
                  <c:v>224.82349199999999</c:v>
                </c:pt>
                <c:pt idx="16">
                  <c:v>231.1391299</c:v>
                </c:pt>
                <c:pt idx="17">
                  <c:v>237.17581469999999</c:v>
                </c:pt>
                <c:pt idx="18">
                  <c:v>243.0016454</c:v>
                </c:pt>
                <c:pt idx="19">
                  <c:v>248.72814869999999</c:v>
                </c:pt>
                <c:pt idx="20">
                  <c:v>253.76899969999999</c:v>
                </c:pt>
                <c:pt idx="21">
                  <c:v>259.56382150000002</c:v>
                </c:pt>
                <c:pt idx="22">
                  <c:v>265.4568817</c:v>
                </c:pt>
                <c:pt idx="23">
                  <c:v>271.44327909999998</c:v>
                </c:pt>
                <c:pt idx="24">
                  <c:v>277.48994499999998</c:v>
                </c:pt>
                <c:pt idx="25">
                  <c:v>281.66653600000001</c:v>
                </c:pt>
                <c:pt idx="26">
                  <c:v>286.76516579999998</c:v>
                </c:pt>
                <c:pt idx="27">
                  <c:v>291.70846010000002</c:v>
                </c:pt>
                <c:pt idx="28">
                  <c:v>296.41209650000002</c:v>
                </c:pt>
                <c:pt idx="29">
                  <c:v>300.80139630000002</c:v>
                </c:pt>
                <c:pt idx="30">
                  <c:v>304.82135269999998</c:v>
                </c:pt>
                <c:pt idx="31">
                  <c:v>308.44536970000001</c:v>
                </c:pt>
                <c:pt idx="32">
                  <c:v>311.67818340000002</c:v>
                </c:pt>
                <c:pt idx="33">
                  <c:v>314.55195320000001</c:v>
                </c:pt>
                <c:pt idx="34">
                  <c:v>317.11736480000002</c:v>
                </c:pt>
                <c:pt idx="35">
                  <c:v>319.43313920000003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425.15943820000001</c:v>
                </c:pt>
                <c:pt idx="2">
                  <c:v>442.0044777</c:v>
                </c:pt>
                <c:pt idx="3">
                  <c:v>456.98778650000003</c:v>
                </c:pt>
                <c:pt idx="4">
                  <c:v>470.15990790000001</c:v>
                </c:pt>
                <c:pt idx="5">
                  <c:v>481.83168330000001</c:v>
                </c:pt>
                <c:pt idx="6">
                  <c:v>491.05831019999999</c:v>
                </c:pt>
                <c:pt idx="7">
                  <c:v>499.92339190000001</c:v>
                </c:pt>
                <c:pt idx="8">
                  <c:v>508.43134079999999</c:v>
                </c:pt>
                <c:pt idx="9">
                  <c:v>516.55755999999997</c:v>
                </c:pt>
                <c:pt idx="10">
                  <c:v>527.26443570000004</c:v>
                </c:pt>
                <c:pt idx="11">
                  <c:v>534.81260559999998</c:v>
                </c:pt>
                <c:pt idx="12">
                  <c:v>542.187141</c:v>
                </c:pt>
                <c:pt idx="13">
                  <c:v>549.45313950000002</c:v>
                </c:pt>
                <c:pt idx="14">
                  <c:v>556.65688009999997</c:v>
                </c:pt>
                <c:pt idx="15">
                  <c:v>563.82857799999999</c:v>
                </c:pt>
                <c:pt idx="16">
                  <c:v>570.98694220000004</c:v>
                </c:pt>
                <c:pt idx="17">
                  <c:v>578.14398229999995</c:v>
                </c:pt>
                <c:pt idx="18">
                  <c:v>585.30919779999999</c:v>
                </c:pt>
                <c:pt idx="19">
                  <c:v>592.48970580000002</c:v>
                </c:pt>
                <c:pt idx="20">
                  <c:v>597.76215979999995</c:v>
                </c:pt>
                <c:pt idx="21">
                  <c:v>604.98306379999997</c:v>
                </c:pt>
                <c:pt idx="22">
                  <c:v>612.23234509999997</c:v>
                </c:pt>
                <c:pt idx="23">
                  <c:v>619.51037840000004</c:v>
                </c:pt>
                <c:pt idx="24">
                  <c:v>626.81485580000003</c:v>
                </c:pt>
                <c:pt idx="25">
                  <c:v>628.87506970000004</c:v>
                </c:pt>
                <c:pt idx="26">
                  <c:v>633.72627829999999</c:v>
                </c:pt>
                <c:pt idx="27">
                  <c:v>638.57254469999998</c:v>
                </c:pt>
                <c:pt idx="28">
                  <c:v>643.4082674</c:v>
                </c:pt>
                <c:pt idx="29">
                  <c:v>648.23026800000002</c:v>
                </c:pt>
                <c:pt idx="30">
                  <c:v>653.03815159999999</c:v>
                </c:pt>
                <c:pt idx="31">
                  <c:v>657.83382700000004</c:v>
                </c:pt>
                <c:pt idx="32">
                  <c:v>662.62045000000001</c:v>
                </c:pt>
                <c:pt idx="33">
                  <c:v>667.40138190000005</c:v>
                </c:pt>
                <c:pt idx="34">
                  <c:v>672.17951559999995</c:v>
                </c:pt>
                <c:pt idx="35">
                  <c:v>676.95701919999999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947.21728470000005</c:v>
                </c:pt>
                <c:pt idx="2">
                  <c:v>939.36843799999997</c:v>
                </c:pt>
                <c:pt idx="3">
                  <c:v>931.00877809999997</c:v>
                </c:pt>
                <c:pt idx="4">
                  <c:v>922.29808419999995</c:v>
                </c:pt>
                <c:pt idx="5">
                  <c:v>913.39582150000001</c:v>
                </c:pt>
                <c:pt idx="6">
                  <c:v>904.45038939999995</c:v>
                </c:pt>
                <c:pt idx="7">
                  <c:v>895.52603260000001</c:v>
                </c:pt>
                <c:pt idx="8">
                  <c:v>886.64128870000002</c:v>
                </c:pt>
                <c:pt idx="9">
                  <c:v>877.8113879</c:v>
                </c:pt>
                <c:pt idx="10">
                  <c:v>869.05001749999997</c:v>
                </c:pt>
                <c:pt idx="11">
                  <c:v>860.36693019999996</c:v>
                </c:pt>
                <c:pt idx="12">
                  <c:v>851.76710300000002</c:v>
                </c:pt>
                <c:pt idx="13">
                  <c:v>843.25316899999996</c:v>
                </c:pt>
                <c:pt idx="14">
                  <c:v>834.82611350000002</c:v>
                </c:pt>
                <c:pt idx="15">
                  <c:v>826.48601280000003</c:v>
                </c:pt>
                <c:pt idx="16">
                  <c:v>818.23246670000003</c:v>
                </c:pt>
                <c:pt idx="17">
                  <c:v>810.06483619999995</c:v>
                </c:pt>
                <c:pt idx="18">
                  <c:v>801.98237140000003</c:v>
                </c:pt>
                <c:pt idx="19">
                  <c:v>793.98426940000002</c:v>
                </c:pt>
                <c:pt idx="20">
                  <c:v>786.06971039999996</c:v>
                </c:pt>
                <c:pt idx="21">
                  <c:v>778.23760770000001</c:v>
                </c:pt>
                <c:pt idx="22">
                  <c:v>770.48740369999996</c:v>
                </c:pt>
                <c:pt idx="23">
                  <c:v>762.8182663</c:v>
                </c:pt>
                <c:pt idx="24">
                  <c:v>755.22934710000004</c:v>
                </c:pt>
                <c:pt idx="25">
                  <c:v>747.71978039999999</c:v>
                </c:pt>
                <c:pt idx="26">
                  <c:v>740.28796999999997</c:v>
                </c:pt>
                <c:pt idx="27">
                  <c:v>732.93343800000002</c:v>
                </c:pt>
                <c:pt idx="28">
                  <c:v>725.65534909999997</c:v>
                </c:pt>
                <c:pt idx="29">
                  <c:v>718.45290450000005</c:v>
                </c:pt>
                <c:pt idx="30">
                  <c:v>711.32533550000005</c:v>
                </c:pt>
                <c:pt idx="31">
                  <c:v>704.27189120000003</c:v>
                </c:pt>
                <c:pt idx="32">
                  <c:v>697.29182790000004</c:v>
                </c:pt>
                <c:pt idx="33">
                  <c:v>690.38440330000003</c:v>
                </c:pt>
                <c:pt idx="34">
                  <c:v>683.54887670000005</c:v>
                </c:pt>
                <c:pt idx="35">
                  <c:v>676.78451059999998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867.86991079999996</c:v>
                </c:pt>
                <c:pt idx="2">
                  <c:v>856.89817619999997</c:v>
                </c:pt>
                <c:pt idx="3">
                  <c:v>845.95795940000005</c:v>
                </c:pt>
                <c:pt idx="4">
                  <c:v>835.0970777</c:v>
                </c:pt>
                <c:pt idx="5">
                  <c:v>824.34559620000005</c:v>
                </c:pt>
                <c:pt idx="6">
                  <c:v>813.72024680000004</c:v>
                </c:pt>
                <c:pt idx="7">
                  <c:v>803.22780699999998</c:v>
                </c:pt>
                <c:pt idx="8">
                  <c:v>792.87037380000004</c:v>
                </c:pt>
                <c:pt idx="9">
                  <c:v>782.64812810000001</c:v>
                </c:pt>
                <c:pt idx="10">
                  <c:v>772.5604525</c:v>
                </c:pt>
                <c:pt idx="11">
                  <c:v>762.60663699999998</c:v>
                </c:pt>
                <c:pt idx="12">
                  <c:v>752.78488070000003</c:v>
                </c:pt>
                <c:pt idx="13">
                  <c:v>743.09363069999995</c:v>
                </c:pt>
                <c:pt idx="14">
                  <c:v>733.53126159999999</c:v>
                </c:pt>
                <c:pt idx="15">
                  <c:v>724.0961211</c:v>
                </c:pt>
                <c:pt idx="16">
                  <c:v>714.78655460000004</c:v>
                </c:pt>
                <c:pt idx="17">
                  <c:v>705.60091699999998</c:v>
                </c:pt>
                <c:pt idx="18">
                  <c:v>696.53757919999998</c:v>
                </c:pt>
                <c:pt idx="19">
                  <c:v>687.59493050000003</c:v>
                </c:pt>
                <c:pt idx="20">
                  <c:v>678.77138009999999</c:v>
                </c:pt>
                <c:pt idx="21">
                  <c:v>670.06509310000001</c:v>
                </c:pt>
                <c:pt idx="22">
                  <c:v>661.47478650000005</c:v>
                </c:pt>
                <c:pt idx="23">
                  <c:v>652.99893039999995</c:v>
                </c:pt>
                <c:pt idx="24">
                  <c:v>644.6360148</c:v>
                </c:pt>
                <c:pt idx="25">
                  <c:v>636.3845493</c:v>
                </c:pt>
                <c:pt idx="26">
                  <c:v>628.24234179999996</c:v>
                </c:pt>
                <c:pt idx="27">
                  <c:v>620.20833040000002</c:v>
                </c:pt>
                <c:pt idx="28">
                  <c:v>612.28108589999999</c:v>
                </c:pt>
                <c:pt idx="29">
                  <c:v>604.45919800000001</c:v>
                </c:pt>
                <c:pt idx="30">
                  <c:v>596.74127539999995</c:v>
                </c:pt>
                <c:pt idx="31">
                  <c:v>589.12594539999998</c:v>
                </c:pt>
                <c:pt idx="32">
                  <c:v>581.61185290000003</c:v>
                </c:pt>
                <c:pt idx="33">
                  <c:v>574.1976611</c:v>
                </c:pt>
                <c:pt idx="34">
                  <c:v>566.88205059999996</c:v>
                </c:pt>
                <c:pt idx="35">
                  <c:v>559.66371939999999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137.94033959999999</c:v>
                </c:pt>
                <c:pt idx="2">
                  <c:v>136.0367478</c:v>
                </c:pt>
                <c:pt idx="3">
                  <c:v>134.148278</c:v>
                </c:pt>
                <c:pt idx="4">
                  <c:v>132.28015450000001</c:v>
                </c:pt>
                <c:pt idx="5">
                  <c:v>130.435193</c:v>
                </c:pt>
                <c:pt idx="6">
                  <c:v>128.61463169999999</c:v>
                </c:pt>
                <c:pt idx="7">
                  <c:v>126.8188842</c:v>
                </c:pt>
                <c:pt idx="8">
                  <c:v>125.0479667</c:v>
                </c:pt>
                <c:pt idx="9">
                  <c:v>123.3017059</c:v>
                </c:pt>
                <c:pt idx="10">
                  <c:v>121.5798401</c:v>
                </c:pt>
                <c:pt idx="11">
                  <c:v>119.88206700000001</c:v>
                </c:pt>
                <c:pt idx="12">
                  <c:v>118.208068</c:v>
                </c:pt>
                <c:pt idx="13">
                  <c:v>116.5575185</c:v>
                </c:pt>
                <c:pt idx="14">
                  <c:v>114.9300937</c:v>
                </c:pt>
                <c:pt idx="15">
                  <c:v>113.32547099999999</c:v>
                </c:pt>
                <c:pt idx="16">
                  <c:v>111.7433314</c:v>
                </c:pt>
                <c:pt idx="17">
                  <c:v>110.18335949999999</c:v>
                </c:pt>
                <c:pt idx="18">
                  <c:v>108.6452445</c:v>
                </c:pt>
                <c:pt idx="19">
                  <c:v>107.1286795</c:v>
                </c:pt>
                <c:pt idx="20">
                  <c:v>105.63336200000001</c:v>
                </c:pt>
                <c:pt idx="21">
                  <c:v>104.1589938</c:v>
                </c:pt>
                <c:pt idx="22">
                  <c:v>102.7052807</c:v>
                </c:pt>
                <c:pt idx="23">
                  <c:v>101.2719328</c:v>
                </c:pt>
                <c:pt idx="24">
                  <c:v>99.858664189999999</c:v>
                </c:pt>
                <c:pt idx="25">
                  <c:v>98.465193020000001</c:v>
                </c:pt>
                <c:pt idx="26">
                  <c:v>97.09124138</c:v>
                </c:pt>
                <c:pt idx="27">
                  <c:v>95.736535230000001</c:v>
                </c:pt>
                <c:pt idx="28">
                  <c:v>94.400804390000005</c:v>
                </c:pt>
                <c:pt idx="29">
                  <c:v>93.083782510000006</c:v>
                </c:pt>
                <c:pt idx="30">
                  <c:v>91.785206959999996</c:v>
                </c:pt>
                <c:pt idx="31">
                  <c:v>90.504818819999997</c:v>
                </c:pt>
                <c:pt idx="32">
                  <c:v>89.242362810000003</c:v>
                </c:pt>
                <c:pt idx="33">
                  <c:v>87.997587229999993</c:v>
                </c:pt>
                <c:pt idx="34">
                  <c:v>86.77024394</c:v>
                </c:pt>
                <c:pt idx="35">
                  <c:v>85.560088280000002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3.7242706870000002</c:v>
                </c:pt>
                <c:pt idx="2">
                  <c:v>3.580155676</c:v>
                </c:pt>
                <c:pt idx="3">
                  <c:v>3.4419608070000001</c:v>
                </c:pt>
                <c:pt idx="4">
                  <c:v>3.309436576</c:v>
                </c:pt>
                <c:pt idx="5">
                  <c:v>3.1823445769999998</c:v>
                </c:pt>
                <c:pt idx="6">
                  <c:v>3.0604567930000002</c:v>
                </c:pt>
                <c:pt idx="7">
                  <c:v>2.9435550020000001</c:v>
                </c:pt>
                <c:pt idx="8">
                  <c:v>2.8314302750000002</c:v>
                </c:pt>
                <c:pt idx="9">
                  <c:v>2.7238825449999999</c:v>
                </c:pt>
                <c:pt idx="10">
                  <c:v>2.6207202139999999</c:v>
                </c:pt>
                <c:pt idx="11">
                  <c:v>2.5217597770000002</c:v>
                </c:pt>
                <c:pt idx="12">
                  <c:v>2.426825483</c:v>
                </c:pt>
                <c:pt idx="13">
                  <c:v>2.3357490009999999</c:v>
                </c:pt>
                <c:pt idx="14">
                  <c:v>2.2483691029999999</c:v>
                </c:pt>
                <c:pt idx="15">
                  <c:v>2.164531368</c:v>
                </c:pt>
                <c:pt idx="16">
                  <c:v>2.0840878859999998</c:v>
                </c:pt>
                <c:pt idx="17">
                  <c:v>2.0068969920000002</c:v>
                </c:pt>
                <c:pt idx="18">
                  <c:v>1.9328229910000001</c:v>
                </c:pt>
                <c:pt idx="19">
                  <c:v>1.861735914</c:v>
                </c:pt>
                <c:pt idx="20">
                  <c:v>1.7935112710000001</c:v>
                </c:pt>
                <c:pt idx="21">
                  <c:v>1.7280298190000001</c:v>
                </c:pt>
                <c:pt idx="22">
                  <c:v>1.6651773430000001</c:v>
                </c:pt>
                <c:pt idx="23">
                  <c:v>1.604844438</c:v>
                </c:pt>
                <c:pt idx="24">
                  <c:v>1.5469263120000001</c:v>
                </c:pt>
                <c:pt idx="25">
                  <c:v>1.4913225859999999</c:v>
                </c:pt>
                <c:pt idx="26">
                  <c:v>1.43793711</c:v>
                </c:pt>
                <c:pt idx="27">
                  <c:v>1.3866777800000001</c:v>
                </c:pt>
                <c:pt idx="28">
                  <c:v>1.3374563749999999</c:v>
                </c:pt>
                <c:pt idx="29">
                  <c:v>1.290188382</c:v>
                </c:pt>
                <c:pt idx="30">
                  <c:v>1.2447928479999999</c:v>
                </c:pt>
                <c:pt idx="31">
                  <c:v>1.201192225</c:v>
                </c:pt>
                <c:pt idx="32">
                  <c:v>1.159312227</c:v>
                </c:pt>
                <c:pt idx="33">
                  <c:v>1.1190816939999999</c:v>
                </c:pt>
                <c:pt idx="34">
                  <c:v>1.080432455</c:v>
                </c:pt>
                <c:pt idx="35">
                  <c:v>1.043299207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5.987398829</c:v>
                </c:pt>
                <c:pt idx="2">
                  <c:v>9.7216995849999996</c:v>
                </c:pt>
                <c:pt idx="3">
                  <c:v>14.72550581</c:v>
                </c:pt>
                <c:pt idx="4">
                  <c:v>21.136822559999999</c:v>
                </c:pt>
                <c:pt idx="5">
                  <c:v>28.986906229999999</c:v>
                </c:pt>
                <c:pt idx="6">
                  <c:v>37.641656040000001</c:v>
                </c:pt>
                <c:pt idx="7">
                  <c:v>46.873312929999997</c:v>
                </c:pt>
                <c:pt idx="8">
                  <c:v>57.509496230000003</c:v>
                </c:pt>
                <c:pt idx="9">
                  <c:v>70.743714260000004</c:v>
                </c:pt>
                <c:pt idx="10">
                  <c:v>86.202584470000005</c:v>
                </c:pt>
                <c:pt idx="11">
                  <c:v>103.1955016</c:v>
                </c:pt>
                <c:pt idx="12">
                  <c:v>121.12035729999999</c:v>
                </c:pt>
                <c:pt idx="13">
                  <c:v>139.47689410000001</c:v>
                </c:pt>
                <c:pt idx="14">
                  <c:v>157.967285</c:v>
                </c:pt>
                <c:pt idx="15">
                  <c:v>176.42533969999999</c:v>
                </c:pt>
                <c:pt idx="16">
                  <c:v>194.76181460000001</c:v>
                </c:pt>
                <c:pt idx="17">
                  <c:v>212.93171630000001</c:v>
                </c:pt>
                <c:pt idx="18">
                  <c:v>230.91485</c:v>
                </c:pt>
                <c:pt idx="19">
                  <c:v>248.69946479999999</c:v>
                </c:pt>
                <c:pt idx="20">
                  <c:v>266.25325859999998</c:v>
                </c:pt>
                <c:pt idx="21">
                  <c:v>283.62675489999998</c:v>
                </c:pt>
                <c:pt idx="22">
                  <c:v>300.79347480000001</c:v>
                </c:pt>
                <c:pt idx="23">
                  <c:v>317.75450430000001</c:v>
                </c:pt>
                <c:pt idx="24">
                  <c:v>334.5116147</c:v>
                </c:pt>
                <c:pt idx="25">
                  <c:v>350.99481830000002</c:v>
                </c:pt>
                <c:pt idx="26">
                  <c:v>367.31665149999998</c:v>
                </c:pt>
                <c:pt idx="27">
                  <c:v>383.44136049999997</c:v>
                </c:pt>
                <c:pt idx="28">
                  <c:v>399.37146869999998</c:v>
                </c:pt>
                <c:pt idx="29">
                  <c:v>415.10948580000002</c:v>
                </c:pt>
                <c:pt idx="30">
                  <c:v>430.65784680000002</c:v>
                </c:pt>
                <c:pt idx="31">
                  <c:v>446.018888</c:v>
                </c:pt>
                <c:pt idx="32">
                  <c:v>461.19485759999998</c:v>
                </c:pt>
                <c:pt idx="33">
                  <c:v>476.18794350000002</c:v>
                </c:pt>
                <c:pt idx="34">
                  <c:v>491.00029910000001</c:v>
                </c:pt>
                <c:pt idx="35">
                  <c:v>505.63406170000002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77.827730720000005</c:v>
                </c:pt>
                <c:pt idx="2">
                  <c:v>88.898412100000002</c:v>
                </c:pt>
                <c:pt idx="3">
                  <c:v>101.06671660000001</c:v>
                </c:pt>
                <c:pt idx="4">
                  <c:v>113.93173090000001</c:v>
                </c:pt>
                <c:pt idx="5">
                  <c:v>126.95945639999999</c:v>
                </c:pt>
                <c:pt idx="6">
                  <c:v>139.1611001</c:v>
                </c:pt>
                <c:pt idx="7">
                  <c:v>150.9928701</c:v>
                </c:pt>
                <c:pt idx="8">
                  <c:v>161.99995559999999</c:v>
                </c:pt>
                <c:pt idx="9">
                  <c:v>170.7782943</c:v>
                </c:pt>
                <c:pt idx="10">
                  <c:v>178.47292680000001</c:v>
                </c:pt>
                <c:pt idx="11">
                  <c:v>183.4716962</c:v>
                </c:pt>
                <c:pt idx="12">
                  <c:v>187.37862939999999</c:v>
                </c:pt>
                <c:pt idx="13">
                  <c:v>190.65966649999999</c:v>
                </c:pt>
                <c:pt idx="14">
                  <c:v>193.5972198</c:v>
                </c:pt>
                <c:pt idx="15">
                  <c:v>196.35137589999999</c:v>
                </c:pt>
                <c:pt idx="16">
                  <c:v>199.00985109999999</c:v>
                </c:pt>
                <c:pt idx="17">
                  <c:v>201.61835170000001</c:v>
                </c:pt>
                <c:pt idx="18">
                  <c:v>204.19886980000001</c:v>
                </c:pt>
                <c:pt idx="19">
                  <c:v>206.76547009999999</c:v>
                </c:pt>
                <c:pt idx="20">
                  <c:v>208.63949840000001</c:v>
                </c:pt>
                <c:pt idx="21">
                  <c:v>211.19786690000001</c:v>
                </c:pt>
                <c:pt idx="22">
                  <c:v>213.7584344</c:v>
                </c:pt>
                <c:pt idx="23">
                  <c:v>216.3227881</c:v>
                </c:pt>
                <c:pt idx="24">
                  <c:v>218.89180970000001</c:v>
                </c:pt>
                <c:pt idx="25">
                  <c:v>219.5904257</c:v>
                </c:pt>
                <c:pt idx="26">
                  <c:v>221.28328149999999</c:v>
                </c:pt>
                <c:pt idx="27">
                  <c:v>222.97693799999999</c:v>
                </c:pt>
                <c:pt idx="28">
                  <c:v>224.67137389999999</c:v>
                </c:pt>
                <c:pt idx="29">
                  <c:v>226.36654859999999</c:v>
                </c:pt>
                <c:pt idx="30">
                  <c:v>228.0624636</c:v>
                </c:pt>
                <c:pt idx="31">
                  <c:v>229.759187</c:v>
                </c:pt>
                <c:pt idx="32">
                  <c:v>231.4568433</c:v>
                </c:pt>
                <c:pt idx="33">
                  <c:v>233.15558590000001</c:v>
                </c:pt>
                <c:pt idx="34">
                  <c:v>234.85557209999999</c:v>
                </c:pt>
                <c:pt idx="35">
                  <c:v>236.55694500000001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425.15943820000001</c:v>
                </c:pt>
                <c:pt idx="2">
                  <c:v>442.00447759999997</c:v>
                </c:pt>
                <c:pt idx="3">
                  <c:v>456.98778620000002</c:v>
                </c:pt>
                <c:pt idx="4">
                  <c:v>470.15990729999999</c:v>
                </c:pt>
                <c:pt idx="5">
                  <c:v>481.83168239999998</c:v>
                </c:pt>
                <c:pt idx="6">
                  <c:v>491.05830909999997</c:v>
                </c:pt>
                <c:pt idx="7">
                  <c:v>499.92339090000002</c:v>
                </c:pt>
                <c:pt idx="8">
                  <c:v>508.05017729999997</c:v>
                </c:pt>
                <c:pt idx="9">
                  <c:v>515.61752890000002</c:v>
                </c:pt>
                <c:pt idx="10">
                  <c:v>525.82852700000001</c:v>
                </c:pt>
                <c:pt idx="11">
                  <c:v>533.00736219999999</c:v>
                </c:pt>
                <c:pt idx="12">
                  <c:v>540.12981809999997</c:v>
                </c:pt>
                <c:pt idx="13">
                  <c:v>547.23099530000002</c:v>
                </c:pt>
                <c:pt idx="14">
                  <c:v>554.32831940000005</c:v>
                </c:pt>
                <c:pt idx="15">
                  <c:v>561.43048810000005</c:v>
                </c:pt>
                <c:pt idx="16">
                  <c:v>568.5418889</c:v>
                </c:pt>
                <c:pt idx="17">
                  <c:v>575.66478029999996</c:v>
                </c:pt>
                <c:pt idx="18">
                  <c:v>582.8003688</c:v>
                </c:pt>
                <c:pt idx="19">
                  <c:v>589.94934079999996</c:v>
                </c:pt>
                <c:pt idx="20">
                  <c:v>595.18301689999998</c:v>
                </c:pt>
                <c:pt idx="21">
                  <c:v>602.35364059999995</c:v>
                </c:pt>
                <c:pt idx="22">
                  <c:v>609.5385933</c:v>
                </c:pt>
                <c:pt idx="23">
                  <c:v>616.73807980000004</c:v>
                </c:pt>
                <c:pt idx="24">
                  <c:v>623.95228859999997</c:v>
                </c:pt>
                <c:pt idx="25">
                  <c:v>625.91543090000005</c:v>
                </c:pt>
                <c:pt idx="26">
                  <c:v>630.66936320000002</c:v>
                </c:pt>
                <c:pt idx="27">
                  <c:v>635.42511990000003</c:v>
                </c:pt>
                <c:pt idx="28">
                  <c:v>640.18281379999996</c:v>
                </c:pt>
                <c:pt idx="29">
                  <c:v>644.94255569999996</c:v>
                </c:pt>
                <c:pt idx="30">
                  <c:v>649.70445500000005</c:v>
                </c:pt>
                <c:pt idx="31">
                  <c:v>654.46861950000005</c:v>
                </c:pt>
                <c:pt idx="32">
                  <c:v>659.23515569999995</c:v>
                </c:pt>
                <c:pt idx="33">
                  <c:v>664.00416889999997</c:v>
                </c:pt>
                <c:pt idx="34">
                  <c:v>668.77576299999998</c:v>
                </c:pt>
                <c:pt idx="35">
                  <c:v>673.55004059999999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947.21728470000005</c:v>
                </c:pt>
                <c:pt idx="2">
                  <c:v>939.3684379</c:v>
                </c:pt>
                <c:pt idx="3">
                  <c:v>931.00877790000004</c:v>
                </c:pt>
                <c:pt idx="4">
                  <c:v>922.29808400000002</c:v>
                </c:pt>
                <c:pt idx="5">
                  <c:v>913.3958212</c:v>
                </c:pt>
                <c:pt idx="6">
                  <c:v>904.45038899999997</c:v>
                </c:pt>
                <c:pt idx="7">
                  <c:v>895.52603090000002</c:v>
                </c:pt>
                <c:pt idx="8">
                  <c:v>886.62542199999996</c:v>
                </c:pt>
                <c:pt idx="9">
                  <c:v>877.77995510000005</c:v>
                </c:pt>
                <c:pt idx="10">
                  <c:v>869.00818049999998</c:v>
                </c:pt>
                <c:pt idx="11">
                  <c:v>860.31916330000001</c:v>
                </c:pt>
                <c:pt idx="12">
                  <c:v>851.71629940000003</c:v>
                </c:pt>
                <c:pt idx="13">
                  <c:v>843.20098989999997</c:v>
                </c:pt>
                <c:pt idx="14">
                  <c:v>834.77345969999999</c:v>
                </c:pt>
                <c:pt idx="15">
                  <c:v>826.43335830000001</c:v>
                </c:pt>
                <c:pt idx="16">
                  <c:v>818.18005640000001</c:v>
                </c:pt>
                <c:pt idx="17">
                  <c:v>810.01279169999998</c:v>
                </c:pt>
                <c:pt idx="18">
                  <c:v>801.9307417</c:v>
                </c:pt>
                <c:pt idx="19">
                  <c:v>793.9330582</c:v>
                </c:pt>
                <c:pt idx="20">
                  <c:v>786.01888570000006</c:v>
                </c:pt>
                <c:pt idx="21">
                  <c:v>778.18710490000001</c:v>
                </c:pt>
                <c:pt idx="22">
                  <c:v>770.43713170000001</c:v>
                </c:pt>
                <c:pt idx="23">
                  <c:v>762.76812289999998</c:v>
                </c:pt>
                <c:pt idx="24">
                  <c:v>755.17924310000001</c:v>
                </c:pt>
                <c:pt idx="25">
                  <c:v>747.66966500000001</c:v>
                </c:pt>
                <c:pt idx="26">
                  <c:v>740.2378483</c:v>
                </c:pt>
                <c:pt idx="27">
                  <c:v>732.88337039999999</c:v>
                </c:pt>
                <c:pt idx="28">
                  <c:v>725.60543059999998</c:v>
                </c:pt>
                <c:pt idx="29">
                  <c:v>718.40323690000002</c:v>
                </c:pt>
                <c:pt idx="30">
                  <c:v>711.27600529999995</c:v>
                </c:pt>
                <c:pt idx="31">
                  <c:v>704.22295989999998</c:v>
                </c:pt>
                <c:pt idx="32">
                  <c:v>697.24333320000005</c:v>
                </c:pt>
                <c:pt idx="33">
                  <c:v>690.33636539999998</c:v>
                </c:pt>
                <c:pt idx="34">
                  <c:v>683.50130469999999</c:v>
                </c:pt>
                <c:pt idx="35">
                  <c:v>676.73740729999997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867.86991079999996</c:v>
                </c:pt>
                <c:pt idx="2">
                  <c:v>856.89817619999997</c:v>
                </c:pt>
                <c:pt idx="3">
                  <c:v>845.95795940000005</c:v>
                </c:pt>
                <c:pt idx="4">
                  <c:v>835.0970777</c:v>
                </c:pt>
                <c:pt idx="5">
                  <c:v>824.34559620000005</c:v>
                </c:pt>
                <c:pt idx="6">
                  <c:v>813.72024680000004</c:v>
                </c:pt>
                <c:pt idx="7">
                  <c:v>803.22780479999994</c:v>
                </c:pt>
                <c:pt idx="8">
                  <c:v>792.86982939999996</c:v>
                </c:pt>
                <c:pt idx="9">
                  <c:v>782.64709530000005</c:v>
                </c:pt>
                <c:pt idx="10">
                  <c:v>772.55910349999999</c:v>
                </c:pt>
                <c:pt idx="11">
                  <c:v>762.60510850000003</c:v>
                </c:pt>
                <c:pt idx="12">
                  <c:v>752.78325670000004</c:v>
                </c:pt>
                <c:pt idx="13">
                  <c:v>743.09195799999998</c:v>
                </c:pt>
                <c:pt idx="14">
                  <c:v>733.52956500000005</c:v>
                </c:pt>
                <c:pt idx="15">
                  <c:v>724.09441370000002</c:v>
                </c:pt>
                <c:pt idx="16">
                  <c:v>714.78484300000002</c:v>
                </c:pt>
                <c:pt idx="17">
                  <c:v>705.59920420000003</c:v>
                </c:pt>
                <c:pt idx="18">
                  <c:v>696.53586610000002</c:v>
                </c:pt>
                <c:pt idx="19">
                  <c:v>687.59321720000003</c:v>
                </c:pt>
                <c:pt idx="20">
                  <c:v>678.76966619999996</c:v>
                </c:pt>
                <c:pt idx="21">
                  <c:v>670.06337789999998</c:v>
                </c:pt>
                <c:pt idx="22">
                  <c:v>661.47306890000004</c:v>
                </c:pt>
                <c:pt idx="23">
                  <c:v>652.99720939999997</c:v>
                </c:pt>
                <c:pt idx="24">
                  <c:v>644.63428950000002</c:v>
                </c:pt>
                <c:pt idx="25">
                  <c:v>636.38281930000005</c:v>
                </c:pt>
                <c:pt idx="26">
                  <c:v>628.24060729999997</c:v>
                </c:pt>
                <c:pt idx="27">
                  <c:v>620.20659250000006</c:v>
                </c:pt>
                <c:pt idx="28">
                  <c:v>612.27934570000002</c:v>
                </c:pt>
                <c:pt idx="29">
                  <c:v>604.45745680000005</c:v>
                </c:pt>
                <c:pt idx="30">
                  <c:v>596.73953429999995</c:v>
                </c:pt>
                <c:pt idx="31">
                  <c:v>589.12420499999996</c:v>
                </c:pt>
                <c:pt idx="32">
                  <c:v>581.61011389999999</c:v>
                </c:pt>
                <c:pt idx="33">
                  <c:v>574.19592390000003</c:v>
                </c:pt>
                <c:pt idx="34">
                  <c:v>566.88031569999998</c:v>
                </c:pt>
                <c:pt idx="35">
                  <c:v>559.6619872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137.94033959999999</c:v>
                </c:pt>
                <c:pt idx="2">
                  <c:v>136.0367478</c:v>
                </c:pt>
                <c:pt idx="3">
                  <c:v>134.148278</c:v>
                </c:pt>
                <c:pt idx="4">
                  <c:v>132.28015450000001</c:v>
                </c:pt>
                <c:pt idx="5">
                  <c:v>130.435193</c:v>
                </c:pt>
                <c:pt idx="6">
                  <c:v>128.61463169999999</c:v>
                </c:pt>
                <c:pt idx="7">
                  <c:v>126.8188842</c:v>
                </c:pt>
                <c:pt idx="8">
                  <c:v>125.0479665</c:v>
                </c:pt>
                <c:pt idx="9">
                  <c:v>123.3017055</c:v>
                </c:pt>
                <c:pt idx="10">
                  <c:v>121.5798393</c:v>
                </c:pt>
                <c:pt idx="11">
                  <c:v>119.8820657</c:v>
                </c:pt>
                <c:pt idx="12">
                  <c:v>118.2080661</c:v>
                </c:pt>
                <c:pt idx="13">
                  <c:v>116.5575159</c:v>
                </c:pt>
                <c:pt idx="14">
                  <c:v>114.9300904</c:v>
                </c:pt>
                <c:pt idx="15">
                  <c:v>113.325467</c:v>
                </c:pt>
                <c:pt idx="16">
                  <c:v>111.7433266</c:v>
                </c:pt>
                <c:pt idx="17">
                  <c:v>110.18335399999999</c:v>
                </c:pt>
                <c:pt idx="18">
                  <c:v>108.6452381</c:v>
                </c:pt>
                <c:pt idx="19">
                  <c:v>107.12867230000001</c:v>
                </c:pt>
                <c:pt idx="20">
                  <c:v>105.633354</c:v>
                </c:pt>
                <c:pt idx="21">
                  <c:v>104.158985</c:v>
                </c:pt>
                <c:pt idx="22">
                  <c:v>102.7052711</c:v>
                </c:pt>
                <c:pt idx="23">
                  <c:v>101.27192239999999</c:v>
                </c:pt>
                <c:pt idx="24">
                  <c:v>99.858652950000007</c:v>
                </c:pt>
                <c:pt idx="25">
                  <c:v>98.46518098</c:v>
                </c:pt>
                <c:pt idx="26">
                  <c:v>97.091228569999998</c:v>
                </c:pt>
                <c:pt idx="27">
                  <c:v>95.73652165</c:v>
                </c:pt>
                <c:pt idx="28">
                  <c:v>94.400790060000006</c:v>
                </c:pt>
                <c:pt idx="29">
                  <c:v>93.083767440000003</c:v>
                </c:pt>
                <c:pt idx="30">
                  <c:v>91.785191170000004</c:v>
                </c:pt>
                <c:pt idx="31">
                  <c:v>90.504802330000004</c:v>
                </c:pt>
                <c:pt idx="32">
                  <c:v>89.242345630000003</c:v>
                </c:pt>
                <c:pt idx="33">
                  <c:v>87.997569389999995</c:v>
                </c:pt>
                <c:pt idx="34">
                  <c:v>86.770225449999998</c:v>
                </c:pt>
                <c:pt idx="35">
                  <c:v>85.560069170000006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3.7242706870000002</c:v>
                </c:pt>
                <c:pt idx="2">
                  <c:v>3.580155676</c:v>
                </c:pt>
                <c:pt idx="3">
                  <c:v>3.4419608070000001</c:v>
                </c:pt>
                <c:pt idx="4">
                  <c:v>3.309436576</c:v>
                </c:pt>
                <c:pt idx="5">
                  <c:v>3.1823445769999998</c:v>
                </c:pt>
                <c:pt idx="6">
                  <c:v>3.0604567930000002</c:v>
                </c:pt>
                <c:pt idx="7">
                  <c:v>2.943555001</c:v>
                </c:pt>
                <c:pt idx="8">
                  <c:v>2.8314302690000002</c:v>
                </c:pt>
                <c:pt idx="9">
                  <c:v>2.7238825310000001</c:v>
                </c:pt>
                <c:pt idx="10">
                  <c:v>2.6207201850000001</c:v>
                </c:pt>
                <c:pt idx="11">
                  <c:v>2.5217597280000001</c:v>
                </c:pt>
                <c:pt idx="12">
                  <c:v>2.4268254090000001</c:v>
                </c:pt>
                <c:pt idx="13">
                  <c:v>2.3357489</c:v>
                </c:pt>
                <c:pt idx="14">
                  <c:v>2.248368975</c:v>
                </c:pt>
                <c:pt idx="15">
                  <c:v>2.164531212</c:v>
                </c:pt>
                <c:pt idx="16">
                  <c:v>2.084087705</c:v>
                </c:pt>
                <c:pt idx="17">
                  <c:v>2.006896786</c:v>
                </c:pt>
                <c:pt idx="18">
                  <c:v>1.9328227609999999</c:v>
                </c:pt>
                <c:pt idx="19">
                  <c:v>1.8617356599999999</c:v>
                </c:pt>
                <c:pt idx="20">
                  <c:v>1.793510994</c:v>
                </c:pt>
                <c:pt idx="21">
                  <c:v>1.72802952</c:v>
                </c:pt>
                <c:pt idx="22">
                  <c:v>1.665177022</c:v>
                </c:pt>
                <c:pt idx="23">
                  <c:v>1.6048440980000001</c:v>
                </c:pt>
                <c:pt idx="24">
                  <c:v>1.546925954</c:v>
                </c:pt>
                <c:pt idx="25">
                  <c:v>1.491322211</c:v>
                </c:pt>
                <c:pt idx="26">
                  <c:v>1.4379367190000001</c:v>
                </c:pt>
                <c:pt idx="27">
                  <c:v>1.386677376</c:v>
                </c:pt>
                <c:pt idx="28">
                  <c:v>1.3374559589999999</c:v>
                </c:pt>
                <c:pt idx="29">
                  <c:v>1.2901879549999999</c:v>
                </c:pt>
                <c:pt idx="30">
                  <c:v>1.244792412</c:v>
                </c:pt>
                <c:pt idx="31">
                  <c:v>1.201191782</c:v>
                </c:pt>
                <c:pt idx="32">
                  <c:v>1.159311778</c:v>
                </c:pt>
                <c:pt idx="33">
                  <c:v>1.1190812400000001</c:v>
                </c:pt>
                <c:pt idx="34">
                  <c:v>1.0804319979999999</c:v>
                </c:pt>
                <c:pt idx="35">
                  <c:v>1.0432987469999999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7155.2992208330998</c:v>
                </c:pt>
                <c:pt idx="2">
                  <c:v>7266.2269605684005</c:v>
                </c:pt>
                <c:pt idx="3">
                  <c:v>7418.7781357043996</c:v>
                </c:pt>
                <c:pt idx="4">
                  <c:v>7607.1230070451002</c:v>
                </c:pt>
                <c:pt idx="5">
                  <c:v>7820.9219860256999</c:v>
                </c:pt>
                <c:pt idx="6">
                  <c:v>8047.465364232</c:v>
                </c:pt>
                <c:pt idx="7">
                  <c:v>8280.9711117872994</c:v>
                </c:pt>
                <c:pt idx="8">
                  <c:v>8519.7296127792997</c:v>
                </c:pt>
                <c:pt idx="9">
                  <c:v>8763.1523716477004</c:v>
                </c:pt>
                <c:pt idx="10">
                  <c:v>9011.8294425709992</c:v>
                </c:pt>
                <c:pt idx="11">
                  <c:v>9260.499589909301</c:v>
                </c:pt>
                <c:pt idx="12">
                  <c:v>9505.7393590316005</c:v>
                </c:pt>
                <c:pt idx="13">
                  <c:v>9744.3109989372988</c:v>
                </c:pt>
                <c:pt idx="14">
                  <c:v>9973.5764215068011</c:v>
                </c:pt>
                <c:pt idx="15">
                  <c:v>10191.8556086394</c:v>
                </c:pt>
                <c:pt idx="16">
                  <c:v>10403.6915760788</c:v>
                </c:pt>
                <c:pt idx="17">
                  <c:v>10610.1105371628</c:v>
                </c:pt>
                <c:pt idx="18">
                  <c:v>10810.660325245199</c:v>
                </c:pt>
                <c:pt idx="19">
                  <c:v>11004.9872003817</c:v>
                </c:pt>
                <c:pt idx="20">
                  <c:v>11192.12477518</c:v>
                </c:pt>
                <c:pt idx="21">
                  <c:v>11374.683347925</c:v>
                </c:pt>
                <c:pt idx="22">
                  <c:v>11554.301883982</c:v>
                </c:pt>
                <c:pt idx="23">
                  <c:v>11733.019455971</c:v>
                </c:pt>
                <c:pt idx="24">
                  <c:v>11912.872559130001</c:v>
                </c:pt>
                <c:pt idx="25">
                  <c:v>12092.370621704</c:v>
                </c:pt>
                <c:pt idx="26">
                  <c:v>12276.287073848001</c:v>
                </c:pt>
                <c:pt idx="27">
                  <c:v>12467.093485198</c:v>
                </c:pt>
                <c:pt idx="28">
                  <c:v>12667.319450601999</c:v>
                </c:pt>
                <c:pt idx="29">
                  <c:v>12879.253860261999</c:v>
                </c:pt>
                <c:pt idx="30">
                  <c:v>13104.44766767</c:v>
                </c:pt>
                <c:pt idx="31">
                  <c:v>13343.616989369999</c:v>
                </c:pt>
                <c:pt idx="32">
                  <c:v>13596.747692348001</c:v>
                </c:pt>
                <c:pt idx="33">
                  <c:v>13863.216604984</c:v>
                </c:pt>
                <c:pt idx="34">
                  <c:v>14141.905999436998</c:v>
                </c:pt>
                <c:pt idx="35">
                  <c:v>14431.293018814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8197.7945507628992</c:v>
                </c:pt>
                <c:pt idx="2">
                  <c:v>8199.1715804385003</c:v>
                </c:pt>
                <c:pt idx="3">
                  <c:v>8247.1694676897987</c:v>
                </c:pt>
                <c:pt idx="4">
                  <c:v>8335.3778877204004</c:v>
                </c:pt>
                <c:pt idx="5">
                  <c:v>8453.3897431785008</c:v>
                </c:pt>
                <c:pt idx="6">
                  <c:v>8588.4888540271004</c:v>
                </c:pt>
                <c:pt idx="7">
                  <c:v>8734.4851595722994</c:v>
                </c:pt>
                <c:pt idx="8">
                  <c:v>8889.1075346082998</c:v>
                </c:pt>
                <c:pt idx="9">
                  <c:v>9051.2504160824992</c:v>
                </c:pt>
                <c:pt idx="10">
                  <c:v>9221.0126747493996</c:v>
                </c:pt>
                <c:pt idx="11">
                  <c:v>9393.1298743940006</c:v>
                </c:pt>
                <c:pt idx="12">
                  <c:v>9564.2224369648011</c:v>
                </c:pt>
                <c:pt idx="13">
                  <c:v>9731.2057251210008</c:v>
                </c:pt>
                <c:pt idx="14">
                  <c:v>9891.6195451841995</c:v>
                </c:pt>
                <c:pt idx="15">
                  <c:v>10043.911895942902</c:v>
                </c:pt>
                <c:pt idx="16">
                  <c:v>10192.370699155799</c:v>
                </c:pt>
                <c:pt idx="17">
                  <c:v>10338.106800025498</c:v>
                </c:pt>
                <c:pt idx="18">
                  <c:v>10480.784251213099</c:v>
                </c:pt>
                <c:pt idx="19">
                  <c:v>10620.040157319901</c:v>
                </c:pt>
                <c:pt idx="20">
                  <c:v>10754.8427083359</c:v>
                </c:pt>
                <c:pt idx="21">
                  <c:v>10887.378230104599</c:v>
                </c:pt>
                <c:pt idx="22">
                  <c:v>11018.885399678</c:v>
                </c:pt>
                <c:pt idx="23">
                  <c:v>11150.93140673</c:v>
                </c:pt>
                <c:pt idx="24">
                  <c:v>11285.041339629001</c:v>
                </c:pt>
                <c:pt idx="25">
                  <c:v>11419.478474619</c:v>
                </c:pt>
                <c:pt idx="26">
                  <c:v>11558.211132124001</c:v>
                </c:pt>
                <c:pt idx="27">
                  <c:v>11703.076472137</c:v>
                </c:pt>
                <c:pt idx="28">
                  <c:v>11855.944989980999</c:v>
                </c:pt>
                <c:pt idx="29">
                  <c:v>12018.466969674999</c:v>
                </c:pt>
                <c:pt idx="30">
                  <c:v>12191.632866843</c:v>
                </c:pt>
                <c:pt idx="31">
                  <c:v>12375.695888476001</c:v>
                </c:pt>
                <c:pt idx="32">
                  <c:v>12570.276378590001</c:v>
                </c:pt>
                <c:pt idx="33">
                  <c:v>12774.480172707999</c:v>
                </c:pt>
                <c:pt idx="34">
                  <c:v>12987.010734784</c:v>
                </c:pt>
                <c:pt idx="35">
                  <c:v>13206.258780978998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6658.6309129193005</c:v>
                </c:pt>
                <c:pt idx="2">
                  <c:v>6581.7970357612003</c:v>
                </c:pt>
                <c:pt idx="3">
                  <c:v>6542.2487896968996</c:v>
                </c:pt>
                <c:pt idx="4">
                  <c:v>6534.9633528787999</c:v>
                </c:pt>
                <c:pt idx="5">
                  <c:v>6552.3814028463003</c:v>
                </c:pt>
                <c:pt idx="6">
                  <c:v>6585.3257845960998</c:v>
                </c:pt>
                <c:pt idx="7">
                  <c:v>6629.0557968639996</c:v>
                </c:pt>
                <c:pt idx="8">
                  <c:v>6681.5533334688998</c:v>
                </c:pt>
                <c:pt idx="9">
                  <c:v>6741.6705244293007</c:v>
                </c:pt>
                <c:pt idx="10">
                  <c:v>6809.1450349265997</c:v>
                </c:pt>
                <c:pt idx="11">
                  <c:v>6880.1736528332995</c:v>
                </c:pt>
                <c:pt idx="12">
                  <c:v>6952.3375148166997</c:v>
                </c:pt>
                <c:pt idx="13">
                  <c:v>7023.4982088919005</c:v>
                </c:pt>
                <c:pt idx="14">
                  <c:v>7091.9808309754999</c:v>
                </c:pt>
                <c:pt idx="15">
                  <c:v>7156.7310829710996</c:v>
                </c:pt>
                <c:pt idx="16">
                  <c:v>7220.6466240335003</c:v>
                </c:pt>
                <c:pt idx="17">
                  <c:v>7284.5557644601995</c:v>
                </c:pt>
                <c:pt idx="18">
                  <c:v>7348.2689610938005</c:v>
                </c:pt>
                <c:pt idx="19">
                  <c:v>7411.5011857876998</c:v>
                </c:pt>
                <c:pt idx="20">
                  <c:v>7473.4545681977997</c:v>
                </c:pt>
                <c:pt idx="21">
                  <c:v>7535.4203867286997</c:v>
                </c:pt>
                <c:pt idx="22">
                  <c:v>7598.027061931899</c:v>
                </c:pt>
                <c:pt idx="23">
                  <c:v>7662.0969607399002</c:v>
                </c:pt>
                <c:pt idx="24">
                  <c:v>7728.4008713630001</c:v>
                </c:pt>
                <c:pt idx="25">
                  <c:v>7795.5363731327998</c:v>
                </c:pt>
                <c:pt idx="26">
                  <c:v>7865.8530129942001</c:v>
                </c:pt>
                <c:pt idx="27">
                  <c:v>7940.2809806369996</c:v>
                </c:pt>
                <c:pt idx="28">
                  <c:v>8019.7640091892999</c:v>
                </c:pt>
                <c:pt idx="29">
                  <c:v>8105.1052640676999</c:v>
                </c:pt>
                <c:pt idx="30">
                  <c:v>8196.6873041063991</c:v>
                </c:pt>
                <c:pt idx="31">
                  <c:v>8294.4282677247011</c:v>
                </c:pt>
                <c:pt idx="32">
                  <c:v>8397.856230809899</c:v>
                </c:pt>
                <c:pt idx="33">
                  <c:v>8506.1917654182998</c:v>
                </c:pt>
                <c:pt idx="34">
                  <c:v>8618.4261636994997</c:v>
                </c:pt>
                <c:pt idx="35">
                  <c:v>8733.3847365191996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4061.8900839882999</c:v>
                </c:pt>
                <c:pt idx="2">
                  <c:v>3987.6933024200002</c:v>
                </c:pt>
                <c:pt idx="3">
                  <c:v>3934.3506149622999</c:v>
                </c:pt>
                <c:pt idx="4">
                  <c:v>3898.5949428107001</c:v>
                </c:pt>
                <c:pt idx="5">
                  <c:v>3876.0456993368002</c:v>
                </c:pt>
                <c:pt idx="6">
                  <c:v>3861.4964169325999</c:v>
                </c:pt>
                <c:pt idx="7">
                  <c:v>3852.1264899854</c:v>
                </c:pt>
                <c:pt idx="8">
                  <c:v>3846.6226330237</c:v>
                </c:pt>
                <c:pt idx="9">
                  <c:v>3844.2068545622001</c:v>
                </c:pt>
                <c:pt idx="10">
                  <c:v>3844.6224176763999</c:v>
                </c:pt>
                <c:pt idx="11">
                  <c:v>3845.9496663163</c:v>
                </c:pt>
                <c:pt idx="12">
                  <c:v>3847.1354972188997</c:v>
                </c:pt>
                <c:pt idx="13">
                  <c:v>3847.3811675011002</c:v>
                </c:pt>
                <c:pt idx="14">
                  <c:v>3846.1572680646</c:v>
                </c:pt>
                <c:pt idx="15">
                  <c:v>3843.2205085422997</c:v>
                </c:pt>
                <c:pt idx="16">
                  <c:v>3840.2297289366002</c:v>
                </c:pt>
                <c:pt idx="17">
                  <c:v>3837.8513896699997</c:v>
                </c:pt>
                <c:pt idx="18">
                  <c:v>3836.1805327297002</c:v>
                </c:pt>
                <c:pt idx="19">
                  <c:v>3835.1596838342998</c:v>
                </c:pt>
                <c:pt idx="20">
                  <c:v>3834.3921821608001</c:v>
                </c:pt>
                <c:pt idx="21">
                  <c:v>3834.3804757334001</c:v>
                </c:pt>
                <c:pt idx="22">
                  <c:v>3835.2531312638002</c:v>
                </c:pt>
                <c:pt idx="23">
                  <c:v>3837.1746469584004</c:v>
                </c:pt>
                <c:pt idx="24">
                  <c:v>3840.2282894555997</c:v>
                </c:pt>
                <c:pt idx="25">
                  <c:v>3843.4592249175003</c:v>
                </c:pt>
                <c:pt idx="26">
                  <c:v>3847.5873910472001</c:v>
                </c:pt>
                <c:pt idx="27">
                  <c:v>3852.6607770957003</c:v>
                </c:pt>
                <c:pt idx="28">
                  <c:v>3858.7206153138</c:v>
                </c:pt>
                <c:pt idx="29">
                  <c:v>3865.7611485271</c:v>
                </c:pt>
                <c:pt idx="30">
                  <c:v>3873.6221653019002</c:v>
                </c:pt>
                <c:pt idx="31">
                  <c:v>3881.9827761783004</c:v>
                </c:pt>
                <c:pt idx="32">
                  <c:v>3890.4044341490003</c:v>
                </c:pt>
                <c:pt idx="33">
                  <c:v>3898.3746350217002</c:v>
                </c:pt>
                <c:pt idx="34">
                  <c:v>3905.3469797236999</c:v>
                </c:pt>
                <c:pt idx="35">
                  <c:v>3910.7731807803998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2447.2317326401999</c:v>
                </c:pt>
                <c:pt idx="2">
                  <c:v>2404.0896305750002</c:v>
                </c:pt>
                <c:pt idx="3">
                  <c:v>2372.3576784176003</c:v>
                </c:pt>
                <c:pt idx="4">
                  <c:v>2349.9070988303001</c:v>
                </c:pt>
                <c:pt idx="5">
                  <c:v>2334.0778093866002</c:v>
                </c:pt>
                <c:pt idx="6">
                  <c:v>2321.7317741947004</c:v>
                </c:pt>
                <c:pt idx="7">
                  <c:v>2311.1540299523999</c:v>
                </c:pt>
                <c:pt idx="8">
                  <c:v>2301.5517055789001</c:v>
                </c:pt>
                <c:pt idx="9">
                  <c:v>2292.4844029871001</c:v>
                </c:pt>
                <c:pt idx="10">
                  <c:v>2283.8427647794001</c:v>
                </c:pt>
                <c:pt idx="11">
                  <c:v>2274.6364878812001</c:v>
                </c:pt>
                <c:pt idx="12">
                  <c:v>2264.4414196018001</c:v>
                </c:pt>
                <c:pt idx="13">
                  <c:v>2253.0216581065001</c:v>
                </c:pt>
                <c:pt idx="14">
                  <c:v>2240.2982782918002</c:v>
                </c:pt>
                <c:pt idx="15">
                  <c:v>2226.3291433642999</c:v>
                </c:pt>
                <c:pt idx="16">
                  <c:v>2212.1905057269996</c:v>
                </c:pt>
                <c:pt idx="17">
                  <c:v>2198.4126804490002</c:v>
                </c:pt>
                <c:pt idx="18">
                  <c:v>2185.1685277993001</c:v>
                </c:pt>
                <c:pt idx="19">
                  <c:v>2172.4909767002</c:v>
                </c:pt>
                <c:pt idx="20">
                  <c:v>2160.1815981143</c:v>
                </c:pt>
                <c:pt idx="21">
                  <c:v>2148.4753052822998</c:v>
                </c:pt>
                <c:pt idx="22">
                  <c:v>2137.3783503005002</c:v>
                </c:pt>
                <c:pt idx="23">
                  <c:v>2126.8899526345999</c:v>
                </c:pt>
                <c:pt idx="24">
                  <c:v>2116.9411715730998</c:v>
                </c:pt>
                <c:pt idx="25">
                  <c:v>2106.9103241019002</c:v>
                </c:pt>
                <c:pt idx="26">
                  <c:v>2097.0235928983998</c:v>
                </c:pt>
                <c:pt idx="27">
                  <c:v>2087.1567328798001</c:v>
                </c:pt>
                <c:pt idx="28">
                  <c:v>2077.1838312090999</c:v>
                </c:pt>
                <c:pt idx="29">
                  <c:v>2066.9710686072999</c:v>
                </c:pt>
                <c:pt idx="30">
                  <c:v>2056.3308686102</c:v>
                </c:pt>
                <c:pt idx="31">
                  <c:v>2045.0243944872</c:v>
                </c:pt>
                <c:pt idx="32">
                  <c:v>2032.7865450437</c:v>
                </c:pt>
                <c:pt idx="33">
                  <c:v>2019.349316087</c:v>
                </c:pt>
                <c:pt idx="34">
                  <c:v>2004.4620064541</c:v>
                </c:pt>
                <c:pt idx="35">
                  <c:v>1987.9062454975999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1212.9150083951999</c:v>
                </c:pt>
                <c:pt idx="2">
                  <c:v>1187.3341470304001</c:v>
                </c:pt>
                <c:pt idx="3">
                  <c:v>1165.7205632071002</c:v>
                </c:pt>
                <c:pt idx="4">
                  <c:v>1146.8599623458001</c:v>
                </c:pt>
                <c:pt idx="5">
                  <c:v>1129.502549713</c:v>
                </c:pt>
                <c:pt idx="6">
                  <c:v>1112.2647314988999</c:v>
                </c:pt>
                <c:pt idx="7">
                  <c:v>1094.4269654011</c:v>
                </c:pt>
                <c:pt idx="8">
                  <c:v>1075.7168416238001</c:v>
                </c:pt>
                <c:pt idx="9">
                  <c:v>1056.0569730911</c:v>
                </c:pt>
                <c:pt idx="10">
                  <c:v>1035.5322181131</c:v>
                </c:pt>
                <c:pt idx="11">
                  <c:v>1013.9741555706</c:v>
                </c:pt>
                <c:pt idx="12">
                  <c:v>991.49247210449994</c:v>
                </c:pt>
                <c:pt idx="13">
                  <c:v>968.29227584680007</c:v>
                </c:pt>
                <c:pt idx="14">
                  <c:v>944.61588971729998</c:v>
                </c:pt>
                <c:pt idx="15">
                  <c:v>920.70655391159994</c:v>
                </c:pt>
                <c:pt idx="16">
                  <c:v>897.08478591539995</c:v>
                </c:pt>
                <c:pt idx="17">
                  <c:v>874.06769682880008</c:v>
                </c:pt>
                <c:pt idx="18">
                  <c:v>851.80739633080009</c:v>
                </c:pt>
                <c:pt idx="19">
                  <c:v>830.35724586749996</c:v>
                </c:pt>
                <c:pt idx="20">
                  <c:v>809.65610862619985</c:v>
                </c:pt>
                <c:pt idx="21">
                  <c:v>789.72864361099994</c:v>
                </c:pt>
                <c:pt idx="22">
                  <c:v>770.50832207040003</c:v>
                </c:pt>
                <c:pt idx="23">
                  <c:v>751.9066064389001</c:v>
                </c:pt>
                <c:pt idx="24">
                  <c:v>733.79852561250004</c:v>
                </c:pt>
                <c:pt idx="25">
                  <c:v>715.90740250700014</c:v>
                </c:pt>
                <c:pt idx="26">
                  <c:v>698.17433246199994</c:v>
                </c:pt>
                <c:pt idx="27">
                  <c:v>680.45887609270005</c:v>
                </c:pt>
                <c:pt idx="28">
                  <c:v>662.63657026520002</c:v>
                </c:pt>
                <c:pt idx="29">
                  <c:v>644.60909497609998</c:v>
                </c:pt>
                <c:pt idx="30">
                  <c:v>626.29792200430006</c:v>
                </c:pt>
                <c:pt idx="31">
                  <c:v>607.64599861039994</c:v>
                </c:pt>
                <c:pt idx="32">
                  <c:v>588.62194127550003</c:v>
                </c:pt>
                <c:pt idx="33">
                  <c:v>569.22172018470008</c:v>
                </c:pt>
                <c:pt idx="34">
                  <c:v>549.46832561120004</c:v>
                </c:pt>
                <c:pt idx="35">
                  <c:v>529.40947634580004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2187.6697487888</c:v>
                </c:pt>
                <c:pt idx="2">
                  <c:v>2142.7280674070998</c:v>
                </c:pt>
                <c:pt idx="3">
                  <c:v>2102.1014529662002</c:v>
                </c:pt>
                <c:pt idx="4">
                  <c:v>2063.4495683444002</c:v>
                </c:pt>
                <c:pt idx="5">
                  <c:v>2024.7065967395001</c:v>
                </c:pt>
                <c:pt idx="6">
                  <c:v>1983.7031380481001</c:v>
                </c:pt>
                <c:pt idx="7">
                  <c:v>1939.4790880224</c:v>
                </c:pt>
                <c:pt idx="8">
                  <c:v>1891.8988463106</c:v>
                </c:pt>
                <c:pt idx="9">
                  <c:v>1841.1996223653002</c:v>
                </c:pt>
                <c:pt idx="10">
                  <c:v>1787.8934701640999</c:v>
                </c:pt>
                <c:pt idx="11">
                  <c:v>1732.1747072206999</c:v>
                </c:pt>
                <c:pt idx="12">
                  <c:v>1674.6825145366001</c:v>
                </c:pt>
                <c:pt idx="13">
                  <c:v>1616.1691469031998</c:v>
                </c:pt>
                <c:pt idx="14">
                  <c:v>1557.3654090273003</c:v>
                </c:pt>
                <c:pt idx="15">
                  <c:v>1498.9078022400001</c:v>
                </c:pt>
                <c:pt idx="16">
                  <c:v>1441.7019871215998</c:v>
                </c:pt>
                <c:pt idx="17">
                  <c:v>1386.3278014033999</c:v>
                </c:pt>
                <c:pt idx="18">
                  <c:v>1333.0784045645</c:v>
                </c:pt>
                <c:pt idx="19">
                  <c:v>1282.0531806699</c:v>
                </c:pt>
                <c:pt idx="20">
                  <c:v>1233.1586324482</c:v>
                </c:pt>
                <c:pt idx="21">
                  <c:v>1186.3610851449</c:v>
                </c:pt>
                <c:pt idx="22">
                  <c:v>1141.4955689055998</c:v>
                </c:pt>
                <c:pt idx="23">
                  <c:v>1098.3568677815001</c:v>
                </c:pt>
                <c:pt idx="24">
                  <c:v>1056.6894027583</c:v>
                </c:pt>
                <c:pt idx="25">
                  <c:v>1016.0767160994</c:v>
                </c:pt>
                <c:pt idx="26">
                  <c:v>976.34917072859992</c:v>
                </c:pt>
                <c:pt idx="27">
                  <c:v>937.27287303200012</c:v>
                </c:pt>
                <c:pt idx="28">
                  <c:v>898.66090517019995</c:v>
                </c:pt>
                <c:pt idx="29">
                  <c:v>860.39080312220005</c:v>
                </c:pt>
                <c:pt idx="30">
                  <c:v>822.39677696979993</c:v>
                </c:pt>
                <c:pt idx="31">
                  <c:v>784.66572027170002</c:v>
                </c:pt>
                <c:pt idx="32">
                  <c:v>747.23304693900002</c:v>
                </c:pt>
                <c:pt idx="33">
                  <c:v>710.17486672000007</c:v>
                </c:pt>
                <c:pt idx="34">
                  <c:v>673.59829296880002</c:v>
                </c:pt>
                <c:pt idx="35">
                  <c:v>637.63079517459994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7155.2992208330998</c:v>
                </c:pt>
                <c:pt idx="2">
                  <c:v>7266.2269615684008</c:v>
                </c:pt>
                <c:pt idx="3">
                  <c:v>7418.7781366945001</c:v>
                </c:pt>
                <c:pt idx="4">
                  <c:v>7607.1230080352998</c:v>
                </c:pt>
                <c:pt idx="5">
                  <c:v>7820.9219879959001</c:v>
                </c:pt>
                <c:pt idx="6">
                  <c:v>8047.4653671821998</c:v>
                </c:pt>
                <c:pt idx="7">
                  <c:v>8252.5453483330002</c:v>
                </c:pt>
                <c:pt idx="8">
                  <c:v>8458.6240881066005</c:v>
                </c:pt>
                <c:pt idx="9">
                  <c:v>8676.2284891637009</c:v>
                </c:pt>
                <c:pt idx="10">
                  <c:v>8909.4453952248004</c:v>
                </c:pt>
                <c:pt idx="11">
                  <c:v>9163.6756735555009</c:v>
                </c:pt>
                <c:pt idx="12">
                  <c:v>9429.9810693950003</c:v>
                </c:pt>
                <c:pt idx="13">
                  <c:v>9699.1591533073988</c:v>
                </c:pt>
                <c:pt idx="14">
                  <c:v>9964.6091153952002</c:v>
                </c:pt>
                <c:pt idx="15">
                  <c:v>10222.254019222799</c:v>
                </c:pt>
                <c:pt idx="16">
                  <c:v>10467.404150825701</c:v>
                </c:pt>
                <c:pt idx="17">
                  <c:v>10702.4366600704</c:v>
                </c:pt>
                <c:pt idx="18">
                  <c:v>10929.1845285782</c:v>
                </c:pt>
                <c:pt idx="19">
                  <c:v>11148.9798049772</c:v>
                </c:pt>
                <c:pt idx="20">
                  <c:v>11361.778484994</c:v>
                </c:pt>
                <c:pt idx="21">
                  <c:v>11570.751199430801</c:v>
                </c:pt>
                <c:pt idx="22">
                  <c:v>11777.70242793</c:v>
                </c:pt>
                <c:pt idx="23">
                  <c:v>11984.832312643</c:v>
                </c:pt>
                <c:pt idx="24">
                  <c:v>12194.277450488</c:v>
                </c:pt>
                <c:pt idx="25">
                  <c:v>12404.310744814</c:v>
                </c:pt>
                <c:pt idx="26">
                  <c:v>12619.613430175999</c:v>
                </c:pt>
                <c:pt idx="27">
                  <c:v>12842.435170369001</c:v>
                </c:pt>
                <c:pt idx="28">
                  <c:v>13075.660242173</c:v>
                </c:pt>
                <c:pt idx="29">
                  <c:v>13322.118318183</c:v>
                </c:pt>
                <c:pt idx="30">
                  <c:v>13583.889654387</c:v>
                </c:pt>
                <c:pt idx="31">
                  <c:v>13862.136486629001</c:v>
                </c:pt>
                <c:pt idx="32">
                  <c:v>14157.388971654</c:v>
                </c:pt>
                <c:pt idx="33">
                  <c:v>14469.954939717001</c:v>
                </c:pt>
                <c:pt idx="34">
                  <c:v>14799.896981598002</c:v>
                </c:pt>
                <c:pt idx="35">
                  <c:v>15146.955496877999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8197.7945507628992</c:v>
                </c:pt>
                <c:pt idx="2">
                  <c:v>8199.1715804385003</c:v>
                </c:pt>
                <c:pt idx="3">
                  <c:v>8247.1694686898991</c:v>
                </c:pt>
                <c:pt idx="4">
                  <c:v>8335.3778897104985</c:v>
                </c:pt>
                <c:pt idx="5">
                  <c:v>8453.3897451486991</c:v>
                </c:pt>
                <c:pt idx="6">
                  <c:v>8588.4888569673003</c:v>
                </c:pt>
                <c:pt idx="7">
                  <c:v>8706.912359485601</c:v>
                </c:pt>
                <c:pt idx="8">
                  <c:v>8828.1207239206997</c:v>
                </c:pt>
                <c:pt idx="9">
                  <c:v>8961.3894166074006</c:v>
                </c:pt>
                <c:pt idx="10">
                  <c:v>9110.0223621195</c:v>
                </c:pt>
                <c:pt idx="11">
                  <c:v>9279.0114276416007</c:v>
                </c:pt>
                <c:pt idx="12">
                  <c:v>9460.6644300419011</c:v>
                </c:pt>
                <c:pt idx="13">
                  <c:v>9646.8997822299989</c:v>
                </c:pt>
                <c:pt idx="14">
                  <c:v>9831.9319861724016</c:v>
                </c:pt>
                <c:pt idx="15">
                  <c:v>10012.2074703289</c:v>
                </c:pt>
                <c:pt idx="16">
                  <c:v>10183.451026851199</c:v>
                </c:pt>
                <c:pt idx="17">
                  <c:v>10347.725745636701</c:v>
                </c:pt>
                <c:pt idx="18">
                  <c:v>10506.7113976897</c:v>
                </c:pt>
                <c:pt idx="19">
                  <c:v>10661.6288320563</c:v>
                </c:pt>
                <c:pt idx="20">
                  <c:v>10812.403278871901</c:v>
                </c:pt>
                <c:pt idx="21">
                  <c:v>10961.815844794</c:v>
                </c:pt>
                <c:pt idx="22">
                  <c:v>11111.351038791199</c:v>
                </c:pt>
                <c:pt idx="23">
                  <c:v>11262.804498387201</c:v>
                </c:pt>
                <c:pt idx="24">
                  <c:v>11417.868499100899</c:v>
                </c:pt>
                <c:pt idx="25">
                  <c:v>11574.7135759339</c:v>
                </c:pt>
                <c:pt idx="26">
                  <c:v>11737.227229307402</c:v>
                </c:pt>
                <c:pt idx="27">
                  <c:v>11907.045598999199</c:v>
                </c:pt>
                <c:pt idx="28">
                  <c:v>12086.336335980001</c:v>
                </c:pt>
                <c:pt idx="29">
                  <c:v>12277.215699236</c:v>
                </c:pt>
                <c:pt idx="30">
                  <c:v>12481.138576624999</c:v>
                </c:pt>
                <c:pt idx="31">
                  <c:v>12698.747547666</c:v>
                </c:pt>
                <c:pt idx="32">
                  <c:v>12930.124994192</c:v>
                </c:pt>
                <c:pt idx="33">
                  <c:v>13175.167157423</c:v>
                </c:pt>
                <c:pt idx="34">
                  <c:v>13433.576527899999</c:v>
                </c:pt>
                <c:pt idx="35">
                  <c:v>13704.799892593001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6658.6309129193005</c:v>
                </c:pt>
                <c:pt idx="2">
                  <c:v>6581.7970357612003</c:v>
                </c:pt>
                <c:pt idx="3">
                  <c:v>6542.2487896868997</c:v>
                </c:pt>
                <c:pt idx="4">
                  <c:v>6534.9633538689004</c:v>
                </c:pt>
                <c:pt idx="5">
                  <c:v>6552.381403816501</c:v>
                </c:pt>
                <c:pt idx="6">
                  <c:v>6585.3257865563</c:v>
                </c:pt>
                <c:pt idx="7">
                  <c:v>6609.7848229643996</c:v>
                </c:pt>
                <c:pt idx="8">
                  <c:v>6637.8093775948</c:v>
                </c:pt>
                <c:pt idx="9">
                  <c:v>6675.2619674921998</c:v>
                </c:pt>
                <c:pt idx="10">
                  <c:v>6724.0210920965001</c:v>
                </c:pt>
                <c:pt idx="11">
                  <c:v>6787.4109245113996</c:v>
                </c:pt>
                <c:pt idx="12">
                  <c:v>6860.6727819763</c:v>
                </c:pt>
                <c:pt idx="13">
                  <c:v>6938.6851027900002</c:v>
                </c:pt>
                <c:pt idx="14">
                  <c:v>7017.7801311266994</c:v>
                </c:pt>
                <c:pt idx="15">
                  <c:v>7095.7083188573997</c:v>
                </c:pt>
                <c:pt idx="16">
                  <c:v>7169.6356501198006</c:v>
                </c:pt>
                <c:pt idx="17">
                  <c:v>7240.8273237475005</c:v>
                </c:pt>
                <c:pt idx="18">
                  <c:v>7310.3711802800999</c:v>
                </c:pt>
                <c:pt idx="19">
                  <c:v>7379.0524719443001</c:v>
                </c:pt>
                <c:pt idx="20">
                  <c:v>7446.7783031713006</c:v>
                </c:pt>
                <c:pt idx="21">
                  <c:v>7515.2868731299004</c:v>
                </c:pt>
                <c:pt idx="22">
                  <c:v>7585.4319574089996</c:v>
                </c:pt>
                <c:pt idx="23">
                  <c:v>7658.2417041081007</c:v>
                </c:pt>
                <c:pt idx="24">
                  <c:v>7734.6490922472003</c:v>
                </c:pt>
                <c:pt idx="25">
                  <c:v>7813.2726309827003</c:v>
                </c:pt>
                <c:pt idx="26">
                  <c:v>7896.4145637121001</c:v>
                </c:pt>
                <c:pt idx="27">
                  <c:v>7984.8772396559007</c:v>
                </c:pt>
                <c:pt idx="28">
                  <c:v>8079.7866292065</c:v>
                </c:pt>
                <c:pt idx="29">
                  <c:v>8182.2379610222006</c:v>
                </c:pt>
                <c:pt idx="30">
                  <c:v>8292.9093840640999</c:v>
                </c:pt>
                <c:pt idx="31">
                  <c:v>8411.9643567578005</c:v>
                </c:pt>
                <c:pt idx="32">
                  <c:v>8539.2122989350992</c:v>
                </c:pt>
                <c:pt idx="33">
                  <c:v>8674.3551052321</c:v>
                </c:pt>
                <c:pt idx="34">
                  <c:v>8816.9900242087006</c:v>
                </c:pt>
                <c:pt idx="35">
                  <c:v>8966.5736693859999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4061.8900839882999</c:v>
                </c:pt>
                <c:pt idx="2">
                  <c:v>3987.6933024200002</c:v>
                </c:pt>
                <c:pt idx="3">
                  <c:v>3934.3506149622999</c:v>
                </c:pt>
                <c:pt idx="4">
                  <c:v>3898.5949428008003</c:v>
                </c:pt>
                <c:pt idx="5">
                  <c:v>3876.0457003368001</c:v>
                </c:pt>
                <c:pt idx="6">
                  <c:v>3861.4964169325999</c:v>
                </c:pt>
                <c:pt idx="7">
                  <c:v>3841.6355420356999</c:v>
                </c:pt>
                <c:pt idx="8">
                  <c:v>3821.9265468842</c:v>
                </c:pt>
                <c:pt idx="9">
                  <c:v>3805.1642960612999</c:v>
                </c:pt>
                <c:pt idx="10">
                  <c:v>3792.0806660707999</c:v>
                </c:pt>
                <c:pt idx="11">
                  <c:v>3784.3516587948002</c:v>
                </c:pt>
                <c:pt idx="12">
                  <c:v>3780.0641563291001</c:v>
                </c:pt>
                <c:pt idx="13">
                  <c:v>3777.1871304406</c:v>
                </c:pt>
                <c:pt idx="14">
                  <c:v>3774.3985614335998</c:v>
                </c:pt>
                <c:pt idx="15">
                  <c:v>3771.0131417966004</c:v>
                </c:pt>
                <c:pt idx="16">
                  <c:v>3765.9842958936001</c:v>
                </c:pt>
                <c:pt idx="17">
                  <c:v>3760.0671795175999</c:v>
                </c:pt>
                <c:pt idx="18">
                  <c:v>3753.9418442209999</c:v>
                </c:pt>
                <c:pt idx="19">
                  <c:v>3748.1049310386002</c:v>
                </c:pt>
                <c:pt idx="20">
                  <c:v>3742.5907756547999</c:v>
                </c:pt>
                <c:pt idx="21">
                  <c:v>3738.1929338395003</c:v>
                </c:pt>
                <c:pt idx="22">
                  <c:v>3735.2398936438999</c:v>
                </c:pt>
                <c:pt idx="23">
                  <c:v>3734.0862607938998</c:v>
                </c:pt>
                <c:pt idx="24">
                  <c:v>3734.9926691842002</c:v>
                </c:pt>
                <c:pt idx="25">
                  <c:v>3737.1550135635002</c:v>
                </c:pt>
                <c:pt idx="26">
                  <c:v>3741.3396484078003</c:v>
                </c:pt>
                <c:pt idx="27">
                  <c:v>3747.5932778991</c:v>
                </c:pt>
                <c:pt idx="28">
                  <c:v>3756.0804727211003</c:v>
                </c:pt>
                <c:pt idx="29">
                  <c:v>3766.9752881924001</c:v>
                </c:pt>
                <c:pt idx="30">
                  <c:v>3780.3092019144997</c:v>
                </c:pt>
                <c:pt idx="31">
                  <c:v>3795.9283420230995</c:v>
                </c:pt>
                <c:pt idx="32">
                  <c:v>3813.5588606836</c:v>
                </c:pt>
                <c:pt idx="33">
                  <c:v>3832.9228837789997</c:v>
                </c:pt>
                <c:pt idx="34">
                  <c:v>3853.7518259098001</c:v>
                </c:pt>
                <c:pt idx="35">
                  <c:v>3875.7746857298002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2447.2317326401999</c:v>
                </c:pt>
                <c:pt idx="2">
                  <c:v>2404.0896305750002</c:v>
                </c:pt>
                <c:pt idx="3">
                  <c:v>2372.3576784176003</c:v>
                </c:pt>
                <c:pt idx="4">
                  <c:v>2349.9070998283</c:v>
                </c:pt>
                <c:pt idx="5">
                  <c:v>2334.0778093826002</c:v>
                </c:pt>
                <c:pt idx="6">
                  <c:v>2321.7317741847</c:v>
                </c:pt>
                <c:pt idx="7">
                  <c:v>2304.8056715053999</c:v>
                </c:pt>
                <c:pt idx="8">
                  <c:v>2286.1661352163997</c:v>
                </c:pt>
                <c:pt idx="9">
                  <c:v>2267.4424709922</c:v>
                </c:pt>
                <c:pt idx="10">
                  <c:v>2249.0808187560997</c:v>
                </c:pt>
                <c:pt idx="11">
                  <c:v>2232.1706564678998</c:v>
                </c:pt>
                <c:pt idx="12">
                  <c:v>2215.9951081303002</c:v>
                </c:pt>
                <c:pt idx="13">
                  <c:v>2199.7745982758997</c:v>
                </c:pt>
                <c:pt idx="14">
                  <c:v>2183.0925109401001</c:v>
                </c:pt>
                <c:pt idx="15">
                  <c:v>2165.8330559798001</c:v>
                </c:pt>
                <c:pt idx="16">
                  <c:v>2147.6349148666</c:v>
                </c:pt>
                <c:pt idx="17">
                  <c:v>2129.0206848571002</c:v>
                </c:pt>
                <c:pt idx="18">
                  <c:v>2110.4610529368997</c:v>
                </c:pt>
                <c:pt idx="19">
                  <c:v>2092.2996320950001</c:v>
                </c:pt>
                <c:pt idx="20">
                  <c:v>2074.6061862258002</c:v>
                </c:pt>
                <c:pt idx="21">
                  <c:v>2057.7980073034</c:v>
                </c:pt>
                <c:pt idx="22">
                  <c:v>2042.0216938194999</c:v>
                </c:pt>
                <c:pt idx="23">
                  <c:v>2027.4091296908998</c:v>
                </c:pt>
                <c:pt idx="24">
                  <c:v>2014.0184315314</c:v>
                </c:pt>
                <c:pt idx="25">
                  <c:v>2001.3605174404997</c:v>
                </c:pt>
                <c:pt idx="26">
                  <c:v>1989.6946471121</c:v>
                </c:pt>
                <c:pt idx="27">
                  <c:v>1978.9008369682001</c:v>
                </c:pt>
                <c:pt idx="28">
                  <c:v>1968.9073122638997</c:v>
                </c:pt>
                <c:pt idx="29">
                  <c:v>1959.6576230627002</c:v>
                </c:pt>
                <c:pt idx="30">
                  <c:v>1951.0440338234002</c:v>
                </c:pt>
                <c:pt idx="31">
                  <c:v>1942.8874765116998</c:v>
                </c:pt>
                <c:pt idx="32">
                  <c:v>1934.9678188795001</c:v>
                </c:pt>
                <c:pt idx="33">
                  <c:v>1927.0822505676001</c:v>
                </c:pt>
                <c:pt idx="34">
                  <c:v>1919.0552372725001</c:v>
                </c:pt>
                <c:pt idx="35">
                  <c:v>1910.7336274541001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1212.9150083951999</c:v>
                </c:pt>
                <c:pt idx="2">
                  <c:v>1187.3341470304001</c:v>
                </c:pt>
                <c:pt idx="3">
                  <c:v>1165.7205632071002</c:v>
                </c:pt>
                <c:pt idx="4">
                  <c:v>1146.8599623448001</c:v>
                </c:pt>
                <c:pt idx="5">
                  <c:v>1129.502549711</c:v>
                </c:pt>
                <c:pt idx="6">
                  <c:v>1112.2647314968999</c:v>
                </c:pt>
                <c:pt idx="7">
                  <c:v>1091.6632963696002</c:v>
                </c:pt>
                <c:pt idx="8">
                  <c:v>1068.7166045626</c:v>
                </c:pt>
                <c:pt idx="9">
                  <c:v>1044.2053746056999</c:v>
                </c:pt>
                <c:pt idx="10">
                  <c:v>1018.4473451611</c:v>
                </c:pt>
                <c:pt idx="11">
                  <c:v>992.06471022299991</c:v>
                </c:pt>
                <c:pt idx="12">
                  <c:v>965.18993596400003</c:v>
                </c:pt>
                <c:pt idx="13">
                  <c:v>937.94516278130004</c:v>
                </c:pt>
                <c:pt idx="14">
                  <c:v>910.53493532229993</c:v>
                </c:pt>
                <c:pt idx="15">
                  <c:v>883.19707889460005</c:v>
                </c:pt>
                <c:pt idx="16">
                  <c:v>856.03653632699991</c:v>
                </c:pt>
                <c:pt idx="17">
                  <c:v>829.3394792775</c:v>
                </c:pt>
                <c:pt idx="18">
                  <c:v>803.33765516219989</c:v>
                </c:pt>
                <c:pt idx="19">
                  <c:v>778.18609783440002</c:v>
                </c:pt>
                <c:pt idx="20">
                  <c:v>753.92966436130007</c:v>
                </c:pt>
                <c:pt idx="21">
                  <c:v>730.66606056389992</c:v>
                </c:pt>
                <c:pt idx="22">
                  <c:v>708.39564451030003</c:v>
                </c:pt>
                <c:pt idx="23">
                  <c:v>687.09409606710005</c:v>
                </c:pt>
                <c:pt idx="24">
                  <c:v>666.70121328510004</c:v>
                </c:pt>
                <c:pt idx="25">
                  <c:v>647.01950288629996</c:v>
                </c:pt>
                <c:pt idx="26">
                  <c:v>628.00955500369992</c:v>
                </c:pt>
                <c:pt idx="27">
                  <c:v>609.53716516200006</c:v>
                </c:pt>
                <c:pt idx="28">
                  <c:v>591.48413185219999</c:v>
                </c:pt>
                <c:pt idx="29">
                  <c:v>573.75583121839998</c:v>
                </c:pt>
                <c:pt idx="30">
                  <c:v>556.27067517299997</c:v>
                </c:pt>
                <c:pt idx="31">
                  <c:v>538.95458697050003</c:v>
                </c:pt>
                <c:pt idx="32">
                  <c:v>521.74481513599994</c:v>
                </c:pt>
                <c:pt idx="33">
                  <c:v>504.60128346509998</c:v>
                </c:pt>
                <c:pt idx="34">
                  <c:v>487.50756013109998</c:v>
                </c:pt>
                <c:pt idx="35">
                  <c:v>470.46692835450006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2187.6697487878</c:v>
                </c:pt>
                <c:pt idx="2">
                  <c:v>2142.7280674060999</c:v>
                </c:pt>
                <c:pt idx="3">
                  <c:v>2102.1014529652002</c:v>
                </c:pt>
                <c:pt idx="4">
                  <c:v>2063.4495683424002</c:v>
                </c:pt>
                <c:pt idx="5">
                  <c:v>2024.7065967345</c:v>
                </c:pt>
                <c:pt idx="6">
                  <c:v>1983.7031380410999</c:v>
                </c:pt>
                <c:pt idx="7">
                  <c:v>1934.780146177</c:v>
                </c:pt>
                <c:pt idx="8">
                  <c:v>1879.6918913166999</c:v>
                </c:pt>
                <c:pt idx="9">
                  <c:v>1820.1641539152999</c:v>
                </c:pt>
                <c:pt idx="10">
                  <c:v>1757.1868439246998</c:v>
                </c:pt>
                <c:pt idx="11">
                  <c:v>1692.2320562366001</c:v>
                </c:pt>
                <c:pt idx="12">
                  <c:v>1626.1544967259001</c:v>
                </c:pt>
                <c:pt idx="13">
                  <c:v>1559.7153987776001</c:v>
                </c:pt>
                <c:pt idx="14">
                  <c:v>1493.6637277852001</c:v>
                </c:pt>
                <c:pt idx="15">
                  <c:v>1428.6591877660999</c:v>
                </c:pt>
                <c:pt idx="16">
                  <c:v>1365.0858621703001</c:v>
                </c:pt>
                <c:pt idx="17">
                  <c:v>1303.4319603680999</c:v>
                </c:pt>
                <c:pt idx="18">
                  <c:v>1244.0555403726</c:v>
                </c:pt>
                <c:pt idx="19">
                  <c:v>1187.1690140144999</c:v>
                </c:pt>
                <c:pt idx="20">
                  <c:v>1132.8168208431998</c:v>
                </c:pt>
                <c:pt idx="21">
                  <c:v>1081.0596470379999</c:v>
                </c:pt>
                <c:pt idx="22">
                  <c:v>1031.8275758568</c:v>
                </c:pt>
                <c:pt idx="23">
                  <c:v>985.00759193710007</c:v>
                </c:pt>
                <c:pt idx="24">
                  <c:v>940.43844927329997</c:v>
                </c:pt>
                <c:pt idx="25">
                  <c:v>897.82252605309998</c:v>
                </c:pt>
                <c:pt idx="26">
                  <c:v>857.01123064350008</c:v>
                </c:pt>
                <c:pt idx="27">
                  <c:v>817.76968846120008</c:v>
                </c:pt>
                <c:pt idx="28">
                  <c:v>779.89429829560004</c:v>
                </c:pt>
                <c:pt idx="29">
                  <c:v>743.2295140704</c:v>
                </c:pt>
                <c:pt idx="30">
                  <c:v>707.65806104979993</c:v>
                </c:pt>
                <c:pt idx="31">
                  <c:v>673.0917583447</c:v>
                </c:pt>
                <c:pt idx="32">
                  <c:v>639.46985125829997</c:v>
                </c:pt>
                <c:pt idx="33">
                  <c:v>606.76449691180005</c:v>
                </c:pt>
                <c:pt idx="34">
                  <c:v>574.97689867789995</c:v>
                </c:pt>
                <c:pt idx="35">
                  <c:v>544.1288356837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31856.525000000001</c:v>
                </c:pt>
                <c:pt idx="2">
                  <c:v>31683.999660000001</c:v>
                </c:pt>
                <c:pt idx="3">
                  <c:v>31675.878840000001</c:v>
                </c:pt>
                <c:pt idx="4">
                  <c:v>31805.82416</c:v>
                </c:pt>
                <c:pt idx="5">
                  <c:v>32035.536800000002</c:v>
                </c:pt>
                <c:pt idx="6">
                  <c:v>32318.91128</c:v>
                </c:pt>
                <c:pt idx="7">
                  <c:v>32533.473440000002</c:v>
                </c:pt>
                <c:pt idx="8">
                  <c:v>32738.94225</c:v>
                </c:pt>
                <c:pt idx="9">
                  <c:v>32962.604979999996</c:v>
                </c:pt>
                <c:pt idx="10">
                  <c:v>33209.970540000002</c:v>
                </c:pt>
                <c:pt idx="11">
                  <c:v>33494.63276</c:v>
                </c:pt>
                <c:pt idx="12">
                  <c:v>33793.662709999997</c:v>
                </c:pt>
                <c:pt idx="13">
                  <c:v>34083.473180000001</c:v>
                </c:pt>
                <c:pt idx="14">
                  <c:v>34348.090530000001</c:v>
                </c:pt>
                <c:pt idx="15">
                  <c:v>34578.508999999998</c:v>
                </c:pt>
                <c:pt idx="16">
                  <c:v>34762.721279999998</c:v>
                </c:pt>
                <c:pt idx="17">
                  <c:v>34907.396050000003</c:v>
                </c:pt>
                <c:pt idx="18">
                  <c:v>35018.173580000002</c:v>
                </c:pt>
                <c:pt idx="19">
                  <c:v>35099.138030000002</c:v>
                </c:pt>
                <c:pt idx="20">
                  <c:v>35150.289100000002</c:v>
                </c:pt>
                <c:pt idx="21">
                  <c:v>35179.631009999997</c:v>
                </c:pt>
                <c:pt idx="22">
                  <c:v>35190.944689999997</c:v>
                </c:pt>
                <c:pt idx="23">
                  <c:v>35188.534740000003</c:v>
                </c:pt>
                <c:pt idx="24">
                  <c:v>35176.036740000003</c:v>
                </c:pt>
                <c:pt idx="25">
                  <c:v>35147.195019999999</c:v>
                </c:pt>
                <c:pt idx="26">
                  <c:v>35111.100839999999</c:v>
                </c:pt>
                <c:pt idx="27">
                  <c:v>35070.23818</c:v>
                </c:pt>
                <c:pt idx="28">
                  <c:v>35028.178489999998</c:v>
                </c:pt>
                <c:pt idx="29">
                  <c:v>34988.121930000001</c:v>
                </c:pt>
                <c:pt idx="30">
                  <c:v>34951.398730000001</c:v>
                </c:pt>
                <c:pt idx="31">
                  <c:v>34917.195090000001</c:v>
                </c:pt>
                <c:pt idx="32">
                  <c:v>34883.290159999997</c:v>
                </c:pt>
                <c:pt idx="33">
                  <c:v>34847.0648</c:v>
                </c:pt>
                <c:pt idx="34">
                  <c:v>34805.54681</c:v>
                </c:pt>
                <c:pt idx="35">
                  <c:v>34755.322030000003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1.991142959</c:v>
                </c:pt>
                <c:pt idx="2">
                  <c:v>2.0604747460000001</c:v>
                </c:pt>
                <c:pt idx="3">
                  <c:v>2.1381571419999998</c:v>
                </c:pt>
                <c:pt idx="4">
                  <c:v>2.222530372</c:v>
                </c:pt>
                <c:pt idx="5">
                  <c:v>2.3108613849999999</c:v>
                </c:pt>
                <c:pt idx="6">
                  <c:v>2.3996817140000002</c:v>
                </c:pt>
                <c:pt idx="7">
                  <c:v>2.4790224329999999</c:v>
                </c:pt>
                <c:pt idx="8">
                  <c:v>2.5540431840000002</c:v>
                </c:pt>
                <c:pt idx="9">
                  <c:v>2.6272469470000002</c:v>
                </c:pt>
                <c:pt idx="10">
                  <c:v>2.6993290380000001</c:v>
                </c:pt>
                <c:pt idx="11">
                  <c:v>2.7716565609999999</c:v>
                </c:pt>
                <c:pt idx="12">
                  <c:v>2.8425317309999998</c:v>
                </c:pt>
                <c:pt idx="13">
                  <c:v>2.9101576699999998</c:v>
                </c:pt>
                <c:pt idx="14">
                  <c:v>2.9733352160000002</c:v>
                </c:pt>
                <c:pt idx="15">
                  <c:v>3.0314211059999998</c:v>
                </c:pt>
                <c:pt idx="16">
                  <c:v>3.0835012339999999</c:v>
                </c:pt>
                <c:pt idx="17">
                  <c:v>3.130209115</c:v>
                </c:pt>
                <c:pt idx="18">
                  <c:v>3.1720958709999998</c:v>
                </c:pt>
                <c:pt idx="19">
                  <c:v>3.2095843199999998</c:v>
                </c:pt>
                <c:pt idx="20">
                  <c:v>3.242754422</c:v>
                </c:pt>
                <c:pt idx="21">
                  <c:v>3.2723536000000002</c:v>
                </c:pt>
                <c:pt idx="22">
                  <c:v>3.2987800909999998</c:v>
                </c:pt>
                <c:pt idx="23">
                  <c:v>3.322475957</c:v>
                </c:pt>
                <c:pt idx="24">
                  <c:v>3.3438275700000002</c:v>
                </c:pt>
                <c:pt idx="25">
                  <c:v>3.3623899439999998</c:v>
                </c:pt>
                <c:pt idx="26">
                  <c:v>3.3789943220000001</c:v>
                </c:pt>
                <c:pt idx="27">
                  <c:v>3.3939243440000002</c:v>
                </c:pt>
                <c:pt idx="28">
                  <c:v>3.4075535229999998</c:v>
                </c:pt>
                <c:pt idx="29">
                  <c:v>3.4202241849999999</c:v>
                </c:pt>
                <c:pt idx="30">
                  <c:v>3.4321210870000001</c:v>
                </c:pt>
                <c:pt idx="31">
                  <c:v>3.443246013</c:v>
                </c:pt>
                <c:pt idx="32">
                  <c:v>3.453477109</c:v>
                </c:pt>
                <c:pt idx="33">
                  <c:v>3.4626521559999999</c:v>
                </c:pt>
                <c:pt idx="34">
                  <c:v>3.4705722880000001</c:v>
                </c:pt>
                <c:pt idx="35">
                  <c:v>3.4769945089999998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62.915118380000003</c:v>
                </c:pt>
                <c:pt idx="2">
                  <c:v>82.980588449999999</c:v>
                </c:pt>
                <c:pt idx="3">
                  <c:v>104.7097115</c:v>
                </c:pt>
                <c:pt idx="4">
                  <c:v>128.22913059999999</c:v>
                </c:pt>
                <c:pt idx="5">
                  <c:v>153.1781277</c:v>
                </c:pt>
                <c:pt idx="6">
                  <c:v>179.1651076</c:v>
                </c:pt>
                <c:pt idx="7">
                  <c:v>206.17472839999999</c:v>
                </c:pt>
                <c:pt idx="8">
                  <c:v>239.5590794</c:v>
                </c:pt>
                <c:pt idx="9">
                  <c:v>284.62393689999999</c:v>
                </c:pt>
                <c:pt idx="10">
                  <c:v>347.61465629999998</c:v>
                </c:pt>
                <c:pt idx="11">
                  <c:v>433.51269189999999</c:v>
                </c:pt>
                <c:pt idx="12">
                  <c:v>542.21673229999999</c:v>
                </c:pt>
                <c:pt idx="13">
                  <c:v>672.98298829999999</c:v>
                </c:pt>
                <c:pt idx="14">
                  <c:v>824.94710599999996</c:v>
                </c:pt>
                <c:pt idx="15">
                  <c:v>997.33185019999996</c:v>
                </c:pt>
                <c:pt idx="16">
                  <c:v>1189.427653</c:v>
                </c:pt>
                <c:pt idx="17">
                  <c:v>1402.322776</c:v>
                </c:pt>
                <c:pt idx="18">
                  <c:v>1636.717523</c:v>
                </c:pt>
                <c:pt idx="19">
                  <c:v>1893.073169</c:v>
                </c:pt>
                <c:pt idx="20">
                  <c:v>2171.3716639999998</c:v>
                </c:pt>
                <c:pt idx="21">
                  <c:v>2472.6672060000001</c:v>
                </c:pt>
                <c:pt idx="22">
                  <c:v>2797.7267609999999</c:v>
                </c:pt>
                <c:pt idx="23">
                  <c:v>3147.618375</c:v>
                </c:pt>
                <c:pt idx="24">
                  <c:v>3523.565239</c:v>
                </c:pt>
                <c:pt idx="25">
                  <c:v>3925.0970929999999</c:v>
                </c:pt>
                <c:pt idx="26">
                  <c:v>4354.8304600000001</c:v>
                </c:pt>
                <c:pt idx="27">
                  <c:v>4814.5268669999996</c:v>
                </c:pt>
                <c:pt idx="28">
                  <c:v>5306.563384</c:v>
                </c:pt>
                <c:pt idx="29">
                  <c:v>5833.6480709999996</c:v>
                </c:pt>
                <c:pt idx="30">
                  <c:v>6398.388731</c:v>
                </c:pt>
                <c:pt idx="31">
                  <c:v>7003.0722189999997</c:v>
                </c:pt>
                <c:pt idx="32">
                  <c:v>7649.7239760000002</c:v>
                </c:pt>
                <c:pt idx="33">
                  <c:v>8340.3206680000003</c:v>
                </c:pt>
                <c:pt idx="34">
                  <c:v>9076.7376660000009</c:v>
                </c:pt>
                <c:pt idx="35">
                  <c:v>9860.6341140000004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31921.431260000001</c:v>
                      </c:pt>
                      <c:pt idx="2">
                        <c:v>31769.040730000001</c:v>
                      </c:pt>
                      <c:pt idx="3">
                        <c:v>31782.726709999999</c:v>
                      </c:pt>
                      <c:pt idx="4">
                        <c:v>31936.275829999999</c:v>
                      </c:pt>
                      <c:pt idx="5">
                        <c:v>32191.02579</c:v>
                      </c:pt>
                      <c:pt idx="6">
                        <c:v>32500.476070000001</c:v>
                      </c:pt>
                      <c:pt idx="7">
                        <c:v>32742.127189999999</c:v>
                      </c:pt>
                      <c:pt idx="8">
                        <c:v>32981.055390000001</c:v>
                      </c:pt>
                      <c:pt idx="9">
                        <c:v>33249.856200000002</c:v>
                      </c:pt>
                      <c:pt idx="10">
                        <c:v>33560.284570000003</c:v>
                      </c:pt>
                      <c:pt idx="11">
                        <c:v>33930.917150000001</c:v>
                      </c:pt>
                      <c:pt idx="12">
                        <c:v>34338.722029999997</c:v>
                      </c:pt>
                      <c:pt idx="13">
                        <c:v>34759.366379999999</c:v>
                      </c:pt>
                      <c:pt idx="14">
                        <c:v>35176.011019999998</c:v>
                      </c:pt>
                      <c:pt idx="15">
                        <c:v>35578.872320000002</c:v>
                      </c:pt>
                      <c:pt idx="16">
                        <c:v>35955.232479999999</c:v>
                      </c:pt>
                      <c:pt idx="17">
                        <c:v>36312.84908</c:v>
                      </c:pt>
                      <c:pt idx="18">
                        <c:v>36658.063249999999</c:v>
                      </c:pt>
                      <c:pt idx="19">
                        <c:v>36995.420830000003</c:v>
                      </c:pt>
                      <c:pt idx="20">
                        <c:v>37324.903570000002</c:v>
                      </c:pt>
                      <c:pt idx="21">
                        <c:v>37655.570619999999</c:v>
                      </c:pt>
                      <c:pt idx="22">
                        <c:v>37991.970280000001</c:v>
                      </c:pt>
                      <c:pt idx="23">
                        <c:v>38339.475639999997</c:v>
                      </c:pt>
                      <c:pt idx="24">
                        <c:v>38702.94586</c:v>
                      </c:pt>
                      <c:pt idx="25">
                        <c:v>39075.654549999999</c:v>
                      </c:pt>
                      <c:pt idx="26">
                        <c:v>39469.310340000004</c:v>
                      </c:pt>
                      <c:pt idx="27">
                        <c:v>39888.159019999999</c:v>
                      </c:pt>
                      <c:pt idx="28">
                        <c:v>40338.149460000001</c:v>
                      </c:pt>
                      <c:pt idx="29">
                        <c:v>40825.19025</c:v>
                      </c:pt>
                      <c:pt idx="30">
                        <c:v>41353.219620000003</c:v>
                      </c:pt>
                      <c:pt idx="31">
                        <c:v>41923.710590000002</c:v>
                      </c:pt>
                      <c:pt idx="32">
                        <c:v>42536.467660000002</c:v>
                      </c:pt>
                      <c:pt idx="33">
                        <c:v>43190.848169999997</c:v>
                      </c:pt>
                      <c:pt idx="34">
                        <c:v>43885.755109999998</c:v>
                      </c:pt>
                      <c:pt idx="35">
                        <c:v>44619.433190000003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31856.525000000001</c:v>
                </c:pt>
                <c:pt idx="2">
                  <c:v>31683.999660000001</c:v>
                </c:pt>
                <c:pt idx="3">
                  <c:v>31675.878830000001</c:v>
                </c:pt>
                <c:pt idx="4">
                  <c:v>31805.82416</c:v>
                </c:pt>
                <c:pt idx="5">
                  <c:v>32035.536800000002</c:v>
                </c:pt>
                <c:pt idx="6">
                  <c:v>32318.911270000001</c:v>
                </c:pt>
                <c:pt idx="7">
                  <c:v>32632.99195</c:v>
                </c:pt>
                <c:pt idx="8">
                  <c:v>32968.956339999997</c:v>
                </c:pt>
                <c:pt idx="9">
                  <c:v>33322.481169999999</c:v>
                </c:pt>
                <c:pt idx="10">
                  <c:v>33693.700169999996</c:v>
                </c:pt>
                <c:pt idx="11">
                  <c:v>34065.126069999998</c:v>
                </c:pt>
                <c:pt idx="12">
                  <c:v>34426.47539</c:v>
                </c:pt>
                <c:pt idx="13">
                  <c:v>34768.901259999999</c:v>
                </c:pt>
                <c:pt idx="14">
                  <c:v>35085.69369</c:v>
                </c:pt>
                <c:pt idx="15">
                  <c:v>35372.936220000003</c:v>
                </c:pt>
                <c:pt idx="16">
                  <c:v>35645.9087</c:v>
                </c:pt>
                <c:pt idx="17">
                  <c:v>35909.499620000002</c:v>
                </c:pt>
                <c:pt idx="18">
                  <c:v>36163.459459999998</c:v>
                </c:pt>
                <c:pt idx="19">
                  <c:v>36406.923000000003</c:v>
                </c:pt>
                <c:pt idx="20">
                  <c:v>36636.380859999997</c:v>
                </c:pt>
                <c:pt idx="21">
                  <c:v>36858.286160000003</c:v>
                </c:pt>
                <c:pt idx="22">
                  <c:v>37075.686569999998</c:v>
                </c:pt>
                <c:pt idx="23">
                  <c:v>37292.389320000002</c:v>
                </c:pt>
                <c:pt idx="24">
                  <c:v>37511.779470000001</c:v>
                </c:pt>
                <c:pt idx="25">
                  <c:v>37726.761079999997</c:v>
                </c:pt>
                <c:pt idx="26">
                  <c:v>37948.062380000003</c:v>
                </c:pt>
                <c:pt idx="27">
                  <c:v>38179.5579</c:v>
                </c:pt>
                <c:pt idx="28">
                  <c:v>38425.14834</c:v>
                </c:pt>
                <c:pt idx="29">
                  <c:v>38688.069539999997</c:v>
                </c:pt>
                <c:pt idx="30">
                  <c:v>38969.596299999997</c:v>
                </c:pt>
                <c:pt idx="31">
                  <c:v>39268.860399999998</c:v>
                </c:pt>
                <c:pt idx="32">
                  <c:v>39583.213620000002</c:v>
                </c:pt>
                <c:pt idx="33">
                  <c:v>39908.617570000002</c:v>
                </c:pt>
                <c:pt idx="34">
                  <c:v>40240.004059999999</c:v>
                </c:pt>
                <c:pt idx="35">
                  <c:v>40571.559390000002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1.991142959</c:v>
                </c:pt>
                <c:pt idx="2">
                  <c:v>2.0604747460000001</c:v>
                </c:pt>
                <c:pt idx="3">
                  <c:v>2.1381571419999998</c:v>
                </c:pt>
                <c:pt idx="4">
                  <c:v>2.222530372</c:v>
                </c:pt>
                <c:pt idx="5">
                  <c:v>2.3108613839999999</c:v>
                </c:pt>
                <c:pt idx="6">
                  <c:v>2.3996817140000002</c:v>
                </c:pt>
                <c:pt idx="7">
                  <c:v>2.487383082</c:v>
                </c:pt>
                <c:pt idx="8">
                  <c:v>2.5734949899999999</c:v>
                </c:pt>
                <c:pt idx="9">
                  <c:v>2.6578966500000001</c:v>
                </c:pt>
                <c:pt idx="10">
                  <c:v>2.7408209920000002</c:v>
                </c:pt>
                <c:pt idx="11">
                  <c:v>2.8210069080000002</c:v>
                </c:pt>
                <c:pt idx="12">
                  <c:v>2.8977629770000002</c:v>
                </c:pt>
                <c:pt idx="13">
                  <c:v>2.970494451</c:v>
                </c:pt>
                <c:pt idx="14">
                  <c:v>3.0387654350000002</c:v>
                </c:pt>
                <c:pt idx="15">
                  <c:v>3.1023580989999999</c:v>
                </c:pt>
                <c:pt idx="16">
                  <c:v>3.1626553199999998</c:v>
                </c:pt>
                <c:pt idx="17">
                  <c:v>3.220180456</c:v>
                </c:pt>
                <c:pt idx="18">
                  <c:v>3.2750244639999999</c:v>
                </c:pt>
                <c:pt idx="19">
                  <c:v>3.3272192610000002</c:v>
                </c:pt>
                <c:pt idx="20">
                  <c:v>3.3765669730000001</c:v>
                </c:pt>
                <c:pt idx="21">
                  <c:v>3.4236961099999998</c:v>
                </c:pt>
                <c:pt idx="22">
                  <c:v>3.468951992</c:v>
                </c:pt>
                <c:pt idx="23">
                  <c:v>3.5127420950000001</c:v>
                </c:pt>
                <c:pt idx="24">
                  <c:v>3.5554378519999998</c:v>
                </c:pt>
                <c:pt idx="25">
                  <c:v>3.5965290909999998</c:v>
                </c:pt>
                <c:pt idx="26">
                  <c:v>3.6369885630000001</c:v>
                </c:pt>
                <c:pt idx="27">
                  <c:v>3.6772225719999998</c:v>
                </c:pt>
                <c:pt idx="28">
                  <c:v>3.7176395609999999</c:v>
                </c:pt>
                <c:pt idx="29">
                  <c:v>3.7585920879999999</c:v>
                </c:pt>
                <c:pt idx="30">
                  <c:v>3.8002670850000002</c:v>
                </c:pt>
                <c:pt idx="31">
                  <c:v>3.8426680989999999</c:v>
                </c:pt>
                <c:pt idx="32">
                  <c:v>3.8856432349999999</c:v>
                </c:pt>
                <c:pt idx="33">
                  <c:v>3.928915994</c:v>
                </c:pt>
                <c:pt idx="34">
                  <c:v>3.9721142380000001</c:v>
                </c:pt>
                <c:pt idx="35">
                  <c:v>4.0147933199999999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62.915118380000003</c:v>
                </c:pt>
                <c:pt idx="2">
                  <c:v>82.980588460000007</c:v>
                </c:pt>
                <c:pt idx="3">
                  <c:v>104.7097115</c:v>
                </c:pt>
                <c:pt idx="4">
                  <c:v>128.22913059999999</c:v>
                </c:pt>
                <c:pt idx="5">
                  <c:v>153.1781278</c:v>
                </c:pt>
                <c:pt idx="6">
                  <c:v>179.16510779999999</c:v>
                </c:pt>
                <c:pt idx="7">
                  <c:v>206.21930850000001</c:v>
                </c:pt>
                <c:pt idx="8">
                  <c:v>234.65067540000001</c:v>
                </c:pt>
                <c:pt idx="9">
                  <c:v>264.88209549999999</c:v>
                </c:pt>
                <c:pt idx="10">
                  <c:v>297.43703499999998</c:v>
                </c:pt>
                <c:pt idx="11">
                  <c:v>332.59105419999997</c:v>
                </c:pt>
                <c:pt idx="12">
                  <c:v>370.67806009999998</c:v>
                </c:pt>
                <c:pt idx="13">
                  <c:v>412.00742300000002</c:v>
                </c:pt>
                <c:pt idx="14">
                  <c:v>456.88118279999998</c:v>
                </c:pt>
                <c:pt idx="15">
                  <c:v>505.62402220000001</c:v>
                </c:pt>
                <c:pt idx="16">
                  <c:v>558.84454909999999</c:v>
                </c:pt>
                <c:pt idx="17">
                  <c:v>616.71287359999997</c:v>
                </c:pt>
                <c:pt idx="18">
                  <c:v>679.21391180000001</c:v>
                </c:pt>
                <c:pt idx="19">
                  <c:v>746.33940410000002</c:v>
                </c:pt>
                <c:pt idx="20">
                  <c:v>818.05315280000002</c:v>
                </c:pt>
                <c:pt idx="21">
                  <c:v>894.71761700000002</c:v>
                </c:pt>
                <c:pt idx="22">
                  <c:v>976.69419960000005</c:v>
                </c:pt>
                <c:pt idx="23">
                  <c:v>1064.4738319999999</c:v>
                </c:pt>
                <c:pt idx="24">
                  <c:v>1158.63726</c:v>
                </c:pt>
                <c:pt idx="25">
                  <c:v>1259.381525</c:v>
                </c:pt>
                <c:pt idx="26">
                  <c:v>1367.7863339999999</c:v>
                </c:pt>
                <c:pt idx="27">
                  <c:v>1484.765083</c:v>
                </c:pt>
                <c:pt idx="28">
                  <c:v>1611.3643959999999</c:v>
                </c:pt>
                <c:pt idx="29">
                  <c:v>1748.7300720000001</c:v>
                </c:pt>
                <c:pt idx="30">
                  <c:v>1898.019</c:v>
                </c:pt>
                <c:pt idx="31">
                  <c:v>2060.3569689999999</c:v>
                </c:pt>
                <c:pt idx="32">
                  <c:v>2236.8270120000002</c:v>
                </c:pt>
                <c:pt idx="33">
                  <c:v>2428.4625890000002</c:v>
                </c:pt>
                <c:pt idx="34">
                  <c:v>2636.2423229999999</c:v>
                </c:pt>
                <c:pt idx="35">
                  <c:v>2861.082054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31921.431260000001</c:v>
                      </c:pt>
                      <c:pt idx="2">
                        <c:v>31769.040730000001</c:v>
                      </c:pt>
                      <c:pt idx="3">
                        <c:v>31782.726699999999</c:v>
                      </c:pt>
                      <c:pt idx="4">
                        <c:v>31936.275819999999</c:v>
                      </c:pt>
                      <c:pt idx="5">
                        <c:v>32191.02579</c:v>
                      </c:pt>
                      <c:pt idx="6">
                        <c:v>32500.476060000001</c:v>
                      </c:pt>
                      <c:pt idx="7">
                        <c:v>32841.698640000002</c:v>
                      </c:pt>
                      <c:pt idx="8">
                        <c:v>33206.180500000002</c:v>
                      </c:pt>
                      <c:pt idx="9">
                        <c:v>33590.021159999997</c:v>
                      </c:pt>
                      <c:pt idx="10">
                        <c:v>33993.87801</c:v>
                      </c:pt>
                      <c:pt idx="11">
                        <c:v>34400.538119999997</c:v>
                      </c:pt>
                      <c:pt idx="12">
                        <c:v>34800.051200000002</c:v>
                      </c:pt>
                      <c:pt idx="13">
                        <c:v>35183.87917</c:v>
                      </c:pt>
                      <c:pt idx="14">
                        <c:v>35545.61363</c:v>
                      </c:pt>
                      <c:pt idx="15">
                        <c:v>35881.662579999997</c:v>
                      </c:pt>
                      <c:pt idx="16">
                        <c:v>36207.915889999997</c:v>
                      </c:pt>
                      <c:pt idx="17">
                        <c:v>36529.432659999999</c:v>
                      </c:pt>
                      <c:pt idx="18">
                        <c:v>36845.948389999998</c:v>
                      </c:pt>
                      <c:pt idx="19">
                        <c:v>37156.589610000003</c:v>
                      </c:pt>
                      <c:pt idx="20">
                        <c:v>37457.810570000001</c:v>
                      </c:pt>
                      <c:pt idx="21">
                        <c:v>37756.427470000002</c:v>
                      </c:pt>
                      <c:pt idx="22">
                        <c:v>38055.849710000002</c:v>
                      </c:pt>
                      <c:pt idx="23">
                        <c:v>38360.375890000003</c:v>
                      </c:pt>
                      <c:pt idx="24">
                        <c:v>38673.972159999998</c:v>
                      </c:pt>
                      <c:pt idx="25">
                        <c:v>38989.739130000002</c:v>
                      </c:pt>
                      <c:pt idx="26">
                        <c:v>39319.485710000001</c:v>
                      </c:pt>
                      <c:pt idx="27">
                        <c:v>39668.000209999998</c:v>
                      </c:pt>
                      <c:pt idx="28">
                        <c:v>40040.230369999997</c:v>
                      </c:pt>
                      <c:pt idx="29">
                        <c:v>40440.558199999999</c:v>
                      </c:pt>
                      <c:pt idx="30">
                        <c:v>40871.415560000001</c:v>
                      </c:pt>
                      <c:pt idx="31">
                        <c:v>41333.060030000001</c:v>
                      </c:pt>
                      <c:pt idx="32">
                        <c:v>41823.92626</c:v>
                      </c:pt>
                      <c:pt idx="33">
                        <c:v>42341.009059999997</c:v>
                      </c:pt>
                      <c:pt idx="34">
                        <c:v>42880.218480000003</c:v>
                      </c:pt>
                      <c:pt idx="35">
                        <c:v>43436.656199999998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-3.1806888999999501</c:v>
                </c:pt>
                <c:pt idx="1">
                  <c:v>-12.994059900000025</c:v>
                </c:pt>
                <c:pt idx="2">
                  <c:v>-19.247792000000004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26.638284999999996</c:v>
                </c:pt>
                <c:pt idx="1">
                  <c:v>59.708308000000216</c:v>
                </c:pt>
                <c:pt idx="2">
                  <c:v>376.98660399999972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-12.447568299999944</c:v>
                </c:pt>
                <c:pt idx="1">
                  <c:v>-26.74781089999999</c:v>
                </c:pt>
                <c:pt idx="2">
                  <c:v>-8.3929120000000239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148.08601999999883</c:v>
                </c:pt>
                <c:pt idx="1">
                  <c:v>61.384869999998045</c:v>
                </c:pt>
                <c:pt idx="2">
                  <c:v>184.29336999999941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-2.1028172909999974</c:v>
                </c:pt>
                <c:pt idx="1">
                  <c:v>-4.2834557977000038</c:v>
                </c:pt>
                <c:pt idx="2">
                  <c:v>-7.0020812227999958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14.494136490999999</c:v>
                </c:pt>
                <c:pt idx="1">
                  <c:v>32.793273597700001</c:v>
                </c:pt>
                <c:pt idx="2">
                  <c:v>60.551980232799991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28.187727230000007</c:v>
                </c:pt>
                <c:pt idx="1">
                  <c:v>77.153243449999991</c:v>
                </c:pt>
                <c:pt idx="2">
                  <c:v>232.22163151999996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199.67509000000064</c:v>
                </c:pt>
                <c:pt idx="1">
                  <c:v>187.01436000000103</c:v>
                </c:pt>
                <c:pt idx="2">
                  <c:v>819.41080000000511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3.6083815746150655E-4</c:v>
                </c:pt>
                <c:pt idx="1">
                  <c:v>7.1726701473252494E-4</c:v>
                </c:pt>
                <c:pt idx="2">
                  <c:v>4.9691138685860727E-4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-1.3833167659135087E-4</c:v>
                </c:pt>
                <c:pt idx="1">
                  <c:v>1.7413320689717973E-2</c:v>
                </c:pt>
                <c:pt idx="2">
                  <c:v>6.7953426955139035E-2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6.639136404219386E-4</c:v>
                </c:pt>
                <c:pt idx="1">
                  <c:v>1.290213062913991E-3</c:v>
                </c:pt>
                <c:pt idx="2">
                  <c:v>2.144658436077764E-3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5.7705770615858946E-4</c:v>
                </c:pt>
                <c:pt idx="1">
                  <c:v>5.7400380018825812E-3</c:v>
                </c:pt>
                <c:pt idx="2">
                  <c:v>1.2341715154104203E-2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-3.9049336843429334E-5</c:v>
                </c:pt>
                <c:pt idx="1">
                  <c:v>2.8920905307661674E-4</c:v>
                </c:pt>
                <c:pt idx="2">
                  <c:v>8.3867557198570022E-4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2.4485761952117171E-3</c:v>
                </c:pt>
                <c:pt idx="1">
                  <c:v>7.3119894654373983E-3</c:v>
                </c:pt>
                <c:pt idx="2">
                  <c:v>2.0394344264623932E-2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3.8730045395478641E-3</c:v>
                </c:pt>
                <c:pt idx="1">
                  <c:v>3.276203724654736E-2</c:v>
                </c:pt>
                <c:pt idx="2">
                  <c:v>0.10416973200501256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15.756982777699999</c:v>
                </c:pt>
                <c:pt idx="1">
                  <c:v>11.4572673185</c:v>
                </c:pt>
                <c:pt idx="2">
                  <c:v>6.9444571685999996</c:v>
                </c:pt>
                <c:pt idx="3">
                  <c:v>1.6407995704999998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8.773688795</c:v>
                </c:pt>
                <c:pt idx="1">
                  <c:v>5.8100275229999996</c:v>
                </c:pt>
                <c:pt idx="2">
                  <c:v>3.950971563</c:v>
                </c:pt>
                <c:pt idx="3">
                  <c:v>2.413520031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20.438415499000001</c:v>
                </c:pt>
                <c:pt idx="1">
                  <c:v>21.483165565</c:v>
                </c:pt>
                <c:pt idx="2">
                  <c:v>24.169987558000003</c:v>
                </c:pt>
                <c:pt idx="3">
                  <c:v>31.482236201999999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15.442791740000001</c:v>
                </c:pt>
                <c:pt idx="1">
                  <c:v>15.24850094</c:v>
                </c:pt>
                <c:pt idx="2">
                  <c:v>15.030941049999999</c:v>
                </c:pt>
                <c:pt idx="3">
                  <c:v>16.764414680000002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20.523415239999999</c:v>
                </c:pt>
                <c:pt idx="1">
                  <c:v>16.420561410000001</c:v>
                </c:pt>
                <c:pt idx="2">
                  <c:v>15.194225980000001</c:v>
                </c:pt>
                <c:pt idx="3">
                  <c:v>17.072488700000001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15.17076031</c:v>
                </c:pt>
                <c:pt idx="1">
                  <c:v>7.8486027871000008</c:v>
                </c:pt>
                <c:pt idx="2">
                  <c:v>5.1216668381000003</c:v>
                </c:pt>
                <c:pt idx="3">
                  <c:v>3.5627135921000006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18.987844240000001</c:v>
                </c:pt>
                <c:pt idx="1">
                  <c:v>15.186564349999999</c:v>
                </c:pt>
                <c:pt idx="2">
                  <c:v>9.3954198689999995</c:v>
                </c:pt>
                <c:pt idx="3">
                  <c:v>1.9030724720000001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21.671541399999999</c:v>
                </c:pt>
                <c:pt idx="1">
                  <c:v>18.89831289</c:v>
                </c:pt>
                <c:pt idx="2">
                  <c:v>13.484235419999999</c:v>
                </c:pt>
                <c:pt idx="3">
                  <c:v>6.066227714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6.3805700280000002</c:v>
                </c:pt>
                <c:pt idx="1">
                  <c:v>5.6591989050000002</c:v>
                </c:pt>
                <c:pt idx="2">
                  <c:v>3.9730452906</c:v>
                </c:pt>
                <c:pt idx="3">
                  <c:v>1.5349829294999999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46.805031504000006</c:v>
                </c:pt>
                <c:pt idx="1">
                  <c:v>28.094510892999999</c:v>
                </c:pt>
                <c:pt idx="2">
                  <c:v>19.632734242000002</c:v>
                </c:pt>
                <c:pt idx="3">
                  <c:v>12.141129651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22.676859168</c:v>
                </c:pt>
                <c:pt idx="1">
                  <c:v>26.423088933200003</c:v>
                </c:pt>
                <c:pt idx="2">
                  <c:v>24.845061643300003</c:v>
                </c:pt>
                <c:pt idx="3">
                  <c:v>13.997324670300001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26.780798451000003</c:v>
                </c:pt>
                <c:pt idx="1">
                  <c:v>25.516261655000001</c:v>
                </c:pt>
                <c:pt idx="2">
                  <c:v>21.993140323999999</c:v>
                </c:pt>
                <c:pt idx="3">
                  <c:v>17.187886971499999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1.0513812043200232E-11</c:v>
                </c:pt>
                <c:pt idx="5">
                  <c:v>2.0040880066574118E-10</c:v>
                </c:pt>
                <c:pt idx="6">
                  <c:v>1.0026646179994714E-11</c:v>
                </c:pt>
                <c:pt idx="7">
                  <c:v>4.6302598694798469E-3</c:v>
                </c:pt>
                <c:pt idx="8">
                  <c:v>9.9988993454283026E-3</c:v>
                </c:pt>
                <c:pt idx="9">
                  <c:v>1.1584912048548057E-2</c:v>
                </c:pt>
                <c:pt idx="10">
                  <c:v>1.3374572459211587E-2</c:v>
                </c:pt>
                <c:pt idx="11">
                  <c:v>1.570319569579337E-2</c:v>
                </c:pt>
                <c:pt idx="12">
                  <c:v>1.8597429606459048E-2</c:v>
                </c:pt>
                <c:pt idx="13">
                  <c:v>2.1765448871491344E-2</c:v>
                </c:pt>
                <c:pt idx="14">
                  <c:v>2.4892253190753166E-2</c:v>
                </c:pt>
                <c:pt idx="15">
                  <c:v>2.7981572799479881E-2</c:v>
                </c:pt>
                <c:pt idx="16">
                  <c:v>3.1400821157064662E-2</c:v>
                </c:pt>
                <c:pt idx="17">
                  <c:v>3.5327978586933595E-2</c:v>
                </c:pt>
                <c:pt idx="18">
                  <c:v>3.9736373717858431E-2</c:v>
                </c:pt>
                <c:pt idx="19">
                  <c:v>4.4523356060916841E-2</c:v>
                </c:pt>
                <c:pt idx="20">
                  <c:v>4.9573222731396083E-2</c:v>
                </c:pt>
                <c:pt idx="21">
                  <c:v>5.4769081260433783E-2</c:v>
                </c:pt>
                <c:pt idx="22">
                  <c:v>5.999596736759516E-2</c:v>
                </c:pt>
                <c:pt idx="23">
                  <c:v>6.5142570164229641E-2</c:v>
                </c:pt>
                <c:pt idx="24">
                  <c:v>7.0098782829413508E-2</c:v>
                </c:pt>
                <c:pt idx="25">
                  <c:v>7.4775269913960773E-2</c:v>
                </c:pt>
                <c:pt idx="26">
                  <c:v>7.9203810695191335E-2</c:v>
                </c:pt>
                <c:pt idx="27">
                  <c:v>8.311040782673107E-2</c:v>
                </c:pt>
                <c:pt idx="28">
                  <c:v>8.6361501286460252E-2</c:v>
                </c:pt>
                <c:pt idx="29">
                  <c:v>8.8834484778034017E-2</c:v>
                </c:pt>
                <c:pt idx="30">
                  <c:v>9.0429126891677036E-2</c:v>
                </c:pt>
                <c:pt idx="31">
                  <c:v>9.1065466867921607E-2</c:v>
                </c:pt>
                <c:pt idx="32">
                  <c:v>9.067192557406023E-2</c:v>
                </c:pt>
                <c:pt idx="33">
                  <c:v>8.9184501821015338E-2</c:v>
                </c:pt>
                <c:pt idx="34">
                  <c:v>8.6543625824890169E-2</c:v>
                </c:pt>
                <c:pt idx="35">
                  <c:v>8.2694575460444453E-2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-2.0430324099152131E-12</c:v>
                </c:pt>
                <c:pt idx="1">
                  <c:v>1.5602852343477025E-11</c:v>
                </c:pt>
                <c:pt idx="2">
                  <c:v>1.2527312520660416E-11</c:v>
                </c:pt>
                <c:pt idx="3">
                  <c:v>-1.4918399848795616E-11</c:v>
                </c:pt>
                <c:pt idx="4">
                  <c:v>1.8664958467695669E-10</c:v>
                </c:pt>
                <c:pt idx="5">
                  <c:v>2.0334911532415845E-10</c:v>
                </c:pt>
                <c:pt idx="6">
                  <c:v>1.8757773112554332E-10</c:v>
                </c:pt>
                <c:pt idx="7">
                  <c:v>4.8000497266986741E-3</c:v>
                </c:pt>
                <c:pt idx="8">
                  <c:v>9.3373647203032206E-3</c:v>
                </c:pt>
                <c:pt idx="9">
                  <c:v>7.9914579686668485E-3</c:v>
                </c:pt>
                <c:pt idx="10">
                  <c:v>6.5819863807583534E-3</c:v>
                </c:pt>
                <c:pt idx="11">
                  <c:v>5.7452439174714431E-3</c:v>
                </c:pt>
                <c:pt idx="12">
                  <c:v>5.7438597415384596E-3</c:v>
                </c:pt>
                <c:pt idx="13">
                  <c:v>6.1801336505469262E-3</c:v>
                </c:pt>
                <c:pt idx="14">
                  <c:v>6.564027359016178E-3</c:v>
                </c:pt>
                <c:pt idx="15">
                  <c:v>6.8533333864209123E-3</c:v>
                </c:pt>
                <c:pt idx="16">
                  <c:v>7.6262890323437471E-3</c:v>
                </c:pt>
                <c:pt idx="17">
                  <c:v>8.7325422431128175E-3</c:v>
                </c:pt>
                <c:pt idx="18">
                  <c:v>1.0093228558385903E-2</c:v>
                </c:pt>
                <c:pt idx="19">
                  <c:v>1.1626488471426333E-2</c:v>
                </c:pt>
                <c:pt idx="20">
                  <c:v>1.3267153504940898E-2</c:v>
                </c:pt>
                <c:pt idx="21">
                  <c:v>1.4955628678890998E-2</c:v>
                </c:pt>
                <c:pt idx="22">
                  <c:v>1.6656452333191796E-2</c:v>
                </c:pt>
                <c:pt idx="23">
                  <c:v>1.8355350007059679E-2</c:v>
                </c:pt>
                <c:pt idx="24">
                  <c:v>2.004092294118931E-2</c:v>
                </c:pt>
                <c:pt idx="25">
                  <c:v>2.1721420257521107E-2</c:v>
                </c:pt>
                <c:pt idx="26">
                  <c:v>2.3343107504642635E-2</c:v>
                </c:pt>
                <c:pt idx="27">
                  <c:v>2.4917328713117692E-2</c:v>
                </c:pt>
                <c:pt idx="28">
                  <c:v>2.6462129491126918E-2</c:v>
                </c:pt>
                <c:pt idx="29">
                  <c:v>2.7974466396341935E-2</c:v>
                </c:pt>
                <c:pt idx="30">
                  <c:v>2.9445328260019332E-2</c:v>
                </c:pt>
                <c:pt idx="31">
                  <c:v>3.085806667699531E-2</c:v>
                </c:pt>
                <c:pt idx="32">
                  <c:v>3.2194666156592833E-2</c:v>
                </c:pt>
                <c:pt idx="33">
                  <c:v>3.3448209181514699E-2</c:v>
                </c:pt>
                <c:pt idx="34">
                  <c:v>3.4603473998870982E-2</c:v>
                </c:pt>
                <c:pt idx="35">
                  <c:v>3.5633789722797848E-2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0</c:v>
                </c:pt>
                <c:pt idx="1">
                  <c:v>-1.1964573776168663E-10</c:v>
                </c:pt>
                <c:pt idx="2">
                  <c:v>-7.9226625260275796E-11</c:v>
                </c:pt>
                <c:pt idx="3">
                  <c:v>-7.7464257230985822E-11</c:v>
                </c:pt>
                <c:pt idx="4">
                  <c:v>-7.5681572120345209E-11</c:v>
                </c:pt>
                <c:pt idx="5">
                  <c:v>-1.7880175118278885E-10</c:v>
                </c:pt>
                <c:pt idx="6">
                  <c:v>-1.3391299180653959E-10</c:v>
                </c:pt>
                <c:pt idx="7">
                  <c:v>4.7702065354282563E-3</c:v>
                </c:pt>
                <c:pt idx="8">
                  <c:v>9.3075685928050156E-3</c:v>
                </c:pt>
                <c:pt idx="9">
                  <c:v>8.1153943529255201E-3</c:v>
                </c:pt>
                <c:pt idx="10">
                  <c:v>6.994804711944802E-3</c:v>
                </c:pt>
                <c:pt idx="11">
                  <c:v>6.5337995506942192E-3</c:v>
                </c:pt>
                <c:pt idx="12">
                  <c:v>7.3404053195642582E-3</c:v>
                </c:pt>
                <c:pt idx="13">
                  <c:v>9.1155835000813479E-3</c:v>
                </c:pt>
                <c:pt idx="14">
                  <c:v>1.1367732307806744E-2</c:v>
                </c:pt>
                <c:pt idx="15">
                  <c:v>1.4006009545185716E-2</c:v>
                </c:pt>
                <c:pt idx="16">
                  <c:v>1.7354371377888755E-2</c:v>
                </c:pt>
                <c:pt idx="17">
                  <c:v>2.1283204064629579E-2</c:v>
                </c:pt>
                <c:pt idx="18">
                  <c:v>2.5594045323752646E-2</c:v>
                </c:pt>
                <c:pt idx="19">
                  <c:v>3.0121856511932554E-2</c:v>
                </c:pt>
                <c:pt idx="20">
                  <c:v>3.472795850850896E-2</c:v>
                </c:pt>
                <c:pt idx="21">
                  <c:v>3.9263537015145067E-2</c:v>
                </c:pt>
                <c:pt idx="22">
                  <c:v>4.3612975629762518E-2</c:v>
                </c:pt>
                <c:pt idx="23">
                  <c:v>4.7762754451706746E-2</c:v>
                </c:pt>
                <c:pt idx="24">
                  <c:v>5.1713889122468215E-2</c:v>
                </c:pt>
                <c:pt idx="25">
                  <c:v>5.5448083979940055E-2</c:v>
                </c:pt>
                <c:pt idx="26">
                  <c:v>5.8725344427293269E-2</c:v>
                </c:pt>
                <c:pt idx="27">
                  <c:v>6.130859697140445E-2</c:v>
                </c:pt>
                <c:pt idx="28">
                  <c:v>6.3214370317498547E-2</c:v>
                </c:pt>
                <c:pt idx="29">
                  <c:v>6.4499087010257306E-2</c:v>
                </c:pt>
                <c:pt idx="30">
                  <c:v>6.5205504972047912E-2</c:v>
                </c:pt>
                <c:pt idx="31">
                  <c:v>6.5268641829427709E-2</c:v>
                </c:pt>
                <c:pt idx="32">
                  <c:v>6.4582535267778018E-2</c:v>
                </c:pt>
                <c:pt idx="33">
                  <c:v>6.3145143069772924E-2</c:v>
                </c:pt>
                <c:pt idx="34">
                  <c:v>6.0972405496848348E-2</c:v>
                </c:pt>
                <c:pt idx="35">
                  <c:v>5.8069419965075086E-2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-4.052173041557694E-10</c:v>
                </c:pt>
                <c:pt idx="4">
                  <c:v>-3.6008662718245432E-10</c:v>
                </c:pt>
                <c:pt idx="5">
                  <c:v>3.8517855571740256E-11</c:v>
                </c:pt>
                <c:pt idx="6">
                  <c:v>3.7889691384407342E-11</c:v>
                </c:pt>
                <c:pt idx="7">
                  <c:v>1.583406927730957E-3</c:v>
                </c:pt>
                <c:pt idx="8">
                  <c:v>3.1656128974635322E-3</c:v>
                </c:pt>
                <c:pt idx="9">
                  <c:v>1.5995769028995799E-3</c:v>
                </c:pt>
                <c:pt idx="10">
                  <c:v>-4.4988491015840459E-4</c:v>
                </c:pt>
                <c:pt idx="11">
                  <c:v>-2.1453693661298567E-3</c:v>
                </c:pt>
                <c:pt idx="12">
                  <c:v>-3.3392550199092819E-3</c:v>
                </c:pt>
                <c:pt idx="13">
                  <c:v>-4.1367500873544794E-3</c:v>
                </c:pt>
                <c:pt idx="14">
                  <c:v>-4.7362758949863748E-3</c:v>
                </c:pt>
                <c:pt idx="15">
                  <c:v>-5.1626508884483613E-3</c:v>
                </c:pt>
                <c:pt idx="16">
                  <c:v>-5.2024167250466213E-3</c:v>
                </c:pt>
                <c:pt idx="17">
                  <c:v>-4.8965084908136891E-3</c:v>
                </c:pt>
                <c:pt idx="18">
                  <c:v>-4.3057727339366192E-3</c:v>
                </c:pt>
                <c:pt idx="19">
                  <c:v>-3.5051809361039687E-3</c:v>
                </c:pt>
                <c:pt idx="20">
                  <c:v>-2.5542330397296809E-3</c:v>
                </c:pt>
                <c:pt idx="21">
                  <c:v>-1.4918772482861442E-3</c:v>
                </c:pt>
                <c:pt idx="22">
                  <c:v>-3.539818577840137E-4</c:v>
                </c:pt>
                <c:pt idx="23">
                  <c:v>8.2376164040787181E-4</c:v>
                </c:pt>
                <c:pt idx="24">
                  <c:v>2.0083395363508227E-3</c:v>
                </c:pt>
                <c:pt idx="25">
                  <c:v>3.1808792867189517E-3</c:v>
                </c:pt>
                <c:pt idx="26">
                  <c:v>4.3010173055406664E-3</c:v>
                </c:pt>
                <c:pt idx="27">
                  <c:v>5.3655850043943243E-3</c:v>
                </c:pt>
                <c:pt idx="28">
                  <c:v>6.3309072766835062E-3</c:v>
                </c:pt>
                <c:pt idx="29">
                  <c:v>7.1501943866634221E-3</c:v>
                </c:pt>
                <c:pt idx="30">
                  <c:v>7.7886128309214708E-3</c:v>
                </c:pt>
                <c:pt idx="31">
                  <c:v>8.226631377168836E-3</c:v>
                </c:pt>
                <c:pt idx="32">
                  <c:v>8.4463343767491317E-3</c:v>
                </c:pt>
                <c:pt idx="33">
                  <c:v>8.4214074023816199E-3</c:v>
                </c:pt>
                <c:pt idx="34">
                  <c:v>8.1229659465524851E-3</c:v>
                </c:pt>
                <c:pt idx="35">
                  <c:v>7.5222583704399604E-3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8.8183016444531859E-11</c:v>
                </c:pt>
                <c:pt idx="1">
                  <c:v>-3.7685410347876314E-12</c:v>
                </c:pt>
                <c:pt idx="2">
                  <c:v>1.4990964025685116E-10</c:v>
                </c:pt>
                <c:pt idx="3">
                  <c:v>4.4792902720303118E-10</c:v>
                </c:pt>
                <c:pt idx="4">
                  <c:v>3.5191005665069497E-10</c:v>
                </c:pt>
                <c:pt idx="5">
                  <c:v>6.1682281504715775E-10</c:v>
                </c:pt>
                <c:pt idx="6">
                  <c:v>8.6995766146458209E-10</c:v>
                </c:pt>
                <c:pt idx="7">
                  <c:v>-5.8432932596597098E-4</c:v>
                </c:pt>
                <c:pt idx="8">
                  <c:v>-1.8262021180658339E-3</c:v>
                </c:pt>
                <c:pt idx="9">
                  <c:v>-7.4306738363609792E-3</c:v>
                </c:pt>
                <c:pt idx="10">
                  <c:v>-1.4001319868423456E-2</c:v>
                </c:pt>
                <c:pt idx="11">
                  <c:v>-2.1954946918627871E-2</c:v>
                </c:pt>
                <c:pt idx="12">
                  <c:v>-3.0597755523324222E-2</c:v>
                </c:pt>
                <c:pt idx="13">
                  <c:v>-3.9681688820759953E-2</c:v>
                </c:pt>
                <c:pt idx="14">
                  <c:v>-4.9124694223517618E-2</c:v>
                </c:pt>
                <c:pt idx="15">
                  <c:v>-5.8642832638306053E-2</c:v>
                </c:pt>
                <c:pt idx="16">
                  <c:v>-6.6566488807876523E-2</c:v>
                </c:pt>
                <c:pt idx="17">
                  <c:v>-7.3472819788934829E-2</c:v>
                </c:pt>
                <c:pt idx="18">
                  <c:v>-7.948097164927781E-2</c:v>
                </c:pt>
                <c:pt idx="19">
                  <c:v>-8.4732157927807861E-2</c:v>
                </c:pt>
                <c:pt idx="20">
                  <c:v>-8.9360196679741599E-2</c:v>
                </c:pt>
                <c:pt idx="21">
                  <c:v>-9.3467909211961686E-2</c:v>
                </c:pt>
                <c:pt idx="22">
                  <c:v>-9.7145498022013888E-2</c:v>
                </c:pt>
                <c:pt idx="23">
                  <c:v>-0.10044345594399384</c:v>
                </c:pt>
                <c:pt idx="24">
                  <c:v>-0.10341076516944236</c:v>
                </c:pt>
                <c:pt idx="25">
                  <c:v>-0.10611908085469435</c:v>
                </c:pt>
                <c:pt idx="26">
                  <c:v>-0.1088129454107728</c:v>
                </c:pt>
                <c:pt idx="27">
                  <c:v>-0.1114336202937537</c:v>
                </c:pt>
                <c:pt idx="28">
                  <c:v>-0.11405396342485585</c:v>
                </c:pt>
                <c:pt idx="29">
                  <c:v>-0.11676146080758376</c:v>
                </c:pt>
                <c:pt idx="30">
                  <c:v>-0.11966069653943312</c:v>
                </c:pt>
                <c:pt idx="31">
                  <c:v>-0.12288631801560457</c:v>
                </c:pt>
                <c:pt idx="32">
                  <c:v>-0.12659730628069965</c:v>
                </c:pt>
                <c:pt idx="33">
                  <c:v>-0.13095212008240442</c:v>
                </c:pt>
                <c:pt idx="34">
                  <c:v>-0.13614580043465097</c:v>
                </c:pt>
                <c:pt idx="35">
                  <c:v>-0.14245609984927521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-1.8258361489387198E-10</c:v>
                </c:pt>
                <c:pt idx="1">
                  <c:v>-1.3491263661791209E-10</c:v>
                </c:pt>
                <c:pt idx="2">
                  <c:v>-7.7253869967819355E-11</c:v>
                </c:pt>
                <c:pt idx="3">
                  <c:v>-2.090649875441386E-11</c:v>
                </c:pt>
                <c:pt idx="4">
                  <c:v>4.1570302755644661E-11</c:v>
                </c:pt>
                <c:pt idx="5">
                  <c:v>4.723599289491176E-11</c:v>
                </c:pt>
                <c:pt idx="6">
                  <c:v>7.794342948841404E-11</c:v>
                </c:pt>
                <c:pt idx="7">
                  <c:v>-2.5473988641922962E-2</c:v>
                </c:pt>
                <c:pt idx="8">
                  <c:v>-5.0295292585060603E-2</c:v>
                </c:pt>
                <c:pt idx="9">
                  <c:v>-7.4819625051227745E-2</c:v>
                </c:pt>
                <c:pt idx="10">
                  <c:v>-9.5763156185474707E-2</c:v>
                </c:pt>
                <c:pt idx="11">
                  <c:v>-0.11105678468061086</c:v>
                </c:pt>
                <c:pt idx="12">
                  <c:v>-0.12255511717445644</c:v>
                </c:pt>
                <c:pt idx="13">
                  <c:v>-0.1315668696959803</c:v>
                </c:pt>
                <c:pt idx="14">
                  <c:v>-0.13893088465867787</c:v>
                </c:pt>
                <c:pt idx="15">
                  <c:v>-0.1449546939710924</c:v>
                </c:pt>
                <c:pt idx="16">
                  <c:v>-0.14996982327728725</c:v>
                </c:pt>
                <c:pt idx="17">
                  <c:v>-0.15403467815913185</c:v>
                </c:pt>
                <c:pt idx="18">
                  <c:v>-0.15696122225310161</c:v>
                </c:pt>
                <c:pt idx="19">
                  <c:v>-0.15874148965069834</c:v>
                </c:pt>
                <c:pt idx="20">
                  <c:v>-0.1594804635330751</c:v>
                </c:pt>
                <c:pt idx="21">
                  <c:v>-0.15928488545924446</c:v>
                </c:pt>
                <c:pt idx="22">
                  <c:v>-0.15832322701118839</c:v>
                </c:pt>
                <c:pt idx="23">
                  <c:v>-0.15671386414996602</c:v>
                </c:pt>
                <c:pt idx="24">
                  <c:v>-0.15456499445878114</c:v>
                </c:pt>
                <c:pt idx="25">
                  <c:v>-0.15208034578381457</c:v>
                </c:pt>
                <c:pt idx="26">
                  <c:v>-0.14953931873012172</c:v>
                </c:pt>
                <c:pt idx="27">
                  <c:v>-0.14707941415121273</c:v>
                </c:pt>
                <c:pt idx="28">
                  <c:v>-0.14483120048443132</c:v>
                </c:pt>
                <c:pt idx="29">
                  <c:v>-0.14293028183937717</c:v>
                </c:pt>
                <c:pt idx="30">
                  <c:v>-0.1415316681869685</c:v>
                </c:pt>
                <c:pt idx="31">
                  <c:v>-0.14085212655197754</c:v>
                </c:pt>
                <c:pt idx="32">
                  <c:v>-0.14114856860959224</c:v>
                </c:pt>
                <c:pt idx="33">
                  <c:v>-0.14265053552465745</c:v>
                </c:pt>
                <c:pt idx="34">
                  <c:v>-0.14559503776086125</c:v>
                </c:pt>
                <c:pt idx="35">
                  <c:v>-0.15025406228800109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-2.5946067516713356E-10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1.8417511959967214E-10</c:v>
                      </c:pt>
                      <c:pt idx="4">
                        <c:v>1.8145196456487156E-10</c:v>
                      </c:pt>
                      <c:pt idx="5">
                        <c:v>0</c:v>
                      </c:pt>
                      <c:pt idx="6">
                        <c:v>-2.2688229073253297E-10</c:v>
                      </c:pt>
                      <c:pt idx="7">
                        <c:v>2.0720769303559372E-3</c:v>
                      </c:pt>
                      <c:pt idx="8">
                        <c:v>4.0217239637467816E-3</c:v>
                      </c:pt>
                      <c:pt idx="9">
                        <c:v>2.0120035964383831E-3</c:v>
                      </c:pt>
                      <c:pt idx="10">
                        <c:v>-3.286242045562604E-4</c:v>
                      </c:pt>
                      <c:pt idx="11">
                        <c:v>-2.2124505851079945E-3</c:v>
                      </c:pt>
                      <c:pt idx="12">
                        <c:v>-3.47497453083212E-3</c:v>
                      </c:pt>
                      <c:pt idx="13">
                        <c:v>-4.3202311674989113E-3</c:v>
                      </c:pt>
                      <c:pt idx="14">
                        <c:v>-5.0348926337291378E-3</c:v>
                      </c:pt>
                      <c:pt idx="15">
                        <c:v>-5.6435562382127769E-3</c:v>
                      </c:pt>
                      <c:pt idx="16">
                        <c:v>-5.8251061241207935E-3</c:v>
                      </c:pt>
                      <c:pt idx="17">
                        <c:v>-5.6500374048217283E-3</c:v>
                      </c:pt>
                      <c:pt idx="18">
                        <c:v>-5.1794346948812464E-3</c:v>
                      </c:pt>
                      <c:pt idx="19">
                        <c:v>-4.4893234376700564E-3</c:v>
                      </c:pt>
                      <c:pt idx="20">
                        <c:v>-3.6429470051990709E-3</c:v>
                      </c:pt>
                      <c:pt idx="21">
                        <c:v>-2.688710046118703E-3</c:v>
                      </c:pt>
                      <c:pt idx="22">
                        <c:v>-1.6670270071964532E-3</c:v>
                      </c:pt>
                      <c:pt idx="23">
                        <c:v>-6.0799115280463223E-4</c:v>
                      </c:pt>
                      <c:pt idx="24">
                        <c:v>4.6104753127185205E-4</c:v>
                      </c:pt>
                      <c:pt idx="25">
                        <c:v>1.5230129054926156E-3</c:v>
                      </c:pt>
                      <c:pt idx="26">
                        <c:v>2.5237345195294747E-3</c:v>
                      </c:pt>
                      <c:pt idx="27">
                        <c:v>3.4470702167470613E-3</c:v>
                      </c:pt>
                      <c:pt idx="28">
                        <c:v>4.2596434936175154E-3</c:v>
                      </c:pt>
                      <c:pt idx="29">
                        <c:v>4.9197221370893551E-3</c:v>
                      </c:pt>
                      <c:pt idx="30">
                        <c:v>5.3889194454128653E-3</c:v>
                      </c:pt>
                      <c:pt idx="31">
                        <c:v>5.6279342187219861E-3</c:v>
                      </c:pt>
                      <c:pt idx="32">
                        <c:v>5.5894873382100752E-3</c:v>
                      </c:pt>
                      <c:pt idx="33">
                        <c:v>5.2204770004207202E-3</c:v>
                      </c:pt>
                      <c:pt idx="34">
                        <c:v>4.4542592721010799E-3</c:v>
                      </c:pt>
                      <c:pt idx="35">
                        <c:v>3.2055828965578126E-3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-1.0808764994152398E-9</c:v>
                </c:pt>
                <c:pt idx="1">
                  <c:v>-1.6220990106674549E-9</c:v>
                </c:pt>
                <c:pt idx="2">
                  <c:v>-2.6083222248729498E-9</c:v>
                </c:pt>
                <c:pt idx="3">
                  <c:v>-3.5561358302516055E-9</c:v>
                </c:pt>
                <c:pt idx="4">
                  <c:v>-4.2769627839334134E-9</c:v>
                </c:pt>
                <c:pt idx="5">
                  <c:v>-4.766921968268889E-9</c:v>
                </c:pt>
                <c:pt idx="6">
                  <c:v>-5.2654143267716336E-9</c:v>
                </c:pt>
                <c:pt idx="7">
                  <c:v>-1.206471786230634E-2</c:v>
                </c:pt>
                <c:pt idx="8">
                  <c:v>-2.6333749142779861E-2</c:v>
                </c:pt>
                <c:pt idx="9">
                  <c:v>-3.9584811429961952E-2</c:v>
                </c:pt>
                <c:pt idx="10">
                  <c:v>-5.1610577535314506E-2</c:v>
                </c:pt>
                <c:pt idx="11">
                  <c:v>-6.1160755903335251E-2</c:v>
                </c:pt>
                <c:pt idx="12">
                  <c:v>-6.888005213467685E-2</c:v>
                </c:pt>
                <c:pt idx="13">
                  <c:v>-7.5139680614924376E-2</c:v>
                </c:pt>
                <c:pt idx="14">
                  <c:v>-8.0161641155334529E-2</c:v>
                </c:pt>
                <c:pt idx="15">
                  <c:v>-8.4190944232554243E-2</c:v>
                </c:pt>
                <c:pt idx="16">
                  <c:v>-8.8281316682568001E-2</c:v>
                </c:pt>
                <c:pt idx="17">
                  <c:v>-9.2600294545019946E-2</c:v>
                </c:pt>
                <c:pt idx="18">
                  <c:v>-9.7087241700391735E-2</c:v>
                </c:pt>
                <c:pt idx="19">
                  <c:v>-0.1016506693872572</c:v>
                </c:pt>
                <c:pt idx="20">
                  <c:v>-0.10618849305075639</c:v>
                </c:pt>
                <c:pt idx="21">
                  <c:v>-0.11057408799139401</c:v>
                </c:pt>
                <c:pt idx="22">
                  <c:v>-0.11470842708067319</c:v>
                </c:pt>
                <c:pt idx="23">
                  <c:v>-0.11854917340873472</c:v>
                </c:pt>
                <c:pt idx="24">
                  <c:v>-0.12207323113644941</c:v>
                </c:pt>
                <c:pt idx="25">
                  <c:v>-0.12526243286122807</c:v>
                </c:pt>
                <c:pt idx="26">
                  <c:v>-0.12805276569866963</c:v>
                </c:pt>
                <c:pt idx="27">
                  <c:v>-0.13023927471472474</c:v>
                </c:pt>
                <c:pt idx="28">
                  <c:v>-0.13178219294980842</c:v>
                </c:pt>
                <c:pt idx="29">
                  <c:v>-0.13266265404399979</c:v>
                </c:pt>
                <c:pt idx="30">
                  <c:v>-0.13283661275047398</c:v>
                </c:pt>
                <c:pt idx="31">
                  <c:v>-0.13218756435528634</c:v>
                </c:pt>
                <c:pt idx="32">
                  <c:v>-0.13054551552374538</c:v>
                </c:pt>
                <c:pt idx="33">
                  <c:v>-0.12773466344912832</c:v>
                </c:pt>
                <c:pt idx="34">
                  <c:v>-0.1235106065932936</c:v>
                </c:pt>
                <c:pt idx="35">
                  <c:v>-0.1174830540407279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-2.0013846135924496E-10</c:v>
                </c:pt>
                <c:pt idx="3">
                  <c:v>-1.9718593424755682E-10</c:v>
                </c:pt>
                <c:pt idx="4">
                  <c:v>-3.7655334406139218E-10</c:v>
                </c:pt>
                <c:pt idx="5">
                  <c:v>-5.577139861046021E-10</c:v>
                </c:pt>
                <c:pt idx="6">
                  <c:v>-5.4491100520692726E-10</c:v>
                </c:pt>
                <c:pt idx="7">
                  <c:v>-8.4682685707787586E-3</c:v>
                </c:pt>
                <c:pt idx="8">
                  <c:v>-1.9664375329399797E-2</c:v>
                </c:pt>
                <c:pt idx="9">
                  <c:v>-3.1720880520668127E-2</c:v>
                </c:pt>
                <c:pt idx="10">
                  <c:v>-4.2926438874239858E-2</c:v>
                </c:pt>
                <c:pt idx="11">
                  <c:v>-5.166296294269479E-2</c:v>
                </c:pt>
                <c:pt idx="12">
                  <c:v>-5.8312413581854905E-2</c:v>
                </c:pt>
                <c:pt idx="13">
                  <c:v>-6.3324442041174378E-2</c:v>
                </c:pt>
                <c:pt idx="14">
                  <c:v>-6.7044308382504414E-2</c:v>
                </c:pt>
                <c:pt idx="15">
                  <c:v>-6.9716189861404154E-2</c:v>
                </c:pt>
                <c:pt idx="16">
                  <c:v>-7.2329344136516593E-2</c:v>
                </c:pt>
                <c:pt idx="17">
                  <c:v>-7.5040321231657714E-2</c:v>
                </c:pt>
                <c:pt idx="18">
                  <c:v>-7.7811660959525297E-2</c:v>
                </c:pt>
                <c:pt idx="19">
                  <c:v>-8.0536238073137034E-2</c:v>
                </c:pt>
                <c:pt idx="20">
                  <c:v>-8.3084184835661268E-2</c:v>
                </c:pt>
                <c:pt idx="21">
                  <c:v>-8.5319759915605697E-2</c:v>
                </c:pt>
                <c:pt idx="22">
                  <c:v>-8.7126494856439085E-2</c:v>
                </c:pt>
                <c:pt idx="23">
                  <c:v>-8.8421518028119039E-2</c:v>
                </c:pt>
                <c:pt idx="24">
                  <c:v>-8.9132452075091351E-2</c:v>
                </c:pt>
                <c:pt idx="25">
                  <c:v>-8.9185723501205905E-2</c:v>
                </c:pt>
                <c:pt idx="26">
                  <c:v>-8.8472321196088832E-2</c:v>
                </c:pt>
                <c:pt idx="27">
                  <c:v>-8.6869015879069922E-2</c:v>
                </c:pt>
                <c:pt idx="28">
                  <c:v>-8.4282853059998497E-2</c:v>
                </c:pt>
                <c:pt idx="29">
                  <c:v>-8.0629421947488567E-2</c:v>
                </c:pt>
                <c:pt idx="30">
                  <c:v>-7.5795712445298147E-2</c:v>
                </c:pt>
                <c:pt idx="31">
                  <c:v>-6.9613131307738718E-2</c:v>
                </c:pt>
                <c:pt idx="32">
                  <c:v>-6.1860921504413136E-2</c:v>
                </c:pt>
                <c:pt idx="33">
                  <c:v>-5.2272767659217512E-2</c:v>
                </c:pt>
                <c:pt idx="34">
                  <c:v>-4.0489220888414668E-2</c:v>
                </c:pt>
                <c:pt idx="35">
                  <c:v>-2.599864246438266E-2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-6.8531935681903633E-10</c:v>
                </c:pt>
                <c:pt idx="1">
                  <c:v>-1.5642352968470163E-9</c:v>
                </c:pt>
                <c:pt idx="2">
                  <c:v>-2.6448813139623439E-9</c:v>
                </c:pt>
                <c:pt idx="3">
                  <c:v>-3.7221826731936858E-9</c:v>
                </c:pt>
                <c:pt idx="4">
                  <c:v>-4.3135445215725099E-9</c:v>
                </c:pt>
                <c:pt idx="5">
                  <c:v>-4.8295567545153517E-9</c:v>
                </c:pt>
                <c:pt idx="6">
                  <c:v>-5.1513179277762333E-9</c:v>
                </c:pt>
                <c:pt idx="7">
                  <c:v>-1.3282345971169174E-2</c:v>
                </c:pt>
                <c:pt idx="8">
                  <c:v>-2.9617454255938647E-2</c:v>
                </c:pt>
                <c:pt idx="9">
                  <c:v>-4.5499687959147495E-2</c:v>
                </c:pt>
                <c:pt idx="10">
                  <c:v>-5.9762659548207808E-2</c:v>
                </c:pt>
                <c:pt idx="11">
                  <c:v>-7.0967721796123651E-2</c:v>
                </c:pt>
                <c:pt idx="12">
                  <c:v>-7.9852809832280158E-2</c:v>
                </c:pt>
                <c:pt idx="13">
                  <c:v>-8.6943240507201036E-2</c:v>
                </c:pt>
                <c:pt idx="14">
                  <c:v>-9.2578504685169372E-2</c:v>
                </c:pt>
                <c:pt idx="15">
                  <c:v>-9.7067244367844752E-2</c:v>
                </c:pt>
                <c:pt idx="16">
                  <c:v>-0.10153602770113856</c:v>
                </c:pt>
                <c:pt idx="17">
                  <c:v>-0.10629940970422658</c:v>
                </c:pt>
                <c:pt idx="18">
                  <c:v>-0.11130067921628706</c:v>
                </c:pt>
                <c:pt idx="19">
                  <c:v>-0.11643749396698211</c:v>
                </c:pt>
                <c:pt idx="20">
                  <c:v>-0.12159419875606625</c:v>
                </c:pt>
                <c:pt idx="21">
                  <c:v>-0.12663661696410333</c:v>
                </c:pt>
                <c:pt idx="22">
                  <c:v>-0.13145305209938496</c:v>
                </c:pt>
                <c:pt idx="23">
                  <c:v>-0.13599527607369943</c:v>
                </c:pt>
                <c:pt idx="24">
                  <c:v>-0.14024104922714575</c:v>
                </c:pt>
                <c:pt idx="25">
                  <c:v>-0.14416568661731644</c:v>
                </c:pt>
                <c:pt idx="26">
                  <c:v>-0.14776141723800384</c:v>
                </c:pt>
                <c:pt idx="27">
                  <c:v>-0.15074946451723126</c:v>
                </c:pt>
                <c:pt idx="28">
                  <c:v>-0.15306283437800083</c:v>
                </c:pt>
                <c:pt idx="29">
                  <c:v>-0.15466774786484827</c:v>
                </c:pt>
                <c:pt idx="30">
                  <c:v>-0.15550201653053386</c:v>
                </c:pt>
                <c:pt idx="31">
                  <c:v>-0.15541670764694349</c:v>
                </c:pt>
                <c:pt idx="32">
                  <c:v>-0.15418816166549265</c:v>
                </c:pt>
                <c:pt idx="33">
                  <c:v>-0.15156395608083484</c:v>
                </c:pt>
                <c:pt idx="34">
                  <c:v>-0.14719116765892548</c:v>
                </c:pt>
                <c:pt idx="35">
                  <c:v>-0.14051221381630519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0</c:v>
                </c:pt>
                <c:pt idx="1">
                  <c:v>-8.0986328754306669E-12</c:v>
                </c:pt>
                <c:pt idx="2">
                  <c:v>-7.9226625260275796E-11</c:v>
                </c:pt>
                <c:pt idx="3">
                  <c:v>-7.7464257230985822E-11</c:v>
                </c:pt>
                <c:pt idx="4">
                  <c:v>-7.5681683142647671E-11</c:v>
                </c:pt>
                <c:pt idx="5">
                  <c:v>-7.3883454909662305E-11</c:v>
                </c:pt>
                <c:pt idx="6">
                  <c:v>-2.6396151930896394E-10</c:v>
                </c:pt>
                <c:pt idx="7">
                  <c:v>-5.1053972365522338E-4</c:v>
                </c:pt>
                <c:pt idx="8">
                  <c:v>-2.1598113800075369E-3</c:v>
                </c:pt>
                <c:pt idx="9">
                  <c:v>-5.6175540212747288E-3</c:v>
                </c:pt>
                <c:pt idx="10">
                  <c:v>-8.8029881977730318E-3</c:v>
                </c:pt>
                <c:pt idx="11">
                  <c:v>-1.1652633501127663E-2</c:v>
                </c:pt>
                <c:pt idx="12">
                  <c:v>-1.3959849916518885E-2</c:v>
                </c:pt>
                <c:pt idx="13">
                  <c:v>-1.581203176061774E-2</c:v>
                </c:pt>
                <c:pt idx="14">
                  <c:v>-1.730941001602182E-2</c:v>
                </c:pt>
                <c:pt idx="15">
                  <c:v>-1.8443798175155957E-2</c:v>
                </c:pt>
                <c:pt idx="16">
                  <c:v>-1.9395497259345307E-2</c:v>
                </c:pt>
                <c:pt idx="17">
                  <c:v>-2.0293582049380809E-2</c:v>
                </c:pt>
                <c:pt idx="18">
                  <c:v>-2.1188553481482741E-2</c:v>
                </c:pt>
                <c:pt idx="19">
                  <c:v>-2.2081345052550327E-2</c:v>
                </c:pt>
                <c:pt idx="20">
                  <c:v>-2.2962512471162433E-2</c:v>
                </c:pt>
                <c:pt idx="21">
                  <c:v>-2.3834125091159231E-2</c:v>
                </c:pt>
                <c:pt idx="22">
                  <c:v>-2.4696308901434261E-2</c:v>
                </c:pt>
                <c:pt idx="23">
                  <c:v>-2.5501732246379749E-2</c:v>
                </c:pt>
                <c:pt idx="24">
                  <c:v>-2.6196984003059365E-2</c:v>
                </c:pt>
                <c:pt idx="25">
                  <c:v>-2.6747468685619946E-2</c:v>
                </c:pt>
                <c:pt idx="26">
                  <c:v>-2.7213999884598272E-2</c:v>
                </c:pt>
                <c:pt idx="27">
                  <c:v>-2.7675857842642149E-2</c:v>
                </c:pt>
                <c:pt idx="28">
                  <c:v>-2.8084485866078701E-2</c:v>
                </c:pt>
                <c:pt idx="29">
                  <c:v>-2.8370717091380837E-2</c:v>
                </c:pt>
                <c:pt idx="30">
                  <c:v>-2.8464734606192033E-2</c:v>
                </c:pt>
                <c:pt idx="31">
                  <c:v>-2.834513584926146E-2</c:v>
                </c:pt>
                <c:pt idx="32">
                  <c:v>-2.8001480247943467E-2</c:v>
                </c:pt>
                <c:pt idx="33">
                  <c:v>-2.7354517444911464E-2</c:v>
                </c:pt>
                <c:pt idx="34">
                  <c:v>-2.629009444131003E-2</c:v>
                </c:pt>
                <c:pt idx="35">
                  <c:v>-2.4651296142365497E-2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-2.2437788294027428E-9</c:v>
                </c:pt>
                <c:pt idx="1">
                  <c:v>-4.0189311878435774E-9</c:v>
                </c:pt>
                <c:pt idx="2">
                  <c:v>-6.2123611810349644E-9</c:v>
                </c:pt>
                <c:pt idx="3">
                  <c:v>-8.78500572287777E-9</c:v>
                </c:pt>
                <c:pt idx="4">
                  <c:v>-1.0386466020584351E-8</c:v>
                </c:pt>
                <c:pt idx="5">
                  <c:v>-1.1151069179149431E-8</c:v>
                </c:pt>
                <c:pt idx="6">
                  <c:v>-1.1384465259389742E-8</c:v>
                </c:pt>
                <c:pt idx="7">
                  <c:v>-1.5851072742907646E-2</c:v>
                </c:pt>
                <c:pt idx="8">
                  <c:v>-3.3853287332101467E-2</c:v>
                </c:pt>
                <c:pt idx="9">
                  <c:v>-5.1551125024077771E-2</c:v>
                </c:pt>
                <c:pt idx="10">
                  <c:v>-6.7373497602704058E-2</c:v>
                </c:pt>
                <c:pt idx="11">
                  <c:v>-7.9602799469773888E-2</c:v>
                </c:pt>
                <c:pt idx="12">
                  <c:v>-8.8978070771349116E-2</c:v>
                </c:pt>
                <c:pt idx="13">
                  <c:v>-9.610938238846356E-2</c:v>
                </c:pt>
                <c:pt idx="14">
                  <c:v>-0.10146595296922833</c:v>
                </c:pt>
                <c:pt idx="15">
                  <c:v>-0.10541744844192091</c:v>
                </c:pt>
                <c:pt idx="16">
                  <c:v>-0.10951924185766693</c:v>
                </c:pt>
                <c:pt idx="17">
                  <c:v>-0.11379760022668428</c:v>
                </c:pt>
                <c:pt idx="18">
                  <c:v>-0.1181974028163334</c:v>
                </c:pt>
                <c:pt idx="19">
                  <c:v>-0.12262207578871365</c:v>
                </c:pt>
                <c:pt idx="20">
                  <c:v>-0.12694380325581534</c:v>
                </c:pt>
                <c:pt idx="21">
                  <c:v>-0.13099884060045663</c:v>
                </c:pt>
                <c:pt idx="22">
                  <c:v>-0.13464718737131842</c:v>
                </c:pt>
                <c:pt idx="23">
                  <c:v>-0.13780456193096136</c:v>
                </c:pt>
                <c:pt idx="24">
                  <c:v>-0.14039764166559854</c:v>
                </c:pt>
                <c:pt idx="25">
                  <c:v>-0.14234679468003941</c:v>
                </c:pt>
                <c:pt idx="26">
                  <c:v>-0.14344916552039522</c:v>
                </c:pt>
                <c:pt idx="27">
                  <c:v>-0.14348479423652338</c:v>
                </c:pt>
                <c:pt idx="28">
                  <c:v>-0.14235576067578226</c:v>
                </c:pt>
                <c:pt idx="29">
                  <c:v>-0.13996641872568061</c:v>
                </c:pt>
                <c:pt idx="30">
                  <c:v>-0.13617467647625148</c:v>
                </c:pt>
                <c:pt idx="31">
                  <c:v>-0.13073685058298845</c:v>
                </c:pt>
                <c:pt idx="32">
                  <c:v>-0.12332292551935697</c:v>
                </c:pt>
                <c:pt idx="33">
                  <c:v>-0.11355357315050751</c:v>
                </c:pt>
                <c:pt idx="34">
                  <c:v>-0.10090019571872877</c:v>
                </c:pt>
                <c:pt idx="35">
                  <c:v>-8.4555567219988137E-2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0</c:v>
                </c:pt>
                <c:pt idx="1">
                  <c:v>-1.5645682527321014E-9</c:v>
                </c:pt>
                <c:pt idx="2">
                  <c:v>-2.5237492096152891E-9</c:v>
                </c:pt>
                <c:pt idx="3">
                  <c:v>-3.65834262883169E-9</c:v>
                </c:pt>
                <c:pt idx="4">
                  <c:v>-3.996195929723001E-9</c:v>
                </c:pt>
                <c:pt idx="5">
                  <c:v>-4.0064808137785235E-9</c:v>
                </c:pt>
                <c:pt idx="6">
                  <c:v>-4.7493053934033469E-9</c:v>
                </c:pt>
                <c:pt idx="7">
                  <c:v>-7.5177487281682387E-3</c:v>
                </c:pt>
                <c:pt idx="8">
                  <c:v>-1.3786712457967032E-2</c:v>
                </c:pt>
                <c:pt idx="9">
                  <c:v>-2.0061511170840096E-2</c:v>
                </c:pt>
                <c:pt idx="10">
                  <c:v>-2.643037318798358E-2</c:v>
                </c:pt>
                <c:pt idx="11">
                  <c:v>-3.12004880409541E-2</c:v>
                </c:pt>
                <c:pt idx="12">
                  <c:v>-3.4979799872786432E-2</c:v>
                </c:pt>
                <c:pt idx="13">
                  <c:v>-3.7889436268317089E-2</c:v>
                </c:pt>
                <c:pt idx="14">
                  <c:v>-4.0061168812200787E-2</c:v>
                </c:pt>
                <c:pt idx="15">
                  <c:v>-4.1636654766157966E-2</c:v>
                </c:pt>
                <c:pt idx="16">
                  <c:v>-4.351653807681144E-2</c:v>
                </c:pt>
                <c:pt idx="17">
                  <c:v>-4.5263792356033394E-2</c:v>
                </c:pt>
                <c:pt idx="18">
                  <c:v>-4.6710924978263235E-2</c:v>
                </c:pt>
                <c:pt idx="19">
                  <c:v>-4.7762764388278534E-2</c:v>
                </c:pt>
                <c:pt idx="20">
                  <c:v>-4.8353299978796782E-2</c:v>
                </c:pt>
                <c:pt idx="21">
                  <c:v>-4.8409947657963026E-2</c:v>
                </c:pt>
                <c:pt idx="22">
                  <c:v>-4.7967375795947897E-2</c:v>
                </c:pt>
                <c:pt idx="23">
                  <c:v>-4.7082370816175612E-2</c:v>
                </c:pt>
                <c:pt idx="24">
                  <c:v>-4.5796641652946501E-2</c:v>
                </c:pt>
                <c:pt idx="25">
                  <c:v>-4.4145015452419445E-2</c:v>
                </c:pt>
                <c:pt idx="26">
                  <c:v>-4.2055765263177225E-2</c:v>
                </c:pt>
                <c:pt idx="27">
                  <c:v>-3.949464741838038E-2</c:v>
                </c:pt>
                <c:pt idx="28">
                  <c:v>-3.6545790282532797E-2</c:v>
                </c:pt>
                <c:pt idx="29">
                  <c:v>-3.3284431718935803E-2</c:v>
                </c:pt>
                <c:pt idx="30">
                  <c:v>-2.9744691293968173E-2</c:v>
                </c:pt>
                <c:pt idx="31">
                  <c:v>-2.5896756535525256E-2</c:v>
                </c:pt>
                <c:pt idx="32">
                  <c:v>-2.1677093984386775E-2</c:v>
                </c:pt>
                <c:pt idx="33">
                  <c:v>-1.7060359569274763E-2</c:v>
                </c:pt>
                <c:pt idx="34">
                  <c:v>-1.2006280650818657E-2</c:v>
                </c:pt>
                <c:pt idx="35">
                  <c:v>-6.4248398496330461E-3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-2.1214047185580398E-9</c:v>
                </c:pt>
                <c:pt idx="2">
                  <c:v>-3.806381099202838E-9</c:v>
                </c:pt>
                <c:pt idx="3">
                  <c:v>-5.5388806874390184E-9</c:v>
                </c:pt>
                <c:pt idx="4">
                  <c:v>-6.0768513554521064E-9</c:v>
                </c:pt>
                <c:pt idx="5">
                  <c:v>-6.3665696048431641E-9</c:v>
                </c:pt>
                <c:pt idx="6">
                  <c:v>-6.9092584986663041E-9</c:v>
                </c:pt>
                <c:pt idx="7">
                  <c:v>-1.0211671312187587E-2</c:v>
                </c:pt>
                <c:pt idx="8">
                  <c:v>-1.8355768145555063E-2</c:v>
                </c:pt>
                <c:pt idx="9">
                  <c:v>-2.5931124778457937E-2</c:v>
                </c:pt>
                <c:pt idx="10">
                  <c:v>-3.3098601692598817E-2</c:v>
                </c:pt>
                <c:pt idx="11">
                  <c:v>-3.8018979668893671E-2</c:v>
                </c:pt>
                <c:pt idx="12">
                  <c:v>-4.1556037689078451E-2</c:v>
                </c:pt>
                <c:pt idx="13">
                  <c:v>-4.3933014081719013E-2</c:v>
                </c:pt>
                <c:pt idx="14">
                  <c:v>-4.5364010547171429E-2</c:v>
                </c:pt>
                <c:pt idx="15">
                  <c:v>-4.6052949079824157E-2</c:v>
                </c:pt>
                <c:pt idx="16">
                  <c:v>-4.7096150543725956E-2</c:v>
                </c:pt>
                <c:pt idx="17">
                  <c:v>-4.7927909724091222E-2</c:v>
                </c:pt>
                <c:pt idx="18">
                  <c:v>-4.8313358894552572E-2</c:v>
                </c:pt>
                <c:pt idx="19">
                  <c:v>-4.8114874028379329E-2</c:v>
                </c:pt>
                <c:pt idx="20">
                  <c:v>-4.7237893947841392E-2</c:v>
                </c:pt>
                <c:pt idx="21">
                  <c:v>-4.5599846672733979E-2</c:v>
                </c:pt>
                <c:pt idx="22">
                  <c:v>-4.3269409251055602E-2</c:v>
                </c:pt>
                <c:pt idx="23">
                  <c:v>-4.0325983758495387E-2</c:v>
                </c:pt>
                <c:pt idx="24">
                  <c:v>-3.6821988475962963E-2</c:v>
                </c:pt>
                <c:pt idx="25">
                  <c:v>-3.2784253346707093E-2</c:v>
                </c:pt>
                <c:pt idx="26">
                  <c:v>-2.8137023276200934E-2</c:v>
                </c:pt>
                <c:pt idx="27">
                  <c:v>-2.2827065940149827E-2</c:v>
                </c:pt>
                <c:pt idx="28">
                  <c:v>-1.693410093880332E-2</c:v>
                </c:pt>
                <c:pt idx="29">
                  <c:v>-1.0530286133485167E-2</c:v>
                </c:pt>
                <c:pt idx="30">
                  <c:v>-3.6360425997511436E-3</c:v>
                </c:pt>
                <c:pt idx="31">
                  <c:v>3.8063997913633241E-3</c:v>
                </c:pt>
                <c:pt idx="32">
                  <c:v>1.1911536382750221E-2</c:v>
                </c:pt>
                <c:pt idx="33">
                  <c:v>2.0756350349122599E-2</c:v>
                </c:pt>
                <c:pt idx="34">
                  <c:v>3.0440891788529267E-2</c:v>
                </c:pt>
                <c:pt idx="35">
                  <c:v>4.1141971919510079E-2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4.6848569468238566E-10</c:v>
                </c:pt>
                <c:pt idx="4">
                  <c:v>0</c:v>
                </c:pt>
                <c:pt idx="5">
                  <c:v>0</c:v>
                </c:pt>
                <c:pt idx="6">
                  <c:v>-7.2944661422269519E-10</c:v>
                </c:pt>
                <c:pt idx="7">
                  <c:v>-2.6003644796693814E-3</c:v>
                </c:pt>
                <c:pt idx="8">
                  <c:v>-5.6124976462483822E-3</c:v>
                </c:pt>
                <c:pt idx="9">
                  <c:v>-9.7721767005787274E-3</c:v>
                </c:pt>
                <c:pt idx="10">
                  <c:v>-1.4970975436422784E-2</c:v>
                </c:pt>
                <c:pt idx="11">
                  <c:v>-1.9711827082294464E-2</c:v>
                </c:pt>
                <c:pt idx="12">
                  <c:v>-2.4109397523093157E-2</c:v>
                </c:pt>
                <c:pt idx="13">
                  <c:v>-2.8080540614586869E-2</c:v>
                </c:pt>
                <c:pt idx="14">
                  <c:v>-3.1602258339725742E-2</c:v>
                </c:pt>
                <c:pt idx="15">
                  <c:v>-3.4706086476453124E-2</c:v>
                </c:pt>
                <c:pt idx="16">
                  <c:v>-3.7976195025518744E-2</c:v>
                </c:pt>
                <c:pt idx="17">
                  <c:v>-4.1191754365170308E-2</c:v>
                </c:pt>
                <c:pt idx="18">
                  <c:v>-4.4290481290135797E-2</c:v>
                </c:pt>
                <c:pt idx="19">
                  <c:v>-4.7236977923311163E-2</c:v>
                </c:pt>
                <c:pt idx="20">
                  <c:v>-4.9999667900815892E-2</c:v>
                </c:pt>
                <c:pt idx="21">
                  <c:v>-5.2511088062983768E-2</c:v>
                </c:pt>
                <c:pt idx="22">
                  <c:v>-5.474700509035757E-2</c:v>
                </c:pt>
                <c:pt idx="23">
                  <c:v>-5.6722371436674912E-2</c:v>
                </c:pt>
                <c:pt idx="24">
                  <c:v>-5.8454430425327053E-2</c:v>
                </c:pt>
                <c:pt idx="25">
                  <c:v>-5.9965384884373973E-2</c:v>
                </c:pt>
                <c:pt idx="26">
                  <c:v>-6.1190297316932929E-2</c:v>
                </c:pt>
                <c:pt idx="27">
                  <c:v>-6.2109213473470426E-2</c:v>
                </c:pt>
                <c:pt idx="28">
                  <c:v>-6.2798613392357594E-2</c:v>
                </c:pt>
                <c:pt idx="29">
                  <c:v>-6.3323747021395205E-2</c:v>
                </c:pt>
                <c:pt idx="30">
                  <c:v>-6.3723343752287609E-2</c:v>
                </c:pt>
                <c:pt idx="31">
                  <c:v>-6.399125416992868E-2</c:v>
                </c:pt>
                <c:pt idx="32">
                  <c:v>-6.4115119218035144E-2</c:v>
                </c:pt>
                <c:pt idx="33">
                  <c:v>-6.4120304490370872E-2</c:v>
                </c:pt>
                <c:pt idx="34">
                  <c:v>-6.4026467732431591E-2</c:v>
                </c:pt>
                <c:pt idx="35">
                  <c:v>-6.3834987239959062E-2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-9.0085889033947545E-3</c:v>
                </c:pt>
                <c:pt idx="1">
                  <c:v>-1.6433693886069387E-2</c:v>
                </c:pt>
                <c:pt idx="2">
                  <c:v>-1.1877154103044497E-2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-2.4404631472768851E-3</c:v>
                </c:pt>
                <c:pt idx="1">
                  <c:v>1.3334179837255493E-3</c:v>
                </c:pt>
                <c:pt idx="2">
                  <c:v>4.0972479512717333E-2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-9.2692354465756712E-3</c:v>
                </c:pt>
                <c:pt idx="1">
                  <c:v>-1.7914755154312401E-2</c:v>
                </c:pt>
                <c:pt idx="2">
                  <c:v>1.1925771437864691E-2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4.2183147595525024E-3</c:v>
                </c:pt>
                <c:pt idx="1">
                  <c:v>3.2132739891973399E-3</c:v>
                </c:pt>
                <c:pt idx="2">
                  <c:v>1.0428809082025365E-2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-5.3121697669799565E-2</c:v>
                </c:pt>
                <c:pt idx="1">
                  <c:v>-0.22501081470479337</c:v>
                </c:pt>
                <c:pt idx="2">
                  <c:v>-0.69864872816426904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1.2673499299017145E-3</c:v>
                </c:pt>
                <c:pt idx="1">
                  <c:v>-2.2599312401126851E-3</c:v>
                </c:pt>
                <c:pt idx="2">
                  <c:v>3.6712670437527794E-3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-0.5243978989346777</c:v>
                      </c:pt>
                      <c:pt idx="1">
                        <c:v>-1.3191308115012184</c:v>
                      </c:pt>
                      <c:pt idx="2">
                        <c:v>-2.3322889157089728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-9.008588903394732E-3</c:v>
                </c:pt>
                <c:pt idx="1">
                  <c:v>-1.6433693886069412E-2</c:v>
                </c:pt>
                <c:pt idx="2">
                  <c:v>-1.1877154103044463E-2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-2.4404631472768612E-3</c:v>
                </c:pt>
                <c:pt idx="1">
                  <c:v>1.3334179837256599E-3</c:v>
                </c:pt>
                <c:pt idx="2">
                  <c:v>4.0972479512717319E-2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-9.2692354465756521E-3</c:v>
                </c:pt>
                <c:pt idx="1">
                  <c:v>-1.7914755154312401E-2</c:v>
                </c:pt>
                <c:pt idx="2">
                  <c:v>1.1925771437864663E-2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4.2183147595524773E-3</c:v>
                </c:pt>
                <c:pt idx="1">
                  <c:v>3.2132739891972406E-3</c:v>
                </c:pt>
                <c:pt idx="2">
                  <c:v>1.0428809082025259E-2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-0.52439789893467759</c:v>
                </c:pt>
                <c:pt idx="1">
                  <c:v>-1.3191308115012184</c:v>
                </c:pt>
                <c:pt idx="2">
                  <c:v>-2.3322889157089728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-5.3121697669799572E-2</c:v>
                </c:pt>
                <c:pt idx="1">
                  <c:v>-0.22501081470479334</c:v>
                </c:pt>
                <c:pt idx="2">
                  <c:v>-0.69864872816426904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-1.4486827468539427E-2</c:v>
                </c:pt>
                <c:pt idx="1">
                  <c:v>5.617770666154015E-3</c:v>
                </c:pt>
                <c:pt idx="2">
                  <c:v>-1.7447783142116771E-2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-9.4804495599661084E-3</c:v>
                </c:pt>
                <c:pt idx="1">
                  <c:v>-1.4776149417752937E-2</c:v>
                </c:pt>
                <c:pt idx="2">
                  <c:v>2.4246947415026858E-2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-2.494248506751201E-3</c:v>
                </c:pt>
                <c:pt idx="1">
                  <c:v>-9.7886432395622638E-3</c:v>
                </c:pt>
                <c:pt idx="2">
                  <c:v>2.9888562029025689E-2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3.5193248626738155E-3</c:v>
                </c:pt>
                <c:pt idx="1">
                  <c:v>-2.5829784172922421E-3</c:v>
                </c:pt>
                <c:pt idx="2">
                  <c:v>9.6840700609234585E-3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-0.17608643799301033</c:v>
                </c:pt>
                <c:pt idx="1">
                  <c:v>4.0046537808557103E-3</c:v>
                </c:pt>
                <c:pt idx="2">
                  <c:v>-0.5764909971764417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1.9384845412598217</c:v>
                </c:pt>
                <c:pt idx="1">
                  <c:v>-0.19437135822115562</c:v>
                </c:pt>
                <c:pt idx="2">
                  <c:v>8.2122334687183471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0.31308501637679764</c:v>
                </c:pt>
                <c:pt idx="1">
                  <c:v>2.1798183573204448</c:v>
                </c:pt>
                <c:pt idx="2">
                  <c:v>2.538255253751283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4.7110170125105218E-3</c:v>
                </c:pt>
                <c:pt idx="1">
                  <c:v>0</c:v>
                </c:pt>
                <c:pt idx="2">
                  <c:v>5.0595589723963504E-2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-1.4486827468539465E-2</c:v>
                </c:pt>
                <c:pt idx="1">
                  <c:v>-2.4440427388925823E-2</c:v>
                </c:pt>
                <c:pt idx="2">
                  <c:v>-1.7447783142116813E-2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-9.4804495599660754E-3</c:v>
                </c:pt>
                <c:pt idx="1">
                  <c:v>-1.0645808321740002E-2</c:v>
                </c:pt>
                <c:pt idx="2">
                  <c:v>2.4246947415026865E-2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-2.4942485067511733E-3</c:v>
                </c:pt>
                <c:pt idx="1">
                  <c:v>-8.3481053178872111E-3</c:v>
                </c:pt>
                <c:pt idx="2">
                  <c:v>2.9888562029025678E-2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3.5193248626739226E-3</c:v>
                </c:pt>
                <c:pt idx="1">
                  <c:v>2.0114614592643409E-3</c:v>
                </c:pt>
                <c:pt idx="2">
                  <c:v>9.6840700609235331E-3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-0.17608643799301038</c:v>
                </c:pt>
                <c:pt idx="1">
                  <c:v>-0.37403736307875535</c:v>
                </c:pt>
                <c:pt idx="2">
                  <c:v>-0.5764909971764417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0.31308501637679753</c:v>
                </c:pt>
                <c:pt idx="1">
                  <c:v>0.90393356548937431</c:v>
                </c:pt>
                <c:pt idx="2">
                  <c:v>2.5382552537512835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tabSelected="1"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5_11-00-42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 refreshError="1"/>
      <sheetData sheetId="1" refreshError="1"/>
      <sheetData sheetId="2" refreshError="1"/>
      <sheetData sheetId="3">
        <row r="2">
          <cell r="B2">
            <v>3854147.423</v>
          </cell>
          <cell r="C2">
            <v>3927352.31</v>
          </cell>
          <cell r="D2">
            <v>4010775.8059999999</v>
          </cell>
          <cell r="E2">
            <v>4101976.574</v>
          </cell>
          <cell r="F2">
            <v>4199388.4079999998</v>
          </cell>
          <cell r="G2">
            <v>4302359.9510000004</v>
          </cell>
          <cell r="H2">
            <v>4407570.2529999996</v>
          </cell>
          <cell r="I2">
            <v>4504520.3470000001</v>
          </cell>
          <cell r="J2">
            <v>4602234.9759999998</v>
          </cell>
          <cell r="K2">
            <v>4720047.2089999998</v>
          </cell>
          <cell r="L2">
            <v>4841591.773</v>
          </cell>
          <cell r="M2">
            <v>4949005.7759999996</v>
          </cell>
          <cell r="N2">
            <v>5045065.1469999999</v>
          </cell>
          <cell r="O2">
            <v>5132857.5580000002</v>
          </cell>
          <cell r="P2">
            <v>5216534.6560000004</v>
          </cell>
          <cell r="Q2">
            <v>5298888.4029999999</v>
          </cell>
          <cell r="R2">
            <v>5381758.6670000004</v>
          </cell>
          <cell r="S2">
            <v>5468071.3109999998</v>
          </cell>
          <cell r="T2">
            <v>5559901.1550000003</v>
          </cell>
          <cell r="U2">
            <v>5658660.9220000003</v>
          </cell>
          <cell r="V2">
            <v>5763739.5460000001</v>
          </cell>
          <cell r="W2">
            <v>5879164.835</v>
          </cell>
          <cell r="X2">
            <v>6005424.932</v>
          </cell>
          <cell r="Y2">
            <v>6143427.6409999998</v>
          </cell>
          <cell r="Z2">
            <v>6293542.9280000003</v>
          </cell>
          <cell r="AA2">
            <v>6450620.4060000004</v>
          </cell>
          <cell r="AB2">
            <v>6621419.8820000002</v>
          </cell>
          <cell r="AC2">
            <v>6805926.0640000002</v>
          </cell>
          <cell r="AD2">
            <v>7004968.335</v>
          </cell>
          <cell r="AE2">
            <v>7218197.4910000004</v>
          </cell>
          <cell r="AF2">
            <v>7444633.2070000004</v>
          </cell>
          <cell r="AG2">
            <v>7683514.9610000001</v>
          </cell>
          <cell r="AH2">
            <v>7934506.7029999997</v>
          </cell>
          <cell r="AI2">
            <v>8197515.0159999998</v>
          </cell>
          <cell r="AJ2">
            <v>8472724.7019999996</v>
          </cell>
          <cell r="AK2">
            <v>8760668.2430000007</v>
          </cell>
        </row>
        <row r="3">
          <cell r="B3">
            <v>3854147.4219999998</v>
          </cell>
          <cell r="C3">
            <v>3927352.31</v>
          </cell>
          <cell r="D3">
            <v>4010775.8059999999</v>
          </cell>
          <cell r="E3">
            <v>4101976.574</v>
          </cell>
          <cell r="F3">
            <v>4199388.4079999998</v>
          </cell>
          <cell r="G3">
            <v>4302359.9510000004</v>
          </cell>
          <cell r="H3">
            <v>4407570.2520000003</v>
          </cell>
          <cell r="I3">
            <v>4514918.5609999998</v>
          </cell>
          <cell r="J3">
            <v>4624229.5599999996</v>
          </cell>
          <cell r="K3">
            <v>4735629.7019999996</v>
          </cell>
          <cell r="L3">
            <v>4848222.108</v>
          </cell>
          <cell r="M3">
            <v>4947587.9630000005</v>
          </cell>
          <cell r="N3">
            <v>5037458.0659999996</v>
          </cell>
          <cell r="O3">
            <v>5120054.0810000002</v>
          </cell>
          <cell r="P3">
            <v>5198057.3229999999</v>
          </cell>
          <cell r="Q3">
            <v>5274042.3</v>
          </cell>
          <cell r="R3">
            <v>5351694.0769999996</v>
          </cell>
          <cell r="S3">
            <v>5433734.5980000002</v>
          </cell>
          <cell r="T3">
            <v>5522017.0889999997</v>
          </cell>
          <cell r="U3">
            <v>5617571.7649999997</v>
          </cell>
          <cell r="V3">
            <v>5719412.8039999995</v>
          </cell>
          <cell r="W3">
            <v>5831180.5470000003</v>
          </cell>
          <cell r="X3">
            <v>5952994.0899999999</v>
          </cell>
          <cell r="Y3">
            <v>6085393.5959999999</v>
          </cell>
          <cell r="Z3">
            <v>6228346.5999999996</v>
          </cell>
          <cell r="AA3">
            <v>6376383.4649999999</v>
          </cell>
          <cell r="AB3">
            <v>6535532.6090000002</v>
          </cell>
          <cell r="AC3">
            <v>6705345.8640000001</v>
          </cell>
          <cell r="AD3">
            <v>6886047.7649999997</v>
          </cell>
          <cell r="AE3">
            <v>7076567.0999999996</v>
          </cell>
          <cell r="AF3">
            <v>7275152.9759999998</v>
          </cell>
          <cell r="AG3">
            <v>7480191.6409999998</v>
          </cell>
          <cell r="AH3">
            <v>7690343.9349999996</v>
          </cell>
          <cell r="AI3">
            <v>7904340.9699999997</v>
          </cell>
          <cell r="AJ3">
            <v>8120914.1600000001</v>
          </cell>
          <cell r="AK3">
            <v>8338763.5820000004</v>
          </cell>
        </row>
        <row r="4">
          <cell r="B4">
            <v>81750.877269999997</v>
          </cell>
          <cell r="C4">
            <v>83134.100730000006</v>
          </cell>
          <cell r="D4">
            <v>84775.102790000004</v>
          </cell>
          <cell r="E4">
            <v>86660.680200000003</v>
          </cell>
          <cell r="F4">
            <v>88742.815019999995</v>
          </cell>
          <cell r="G4">
            <v>91002.997619999995</v>
          </cell>
          <cell r="H4">
            <v>93360.285399999993</v>
          </cell>
          <cell r="I4">
            <v>95413.222859999994</v>
          </cell>
          <cell r="J4">
            <v>97413.680359999998</v>
          </cell>
          <cell r="K4">
            <v>99838.750929999995</v>
          </cell>
          <cell r="L4">
            <v>102267.79210000001</v>
          </cell>
          <cell r="M4">
            <v>104327.14109999999</v>
          </cell>
          <cell r="N4">
            <v>106084.7623</v>
          </cell>
          <cell r="O4">
            <v>107619.3757</v>
          </cell>
          <cell r="P4">
            <v>109026.4703</v>
          </cell>
          <cell r="Q4">
            <v>110368.3208</v>
          </cell>
          <cell r="R4">
            <v>111723.51760000001</v>
          </cell>
          <cell r="S4">
            <v>113127.83100000001</v>
          </cell>
          <cell r="T4">
            <v>114629.5226</v>
          </cell>
          <cell r="U4">
            <v>116264.30070000001</v>
          </cell>
          <cell r="V4">
            <v>118038.1443</v>
          </cell>
          <cell r="W4">
            <v>120011.15399999999</v>
          </cell>
          <cell r="X4">
            <v>122214.8355</v>
          </cell>
          <cell r="Y4">
            <v>124670.8226</v>
          </cell>
          <cell r="Z4">
            <v>127386.1608</v>
          </cell>
          <cell r="AA4">
            <v>130289.90119999999</v>
          </cell>
          <cell r="AB4">
            <v>133426.71799999999</v>
          </cell>
          <cell r="AC4">
            <v>136846.97169999999</v>
          </cell>
          <cell r="AD4">
            <v>140567.97</v>
          </cell>
          <cell r="AE4">
            <v>144574.3702</v>
          </cell>
          <cell r="AF4">
            <v>148831.72820000001</v>
          </cell>
          <cell r="AG4">
            <v>153305.84969999999</v>
          </cell>
          <cell r="AH4">
            <v>157967.39840000001</v>
          </cell>
          <cell r="AI4">
            <v>162787.7133</v>
          </cell>
          <cell r="AJ4">
            <v>167737.74419999999</v>
          </cell>
          <cell r="AK4">
            <v>172787.11439999999</v>
          </cell>
        </row>
        <row r="5">
          <cell r="B5">
            <v>81750.877269999997</v>
          </cell>
          <cell r="C5">
            <v>83134.100730000006</v>
          </cell>
          <cell r="D5">
            <v>84775.102790000004</v>
          </cell>
          <cell r="E5">
            <v>86660.680200000003</v>
          </cell>
          <cell r="F5">
            <v>88742.815019999995</v>
          </cell>
          <cell r="G5">
            <v>91002.997619999995</v>
          </cell>
          <cell r="H5">
            <v>93360.285399999993</v>
          </cell>
          <cell r="I5">
            <v>95781.697159999996</v>
          </cell>
          <cell r="J5">
            <v>98248.147889999993</v>
          </cell>
          <cell r="K5">
            <v>100752.71980000001</v>
          </cell>
          <cell r="L5">
            <v>103236.4559</v>
          </cell>
          <cell r="M5">
            <v>105377.82919999999</v>
          </cell>
          <cell r="N5">
            <v>107242.6608</v>
          </cell>
          <cell r="O5">
            <v>108881.9762</v>
          </cell>
          <cell r="P5">
            <v>110361.5402</v>
          </cell>
          <cell r="Q5">
            <v>111747.8029</v>
          </cell>
          <cell r="R5">
            <v>113140.1327</v>
          </cell>
          <cell r="S5">
            <v>114615.34359999999</v>
          </cell>
          <cell r="T5">
            <v>116227.7426</v>
          </cell>
          <cell r="U5">
            <v>118008.5876</v>
          </cell>
          <cell r="V5">
            <v>119956.8796</v>
          </cell>
          <cell r="W5">
            <v>122126.03939999999</v>
          </cell>
          <cell r="X5">
            <v>124541.0368</v>
          </cell>
          <cell r="Y5">
            <v>127216.8793</v>
          </cell>
          <cell r="Z5">
            <v>130153.52710000001</v>
          </cell>
          <cell r="AA5">
            <v>133274.2524</v>
          </cell>
          <cell r="AB5">
            <v>136642.1593</v>
          </cell>
          <cell r="AC5">
            <v>140278.64129999999</v>
          </cell>
          <cell r="AD5">
            <v>144190.56539999999</v>
          </cell>
          <cell r="AE5">
            <v>148350.4086</v>
          </cell>
          <cell r="AF5">
            <v>152712.0502</v>
          </cell>
          <cell r="AG5">
            <v>157231.4724</v>
          </cell>
          <cell r="AH5">
            <v>161870.30729999999</v>
          </cell>
          <cell r="AI5">
            <v>166591.00510000001</v>
          </cell>
          <cell r="AJ5">
            <v>171355.66099999999</v>
          </cell>
          <cell r="AK5">
            <v>176125.7384</v>
          </cell>
        </row>
        <row r="6">
          <cell r="B6">
            <v>6533.6203150000001</v>
          </cell>
          <cell r="C6">
            <v>6484.9448849999999</v>
          </cell>
          <cell r="D6">
            <v>6438.7471580000001</v>
          </cell>
          <cell r="E6">
            <v>6389.8085250000004</v>
          </cell>
          <cell r="F6">
            <v>6370.3483660000002</v>
          </cell>
          <cell r="G6">
            <v>6367.1760489999997</v>
          </cell>
          <cell r="H6">
            <v>6372.5732660000003</v>
          </cell>
          <cell r="I6">
            <v>6284.71756</v>
          </cell>
          <cell r="J6">
            <v>6210.9404450000002</v>
          </cell>
          <cell r="K6">
            <v>6172.1338290000003</v>
          </cell>
          <cell r="L6">
            <v>6146.3214840000001</v>
          </cell>
          <cell r="M6">
            <v>6134.8082480000003</v>
          </cell>
          <cell r="N6">
            <v>6125.5234250000003</v>
          </cell>
          <cell r="O6">
            <v>6116.0329689999999</v>
          </cell>
          <cell r="P6">
            <v>6108.4412160000002</v>
          </cell>
          <cell r="Q6">
            <v>6104.2702689999996</v>
          </cell>
          <cell r="R6">
            <v>6083.3047610000003</v>
          </cell>
          <cell r="S6">
            <v>6063.6552250000004</v>
          </cell>
          <cell r="T6">
            <v>6049.735925</v>
          </cell>
          <cell r="U6">
            <v>6043.5145339999999</v>
          </cell>
          <cell r="V6">
            <v>6044.3668250000001</v>
          </cell>
          <cell r="W6">
            <v>6055.7771869999997</v>
          </cell>
          <cell r="X6">
            <v>6078.1355640000002</v>
          </cell>
          <cell r="Y6">
            <v>6111.6996680000002</v>
          </cell>
          <cell r="Z6">
            <v>6156.5203179999999</v>
          </cell>
          <cell r="AA6">
            <v>6208.0985909999999</v>
          </cell>
          <cell r="AB6">
            <v>6276.3164889999998</v>
          </cell>
          <cell r="AC6">
            <v>6358.8206179999997</v>
          </cell>
          <cell r="AD6">
            <v>6456.208611</v>
          </cell>
          <cell r="AE6">
            <v>6568.1108720000002</v>
          </cell>
          <cell r="AF6">
            <v>6693.9535320000005</v>
          </cell>
          <cell r="AG6">
            <v>6833.8464290000002</v>
          </cell>
          <cell r="AH6">
            <v>6988.6227550000003</v>
          </cell>
          <cell r="AI6">
            <v>7159.5487549999998</v>
          </cell>
          <cell r="AJ6">
            <v>7348.4632030000002</v>
          </cell>
          <cell r="AK6">
            <v>7557.931294</v>
          </cell>
        </row>
        <row r="7">
          <cell r="B7">
            <v>6533.6203150000001</v>
          </cell>
          <cell r="C7">
            <v>6484.9448849999999</v>
          </cell>
          <cell r="D7">
            <v>6438.7471580000001</v>
          </cell>
          <cell r="E7">
            <v>6389.8085250000004</v>
          </cell>
          <cell r="F7">
            <v>6370.3483669999996</v>
          </cell>
          <cell r="G7">
            <v>6367.17605</v>
          </cell>
          <cell r="H7">
            <v>6372.5732669999998</v>
          </cell>
          <cell r="I7">
            <v>6382.9958260000003</v>
          </cell>
          <cell r="J7">
            <v>6397.6029959999996</v>
          </cell>
          <cell r="K7">
            <v>6415.481119</v>
          </cell>
          <cell r="L7">
            <v>6436.1019980000001</v>
          </cell>
          <cell r="M7">
            <v>6445.8272880000004</v>
          </cell>
          <cell r="N7">
            <v>6448.3252060000004</v>
          </cell>
          <cell r="O7">
            <v>6446.0629779999999</v>
          </cell>
          <cell r="P7">
            <v>6441.5501039999999</v>
          </cell>
          <cell r="Q7">
            <v>6436.9097099999999</v>
          </cell>
          <cell r="R7">
            <v>6433.5279369999998</v>
          </cell>
          <cell r="S7">
            <v>6433.5074889999996</v>
          </cell>
          <cell r="T7">
            <v>6438.2565459999996</v>
          </cell>
          <cell r="U7">
            <v>6448.4998679999999</v>
          </cell>
          <cell r="V7">
            <v>6462.8958720000001</v>
          </cell>
          <cell r="W7">
            <v>6484.9289079999999</v>
          </cell>
          <cell r="X7">
            <v>6514.6647110000004</v>
          </cell>
          <cell r="Y7">
            <v>6552.0956859999997</v>
          </cell>
          <cell r="Z7">
            <v>6596.8802770000002</v>
          </cell>
          <cell r="AA7">
            <v>6643.3944799999999</v>
          </cell>
          <cell r="AB7">
            <v>6697.5089319999997</v>
          </cell>
          <cell r="AC7">
            <v>6759.4960209999999</v>
          </cell>
          <cell r="AD7">
            <v>6829.159036</v>
          </cell>
          <cell r="AE7">
            <v>6905.2118730000002</v>
          </cell>
          <cell r="AF7">
            <v>6985.9839890000003</v>
          </cell>
          <cell r="AG7">
            <v>7070.127168</v>
          </cell>
          <cell r="AH7">
            <v>7156.6069420000003</v>
          </cell>
          <cell r="AI7">
            <v>7244.5703540000004</v>
          </cell>
          <cell r="AJ7">
            <v>7333.2293849999996</v>
          </cell>
          <cell r="AK7">
            <v>7421.8050279999998</v>
          </cell>
        </row>
        <row r="8">
          <cell r="B8">
            <v>157700.0429</v>
          </cell>
          <cell r="C8">
            <v>160497.60579999999</v>
          </cell>
          <cell r="D8">
            <v>163768.272</v>
          </cell>
          <cell r="E8">
            <v>167520.8492</v>
          </cell>
          <cell r="F8">
            <v>171632.4535</v>
          </cell>
          <cell r="G8">
            <v>176068.22769999999</v>
          </cell>
          <cell r="H8">
            <v>180661.97289999999</v>
          </cell>
          <cell r="I8">
            <v>184896.57620000001</v>
          </cell>
          <cell r="J8">
            <v>189077.74249999999</v>
          </cell>
          <cell r="K8">
            <v>193944.1415</v>
          </cell>
          <cell r="L8">
            <v>198915.503</v>
          </cell>
          <cell r="M8">
            <v>203313.8357</v>
          </cell>
          <cell r="N8">
            <v>207224.48</v>
          </cell>
          <cell r="O8">
            <v>210727.64</v>
          </cell>
          <cell r="P8">
            <v>213945.4509</v>
          </cell>
          <cell r="Q8">
            <v>216971.05790000001</v>
          </cell>
          <cell r="R8">
            <v>219959.8193</v>
          </cell>
          <cell r="S8">
            <v>222975.72940000001</v>
          </cell>
          <cell r="T8">
            <v>226105.946</v>
          </cell>
          <cell r="U8">
            <v>229420.3253</v>
          </cell>
          <cell r="V8">
            <v>232918.98329999999</v>
          </cell>
          <cell r="W8">
            <v>236739.3075</v>
          </cell>
          <cell r="X8">
            <v>240934.98980000001</v>
          </cell>
          <cell r="Y8">
            <v>245551.81289999999</v>
          </cell>
          <cell r="Z8">
            <v>250611.31969999999</v>
          </cell>
          <cell r="AA8">
            <v>255945.46549999999</v>
          </cell>
          <cell r="AB8">
            <v>261672.9007</v>
          </cell>
          <cell r="AC8">
            <v>267881.5148</v>
          </cell>
          <cell r="AD8">
            <v>274607.9803</v>
          </cell>
          <cell r="AE8">
            <v>281841.7107</v>
          </cell>
          <cell r="AF8">
            <v>289535.95429999998</v>
          </cell>
          <cell r="AG8">
            <v>297632.99570000003</v>
          </cell>
          <cell r="AH8">
            <v>306075.87719999999</v>
          </cell>
          <cell r="AI8">
            <v>314809.60200000001</v>
          </cell>
          <cell r="AJ8">
            <v>323777.61379999999</v>
          </cell>
          <cell r="AK8">
            <v>332919.68420000002</v>
          </cell>
        </row>
        <row r="9">
          <cell r="B9">
            <v>157700.0429</v>
          </cell>
          <cell r="C9">
            <v>160497.60579999999</v>
          </cell>
          <cell r="D9">
            <v>163768.272</v>
          </cell>
          <cell r="E9">
            <v>167520.8492</v>
          </cell>
          <cell r="F9">
            <v>171632.4535</v>
          </cell>
          <cell r="G9">
            <v>176068.22769999999</v>
          </cell>
          <cell r="H9">
            <v>180661.97289999999</v>
          </cell>
          <cell r="I9">
            <v>185368.98939999999</v>
          </cell>
          <cell r="J9">
            <v>190161.06030000001</v>
          </cell>
          <cell r="K9">
            <v>195029.36240000001</v>
          </cell>
          <cell r="L9">
            <v>199909.22719999999</v>
          </cell>
          <cell r="M9">
            <v>204243.27050000001</v>
          </cell>
          <cell r="N9">
            <v>208111.91639999999</v>
          </cell>
          <cell r="O9">
            <v>211571.08429999999</v>
          </cell>
          <cell r="P9">
            <v>214711.7389</v>
          </cell>
          <cell r="Q9">
            <v>217638.2934</v>
          </cell>
          <cell r="R9">
            <v>220530.53630000001</v>
          </cell>
          <cell r="S9">
            <v>223521.1899</v>
          </cell>
          <cell r="T9">
            <v>226708.03659999999</v>
          </cell>
          <cell r="U9">
            <v>230153.54430000001</v>
          </cell>
          <cell r="V9">
            <v>233847.91990000001</v>
          </cell>
          <cell r="W9">
            <v>237920.59539999999</v>
          </cell>
          <cell r="X9">
            <v>242417.1036</v>
          </cell>
          <cell r="Y9">
            <v>247371.98680000001</v>
          </cell>
          <cell r="Z9">
            <v>252794.29819999999</v>
          </cell>
          <cell r="AA9">
            <v>258507.8989</v>
          </cell>
          <cell r="AB9">
            <v>264679.56189999997</v>
          </cell>
          <cell r="AC9">
            <v>271342.99550000002</v>
          </cell>
          <cell r="AD9">
            <v>278517.55310000002</v>
          </cell>
          <cell r="AE9">
            <v>286169.45669999998</v>
          </cell>
          <cell r="AF9">
            <v>294230.39490000001</v>
          </cell>
          <cell r="AG9">
            <v>302628.43410000001</v>
          </cell>
          <cell r="AH9">
            <v>311295.00910000002</v>
          </cell>
          <cell r="AI9">
            <v>320159.39049999998</v>
          </cell>
          <cell r="AJ9">
            <v>329148.26819999999</v>
          </cell>
          <cell r="AK9">
            <v>338186.07179999998</v>
          </cell>
        </row>
        <row r="10">
          <cell r="B10">
            <v>125571.2019</v>
          </cell>
          <cell r="C10">
            <v>130066.702</v>
          </cell>
          <cell r="D10">
            <v>134916.01490000001</v>
          </cell>
          <cell r="E10">
            <v>139690.4001</v>
          </cell>
          <cell r="F10">
            <v>144412.99799999999</v>
          </cell>
          <cell r="G10">
            <v>149050.48490000001</v>
          </cell>
          <cell r="H10">
            <v>153524.6133</v>
          </cell>
          <cell r="I10">
            <v>156211.6257</v>
          </cell>
          <cell r="J10">
            <v>158900.31080000001</v>
          </cell>
          <cell r="K10">
            <v>163402.0294</v>
          </cell>
          <cell r="L10">
            <v>167521.57670000001</v>
          </cell>
          <cell r="M10">
            <v>170311.74309999999</v>
          </cell>
          <cell r="N10">
            <v>172198.0189</v>
          </cell>
          <cell r="O10">
            <v>173621.91560000001</v>
          </cell>
          <cell r="P10">
            <v>175044.30650000001</v>
          </cell>
          <cell r="Q10">
            <v>176695.88269999999</v>
          </cell>
          <cell r="R10">
            <v>178411.3836</v>
          </cell>
          <cell r="S10">
            <v>180505.9553</v>
          </cell>
          <cell r="T10">
            <v>183064.3774</v>
          </cell>
          <cell r="U10">
            <v>186100.94209999999</v>
          </cell>
          <cell r="V10">
            <v>189613.0741</v>
          </cell>
          <cell r="W10">
            <v>193635.04019999999</v>
          </cell>
          <cell r="X10">
            <v>198196.01130000001</v>
          </cell>
          <cell r="Y10">
            <v>203301.51740000001</v>
          </cell>
          <cell r="Z10">
            <v>208919.69399999999</v>
          </cell>
          <cell r="AA10">
            <v>214984.78719999999</v>
          </cell>
          <cell r="AB10">
            <v>221699.5423</v>
          </cell>
          <cell r="AC10">
            <v>228947.30249999999</v>
          </cell>
          <cell r="AD10">
            <v>236704.5901</v>
          </cell>
          <cell r="AE10">
            <v>244842.29519999999</v>
          </cell>
          <cell r="AF10">
            <v>253206.54019999999</v>
          </cell>
          <cell r="AG10">
            <v>261688.17670000001</v>
          </cell>
          <cell r="AH10">
            <v>270219.61780000001</v>
          </cell>
          <cell r="AI10">
            <v>278751.43910000002</v>
          </cell>
          <cell r="AJ10">
            <v>287242.12400000001</v>
          </cell>
          <cell r="AK10">
            <v>295650.272</v>
          </cell>
        </row>
        <row r="11">
          <cell r="B11">
            <v>125571.2019</v>
          </cell>
          <cell r="C11">
            <v>130066.702</v>
          </cell>
          <cell r="D11">
            <v>134916.01500000001</v>
          </cell>
          <cell r="E11">
            <v>139690.4001</v>
          </cell>
          <cell r="F11">
            <v>144412.9981</v>
          </cell>
          <cell r="G11">
            <v>149050.48499999999</v>
          </cell>
          <cell r="H11">
            <v>153524.6133</v>
          </cell>
          <cell r="I11">
            <v>157883.30439999999</v>
          </cell>
          <cell r="J11">
            <v>162214.67869999999</v>
          </cell>
          <cell r="K11">
            <v>166589.6868</v>
          </cell>
          <cell r="L11">
            <v>170759.0735</v>
          </cell>
          <cell r="M11">
            <v>173814.95019999999</v>
          </cell>
          <cell r="N11">
            <v>176248.42370000001</v>
          </cell>
          <cell r="O11">
            <v>178347.8322</v>
          </cell>
          <cell r="P11">
            <v>180376.9595</v>
          </cell>
          <cell r="Q11">
            <v>182529.299</v>
          </cell>
          <cell r="R11">
            <v>185027.53829999999</v>
          </cell>
          <cell r="S11">
            <v>187977.5344</v>
          </cell>
          <cell r="T11">
            <v>191416.0478</v>
          </cell>
          <cell r="U11">
            <v>195330.9345</v>
          </cell>
          <cell r="V11">
            <v>199706.29250000001</v>
          </cell>
          <cell r="W11">
            <v>204570.47159999999</v>
          </cell>
          <cell r="X11">
            <v>209952.08679999999</v>
          </cell>
          <cell r="Y11">
            <v>215851.11240000001</v>
          </cell>
          <cell r="Z11">
            <v>222224.35</v>
          </cell>
          <cell r="AA11">
            <v>228994.93539999999</v>
          </cell>
          <cell r="AB11">
            <v>236213.8702</v>
          </cell>
          <cell r="AC11">
            <v>243917.36309999999</v>
          </cell>
          <cell r="AD11">
            <v>252088.41510000001</v>
          </cell>
          <cell r="AE11">
            <v>260593.215</v>
          </cell>
          <cell r="AF11">
            <v>269272.0992</v>
          </cell>
          <cell r="AG11">
            <v>278018.34700000001</v>
          </cell>
          <cell r="AH11">
            <v>286775.46679999999</v>
          </cell>
          <cell r="AI11">
            <v>295505.2009</v>
          </cell>
          <cell r="AJ11">
            <v>304175.5686</v>
          </cell>
          <cell r="AK11">
            <v>312754.929</v>
          </cell>
        </row>
        <row r="12">
          <cell r="B12">
            <v>22090.314689999999</v>
          </cell>
          <cell r="C12">
            <v>22495.423040000001</v>
          </cell>
          <cell r="D12">
            <v>22954.254720000001</v>
          </cell>
          <cell r="E12">
            <v>23450.234400000001</v>
          </cell>
          <cell r="F12">
            <v>23990.449000000001</v>
          </cell>
          <cell r="G12">
            <v>24575.997200000002</v>
          </cell>
          <cell r="H12">
            <v>25190.49063</v>
          </cell>
          <cell r="I12">
            <v>25662.18461</v>
          </cell>
          <cell r="J12">
            <v>26093.809819999999</v>
          </cell>
          <cell r="K12">
            <v>26604.82951</v>
          </cell>
          <cell r="L12">
            <v>27114.146820000002</v>
          </cell>
          <cell r="M12">
            <v>27565.460050000002</v>
          </cell>
          <cell r="N12">
            <v>27974.569090000001</v>
          </cell>
          <cell r="O12">
            <v>28361.542460000001</v>
          </cell>
          <cell r="P12">
            <v>28749.650519999999</v>
          </cell>
          <cell r="Q12">
            <v>29153.34374</v>
          </cell>
          <cell r="R12">
            <v>29581.50475</v>
          </cell>
          <cell r="S12">
            <v>30036.406019999999</v>
          </cell>
          <cell r="T12">
            <v>30530.092560000001</v>
          </cell>
          <cell r="U12">
            <v>31071.953450000001</v>
          </cell>
          <cell r="V12">
            <v>31664.472669999999</v>
          </cell>
          <cell r="W12">
            <v>32322.176060000002</v>
          </cell>
          <cell r="X12">
            <v>33052.88061</v>
          </cell>
          <cell r="Y12">
            <v>33861.427430000003</v>
          </cell>
          <cell r="Z12">
            <v>34749.497219999997</v>
          </cell>
          <cell r="AA12">
            <v>35700.685429999998</v>
          </cell>
          <cell r="AB12">
            <v>36723.861879999997</v>
          </cell>
          <cell r="AC12">
            <v>37833.726719999999</v>
          </cell>
          <cell r="AD12">
            <v>39033.327259999998</v>
          </cell>
          <cell r="AE12">
            <v>40319.589569999996</v>
          </cell>
          <cell r="AF12">
            <v>41687.001420000001</v>
          </cell>
          <cell r="AG12">
            <v>43132.683199999999</v>
          </cell>
          <cell r="AH12">
            <v>44656.703049999996</v>
          </cell>
          <cell r="AI12">
            <v>46259.706299999998</v>
          </cell>
          <cell r="AJ12">
            <v>47944.025659999999</v>
          </cell>
          <cell r="AK12">
            <v>49714.25937</v>
          </cell>
        </row>
        <row r="13">
          <cell r="B13">
            <v>22090.314689999999</v>
          </cell>
          <cell r="C13">
            <v>22495.423040000001</v>
          </cell>
          <cell r="D13">
            <v>22954.254720000001</v>
          </cell>
          <cell r="E13">
            <v>23450.234410000001</v>
          </cell>
          <cell r="F13">
            <v>23990.449000000001</v>
          </cell>
          <cell r="G13">
            <v>24575.997210000001</v>
          </cell>
          <cell r="H13">
            <v>25190.49064</v>
          </cell>
          <cell r="I13">
            <v>25825.87874</v>
          </cell>
          <cell r="J13">
            <v>26479.018329999999</v>
          </cell>
          <cell r="K13">
            <v>27149.909810000001</v>
          </cell>
          <cell r="L13">
            <v>27825.910759999999</v>
          </cell>
          <cell r="M13">
            <v>28431.925780000001</v>
          </cell>
          <cell r="N13">
            <v>28986.028559999999</v>
          </cell>
          <cell r="O13">
            <v>29503.91993</v>
          </cell>
          <cell r="P13">
            <v>30004.218489999999</v>
          </cell>
          <cell r="Q13">
            <v>30504.071779999998</v>
          </cell>
          <cell r="R13">
            <v>31027.791529999999</v>
          </cell>
          <cell r="S13">
            <v>31594.030839999999</v>
          </cell>
          <cell r="T13">
            <v>32215.079969999999</v>
          </cell>
          <cell r="U13">
            <v>32896.92121</v>
          </cell>
          <cell r="V13">
            <v>33637.3698</v>
          </cell>
          <cell r="W13">
            <v>34446.399839999998</v>
          </cell>
          <cell r="X13">
            <v>35327.86537</v>
          </cell>
          <cell r="Y13">
            <v>36283.564969999999</v>
          </cell>
          <cell r="Z13">
            <v>37311.8675</v>
          </cell>
          <cell r="AA13">
            <v>38392.379489999999</v>
          </cell>
          <cell r="AB13">
            <v>39536.978130000003</v>
          </cell>
          <cell r="AC13">
            <v>40748.655070000001</v>
          </cell>
          <cell r="AD13">
            <v>42027.666279999998</v>
          </cell>
          <cell r="AE13">
            <v>43366.325129999997</v>
          </cell>
          <cell r="AF13">
            <v>44753.276689999999</v>
          </cell>
          <cell r="AG13">
            <v>46178.561170000001</v>
          </cell>
          <cell r="AH13">
            <v>47634.407310000002</v>
          </cell>
          <cell r="AI13">
            <v>49113.830580000002</v>
          </cell>
          <cell r="AJ13">
            <v>50610.03512</v>
          </cell>
          <cell r="AK13">
            <v>52116.09936</v>
          </cell>
        </row>
        <row r="14">
          <cell r="B14">
            <v>16306.072099999999</v>
          </cell>
          <cell r="C14">
            <v>16670.881259999998</v>
          </cell>
          <cell r="D14">
            <v>17071.009389999999</v>
          </cell>
          <cell r="E14">
            <v>17498.22465</v>
          </cell>
          <cell r="F14">
            <v>17948.93518</v>
          </cell>
          <cell r="G14">
            <v>18421.661820000001</v>
          </cell>
          <cell r="H14">
            <v>18903.266619999999</v>
          </cell>
          <cell r="I14">
            <v>19293.91877</v>
          </cell>
          <cell r="J14">
            <v>19676.920590000002</v>
          </cell>
          <cell r="K14">
            <v>20187.839899999999</v>
          </cell>
          <cell r="L14">
            <v>20676.702580000001</v>
          </cell>
          <cell r="M14">
            <v>21045.3681</v>
          </cell>
          <cell r="N14">
            <v>21322.301459999999</v>
          </cell>
          <cell r="O14">
            <v>21540.243259999999</v>
          </cell>
          <cell r="P14">
            <v>21734.49613</v>
          </cell>
          <cell r="Q14">
            <v>21925.396219999999</v>
          </cell>
          <cell r="R14">
            <v>22119.320220000001</v>
          </cell>
          <cell r="S14">
            <v>22336.552599999999</v>
          </cell>
          <cell r="T14">
            <v>22588.16071</v>
          </cell>
          <cell r="U14">
            <v>22880.532940000001</v>
          </cell>
          <cell r="V14">
            <v>23215.183369999999</v>
          </cell>
          <cell r="W14">
            <v>23602.754659999999</v>
          </cell>
          <cell r="X14">
            <v>24048.704519999999</v>
          </cell>
          <cell r="Y14">
            <v>24555.717260000001</v>
          </cell>
          <cell r="Z14">
            <v>25122.97925</v>
          </cell>
          <cell r="AA14">
            <v>25737.606930000002</v>
          </cell>
          <cell r="AB14">
            <v>26413.320390000001</v>
          </cell>
          <cell r="AC14">
            <v>27154.773949999999</v>
          </cell>
          <cell r="AD14">
            <v>27961.787120000001</v>
          </cell>
          <cell r="AE14">
            <v>28824.968140000001</v>
          </cell>
          <cell r="AF14">
            <v>29731.582729999998</v>
          </cell>
          <cell r="AG14">
            <v>30671.894270000001</v>
          </cell>
          <cell r="AH14">
            <v>31639.176930000001</v>
          </cell>
          <cell r="AI14">
            <v>32626.77547</v>
          </cell>
          <cell r="AJ14">
            <v>33628.266680000001</v>
          </cell>
          <cell r="AK14">
            <v>34637.440430000002</v>
          </cell>
        </row>
        <row r="15">
          <cell r="B15">
            <v>16306.072099999999</v>
          </cell>
          <cell r="C15">
            <v>16670.881259999998</v>
          </cell>
          <cell r="D15">
            <v>17071.009389999999</v>
          </cell>
          <cell r="E15">
            <v>17498.22466</v>
          </cell>
          <cell r="F15">
            <v>17948.93519</v>
          </cell>
          <cell r="G15">
            <v>18421.661830000001</v>
          </cell>
          <cell r="H15">
            <v>18903.266629999998</v>
          </cell>
          <cell r="I15">
            <v>19389.48847</v>
          </cell>
          <cell r="J15">
            <v>19878.515670000001</v>
          </cell>
          <cell r="K15">
            <v>20370.452560000002</v>
          </cell>
          <cell r="L15">
            <v>20846.331679999999</v>
          </cell>
          <cell r="M15">
            <v>21224.48055</v>
          </cell>
          <cell r="N15">
            <v>21535.438310000001</v>
          </cell>
          <cell r="O15">
            <v>21799.573990000001</v>
          </cell>
          <cell r="P15">
            <v>22038.261930000001</v>
          </cell>
          <cell r="Q15">
            <v>22269.893599999999</v>
          </cell>
          <cell r="R15">
            <v>22516.636030000001</v>
          </cell>
          <cell r="S15">
            <v>22794.632269999998</v>
          </cell>
          <cell r="T15">
            <v>23114.500550000001</v>
          </cell>
          <cell r="U15">
            <v>23481.304919999999</v>
          </cell>
          <cell r="V15">
            <v>23894.976879999998</v>
          </cell>
          <cell r="W15">
            <v>24364.400180000001</v>
          </cell>
          <cell r="X15">
            <v>24893.495620000002</v>
          </cell>
          <cell r="Y15">
            <v>25483.94383</v>
          </cell>
          <cell r="Z15">
            <v>26133.783439999999</v>
          </cell>
          <cell r="AA15">
            <v>26828.861860000001</v>
          </cell>
          <cell r="AB15">
            <v>27579.967189999999</v>
          </cell>
          <cell r="AC15">
            <v>28389.461859999999</v>
          </cell>
          <cell r="AD15">
            <v>29256.064330000001</v>
          </cell>
          <cell r="AE15">
            <v>30168.83727</v>
          </cell>
          <cell r="AF15">
            <v>31113.385399999999</v>
          </cell>
          <cell r="AG15">
            <v>32077.94412</v>
          </cell>
          <cell r="AH15">
            <v>33053.803569999996</v>
          </cell>
          <cell r="AI15">
            <v>34033.403420000002</v>
          </cell>
          <cell r="AJ15">
            <v>35009.706590000002</v>
          </cell>
          <cell r="AK15">
            <v>35975.952310000001</v>
          </cell>
        </row>
        <row r="16">
          <cell r="B16">
            <v>86967.448350000006</v>
          </cell>
          <cell r="C16">
            <v>89286.177630000006</v>
          </cell>
          <cell r="D16">
            <v>91733.467040000003</v>
          </cell>
          <cell r="E16">
            <v>94273.752129999993</v>
          </cell>
          <cell r="F16">
            <v>96910.266820000004</v>
          </cell>
          <cell r="G16">
            <v>99647.881850000005</v>
          </cell>
          <cell r="H16">
            <v>102414.67</v>
          </cell>
          <cell r="I16">
            <v>104339.21490000001</v>
          </cell>
          <cell r="J16">
            <v>106227.3907</v>
          </cell>
          <cell r="K16">
            <v>108944.8002</v>
          </cell>
          <cell r="L16">
            <v>111431.1689</v>
          </cell>
          <cell r="M16">
            <v>113093.33900000001</v>
          </cell>
          <cell r="N16">
            <v>114151.8287</v>
          </cell>
          <cell r="O16">
            <v>114843.92969999999</v>
          </cell>
          <cell r="P16">
            <v>115412.87880000001</v>
          </cell>
          <cell r="Q16">
            <v>115988.6759</v>
          </cell>
          <cell r="R16">
            <v>116711.65240000001</v>
          </cell>
          <cell r="S16">
            <v>117629.0389</v>
          </cell>
          <cell r="T16">
            <v>118803.9207</v>
          </cell>
          <cell r="U16">
            <v>120260.72990000001</v>
          </cell>
          <cell r="V16">
            <v>122004.1446</v>
          </cell>
          <cell r="W16">
            <v>124075.02069999999</v>
          </cell>
          <cell r="X16">
            <v>126497.0722</v>
          </cell>
          <cell r="Y16">
            <v>129274.47990000001</v>
          </cell>
          <cell r="Z16">
            <v>132389.11040000001</v>
          </cell>
          <cell r="AA16">
            <v>135783.64939999999</v>
          </cell>
          <cell r="AB16">
            <v>139500.01939999999</v>
          </cell>
          <cell r="AC16">
            <v>143596.62849999999</v>
          </cell>
          <cell r="AD16">
            <v>148066.02189999999</v>
          </cell>
          <cell r="AE16">
            <v>152835.9669</v>
          </cell>
          <cell r="AF16">
            <v>157816.7304</v>
          </cell>
          <cell r="AG16">
            <v>162948.9025</v>
          </cell>
          <cell r="AH16">
            <v>168198.10639999999</v>
          </cell>
          <cell r="AI16">
            <v>173525.56469999999</v>
          </cell>
          <cell r="AJ16">
            <v>178891.64569999999</v>
          </cell>
          <cell r="AK16">
            <v>184256.6349</v>
          </cell>
        </row>
        <row r="17">
          <cell r="B17">
            <v>86967.448350000006</v>
          </cell>
          <cell r="C17">
            <v>89286.177639999994</v>
          </cell>
          <cell r="D17">
            <v>91733.467050000007</v>
          </cell>
          <cell r="E17">
            <v>94273.75215</v>
          </cell>
          <cell r="F17">
            <v>96910.266839999997</v>
          </cell>
          <cell r="G17">
            <v>99647.881880000001</v>
          </cell>
          <cell r="H17">
            <v>102414.6701</v>
          </cell>
          <cell r="I17">
            <v>105177.21980000001</v>
          </cell>
          <cell r="J17">
            <v>107919.6262</v>
          </cell>
          <cell r="K17">
            <v>110642.9418</v>
          </cell>
          <cell r="L17">
            <v>113197.478</v>
          </cell>
          <cell r="M17">
            <v>115046.7187</v>
          </cell>
          <cell r="N17">
            <v>116452.71189999999</v>
          </cell>
          <cell r="O17">
            <v>117571.3765</v>
          </cell>
          <cell r="P17">
            <v>118554.7414</v>
          </cell>
          <cell r="Q17">
            <v>119524.4182</v>
          </cell>
          <cell r="R17">
            <v>120629.5352</v>
          </cell>
          <cell r="S17">
            <v>121978.5269</v>
          </cell>
          <cell r="T17">
            <v>123635.91620000001</v>
          </cell>
          <cell r="U17">
            <v>125623.3363</v>
          </cell>
          <cell r="V17">
            <v>127939.83530000001</v>
          </cell>
          <cell r="W17">
            <v>130615.6761</v>
          </cell>
          <cell r="X17">
            <v>133665.4344</v>
          </cell>
          <cell r="Y17">
            <v>137090.90340000001</v>
          </cell>
          <cell r="Z17">
            <v>140871.24410000001</v>
          </cell>
          <cell r="AA17">
            <v>144945.33689999999</v>
          </cell>
          <cell r="AB17">
            <v>149357.5759</v>
          </cell>
          <cell r="AC17">
            <v>154120.1201</v>
          </cell>
          <cell r="AD17">
            <v>159221.87729999999</v>
          </cell>
          <cell r="AE17">
            <v>164585.30790000001</v>
          </cell>
          <cell r="AF17">
            <v>170113.86679999999</v>
          </cell>
          <cell r="AG17">
            <v>175734.1305</v>
          </cell>
          <cell r="AH17">
            <v>181395.98850000001</v>
          </cell>
          <cell r="AI17">
            <v>187057.5631</v>
          </cell>
          <cell r="AJ17">
            <v>192680.37229999999</v>
          </cell>
          <cell r="AK17">
            <v>198227.35579999999</v>
          </cell>
        </row>
        <row r="18">
          <cell r="B18">
            <v>29077.376339999999</v>
          </cell>
          <cell r="C18">
            <v>29814.01557</v>
          </cell>
          <cell r="D18">
            <v>30610.84477</v>
          </cell>
          <cell r="E18">
            <v>31444.732660000001</v>
          </cell>
          <cell r="F18">
            <v>32311.221689999998</v>
          </cell>
          <cell r="G18">
            <v>33208.535020000003</v>
          </cell>
          <cell r="H18">
            <v>34121.261440000002</v>
          </cell>
          <cell r="I18">
            <v>34827.455139999998</v>
          </cell>
          <cell r="J18">
            <v>35533.671390000003</v>
          </cell>
          <cell r="K18">
            <v>36519.35353</v>
          </cell>
          <cell r="L18">
            <v>37448.510090000003</v>
          </cell>
          <cell r="M18">
            <v>38120.21243</v>
          </cell>
          <cell r="N18">
            <v>38595.746709999999</v>
          </cell>
          <cell r="O18">
            <v>38951.03944</v>
          </cell>
          <cell r="P18">
            <v>39266.770940000002</v>
          </cell>
          <cell r="Q18">
            <v>39588.741520000003</v>
          </cell>
          <cell r="R18">
            <v>39927.762089999997</v>
          </cell>
          <cell r="S18">
            <v>40324.965219999998</v>
          </cell>
          <cell r="T18">
            <v>40802.746489999998</v>
          </cell>
          <cell r="U18">
            <v>41372.755830000002</v>
          </cell>
          <cell r="V18">
            <v>42040.48461</v>
          </cell>
          <cell r="W18">
            <v>42820.569179999999</v>
          </cell>
          <cell r="X18">
            <v>43724.448170000003</v>
          </cell>
          <cell r="Y18">
            <v>44756.954850000002</v>
          </cell>
          <cell r="Z18">
            <v>45915.847170000001</v>
          </cell>
          <cell r="AA18">
            <v>47185.390910000002</v>
          </cell>
          <cell r="AB18">
            <v>48581.589370000002</v>
          </cell>
          <cell r="AC18">
            <v>50114.937489999997</v>
          </cell>
          <cell r="AD18">
            <v>51784.068939999997</v>
          </cell>
          <cell r="AE18">
            <v>53568.272570000001</v>
          </cell>
          <cell r="AF18">
            <v>55440.871370000001</v>
          </cell>
          <cell r="AG18">
            <v>57382.558799999999</v>
          </cell>
          <cell r="AH18">
            <v>59381.158799999997</v>
          </cell>
          <cell r="AI18">
            <v>61425.57475</v>
          </cell>
          <cell r="AJ18">
            <v>63505.997329999998</v>
          </cell>
          <cell r="AK18">
            <v>65614.054260000004</v>
          </cell>
        </row>
        <row r="19">
          <cell r="B19">
            <v>29077.376339999999</v>
          </cell>
          <cell r="C19">
            <v>29814.01557</v>
          </cell>
          <cell r="D19">
            <v>30610.84477</v>
          </cell>
          <cell r="E19">
            <v>31444.732670000001</v>
          </cell>
          <cell r="F19">
            <v>32311.221699999998</v>
          </cell>
          <cell r="G19">
            <v>33208.535029999999</v>
          </cell>
          <cell r="H19">
            <v>34121.261449999998</v>
          </cell>
          <cell r="I19">
            <v>35043.26829</v>
          </cell>
          <cell r="J19">
            <v>35972.442309999999</v>
          </cell>
          <cell r="K19">
            <v>36909.28357</v>
          </cell>
          <cell r="L19">
            <v>37807.564339999997</v>
          </cell>
          <cell r="M19">
            <v>38502.99495</v>
          </cell>
          <cell r="N19">
            <v>39063.662960000001</v>
          </cell>
          <cell r="O19">
            <v>39535.563170000001</v>
          </cell>
          <cell r="P19">
            <v>39965.091939999998</v>
          </cell>
          <cell r="Q19">
            <v>40390.58986</v>
          </cell>
          <cell r="R19">
            <v>40851.650690000002</v>
          </cell>
          <cell r="S19">
            <v>41379.456209999997</v>
          </cell>
          <cell r="T19">
            <v>41995.138019999999</v>
          </cell>
          <cell r="U19">
            <v>42708.697780000002</v>
          </cell>
          <cell r="V19">
            <v>43523.582369999996</v>
          </cell>
          <cell r="W19">
            <v>44451.578699999998</v>
          </cell>
          <cell r="X19">
            <v>45501.561300000001</v>
          </cell>
          <cell r="Y19">
            <v>46676.326719999997</v>
          </cell>
          <cell r="Z19">
            <v>47970.879220000003</v>
          </cell>
          <cell r="AA19">
            <v>49366.433089999999</v>
          </cell>
          <cell r="AB19">
            <v>50872.75202</v>
          </cell>
          <cell r="AC19">
            <v>52495.442110000004</v>
          </cell>
          <cell r="AD19">
            <v>54230.667820000002</v>
          </cell>
          <cell r="AE19">
            <v>56053.739350000003</v>
          </cell>
          <cell r="AF19">
            <v>57933.349860000002</v>
          </cell>
          <cell r="AG19">
            <v>59844.82907</v>
          </cell>
          <cell r="AH19">
            <v>61770.784030000003</v>
          </cell>
          <cell r="AI19">
            <v>63696.691870000002</v>
          </cell>
          <cell r="AJ19">
            <v>65609.358359999998</v>
          </cell>
          <cell r="AK19">
            <v>67496.292780000003</v>
          </cell>
        </row>
        <row r="20">
          <cell r="B20">
            <v>80205.785529999994</v>
          </cell>
          <cell r="C20">
            <v>82185.137459999998</v>
          </cell>
          <cell r="D20">
            <v>84348.318530000004</v>
          </cell>
          <cell r="E20">
            <v>86598.181429999997</v>
          </cell>
          <cell r="F20">
            <v>88940.84762</v>
          </cell>
          <cell r="G20">
            <v>91377.267600000006</v>
          </cell>
          <cell r="H20">
            <v>93865.686969999995</v>
          </cell>
          <cell r="I20">
            <v>95661.033859999996</v>
          </cell>
          <cell r="J20">
            <v>97414.674729999999</v>
          </cell>
          <cell r="K20">
            <v>99893.275370000003</v>
          </cell>
          <cell r="L20">
            <v>102247.3492</v>
          </cell>
          <cell r="M20">
            <v>103970.2203</v>
          </cell>
          <cell r="N20">
            <v>105205.50629999999</v>
          </cell>
          <cell r="O20">
            <v>106152.76880000001</v>
          </cell>
          <cell r="P20">
            <v>107025.8925</v>
          </cell>
          <cell r="Q20">
            <v>107945.4568</v>
          </cell>
          <cell r="R20">
            <v>108956.6586</v>
          </cell>
          <cell r="S20">
            <v>110140.8232</v>
          </cell>
          <cell r="T20">
            <v>111556.0925</v>
          </cell>
          <cell r="U20">
            <v>113230.9831</v>
          </cell>
          <cell r="V20">
            <v>115178.54</v>
          </cell>
          <cell r="W20">
            <v>117435.5909</v>
          </cell>
          <cell r="X20">
            <v>120032.0711</v>
          </cell>
          <cell r="Y20">
            <v>122977.6621</v>
          </cell>
          <cell r="Z20">
            <v>126262.66009999999</v>
          </cell>
          <cell r="AA20">
            <v>129843.90119999999</v>
          </cell>
          <cell r="AB20">
            <v>133750.13560000001</v>
          </cell>
          <cell r="AC20">
            <v>138028.90830000001</v>
          </cell>
          <cell r="AD20">
            <v>142674.08609999999</v>
          </cell>
          <cell r="AE20">
            <v>147627.63380000001</v>
          </cell>
          <cell r="AF20">
            <v>152817.23430000001</v>
          </cell>
          <cell r="AG20">
            <v>158195.86960000001</v>
          </cell>
          <cell r="AH20">
            <v>163739.16949999999</v>
          </cell>
          <cell r="AI20">
            <v>169422.85279999999</v>
          </cell>
          <cell r="AJ20">
            <v>175225.96530000001</v>
          </cell>
          <cell r="AK20">
            <v>181132.04500000001</v>
          </cell>
        </row>
        <row r="21">
          <cell r="B21">
            <v>80205.785529999994</v>
          </cell>
          <cell r="C21">
            <v>82185.137459999998</v>
          </cell>
          <cell r="D21">
            <v>84348.318530000004</v>
          </cell>
          <cell r="E21">
            <v>86598.181450000004</v>
          </cell>
          <cell r="F21">
            <v>88940.847649999996</v>
          </cell>
          <cell r="G21">
            <v>91377.267630000002</v>
          </cell>
          <cell r="H21">
            <v>93865.687000000005</v>
          </cell>
          <cell r="I21">
            <v>96386.600019999998</v>
          </cell>
          <cell r="J21">
            <v>98935.356360000005</v>
          </cell>
          <cell r="K21">
            <v>101515.7418</v>
          </cell>
          <cell r="L21">
            <v>104002.3028</v>
          </cell>
          <cell r="M21">
            <v>105950.0969</v>
          </cell>
          <cell r="N21">
            <v>107543.93429999999</v>
          </cell>
          <cell r="O21">
            <v>108916.6486</v>
          </cell>
          <cell r="P21">
            <v>110199.96520000001</v>
          </cell>
          <cell r="Q21">
            <v>111500.2542</v>
          </cell>
          <cell r="R21">
            <v>112928.24249999999</v>
          </cell>
          <cell r="S21">
            <v>114568.0193</v>
          </cell>
          <cell r="T21">
            <v>116473.253</v>
          </cell>
          <cell r="U21">
            <v>118665.6964</v>
          </cell>
          <cell r="V21">
            <v>121150.0874</v>
          </cell>
          <cell r="W21">
            <v>123951.35619999999</v>
          </cell>
          <cell r="X21">
            <v>127089.82460000001</v>
          </cell>
          <cell r="Y21">
            <v>130570.2689</v>
          </cell>
          <cell r="Z21">
            <v>134376.51199999999</v>
          </cell>
          <cell r="AA21">
            <v>138457.97990000001</v>
          </cell>
          <cell r="AB21">
            <v>142835.4178</v>
          </cell>
          <cell r="AC21">
            <v>147522.8622</v>
          </cell>
          <cell r="AD21">
            <v>152509.6593</v>
          </cell>
          <cell r="AE21">
            <v>157728.40789999999</v>
          </cell>
          <cell r="AF21">
            <v>163094.1544</v>
          </cell>
          <cell r="AG21">
            <v>168541.34839999999</v>
          </cell>
          <cell r="AH21">
            <v>174025.88769999999</v>
          </cell>
          <cell r="AI21">
            <v>179512.55869999999</v>
          </cell>
          <cell r="AJ21">
            <v>184970.06959999999</v>
          </cell>
          <cell r="AK21">
            <v>190368.83240000001</v>
          </cell>
        </row>
        <row r="22">
          <cell r="B22">
            <v>81062.006930000003</v>
          </cell>
          <cell r="C22">
            <v>83763.391940000001</v>
          </cell>
          <cell r="D22">
            <v>86522.918829999995</v>
          </cell>
          <cell r="E22">
            <v>89318.457299999995</v>
          </cell>
          <cell r="F22">
            <v>92160.619839999999</v>
          </cell>
          <cell r="G22">
            <v>95055.591249999998</v>
          </cell>
          <cell r="H22">
            <v>97982.992939999996</v>
          </cell>
          <cell r="I22">
            <v>100202.7993</v>
          </cell>
          <cell r="J22">
            <v>102642.8094</v>
          </cell>
          <cell r="K22">
            <v>106311.27959999999</v>
          </cell>
          <cell r="L22">
            <v>109845.5083</v>
          </cell>
          <cell r="M22">
            <v>112474.7298</v>
          </cell>
          <cell r="N22">
            <v>114383.9304</v>
          </cell>
          <cell r="O22">
            <v>115836.99920000001</v>
          </cell>
          <cell r="P22">
            <v>117127.1125</v>
          </cell>
          <cell r="Q22">
            <v>118409.04640000001</v>
          </cell>
          <cell r="R22">
            <v>119741.511</v>
          </cell>
          <cell r="S22">
            <v>121286.4317</v>
          </cell>
          <cell r="T22">
            <v>123112.3502</v>
          </cell>
          <cell r="U22">
            <v>125241.68610000001</v>
          </cell>
          <cell r="V22">
            <v>127690.5414</v>
          </cell>
          <cell r="W22">
            <v>130491.02469999999</v>
          </cell>
          <cell r="X22">
            <v>133681.99050000001</v>
          </cell>
          <cell r="Y22">
            <v>137263.35070000001</v>
          </cell>
          <cell r="Z22">
            <v>141205.62650000001</v>
          </cell>
          <cell r="AA22">
            <v>145470.9166</v>
          </cell>
          <cell r="AB22">
            <v>150064.2303</v>
          </cell>
          <cell r="AC22">
            <v>155102.35130000001</v>
          </cell>
          <cell r="AD22">
            <v>160567.82889999999</v>
          </cell>
          <cell r="AE22">
            <v>166361.07550000001</v>
          </cell>
          <cell r="AF22">
            <v>172367.1263</v>
          </cell>
          <cell r="AG22">
            <v>178525.4332</v>
          </cell>
          <cell r="AH22">
            <v>184814.5221</v>
          </cell>
          <cell r="AI22">
            <v>191197.22690000001</v>
          </cell>
          <cell r="AJ22">
            <v>197633.6024</v>
          </cell>
          <cell r="AK22">
            <v>204084.3014</v>
          </cell>
        </row>
        <row r="23">
          <cell r="B23">
            <v>81062.006930000003</v>
          </cell>
          <cell r="C23">
            <v>83763.391940000001</v>
          </cell>
          <cell r="D23">
            <v>86522.918829999995</v>
          </cell>
          <cell r="E23">
            <v>89318.457309999998</v>
          </cell>
          <cell r="F23">
            <v>92160.619860000006</v>
          </cell>
          <cell r="G23">
            <v>95055.591270000004</v>
          </cell>
          <cell r="H23">
            <v>97982.992970000007</v>
          </cell>
          <cell r="I23">
            <v>100935.6572</v>
          </cell>
          <cell r="J23">
            <v>103915.2026</v>
          </cell>
          <cell r="K23">
            <v>106928.82490000001</v>
          </cell>
          <cell r="L23">
            <v>109781.99860000001</v>
          </cell>
          <cell r="M23">
            <v>111880.91869999999</v>
          </cell>
          <cell r="N23">
            <v>113541.3423</v>
          </cell>
          <cell r="O23">
            <v>114942.7801</v>
          </cell>
          <cell r="P23">
            <v>116254.7187</v>
          </cell>
          <cell r="Q23">
            <v>117605.9947</v>
          </cell>
          <cell r="R23">
            <v>119109.747</v>
          </cell>
          <cell r="S23">
            <v>120854.5683</v>
          </cell>
          <cell r="T23">
            <v>122897.21060000001</v>
          </cell>
          <cell r="U23">
            <v>125257.1882</v>
          </cell>
          <cell r="V23">
            <v>127948.6712</v>
          </cell>
          <cell r="W23">
            <v>130990.79730000001</v>
          </cell>
          <cell r="X23">
            <v>134412.69529999999</v>
          </cell>
          <cell r="Y23">
            <v>138220.26269999999</v>
          </cell>
          <cell r="Z23">
            <v>142390.75</v>
          </cell>
          <cell r="AA23">
            <v>146891.83110000001</v>
          </cell>
          <cell r="AB23">
            <v>151734.16450000001</v>
          </cell>
          <cell r="AC23">
            <v>156941.32089999999</v>
          </cell>
          <cell r="AD23">
            <v>162498.8677</v>
          </cell>
          <cell r="AE23">
            <v>168313.5833</v>
          </cell>
          <cell r="AF23">
            <v>174274.3162</v>
          </cell>
          <cell r="AG23">
            <v>180302.43700000001</v>
          </cell>
          <cell r="AH23">
            <v>186349.71609999999</v>
          </cell>
          <cell r="AI23">
            <v>192378.4369</v>
          </cell>
          <cell r="AJ23">
            <v>198354.8939</v>
          </cell>
          <cell r="AK23">
            <v>204246.64170000001</v>
          </cell>
        </row>
        <row r="24">
          <cell r="B24">
            <v>104630.7294</v>
          </cell>
          <cell r="C24">
            <v>106786.68459999999</v>
          </cell>
          <cell r="D24">
            <v>109274.9333</v>
          </cell>
          <cell r="E24">
            <v>111996.125</v>
          </cell>
          <cell r="F24">
            <v>114898.3654</v>
          </cell>
          <cell r="G24">
            <v>117955.48729999999</v>
          </cell>
          <cell r="H24">
            <v>121090.4207</v>
          </cell>
          <cell r="I24">
            <v>123792.3907</v>
          </cell>
          <cell r="J24">
            <v>126493.139</v>
          </cell>
          <cell r="K24">
            <v>129976.4096</v>
          </cell>
          <cell r="L24">
            <v>133457.6722</v>
          </cell>
          <cell r="M24">
            <v>136341.09789999999</v>
          </cell>
          <cell r="N24">
            <v>138742.709</v>
          </cell>
          <cell r="O24">
            <v>140827.73199999999</v>
          </cell>
          <cell r="P24">
            <v>142789.79730000001</v>
          </cell>
          <cell r="Q24">
            <v>144747.0784</v>
          </cell>
          <cell r="R24">
            <v>146701.10380000001</v>
          </cell>
          <cell r="S24">
            <v>148794.5056</v>
          </cell>
          <cell r="T24">
            <v>151095.6202</v>
          </cell>
          <cell r="U24">
            <v>153644.8561</v>
          </cell>
          <cell r="V24">
            <v>156446.44469999999</v>
          </cell>
          <cell r="W24">
            <v>159569.46470000001</v>
          </cell>
          <cell r="X24">
            <v>163045.8547</v>
          </cell>
          <cell r="Y24">
            <v>166896.76070000001</v>
          </cell>
          <cell r="Z24">
            <v>171123.0215</v>
          </cell>
          <cell r="AA24">
            <v>175634.9822</v>
          </cell>
          <cell r="AB24">
            <v>180558.5736</v>
          </cell>
          <cell r="AC24">
            <v>185880.75140000001</v>
          </cell>
          <cell r="AD24">
            <v>191607.3407</v>
          </cell>
          <cell r="AE24">
            <v>197696.7813</v>
          </cell>
          <cell r="AF24">
            <v>204085.35930000001</v>
          </cell>
          <cell r="AG24">
            <v>210718.9276</v>
          </cell>
          <cell r="AH24">
            <v>217557.3082</v>
          </cell>
          <cell r="AI24">
            <v>224565.53460000001</v>
          </cell>
          <cell r="AJ24">
            <v>231711.66190000001</v>
          </cell>
          <cell r="AK24">
            <v>238965.1649</v>
          </cell>
        </row>
        <row r="25">
          <cell r="B25">
            <v>104630.7294</v>
          </cell>
          <cell r="C25">
            <v>106786.68459999999</v>
          </cell>
          <cell r="D25">
            <v>109274.9333</v>
          </cell>
          <cell r="E25">
            <v>111996.125</v>
          </cell>
          <cell r="F25">
            <v>114898.3654</v>
          </cell>
          <cell r="G25">
            <v>117955.48729999999</v>
          </cell>
          <cell r="H25">
            <v>121090.4207</v>
          </cell>
          <cell r="I25">
            <v>124285.3645</v>
          </cell>
          <cell r="J25">
            <v>127537.1146</v>
          </cell>
          <cell r="K25">
            <v>130851.5333</v>
          </cell>
          <cell r="L25">
            <v>134137.65890000001</v>
          </cell>
          <cell r="M25">
            <v>136933.91959999999</v>
          </cell>
          <cell r="N25">
            <v>139377.67230000001</v>
          </cell>
          <cell r="O25">
            <v>141574.0007</v>
          </cell>
          <cell r="P25">
            <v>143637.13879999999</v>
          </cell>
          <cell r="Q25">
            <v>145667.3952</v>
          </cell>
          <cell r="R25">
            <v>147783.88889999999</v>
          </cell>
          <cell r="S25">
            <v>150077.34729999999</v>
          </cell>
          <cell r="T25">
            <v>152608.35949999999</v>
          </cell>
          <cell r="U25">
            <v>155406.91620000001</v>
          </cell>
          <cell r="V25">
            <v>158467.31529999999</v>
          </cell>
          <cell r="W25">
            <v>161850.09080000001</v>
          </cell>
          <cell r="X25">
            <v>165579.86009999999</v>
          </cell>
          <cell r="Y25">
            <v>169670.27050000001</v>
          </cell>
          <cell r="Z25">
            <v>174113.2395</v>
          </cell>
          <cell r="AA25">
            <v>178811.1116</v>
          </cell>
          <cell r="AB25">
            <v>183840.76620000001</v>
          </cell>
          <cell r="AC25">
            <v>189219.69620000001</v>
          </cell>
          <cell r="AD25">
            <v>194948.58540000001</v>
          </cell>
          <cell r="AE25">
            <v>200976.08470000001</v>
          </cell>
          <cell r="AF25">
            <v>207228.12409999999</v>
          </cell>
          <cell r="AG25">
            <v>213641.916</v>
          </cell>
          <cell r="AH25">
            <v>220170.3045</v>
          </cell>
          <cell r="AI25">
            <v>226771.93049999999</v>
          </cell>
          <cell r="AJ25">
            <v>233407.34460000001</v>
          </cell>
          <cell r="AK25">
            <v>240037.21479999999</v>
          </cell>
        </row>
        <row r="26">
          <cell r="B26">
            <v>271138.58409999998</v>
          </cell>
          <cell r="C26">
            <v>275431.64539999998</v>
          </cell>
          <cell r="D26">
            <v>280685.25189999997</v>
          </cell>
          <cell r="E26">
            <v>286768.9278</v>
          </cell>
          <cell r="F26">
            <v>293606.27179999999</v>
          </cell>
          <cell r="G26">
            <v>301124.35119999998</v>
          </cell>
          <cell r="H26">
            <v>309117.29849999998</v>
          </cell>
          <cell r="I26">
            <v>317063.29149999999</v>
          </cell>
          <cell r="J26">
            <v>325197.25589999999</v>
          </cell>
          <cell r="K26">
            <v>334217.4374</v>
          </cell>
          <cell r="L26">
            <v>344106.92709999997</v>
          </cell>
          <cell r="M26">
            <v>354348.59120000002</v>
          </cell>
          <cell r="N26">
            <v>364783.52500000002</v>
          </cell>
          <cell r="O26">
            <v>375375.8541</v>
          </cell>
          <cell r="P26">
            <v>386186.94030000002</v>
          </cell>
          <cell r="Q26">
            <v>397301.67200000002</v>
          </cell>
          <cell r="R26">
            <v>408798.46620000002</v>
          </cell>
          <cell r="S26">
            <v>420803.28149999998</v>
          </cell>
          <cell r="T26">
            <v>433448.18609999999</v>
          </cell>
          <cell r="U26">
            <v>446845.39350000001</v>
          </cell>
          <cell r="V26">
            <v>460992.40879999998</v>
          </cell>
          <cell r="W26">
            <v>476080.07290000003</v>
          </cell>
          <cell r="X26">
            <v>492199.3014</v>
          </cell>
          <cell r="Y26">
            <v>509443.95679999999</v>
          </cell>
          <cell r="Z26">
            <v>527888.77320000005</v>
          </cell>
          <cell r="AA26">
            <v>547294.96409999998</v>
          </cell>
          <cell r="AB26">
            <v>567893.06850000005</v>
          </cell>
          <cell r="AC26">
            <v>589759.94339999999</v>
          </cell>
          <cell r="AD26">
            <v>613012.81420000002</v>
          </cell>
          <cell r="AE26">
            <v>637770.38459999999</v>
          </cell>
          <cell r="AF26">
            <v>664132.05359999998</v>
          </cell>
          <cell r="AG26">
            <v>692182.93559999997</v>
          </cell>
          <cell r="AH26">
            <v>722015.90119999996</v>
          </cell>
          <cell r="AI26">
            <v>753758.61880000005</v>
          </cell>
          <cell r="AJ26">
            <v>787577.74529999995</v>
          </cell>
          <cell r="AK26">
            <v>823685.02590000001</v>
          </cell>
        </row>
        <row r="27">
          <cell r="B27">
            <v>271138.58409999998</v>
          </cell>
          <cell r="C27">
            <v>275431.64539999998</v>
          </cell>
          <cell r="D27">
            <v>280685.25180000003</v>
          </cell>
          <cell r="E27">
            <v>286768.9277</v>
          </cell>
          <cell r="F27">
            <v>293606.27179999999</v>
          </cell>
          <cell r="G27">
            <v>301124.35119999998</v>
          </cell>
          <cell r="H27">
            <v>309117.29849999998</v>
          </cell>
          <cell r="I27">
            <v>317522.89250000002</v>
          </cell>
          <cell r="J27">
            <v>326334.05900000001</v>
          </cell>
          <cell r="K27">
            <v>335575.87030000001</v>
          </cell>
          <cell r="L27">
            <v>345306.24300000002</v>
          </cell>
          <cell r="M27">
            <v>355072.87729999999</v>
          </cell>
          <cell r="N27">
            <v>364788.2991</v>
          </cell>
          <cell r="O27">
            <v>374457.26779999997</v>
          </cell>
          <cell r="P27">
            <v>384135.12119999999</v>
          </cell>
          <cell r="Q27">
            <v>393899.19209999999</v>
          </cell>
          <cell r="R27">
            <v>403933.98619999998</v>
          </cell>
          <cell r="S27">
            <v>414395.98420000001</v>
          </cell>
          <cell r="T27">
            <v>425395.15350000001</v>
          </cell>
          <cell r="U27">
            <v>436993.7622</v>
          </cell>
          <cell r="V27">
            <v>449131.09970000002</v>
          </cell>
          <cell r="W27">
            <v>461943.21480000002</v>
          </cell>
          <cell r="X27">
            <v>475466.66489999997</v>
          </cell>
          <cell r="Y27">
            <v>489732.68920000002</v>
          </cell>
          <cell r="Z27">
            <v>504748.46309999999</v>
          </cell>
          <cell r="AA27">
            <v>520216.5955</v>
          </cell>
          <cell r="AB27">
            <v>536317.26800000004</v>
          </cell>
          <cell r="AC27">
            <v>553092.82819999999</v>
          </cell>
          <cell r="AD27">
            <v>570593.15130000003</v>
          </cell>
          <cell r="AE27">
            <v>588847.85419999994</v>
          </cell>
          <cell r="AF27">
            <v>607853.12620000006</v>
          </cell>
          <cell r="AG27">
            <v>627587.31949999998</v>
          </cell>
          <cell r="AH27">
            <v>648021.94169999997</v>
          </cell>
          <cell r="AI27">
            <v>669120.65060000005</v>
          </cell>
          <cell r="AJ27">
            <v>690836.67489999998</v>
          </cell>
          <cell r="AK27">
            <v>713110.17940000002</v>
          </cell>
        </row>
        <row r="28">
          <cell r="B28">
            <v>6786.964524</v>
          </cell>
          <cell r="C28">
            <v>6903.8103689999998</v>
          </cell>
          <cell r="D28">
            <v>7033.2594419999996</v>
          </cell>
          <cell r="E28">
            <v>7172.7089500000002</v>
          </cell>
          <cell r="F28">
            <v>7321.6445039999999</v>
          </cell>
          <cell r="G28">
            <v>7479.126577</v>
          </cell>
          <cell r="H28">
            <v>7639.3355270000002</v>
          </cell>
          <cell r="I28">
            <v>7770.0471699999998</v>
          </cell>
          <cell r="J28">
            <v>7895.8146230000002</v>
          </cell>
          <cell r="K28">
            <v>8051.7372670000004</v>
          </cell>
          <cell r="L28">
            <v>8207.1284649999998</v>
          </cell>
          <cell r="M28">
            <v>8335.5020089999998</v>
          </cell>
          <cell r="N28">
            <v>8442.0878159999993</v>
          </cell>
          <cell r="O28">
            <v>8533.151269</v>
          </cell>
          <cell r="P28">
            <v>8616.4757200000004</v>
          </cell>
          <cell r="Q28">
            <v>8697.175577</v>
          </cell>
          <cell r="R28">
            <v>8778.6434069999996</v>
          </cell>
          <cell r="S28">
            <v>8865.2473769999997</v>
          </cell>
          <cell r="T28">
            <v>8960.7544170000001</v>
          </cell>
          <cell r="U28">
            <v>9067.5928249999997</v>
          </cell>
          <cell r="V28">
            <v>9185.4710419999992</v>
          </cell>
          <cell r="W28">
            <v>9319.6618319999998</v>
          </cell>
          <cell r="X28">
            <v>9471.3177790000009</v>
          </cell>
          <cell r="Y28">
            <v>9641.6396289999993</v>
          </cell>
          <cell r="Z28">
            <v>9830.94067</v>
          </cell>
          <cell r="AA28">
            <v>10032.658890000001</v>
          </cell>
          <cell r="AB28">
            <v>10254.65921</v>
          </cell>
          <cell r="AC28">
            <v>10497.423119999999</v>
          </cell>
          <cell r="AD28">
            <v>10761.506460000001</v>
          </cell>
          <cell r="AE28">
            <v>11045.257089999999</v>
          </cell>
          <cell r="AF28">
            <v>11345.896710000001</v>
          </cell>
          <cell r="AG28">
            <v>11660.981229999999</v>
          </cell>
          <cell r="AH28">
            <v>11988.665429999999</v>
          </cell>
          <cell r="AI28">
            <v>12327.30788</v>
          </cell>
          <cell r="AJ28">
            <v>12675.42114</v>
          </cell>
          <cell r="AK28">
            <v>13031.64942</v>
          </cell>
        </row>
        <row r="29">
          <cell r="B29">
            <v>6786.964524</v>
          </cell>
          <cell r="C29">
            <v>6903.8103680000004</v>
          </cell>
          <cell r="D29">
            <v>7033.2594419999996</v>
          </cell>
          <cell r="E29">
            <v>7172.7089500000002</v>
          </cell>
          <cell r="F29">
            <v>7321.6445039999999</v>
          </cell>
          <cell r="G29">
            <v>7479.126577</v>
          </cell>
          <cell r="H29">
            <v>7639.3355270000002</v>
          </cell>
          <cell r="I29">
            <v>7800.9851900000003</v>
          </cell>
          <cell r="J29">
            <v>7963.4980969999997</v>
          </cell>
          <cell r="K29">
            <v>8126.9605439999996</v>
          </cell>
          <cell r="L29">
            <v>8288.4811910000008</v>
          </cell>
          <cell r="M29">
            <v>8424.2504509999999</v>
          </cell>
          <cell r="N29">
            <v>8540.9713819999997</v>
          </cell>
          <cell r="O29">
            <v>8643.2991399999992</v>
          </cell>
          <cell r="P29">
            <v>8736.543447</v>
          </cell>
          <cell r="Q29">
            <v>8825.6615089999996</v>
          </cell>
          <cell r="R29">
            <v>8917.799497</v>
          </cell>
          <cell r="S29">
            <v>9018.0934629999992</v>
          </cell>
          <cell r="T29">
            <v>9129.8404659999997</v>
          </cell>
          <cell r="U29">
            <v>9254.7194720000007</v>
          </cell>
          <cell r="V29">
            <v>9391.6897900000004</v>
          </cell>
          <cell r="W29">
            <v>9545.3804799999998</v>
          </cell>
          <cell r="X29">
            <v>9716.3558909999992</v>
          </cell>
          <cell r="Y29">
            <v>9905.2636910000001</v>
          </cell>
          <cell r="Z29">
            <v>10111.815629999999</v>
          </cell>
          <cell r="AA29">
            <v>10328.8462</v>
          </cell>
          <cell r="AB29">
            <v>10563.50958</v>
          </cell>
          <cell r="AC29">
            <v>10815.67887</v>
          </cell>
          <cell r="AD29">
            <v>11085.263800000001</v>
          </cell>
          <cell r="AE29">
            <v>11369.780140000001</v>
          </cell>
          <cell r="AF29">
            <v>11665.60175</v>
          </cell>
          <cell r="AG29">
            <v>11969.480020000001</v>
          </cell>
          <cell r="AH29">
            <v>12278.78188</v>
          </cell>
          <cell r="AI29">
            <v>12591.11016</v>
          </cell>
          <cell r="AJ29">
            <v>12904.175939999999</v>
          </cell>
          <cell r="AK29">
            <v>13215.74776</v>
          </cell>
        </row>
        <row r="30">
          <cell r="B30">
            <v>78079.915919999999</v>
          </cell>
          <cell r="C30">
            <v>79424.156579999995</v>
          </cell>
          <cell r="D30">
            <v>80913.389769999994</v>
          </cell>
          <cell r="E30">
            <v>82517.671889999998</v>
          </cell>
          <cell r="F30">
            <v>84231.085229999997</v>
          </cell>
          <cell r="G30">
            <v>86042.821089999998</v>
          </cell>
          <cell r="H30">
            <v>87885.928020000007</v>
          </cell>
          <cell r="I30">
            <v>89389.686300000001</v>
          </cell>
          <cell r="J30">
            <v>90836.564660000004</v>
          </cell>
          <cell r="K30">
            <v>92630.360239999995</v>
          </cell>
          <cell r="L30">
            <v>94418.041849999994</v>
          </cell>
          <cell r="M30">
            <v>95894.901710000006</v>
          </cell>
          <cell r="N30">
            <v>97121.106870000003</v>
          </cell>
          <cell r="O30">
            <v>98168.736739999993</v>
          </cell>
          <cell r="P30">
            <v>99127.334069999997</v>
          </cell>
          <cell r="Q30">
            <v>100055.73699999999</v>
          </cell>
          <cell r="R30">
            <v>100992.9751</v>
          </cell>
          <cell r="S30">
            <v>101989.30130000001</v>
          </cell>
          <cell r="T30">
            <v>103088.05190000001</v>
          </cell>
          <cell r="U30">
            <v>104317.16310000001</v>
          </cell>
          <cell r="V30">
            <v>105673.2806</v>
          </cell>
          <cell r="W30">
            <v>107217.0644</v>
          </cell>
          <cell r="X30">
            <v>108961.7742</v>
          </cell>
          <cell r="Y30">
            <v>110921.2239</v>
          </cell>
          <cell r="Z30">
            <v>113099.0177</v>
          </cell>
          <cell r="AA30">
            <v>115419.6636</v>
          </cell>
          <cell r="AB30">
            <v>117973.6428</v>
          </cell>
          <cell r="AC30">
            <v>120766.49460000001</v>
          </cell>
          <cell r="AD30">
            <v>123804.61350000001</v>
          </cell>
          <cell r="AE30">
            <v>127068.9926</v>
          </cell>
          <cell r="AF30">
            <v>130527.66929999999</v>
          </cell>
          <cell r="AG30">
            <v>134152.5258</v>
          </cell>
          <cell r="AH30">
            <v>137922.33420000001</v>
          </cell>
          <cell r="AI30">
            <v>141818.21030000001</v>
          </cell>
          <cell r="AJ30">
            <v>145823.04250000001</v>
          </cell>
          <cell r="AK30">
            <v>149921.23319999999</v>
          </cell>
        </row>
        <row r="31">
          <cell r="B31">
            <v>78079.915919999999</v>
          </cell>
          <cell r="C31">
            <v>79424.156579999995</v>
          </cell>
          <cell r="D31">
            <v>80913.389760000005</v>
          </cell>
          <cell r="E31">
            <v>82517.671879999994</v>
          </cell>
          <cell r="F31">
            <v>84231.085219999994</v>
          </cell>
          <cell r="G31">
            <v>86042.821079999994</v>
          </cell>
          <cell r="H31">
            <v>87885.928020000007</v>
          </cell>
          <cell r="I31">
            <v>89745.609469999996</v>
          </cell>
          <cell r="J31">
            <v>91615.222039999993</v>
          </cell>
          <cell r="K31">
            <v>93495.758480000004</v>
          </cell>
          <cell r="L31">
            <v>95353.955679999999</v>
          </cell>
          <cell r="M31">
            <v>96915.898780000003</v>
          </cell>
          <cell r="N31">
            <v>98258.702399999995</v>
          </cell>
          <cell r="O31">
            <v>99435.921270000006</v>
          </cell>
          <cell r="P31">
            <v>100508.64049999999</v>
          </cell>
          <cell r="Q31">
            <v>101533.88989999999</v>
          </cell>
          <cell r="R31">
            <v>102593.88159999999</v>
          </cell>
          <cell r="S31">
            <v>103747.7029</v>
          </cell>
          <cell r="T31">
            <v>105033.28449999999</v>
          </cell>
          <cell r="U31">
            <v>106469.9418</v>
          </cell>
          <cell r="V31">
            <v>108045.70239999999</v>
          </cell>
          <cell r="W31">
            <v>109813.8207</v>
          </cell>
          <cell r="X31">
            <v>111780.7892</v>
          </cell>
          <cell r="Y31">
            <v>113954.0591</v>
          </cell>
          <cell r="Z31">
            <v>116330.314</v>
          </cell>
          <cell r="AA31">
            <v>118827.11930000001</v>
          </cell>
          <cell r="AB31">
            <v>121526.77929999999</v>
          </cell>
          <cell r="AC31">
            <v>124427.8342</v>
          </cell>
          <cell r="AD31">
            <v>127529.24559999999</v>
          </cell>
          <cell r="AE31">
            <v>130802.43369999999</v>
          </cell>
          <cell r="AF31">
            <v>134205.68220000001</v>
          </cell>
          <cell r="AG31">
            <v>137701.6176</v>
          </cell>
          <cell r="AH31">
            <v>141259.94810000001</v>
          </cell>
          <cell r="AI31">
            <v>144853.09580000001</v>
          </cell>
          <cell r="AJ31">
            <v>148454.728</v>
          </cell>
          <cell r="AK31">
            <v>152039.17300000001</v>
          </cell>
        </row>
        <row r="32">
          <cell r="B32">
            <v>15431.506740000001</v>
          </cell>
          <cell r="C32">
            <v>15999.34835</v>
          </cell>
          <cell r="D32">
            <v>16561.033660000001</v>
          </cell>
          <cell r="E32">
            <v>17115.639149999999</v>
          </cell>
          <cell r="F32">
            <v>17674.912520000002</v>
          </cell>
          <cell r="G32">
            <v>18244.011999999999</v>
          </cell>
          <cell r="H32">
            <v>18817.88336</v>
          </cell>
          <cell r="I32">
            <v>19304.951550000002</v>
          </cell>
          <cell r="J32">
            <v>19903.479520000001</v>
          </cell>
          <cell r="K32">
            <v>20830.494579999999</v>
          </cell>
          <cell r="L32">
            <v>21776.985850000001</v>
          </cell>
          <cell r="M32">
            <v>22545.241000000002</v>
          </cell>
          <cell r="N32">
            <v>23134.883969999999</v>
          </cell>
          <cell r="O32">
            <v>23591.408780000002</v>
          </cell>
          <cell r="P32">
            <v>23978.487079999999</v>
          </cell>
          <cell r="Q32">
            <v>24331.52088</v>
          </cell>
          <cell r="R32">
            <v>24704.036240000001</v>
          </cell>
          <cell r="S32">
            <v>25128.622319999999</v>
          </cell>
          <cell r="T32">
            <v>25624.719710000001</v>
          </cell>
          <cell r="U32">
            <v>26195.883269999998</v>
          </cell>
          <cell r="V32">
            <v>26844.757000000001</v>
          </cell>
          <cell r="W32">
            <v>27578.100719999999</v>
          </cell>
          <cell r="X32">
            <v>28406.289280000001</v>
          </cell>
          <cell r="Y32">
            <v>29323.91963</v>
          </cell>
          <cell r="Z32">
            <v>30317.276740000001</v>
          </cell>
          <cell r="AA32">
            <v>31376.58757</v>
          </cell>
          <cell r="AB32">
            <v>32523.55632</v>
          </cell>
          <cell r="AC32">
            <v>33797.229650000001</v>
          </cell>
          <cell r="AD32">
            <v>35194.202799999999</v>
          </cell>
          <cell r="AE32">
            <v>36686.631609999997</v>
          </cell>
          <cell r="AF32">
            <v>38243.541069999999</v>
          </cell>
          <cell r="AG32">
            <v>39858.002509999998</v>
          </cell>
          <cell r="AH32">
            <v>41538.792540000002</v>
          </cell>
          <cell r="AI32">
            <v>43282.04279</v>
          </cell>
          <cell r="AJ32">
            <v>45080.453990000002</v>
          </cell>
          <cell r="AK32">
            <v>46926.096120000002</v>
          </cell>
        </row>
        <row r="33">
          <cell r="B33">
            <v>15431.506740000001</v>
          </cell>
          <cell r="C33">
            <v>15999.34835</v>
          </cell>
          <cell r="D33">
            <v>16561.033660000001</v>
          </cell>
          <cell r="E33">
            <v>17115.639149999999</v>
          </cell>
          <cell r="F33">
            <v>17674.912520000002</v>
          </cell>
          <cell r="G33">
            <v>18244.011999999999</v>
          </cell>
          <cell r="H33">
            <v>18817.88337</v>
          </cell>
          <cell r="I33">
            <v>19391.08641</v>
          </cell>
          <cell r="J33">
            <v>19961.904320000001</v>
          </cell>
          <cell r="K33">
            <v>20531.600350000001</v>
          </cell>
          <cell r="L33">
            <v>21055.591250000001</v>
          </cell>
          <cell r="M33">
            <v>21406.871319999998</v>
          </cell>
          <cell r="N33">
            <v>21663.053619999999</v>
          </cell>
          <cell r="O33">
            <v>21866.454819999999</v>
          </cell>
          <cell r="P33">
            <v>22055.507809999999</v>
          </cell>
          <cell r="Q33">
            <v>22258.134590000001</v>
          </cell>
          <cell r="R33">
            <v>22500.82602</v>
          </cell>
          <cell r="S33">
            <v>22804.018250000001</v>
          </cell>
          <cell r="T33">
            <v>23179.167290000001</v>
          </cell>
          <cell r="U33">
            <v>23627.990040000001</v>
          </cell>
          <cell r="V33">
            <v>24151.80716</v>
          </cell>
          <cell r="W33">
            <v>24749.80343</v>
          </cell>
          <cell r="X33">
            <v>25425.627570000001</v>
          </cell>
          <cell r="Y33">
            <v>26178.167440000001</v>
          </cell>
          <cell r="Z33">
            <v>27000.641169999999</v>
          </cell>
          <cell r="AA33">
            <v>27889.081859999998</v>
          </cell>
          <cell r="AB33">
            <v>28842.367279999999</v>
          </cell>
          <cell r="AC33">
            <v>29865.59764</v>
          </cell>
          <cell r="AD33">
            <v>30955.489529999999</v>
          </cell>
          <cell r="AE33">
            <v>32091.897059999999</v>
          </cell>
          <cell r="AF33">
            <v>33251.594940000003</v>
          </cell>
          <cell r="AG33">
            <v>34419.218939999999</v>
          </cell>
          <cell r="AH33">
            <v>35586.359799999998</v>
          </cell>
          <cell r="AI33">
            <v>36746.922400000003</v>
          </cell>
          <cell r="AJ33">
            <v>37895.606899999999</v>
          </cell>
          <cell r="AK33">
            <v>39027.222569999998</v>
          </cell>
        </row>
        <row r="34">
          <cell r="B34">
            <v>20625.000660000002</v>
          </cell>
          <cell r="C34">
            <v>21150.673060000001</v>
          </cell>
          <cell r="D34">
            <v>21712.381539999998</v>
          </cell>
          <cell r="E34">
            <v>22285.751520000002</v>
          </cell>
          <cell r="F34">
            <v>22904.97136</v>
          </cell>
          <cell r="G34">
            <v>23582.189190000001</v>
          </cell>
          <cell r="H34">
            <v>24300.845959999999</v>
          </cell>
          <cell r="I34">
            <v>24810.18792</v>
          </cell>
          <cell r="J34">
            <v>25277.221239999999</v>
          </cell>
          <cell r="K34">
            <v>25936.971130000002</v>
          </cell>
          <cell r="L34">
            <v>26608.74367</v>
          </cell>
          <cell r="M34">
            <v>27201.698560000001</v>
          </cell>
          <cell r="N34">
            <v>27734.940610000001</v>
          </cell>
          <cell r="O34">
            <v>28222.611779999999</v>
          </cell>
          <cell r="P34">
            <v>28687.66634</v>
          </cell>
          <cell r="Q34">
            <v>29140.1698</v>
          </cell>
          <cell r="R34">
            <v>29563.548940000001</v>
          </cell>
          <cell r="S34">
            <v>29985.851579999999</v>
          </cell>
          <cell r="T34">
            <v>30432.675179999998</v>
          </cell>
          <cell r="U34">
            <v>30923.565149999999</v>
          </cell>
          <cell r="V34">
            <v>31468.865760000001</v>
          </cell>
          <cell r="W34">
            <v>32094.99987</v>
          </cell>
          <cell r="X34">
            <v>32818.669929999996</v>
          </cell>
          <cell r="Y34">
            <v>33647.823750000003</v>
          </cell>
          <cell r="Z34">
            <v>34583.16373</v>
          </cell>
          <cell r="AA34">
            <v>35604.461770000002</v>
          </cell>
          <cell r="AB34">
            <v>36748.89099</v>
          </cell>
          <cell r="AC34">
            <v>38040.038339999999</v>
          </cell>
          <cell r="AD34">
            <v>39487.950830000002</v>
          </cell>
          <cell r="AE34">
            <v>41086.863149999997</v>
          </cell>
          <cell r="AF34">
            <v>42825.110979999998</v>
          </cell>
          <cell r="AG34">
            <v>44700.15019</v>
          </cell>
          <cell r="AH34">
            <v>46717.570619999999</v>
          </cell>
          <cell r="AI34">
            <v>48879.216379999998</v>
          </cell>
          <cell r="AJ34">
            <v>51185.984420000001</v>
          </cell>
          <cell r="AK34">
            <v>53639.182159999997</v>
          </cell>
        </row>
        <row r="35">
          <cell r="B35">
            <v>20625.000660000002</v>
          </cell>
          <cell r="C35">
            <v>21150.673060000001</v>
          </cell>
          <cell r="D35">
            <v>21712.381539999998</v>
          </cell>
          <cell r="E35">
            <v>22285.751520000002</v>
          </cell>
          <cell r="F35">
            <v>22904.97136</v>
          </cell>
          <cell r="G35">
            <v>23582.189190000001</v>
          </cell>
          <cell r="H35">
            <v>24300.845959999999</v>
          </cell>
          <cell r="I35">
            <v>25050.01727</v>
          </cell>
          <cell r="J35">
            <v>25823.589840000001</v>
          </cell>
          <cell r="K35">
            <v>26618.353080000001</v>
          </cell>
          <cell r="L35">
            <v>27405.21169</v>
          </cell>
          <cell r="M35">
            <v>28062.846430000001</v>
          </cell>
          <cell r="N35">
            <v>28630.036260000001</v>
          </cell>
          <cell r="O35">
            <v>29128.106800000001</v>
          </cell>
          <cell r="P35">
            <v>29581.42196</v>
          </cell>
          <cell r="Q35">
            <v>30012.557499999999</v>
          </cell>
          <cell r="R35">
            <v>30451.503560000001</v>
          </cell>
          <cell r="S35">
            <v>30920.670620000001</v>
          </cell>
          <cell r="T35">
            <v>31435.951809999999</v>
          </cell>
          <cell r="U35">
            <v>32006.69039</v>
          </cell>
          <cell r="V35">
            <v>32634.267690000001</v>
          </cell>
          <cell r="W35">
            <v>33337.031049999998</v>
          </cell>
          <cell r="X35">
            <v>34124.460939999997</v>
          </cell>
          <cell r="Y35">
            <v>35002.4738</v>
          </cell>
          <cell r="Z35">
            <v>35971.219100000002</v>
          </cell>
          <cell r="AA35">
            <v>37008.30227</v>
          </cell>
          <cell r="AB35">
            <v>38135.971310000001</v>
          </cell>
          <cell r="AC35">
            <v>39361.54191</v>
          </cell>
          <cell r="AD35">
            <v>40686.932209999999</v>
          </cell>
          <cell r="AE35">
            <v>42100.561809999999</v>
          </cell>
          <cell r="AF35">
            <v>43584.87717</v>
          </cell>
          <cell r="AG35">
            <v>45124.558100000002</v>
          </cell>
          <cell r="AH35">
            <v>46707.078170000001</v>
          </cell>
          <cell r="AI35">
            <v>48320.247340000002</v>
          </cell>
          <cell r="AJ35">
            <v>49951.640079999997</v>
          </cell>
          <cell r="AK35">
            <v>51588.414530000002</v>
          </cell>
        </row>
        <row r="36">
          <cell r="B36">
            <v>2017586.2379999999</v>
          </cell>
          <cell r="C36">
            <v>2055246.027</v>
          </cell>
          <cell r="D36">
            <v>2099172.5019999999</v>
          </cell>
          <cell r="E36">
            <v>2148152.2719999999</v>
          </cell>
          <cell r="F36">
            <v>2200934.8029999998</v>
          </cell>
          <cell r="G36">
            <v>2256996.0079999999</v>
          </cell>
          <cell r="H36">
            <v>2314448.4939999999</v>
          </cell>
          <cell r="I36">
            <v>2367819.92</v>
          </cell>
          <cell r="J36">
            <v>2421242.8730000001</v>
          </cell>
          <cell r="K36">
            <v>2484657.3259999999</v>
          </cell>
          <cell r="L36">
            <v>2550460.2560000001</v>
          </cell>
          <cell r="M36">
            <v>2609357.0079999999</v>
          </cell>
          <cell r="N36">
            <v>2661962.9959999998</v>
          </cell>
          <cell r="O36">
            <v>2709464.6529999999</v>
          </cell>
          <cell r="P36">
            <v>2753743.645</v>
          </cell>
          <cell r="Q36">
            <v>2796206.95</v>
          </cell>
          <cell r="R36">
            <v>2838055.7420000001</v>
          </cell>
          <cell r="S36">
            <v>2880801.335</v>
          </cell>
          <cell r="T36">
            <v>2925604.977</v>
          </cell>
          <cell r="U36">
            <v>2973301.8939999999</v>
          </cell>
          <cell r="V36">
            <v>3023730.0380000002</v>
          </cell>
          <cell r="W36">
            <v>3078763.8990000002</v>
          </cell>
          <cell r="X36">
            <v>3138883.44</v>
          </cell>
          <cell r="Y36">
            <v>3204599.8560000001</v>
          </cell>
          <cell r="Z36">
            <v>3276126.247</v>
          </cell>
          <cell r="AA36">
            <v>3351017.2059999998</v>
          </cell>
          <cell r="AB36">
            <v>3432010.3859999999</v>
          </cell>
          <cell r="AC36">
            <v>3519279.0980000002</v>
          </cell>
          <cell r="AD36">
            <v>3613211.2659999998</v>
          </cell>
          <cell r="AE36">
            <v>3713589.818</v>
          </cell>
          <cell r="AF36">
            <v>3819768.34</v>
          </cell>
          <cell r="AG36">
            <v>3931040.5079999999</v>
          </cell>
          <cell r="AH36">
            <v>4046789.4929999998</v>
          </cell>
          <cell r="AI36">
            <v>4166471.1830000002</v>
          </cell>
          <cell r="AJ36">
            <v>4289574.0530000003</v>
          </cell>
          <cell r="AK36">
            <v>4415600.9800000004</v>
          </cell>
        </row>
        <row r="37">
          <cell r="B37">
            <v>2017586.2379999999</v>
          </cell>
          <cell r="C37">
            <v>2055246.027</v>
          </cell>
          <cell r="D37">
            <v>2099172.5019999999</v>
          </cell>
          <cell r="E37">
            <v>2148152.2710000002</v>
          </cell>
          <cell r="F37">
            <v>2200934.8020000001</v>
          </cell>
          <cell r="G37">
            <v>2256996.0079999999</v>
          </cell>
          <cell r="H37">
            <v>2314448.4939999999</v>
          </cell>
          <cell r="I37">
            <v>2373039.7570000002</v>
          </cell>
          <cell r="J37">
            <v>2432657.6379999998</v>
          </cell>
          <cell r="K37">
            <v>2493352.9619999998</v>
          </cell>
          <cell r="L37">
            <v>2554603.67</v>
          </cell>
          <cell r="M37">
            <v>2609358.9470000002</v>
          </cell>
          <cell r="N37">
            <v>2658740.5789999999</v>
          </cell>
          <cell r="O37">
            <v>2703680.9939999999</v>
          </cell>
          <cell r="P37">
            <v>2745450.4539999999</v>
          </cell>
          <cell r="Q37">
            <v>2785376.966</v>
          </cell>
          <cell r="R37">
            <v>2825522.14</v>
          </cell>
          <cell r="S37">
            <v>2867397.4589999998</v>
          </cell>
          <cell r="T37">
            <v>2912071.9720000001</v>
          </cell>
          <cell r="U37">
            <v>2960198.3879999998</v>
          </cell>
          <cell r="V37">
            <v>3011453.298</v>
          </cell>
          <cell r="W37">
            <v>3067585.4029999999</v>
          </cell>
          <cell r="X37">
            <v>3128957.8969999999</v>
          </cell>
          <cell r="Y37">
            <v>3195943.71</v>
          </cell>
          <cell r="Z37">
            <v>3268607.8509999998</v>
          </cell>
          <cell r="AA37">
            <v>3344408.2779999999</v>
          </cell>
          <cell r="AB37">
            <v>3425882.298</v>
          </cell>
          <cell r="AC37">
            <v>3513187.676</v>
          </cell>
          <cell r="AD37">
            <v>3606517.2629999998</v>
          </cell>
          <cell r="AE37">
            <v>3705412.9649999999</v>
          </cell>
          <cell r="AF37">
            <v>3809005.2930000001</v>
          </cell>
          <cell r="AG37">
            <v>3916416.798</v>
          </cell>
          <cell r="AH37">
            <v>4026861.5079999999</v>
          </cell>
          <cell r="AI37">
            <v>4139566.7489999998</v>
          </cell>
          <cell r="AJ37">
            <v>4253748.3940000003</v>
          </cell>
          <cell r="AK37">
            <v>4368602.0779999997</v>
          </cell>
        </row>
        <row r="38">
          <cell r="B38">
            <v>540249.26729999995</v>
          </cell>
          <cell r="C38">
            <v>548223.91240000003</v>
          </cell>
          <cell r="D38">
            <v>557100.86569999997</v>
          </cell>
          <cell r="E38">
            <v>566439.66669999994</v>
          </cell>
          <cell r="F38">
            <v>576174.11399999994</v>
          </cell>
          <cell r="G38">
            <v>586269.87219999998</v>
          </cell>
          <cell r="H38">
            <v>596207.34719999996</v>
          </cell>
          <cell r="I38">
            <v>606223.03540000005</v>
          </cell>
          <cell r="J38">
            <v>616400.96100000001</v>
          </cell>
          <cell r="K38">
            <v>627241.39780000004</v>
          </cell>
          <cell r="L38">
            <v>639179.7047</v>
          </cell>
          <cell r="M38">
            <v>650189.17570000002</v>
          </cell>
          <cell r="N38">
            <v>661020.29870000004</v>
          </cell>
          <cell r="O38">
            <v>671717.04610000004</v>
          </cell>
          <cell r="P38">
            <v>682370.5392</v>
          </cell>
          <cell r="Q38">
            <v>693065.03</v>
          </cell>
          <cell r="R38">
            <v>703907.14839999995</v>
          </cell>
          <cell r="S38">
            <v>714983.93550000002</v>
          </cell>
          <cell r="T38">
            <v>726375.8199</v>
          </cell>
          <cell r="U38">
            <v>738147.1102</v>
          </cell>
          <cell r="V38">
            <v>749734.45600000001</v>
          </cell>
          <cell r="W38">
            <v>762384.75080000004</v>
          </cell>
          <cell r="X38">
            <v>775585.96889999998</v>
          </cell>
          <cell r="Y38">
            <v>789378.99600000004</v>
          </cell>
          <cell r="Z38">
            <v>803790.49699999997</v>
          </cell>
          <cell r="AA38">
            <v>817026.29169999994</v>
          </cell>
          <cell r="AB38">
            <v>831741.97950000002</v>
          </cell>
          <cell r="AC38">
            <v>847107.40150000004</v>
          </cell>
          <cell r="AD38">
            <v>863157.50919999997</v>
          </cell>
          <cell r="AE38">
            <v>879898.67830000003</v>
          </cell>
          <cell r="AF38">
            <v>897311.64260000002</v>
          </cell>
          <cell r="AG38">
            <v>915369.08420000004</v>
          </cell>
          <cell r="AH38">
            <v>934045.5601</v>
          </cell>
          <cell r="AI38">
            <v>953320.34909999999</v>
          </cell>
          <cell r="AJ38">
            <v>973175.94039999996</v>
          </cell>
          <cell r="AK38">
            <v>993595.80169999995</v>
          </cell>
        </row>
        <row r="39">
          <cell r="B39">
            <v>540249.26729999995</v>
          </cell>
          <cell r="C39">
            <v>548223.91240000003</v>
          </cell>
          <cell r="D39">
            <v>557100.86569999997</v>
          </cell>
          <cell r="E39">
            <v>566439.6666</v>
          </cell>
          <cell r="F39">
            <v>576174.11399999994</v>
          </cell>
          <cell r="G39">
            <v>586269.87219999998</v>
          </cell>
          <cell r="H39">
            <v>596207.34719999996</v>
          </cell>
          <cell r="I39">
            <v>606393.09939999995</v>
          </cell>
          <cell r="J39">
            <v>616810.2942</v>
          </cell>
          <cell r="K39">
            <v>627453.80839999998</v>
          </cell>
          <cell r="L39">
            <v>639063.87769999995</v>
          </cell>
          <cell r="M39">
            <v>649759.94350000005</v>
          </cell>
          <cell r="N39">
            <v>660313.61060000001</v>
          </cell>
          <cell r="O39">
            <v>670766.21129999997</v>
          </cell>
          <cell r="P39">
            <v>681186.8321</v>
          </cell>
          <cell r="Q39">
            <v>691658.19770000002</v>
          </cell>
          <cell r="R39">
            <v>702312.99210000003</v>
          </cell>
          <cell r="S39">
            <v>713253.74060000002</v>
          </cell>
          <cell r="T39">
            <v>724559.46680000005</v>
          </cell>
          <cell r="U39">
            <v>736285.22869999998</v>
          </cell>
          <cell r="V39">
            <v>747858.56969999999</v>
          </cell>
          <cell r="W39">
            <v>760518.87100000004</v>
          </cell>
          <cell r="X39">
            <v>773746.01549999998</v>
          </cell>
          <cell r="Y39">
            <v>787571.52069999999</v>
          </cell>
          <cell r="Z39">
            <v>802012.47450000001</v>
          </cell>
          <cell r="AA39">
            <v>815268.19079999998</v>
          </cell>
          <cell r="AB39">
            <v>829983.58089999994</v>
          </cell>
          <cell r="AC39">
            <v>845322.08180000004</v>
          </cell>
          <cell r="AD39">
            <v>861303.28119999997</v>
          </cell>
          <cell r="AE39">
            <v>877916.43980000005</v>
          </cell>
          <cell r="AF39">
            <v>895126.55909999995</v>
          </cell>
          <cell r="AG39">
            <v>912893.02579999994</v>
          </cell>
          <cell r="AH39">
            <v>931175.74089999998</v>
          </cell>
          <cell r="AI39">
            <v>949934.37769999995</v>
          </cell>
          <cell r="AJ39">
            <v>969128.19979999994</v>
          </cell>
          <cell r="AK39">
            <v>988714.07869999995</v>
          </cell>
        </row>
        <row r="40">
          <cell r="B40">
            <v>4213.3121289999999</v>
          </cell>
          <cell r="C40">
            <v>4284.6533229999995</v>
          </cell>
          <cell r="D40">
            <v>4365.1254600000002</v>
          </cell>
          <cell r="E40">
            <v>4450.5851290000001</v>
          </cell>
          <cell r="F40">
            <v>4544.504414</v>
          </cell>
          <cell r="G40">
            <v>4646.040285</v>
          </cell>
          <cell r="H40">
            <v>4750.4413860000004</v>
          </cell>
          <cell r="I40">
            <v>4802.8056390000002</v>
          </cell>
          <cell r="J40">
            <v>4848.5824469999998</v>
          </cell>
          <cell r="K40">
            <v>4912.8402589999996</v>
          </cell>
          <cell r="L40">
            <v>4977.461738</v>
          </cell>
          <cell r="M40">
            <v>5027.3232189999999</v>
          </cell>
          <cell r="N40">
            <v>5062.826693</v>
          </cell>
          <cell r="O40">
            <v>5088.1317079999999</v>
          </cell>
          <cell r="P40">
            <v>5108.8234380000004</v>
          </cell>
          <cell r="Q40">
            <v>5128.7200560000001</v>
          </cell>
          <cell r="R40">
            <v>5159.624186</v>
          </cell>
          <cell r="S40">
            <v>5196.0425619999996</v>
          </cell>
          <cell r="T40">
            <v>5240.7443869999997</v>
          </cell>
          <cell r="U40">
            <v>5295.2919339999999</v>
          </cell>
          <cell r="V40">
            <v>5359.9363530000001</v>
          </cell>
          <cell r="W40">
            <v>5437.0783689999998</v>
          </cell>
          <cell r="X40">
            <v>5527.9214350000002</v>
          </cell>
          <cell r="Y40">
            <v>5632.8547840000001</v>
          </cell>
          <cell r="Z40">
            <v>5751.5517890000001</v>
          </cell>
          <cell r="AA40">
            <v>5880.7975859999997</v>
          </cell>
          <cell r="AB40">
            <v>6020.2584559999996</v>
          </cell>
          <cell r="AC40">
            <v>6174.7765300000001</v>
          </cell>
          <cell r="AD40">
            <v>6344.2151560000002</v>
          </cell>
          <cell r="AE40">
            <v>6526.5900600000004</v>
          </cell>
          <cell r="AF40">
            <v>6719.2659640000002</v>
          </cell>
          <cell r="AG40">
            <v>6920.4637430000002</v>
          </cell>
          <cell r="AH40">
            <v>7129.1807680000002</v>
          </cell>
          <cell r="AI40">
            <v>7344.2185399999998</v>
          </cell>
          <cell r="AJ40">
            <v>7564.4396399999996</v>
          </cell>
          <cell r="AK40">
            <v>7788.8315480000001</v>
          </cell>
        </row>
        <row r="41">
          <cell r="B41">
            <v>4213.3121270000001</v>
          </cell>
          <cell r="C41">
            <v>4284.6533209999998</v>
          </cell>
          <cell r="D41">
            <v>4365.1254589999999</v>
          </cell>
          <cell r="E41">
            <v>4450.5851290000001</v>
          </cell>
          <cell r="F41">
            <v>4544.504414</v>
          </cell>
          <cell r="G41">
            <v>4646.040285</v>
          </cell>
          <cell r="H41">
            <v>4750.4413860000004</v>
          </cell>
          <cell r="I41">
            <v>4855.5492039999999</v>
          </cell>
          <cell r="J41">
            <v>4960.722471</v>
          </cell>
          <cell r="K41">
            <v>5065.9998869999999</v>
          </cell>
          <cell r="L41">
            <v>5168.017734</v>
          </cell>
          <cell r="M41">
            <v>5249.992491</v>
          </cell>
          <cell r="N41">
            <v>5317.049841</v>
          </cell>
          <cell r="O41">
            <v>5373.7623309999999</v>
          </cell>
          <cell r="P41">
            <v>5425.0205480000004</v>
          </cell>
          <cell r="Q41">
            <v>5475.0957770000005</v>
          </cell>
          <cell r="R41">
            <v>5529.9632009999996</v>
          </cell>
          <cell r="S41">
            <v>5593.5813820000003</v>
          </cell>
          <cell r="T41">
            <v>5668.3497310000002</v>
          </cell>
          <cell r="U41">
            <v>5755.2779970000001</v>
          </cell>
          <cell r="V41">
            <v>5853.9875849999999</v>
          </cell>
          <cell r="W41">
            <v>5966.1805599999998</v>
          </cell>
          <cell r="X41">
            <v>6092.4731819999997</v>
          </cell>
          <cell r="Y41">
            <v>6233.0368209999997</v>
          </cell>
          <cell r="Z41">
            <v>6387.3423819999998</v>
          </cell>
          <cell r="AA41">
            <v>6551.8276130000004</v>
          </cell>
          <cell r="AB41">
            <v>6728.6281449999997</v>
          </cell>
          <cell r="AC41">
            <v>6918.170333</v>
          </cell>
          <cell r="AD41">
            <v>7120.1238290000001</v>
          </cell>
          <cell r="AE41">
            <v>7332.1757889999999</v>
          </cell>
          <cell r="AF41">
            <v>7551.2262060000003</v>
          </cell>
          <cell r="AG41">
            <v>7774.6505370000004</v>
          </cell>
          <cell r="AH41">
            <v>8000.4775820000004</v>
          </cell>
          <cell r="AI41">
            <v>8227.0369289999999</v>
          </cell>
          <cell r="AJ41">
            <v>8452.8075129999997</v>
          </cell>
          <cell r="AK41">
            <v>8676.3512350000001</v>
          </cell>
        </row>
        <row r="42">
          <cell r="B42">
            <v>35350.668339999997</v>
          </cell>
          <cell r="C42">
            <v>35670.003940000002</v>
          </cell>
          <cell r="D42">
            <v>35996.471870000001</v>
          </cell>
          <cell r="E42">
            <v>36346.286719999996</v>
          </cell>
          <cell r="F42">
            <v>36805.831140000002</v>
          </cell>
          <cell r="G42">
            <v>37363.035080000001</v>
          </cell>
          <cell r="H42">
            <v>37970.470359999999</v>
          </cell>
          <cell r="I42">
            <v>37674.929429999997</v>
          </cell>
          <cell r="J42">
            <v>37356.590459999999</v>
          </cell>
          <cell r="K42">
            <v>37176.944750000002</v>
          </cell>
          <cell r="L42">
            <v>36984.249609999999</v>
          </cell>
          <cell r="M42">
            <v>36710.031199999998</v>
          </cell>
          <cell r="N42">
            <v>36360.679770000002</v>
          </cell>
          <cell r="O42">
            <v>35956.126109999997</v>
          </cell>
          <cell r="P42">
            <v>35523.387300000002</v>
          </cell>
          <cell r="Q42">
            <v>35075.83887</v>
          </cell>
          <cell r="R42">
            <v>34572.950680000002</v>
          </cell>
          <cell r="S42">
            <v>34064.859960000002</v>
          </cell>
          <cell r="T42">
            <v>33563.151590000001</v>
          </cell>
          <cell r="U42">
            <v>33072.496339999998</v>
          </cell>
          <cell r="V42">
            <v>32592.117180000001</v>
          </cell>
          <cell r="W42">
            <v>32128.669669999999</v>
          </cell>
          <cell r="X42">
            <v>31684.330979999999</v>
          </cell>
          <cell r="Y42">
            <v>31257.882089999999</v>
          </cell>
          <cell r="Z42">
            <v>30844.747380000001</v>
          </cell>
          <cell r="AA42">
            <v>30431.780320000002</v>
          </cell>
          <cell r="AB42">
            <v>30039.397710000001</v>
          </cell>
          <cell r="AC42">
            <v>29657.54854</v>
          </cell>
          <cell r="AD42">
            <v>29282.224460000001</v>
          </cell>
          <cell r="AE42">
            <v>28900.781589999999</v>
          </cell>
          <cell r="AF42">
            <v>28497.541000000001</v>
          </cell>
          <cell r="AG42">
            <v>28059.687409999999</v>
          </cell>
          <cell r="AH42">
            <v>27577.119930000001</v>
          </cell>
          <cell r="AI42">
            <v>27039.440070000001</v>
          </cell>
          <cell r="AJ42">
            <v>26435.834770000001</v>
          </cell>
          <cell r="AK42">
            <v>25754.983660000002</v>
          </cell>
        </row>
        <row r="43">
          <cell r="B43">
            <v>35350.668230000003</v>
          </cell>
          <cell r="C43">
            <v>35670.003830000001</v>
          </cell>
          <cell r="D43">
            <v>35996.471769999996</v>
          </cell>
          <cell r="E43">
            <v>36346.286619999999</v>
          </cell>
          <cell r="F43">
            <v>36805.831039999997</v>
          </cell>
          <cell r="G43">
            <v>37363.034979999997</v>
          </cell>
          <cell r="H43">
            <v>37970.470260000002</v>
          </cell>
          <cell r="I43">
            <v>38596.764640000001</v>
          </cell>
          <cell r="J43">
            <v>39231.757369999999</v>
          </cell>
          <cell r="K43">
            <v>39872.626949999998</v>
          </cell>
          <cell r="L43">
            <v>40498.922919999997</v>
          </cell>
          <cell r="M43">
            <v>41017.029849999999</v>
          </cell>
          <cell r="N43">
            <v>41451.539190000003</v>
          </cell>
          <cell r="O43">
            <v>41823.726730000002</v>
          </cell>
          <cell r="P43">
            <v>42156.090830000001</v>
          </cell>
          <cell r="Q43">
            <v>42468.373769999998</v>
          </cell>
          <cell r="R43">
            <v>42800.024949999999</v>
          </cell>
          <cell r="S43">
            <v>43175.902110000003</v>
          </cell>
          <cell r="T43">
            <v>43607.598980000002</v>
          </cell>
          <cell r="U43">
            <v>44098.448179999999</v>
          </cell>
          <cell r="V43">
            <v>44645.470459999997</v>
          </cell>
          <cell r="W43">
            <v>45256.804349999999</v>
          </cell>
          <cell r="X43">
            <v>45936.128449999997</v>
          </cell>
          <cell r="Y43">
            <v>46685.87081</v>
          </cell>
          <cell r="Z43">
            <v>47505.263270000003</v>
          </cell>
          <cell r="AA43">
            <v>48380.210830000004</v>
          </cell>
          <cell r="AB43">
            <v>49324.81424</v>
          </cell>
          <cell r="AC43">
            <v>50344.725539999999</v>
          </cell>
          <cell r="AD43">
            <v>51441.345179999997</v>
          </cell>
          <cell r="AE43">
            <v>52605.160369999998</v>
          </cell>
          <cell r="AF43">
            <v>53821.570140000003</v>
          </cell>
          <cell r="AG43">
            <v>55077.652990000002</v>
          </cell>
          <cell r="AH43">
            <v>56362.922140000002</v>
          </cell>
          <cell r="AI43">
            <v>57667.471490000004</v>
          </cell>
          <cell r="AJ43">
            <v>58981.27491</v>
          </cell>
          <cell r="AK43">
            <v>60293.885199999997</v>
          </cell>
        </row>
        <row r="44">
          <cell r="B44">
            <v>3918.7916530000002</v>
          </cell>
          <cell r="C44">
            <v>3935.7955059999999</v>
          </cell>
          <cell r="D44">
            <v>3951.6709540000002</v>
          </cell>
          <cell r="E44">
            <v>3972.290747</v>
          </cell>
          <cell r="F44">
            <v>4006.0662499999999</v>
          </cell>
          <cell r="G44">
            <v>4051.6827389999999</v>
          </cell>
          <cell r="H44">
            <v>4105.0270229999996</v>
          </cell>
          <cell r="I44">
            <v>5030.1237279999996</v>
          </cell>
          <cell r="J44">
            <v>5990.3916559999998</v>
          </cell>
          <cell r="K44">
            <v>6996.3361699999996</v>
          </cell>
          <cell r="L44">
            <v>8044.2130960000004</v>
          </cell>
          <cell r="M44">
            <v>9133.5859299999993</v>
          </cell>
          <cell r="N44">
            <v>10262.95073</v>
          </cell>
          <cell r="O44">
            <v>11431.959430000001</v>
          </cell>
          <cell r="P44">
            <v>12642.18605</v>
          </cell>
          <cell r="Q44">
            <v>13895.21141</v>
          </cell>
          <cell r="R44">
            <v>15186.956469999999</v>
          </cell>
          <cell r="S44">
            <v>16523.302199999998</v>
          </cell>
          <cell r="T44">
            <v>17911.14372</v>
          </cell>
          <cell r="U44">
            <v>19357.230889999999</v>
          </cell>
          <cell r="V44">
            <v>20867.010730000002</v>
          </cell>
          <cell r="W44">
            <v>22450.321230000001</v>
          </cell>
          <cell r="X44">
            <v>24116.70552</v>
          </cell>
          <cell r="Y44">
            <v>25875.826850000001</v>
          </cell>
          <cell r="Z44">
            <v>27737.272300000001</v>
          </cell>
          <cell r="AA44">
            <v>29705.06739</v>
          </cell>
          <cell r="AB44">
            <v>31796.942179999998</v>
          </cell>
          <cell r="AC44">
            <v>34031.032850000003</v>
          </cell>
          <cell r="AD44">
            <v>36425.00821</v>
          </cell>
          <cell r="AE44">
            <v>38994.70392</v>
          </cell>
          <cell r="AF44">
            <v>41755.772900000004</v>
          </cell>
          <cell r="AG44">
            <v>44727.778270000003</v>
          </cell>
          <cell r="AH44">
            <v>47936.315069999997</v>
          </cell>
          <cell r="AI44">
            <v>51413.178899999999</v>
          </cell>
          <cell r="AJ44">
            <v>55200.736599999997</v>
          </cell>
          <cell r="AK44">
            <v>59359.772440000001</v>
          </cell>
        </row>
        <row r="45">
          <cell r="B45">
            <v>3918.7916530000002</v>
          </cell>
          <cell r="C45">
            <v>3935.795505</v>
          </cell>
          <cell r="D45">
            <v>3951.6709529999998</v>
          </cell>
          <cell r="E45">
            <v>3972.2907460000001</v>
          </cell>
          <cell r="F45">
            <v>4006.066249</v>
          </cell>
          <cell r="G45">
            <v>4051.682738</v>
          </cell>
          <cell r="H45">
            <v>4105.0270220000002</v>
          </cell>
          <cell r="I45">
            <v>4162.1331259999997</v>
          </cell>
          <cell r="J45">
            <v>4221.1510900000003</v>
          </cell>
          <cell r="K45">
            <v>4281.2075560000003</v>
          </cell>
          <cell r="L45">
            <v>4341.0758159999996</v>
          </cell>
          <cell r="M45">
            <v>4395.1250920000002</v>
          </cell>
          <cell r="N45">
            <v>4443.6731239999999</v>
          </cell>
          <cell r="O45">
            <v>4487.3737369999999</v>
          </cell>
          <cell r="P45">
            <v>4527.1937200000002</v>
          </cell>
          <cell r="Q45">
            <v>4564.1757669999997</v>
          </cell>
          <cell r="R45">
            <v>4600.7887760000003</v>
          </cell>
          <cell r="S45">
            <v>4639.2426939999996</v>
          </cell>
          <cell r="T45">
            <v>4680.6856459999999</v>
          </cell>
          <cell r="U45">
            <v>4725.5622590000003</v>
          </cell>
          <cell r="V45">
            <v>4773.6829090000001</v>
          </cell>
          <cell r="W45">
            <v>4825.7631069999998</v>
          </cell>
          <cell r="X45">
            <v>4882.1620730000004</v>
          </cell>
          <cell r="Y45">
            <v>4943.1971670000003</v>
          </cell>
          <cell r="Z45">
            <v>5009.0242090000002</v>
          </cell>
          <cell r="AA45">
            <v>5078.5751540000001</v>
          </cell>
          <cell r="AB45">
            <v>5152.9687800000002</v>
          </cell>
          <cell r="AC45">
            <v>5232.6656970000004</v>
          </cell>
          <cell r="AD45">
            <v>5317.9039899999998</v>
          </cell>
          <cell r="AE45">
            <v>5408.3049149999997</v>
          </cell>
          <cell r="AF45">
            <v>5503.1020689999996</v>
          </cell>
          <cell r="AG45">
            <v>5601.4716340000004</v>
          </cell>
          <cell r="AH45">
            <v>5702.6151819999995</v>
          </cell>
          <cell r="AI45">
            <v>5805.6957769999999</v>
          </cell>
          <cell r="AJ45">
            <v>5909.8184760000004</v>
          </cell>
          <cell r="AK45">
            <v>6014.0330979999999</v>
          </cell>
        </row>
        <row r="46">
          <cell r="B46">
            <v>398.34881999999999</v>
          </cell>
          <cell r="C46">
            <v>400.87561879999998</v>
          </cell>
          <cell r="D46">
            <v>403.79965520000002</v>
          </cell>
          <cell r="E46">
            <v>406.41287190000003</v>
          </cell>
          <cell r="F46">
            <v>410.81489720000002</v>
          </cell>
          <cell r="G46">
            <v>416.4700125</v>
          </cell>
          <cell r="H46">
            <v>421.0706247</v>
          </cell>
          <cell r="I46">
            <v>401.56497560000003</v>
          </cell>
          <cell r="J46">
            <v>382.39550329999997</v>
          </cell>
          <cell r="K46">
            <v>365.63668860000001</v>
          </cell>
          <cell r="L46">
            <v>349.89485200000001</v>
          </cell>
          <cell r="M46">
            <v>334.58595159999999</v>
          </cell>
          <cell r="N46">
            <v>319.38849690000001</v>
          </cell>
          <cell r="O46">
            <v>304.36413979999998</v>
          </cell>
          <cell r="P46">
            <v>289.68736860000001</v>
          </cell>
          <cell r="Q46">
            <v>275.43382539999999</v>
          </cell>
          <cell r="R46">
            <v>261.87230640000001</v>
          </cell>
          <cell r="S46">
            <v>248.92629700000001</v>
          </cell>
          <cell r="T46">
            <v>236.53526120000001</v>
          </cell>
          <cell r="U46">
            <v>224.6297955</v>
          </cell>
          <cell r="V46">
            <v>213.1038417</v>
          </cell>
          <cell r="W46">
            <v>201.96884249999999</v>
          </cell>
          <cell r="X46">
            <v>191.15113980000001</v>
          </cell>
          <cell r="Y46">
            <v>180.5717373</v>
          </cell>
          <cell r="Z46">
            <v>170.1417715</v>
          </cell>
          <cell r="AA46">
            <v>159.6916138</v>
          </cell>
          <cell r="AB46">
            <v>149.26060179999999</v>
          </cell>
          <cell r="AC46">
            <v>138.80127680000001</v>
          </cell>
          <cell r="AD46">
            <v>128.22839909999999</v>
          </cell>
          <cell r="AE46">
            <v>117.42623140000001</v>
          </cell>
          <cell r="AF46">
            <v>106.2776729</v>
          </cell>
          <cell r="AG46">
            <v>94.686058840000001</v>
          </cell>
          <cell r="AH46">
            <v>82.567911390000006</v>
          </cell>
          <cell r="AI46">
            <v>69.837525360000001</v>
          </cell>
          <cell r="AJ46">
            <v>56.404240719999997</v>
          </cell>
          <cell r="AK46">
            <v>42.166170819999998</v>
          </cell>
        </row>
        <row r="47">
          <cell r="B47">
            <v>398.3487973</v>
          </cell>
          <cell r="C47">
            <v>400.87559709999999</v>
          </cell>
          <cell r="D47">
            <v>403.79963420000001</v>
          </cell>
          <cell r="E47">
            <v>406.4128518</v>
          </cell>
          <cell r="F47">
            <v>410.81487750000002</v>
          </cell>
          <cell r="G47">
            <v>416.46999290000002</v>
          </cell>
          <cell r="H47">
            <v>421.07060510000002</v>
          </cell>
          <cell r="I47">
            <v>424.98771379999999</v>
          </cell>
          <cell r="J47">
            <v>428.57316539999999</v>
          </cell>
          <cell r="K47">
            <v>432.02080039999998</v>
          </cell>
          <cell r="L47">
            <v>435.27364690000002</v>
          </cell>
          <cell r="M47">
            <v>437.21286379999998</v>
          </cell>
          <cell r="N47">
            <v>438.16694890000002</v>
          </cell>
          <cell r="O47">
            <v>438.44577320000002</v>
          </cell>
          <cell r="P47">
            <v>438.3551746</v>
          </cell>
          <cell r="Q47">
            <v>438.15711570000002</v>
          </cell>
          <cell r="R47">
            <v>439.28058099999998</v>
          </cell>
          <cell r="S47">
            <v>441.49199549999997</v>
          </cell>
          <cell r="T47">
            <v>444.677255</v>
          </cell>
          <cell r="U47">
            <v>448.75409189999999</v>
          </cell>
          <cell r="V47">
            <v>453.59037849999999</v>
          </cell>
          <cell r="W47">
            <v>459.31540940000002</v>
          </cell>
          <cell r="X47">
            <v>465.93601840000002</v>
          </cell>
          <cell r="Y47">
            <v>473.45942969999999</v>
          </cell>
          <cell r="Z47">
            <v>481.86433740000001</v>
          </cell>
          <cell r="AA47">
            <v>490.87209000000001</v>
          </cell>
          <cell r="AB47">
            <v>500.76175929999999</v>
          </cell>
          <cell r="AC47">
            <v>511.57051310000003</v>
          </cell>
          <cell r="AD47">
            <v>523.29658019999999</v>
          </cell>
          <cell r="AE47">
            <v>535.82163000000003</v>
          </cell>
          <cell r="AF47">
            <v>548.96721170000001</v>
          </cell>
          <cell r="AG47">
            <v>562.57072630000005</v>
          </cell>
          <cell r="AH47">
            <v>576.49522509999997</v>
          </cell>
          <cell r="AI47">
            <v>590.6180564</v>
          </cell>
          <cell r="AJ47">
            <v>604.8212608</v>
          </cell>
          <cell r="AK47">
            <v>618.98715649999997</v>
          </cell>
        </row>
        <row r="48">
          <cell r="B48">
            <v>559.21752379999998</v>
          </cell>
          <cell r="C48">
            <v>562.76474199999996</v>
          </cell>
          <cell r="D48">
            <v>566.86961770000005</v>
          </cell>
          <cell r="E48">
            <v>570.53815269999996</v>
          </cell>
          <cell r="F48">
            <v>576.71788649999996</v>
          </cell>
          <cell r="G48">
            <v>584.65675669999996</v>
          </cell>
          <cell r="H48">
            <v>591.11527460000002</v>
          </cell>
          <cell r="I48">
            <v>675.90809139999999</v>
          </cell>
          <cell r="J48">
            <v>757.67515630000003</v>
          </cell>
          <cell r="K48">
            <v>841.12349029999996</v>
          </cell>
          <cell r="L48">
            <v>924.62487099999998</v>
          </cell>
          <cell r="M48">
            <v>1007.246499</v>
          </cell>
          <cell r="N48">
            <v>1088.152513</v>
          </cell>
          <cell r="O48">
            <v>1167.467455</v>
          </cell>
          <cell r="P48">
            <v>1245.8968950000001</v>
          </cell>
          <cell r="Q48">
            <v>1324.0166119999999</v>
          </cell>
          <cell r="R48">
            <v>1403.6442649999999</v>
          </cell>
          <cell r="S48">
            <v>1485.2625169999999</v>
          </cell>
          <cell r="T48">
            <v>1569.4469120000001</v>
          </cell>
          <cell r="U48">
            <v>1656.738243</v>
          </cell>
          <cell r="V48">
            <v>1747.386851</v>
          </cell>
          <cell r="W48">
            <v>1842.5928060000001</v>
          </cell>
          <cell r="X48">
            <v>1943.0193630000001</v>
          </cell>
          <cell r="Y48">
            <v>2049.306548</v>
          </cell>
          <cell r="Z48">
            <v>2161.9910799999998</v>
          </cell>
          <cell r="AA48">
            <v>2280.4250619999998</v>
          </cell>
          <cell r="AB48">
            <v>2406.6895639999998</v>
          </cell>
          <cell r="AC48">
            <v>2542.1655380000002</v>
          </cell>
          <cell r="AD48">
            <v>2687.8749710000002</v>
          </cell>
          <cell r="AE48">
            <v>2844.2924979999998</v>
          </cell>
          <cell r="AF48">
            <v>3011.6689040000001</v>
          </cell>
          <cell r="AG48">
            <v>3190.589328</v>
          </cell>
          <cell r="AH48">
            <v>3382.1036119999999</v>
          </cell>
          <cell r="AI48">
            <v>3587.539131</v>
          </cell>
          <cell r="AJ48">
            <v>3808.677702</v>
          </cell>
          <cell r="AK48">
            <v>4047.9523989999998</v>
          </cell>
        </row>
        <row r="49">
          <cell r="B49">
            <v>559.21764840000003</v>
          </cell>
          <cell r="C49">
            <v>562.76486890000001</v>
          </cell>
          <cell r="D49">
            <v>566.86974680000003</v>
          </cell>
          <cell r="E49">
            <v>570.53828410000006</v>
          </cell>
          <cell r="F49">
            <v>576.71802030000003</v>
          </cell>
          <cell r="G49">
            <v>584.65689280000004</v>
          </cell>
          <cell r="H49">
            <v>591.11541239999997</v>
          </cell>
          <cell r="I49">
            <v>596.61440300000004</v>
          </cell>
          <cell r="J49">
            <v>601.64780050000002</v>
          </cell>
          <cell r="K49">
            <v>606.48772559999998</v>
          </cell>
          <cell r="L49">
            <v>611.05419889999996</v>
          </cell>
          <cell r="M49">
            <v>613.77654759999996</v>
          </cell>
          <cell r="N49">
            <v>615.11592959999996</v>
          </cell>
          <cell r="O49">
            <v>615.50735410000004</v>
          </cell>
          <cell r="P49">
            <v>615.38016830000004</v>
          </cell>
          <cell r="Q49">
            <v>615.10212550000006</v>
          </cell>
          <cell r="R49">
            <v>616.67929000000004</v>
          </cell>
          <cell r="S49">
            <v>619.78376040000001</v>
          </cell>
          <cell r="T49">
            <v>624.25535230000003</v>
          </cell>
          <cell r="U49">
            <v>629.97857580000004</v>
          </cell>
          <cell r="V49">
            <v>636.76794440000003</v>
          </cell>
          <cell r="W49">
            <v>644.80496700000003</v>
          </cell>
          <cell r="X49">
            <v>654.09923739999999</v>
          </cell>
          <cell r="Y49">
            <v>664.66089699999998</v>
          </cell>
          <cell r="Z49">
            <v>676.46003559999997</v>
          </cell>
          <cell r="AA49">
            <v>689.10547159999999</v>
          </cell>
          <cell r="AB49">
            <v>702.98897690000001</v>
          </cell>
          <cell r="AC49">
            <v>718.16272900000001</v>
          </cell>
          <cell r="AD49">
            <v>734.62424129999999</v>
          </cell>
          <cell r="AE49">
            <v>752.20739690000005</v>
          </cell>
          <cell r="AF49">
            <v>770.66167959999996</v>
          </cell>
          <cell r="AG49">
            <v>789.75882630000001</v>
          </cell>
          <cell r="AH49">
            <v>809.30658319999998</v>
          </cell>
          <cell r="AI49">
            <v>829.13276719999999</v>
          </cell>
          <cell r="AJ49">
            <v>849.07178199999998</v>
          </cell>
          <cell r="AK49">
            <v>868.95842130000005</v>
          </cell>
        </row>
        <row r="50">
          <cell r="B50">
            <v>46402.331749999998</v>
          </cell>
          <cell r="C50">
            <v>47111.800510000001</v>
          </cell>
          <cell r="D50">
            <v>47783.114099999999</v>
          </cell>
          <cell r="E50">
            <v>48508.883589999998</v>
          </cell>
          <cell r="F50">
            <v>49167.745369999997</v>
          </cell>
          <cell r="G50">
            <v>49832.214930000002</v>
          </cell>
          <cell r="H50">
            <v>50536.007689999999</v>
          </cell>
          <cell r="I50">
            <v>51870.944519999997</v>
          </cell>
          <cell r="J50">
            <v>53389.039369999999</v>
          </cell>
          <cell r="K50">
            <v>55126.487179999996</v>
          </cell>
          <cell r="L50">
            <v>56862.761769999997</v>
          </cell>
          <cell r="M50">
            <v>58266.088129999996</v>
          </cell>
          <cell r="N50">
            <v>59436.765449999999</v>
          </cell>
          <cell r="O50">
            <v>60470.74267</v>
          </cell>
          <cell r="P50">
            <v>61455.789570000001</v>
          </cell>
          <cell r="Q50">
            <v>62448.681819999998</v>
          </cell>
          <cell r="R50">
            <v>63492.209150000002</v>
          </cell>
          <cell r="S50">
            <v>64640.84287</v>
          </cell>
          <cell r="T50">
            <v>65915.268219999998</v>
          </cell>
          <cell r="U50">
            <v>67338.132119999995</v>
          </cell>
          <cell r="V50">
            <v>68921.172730000006</v>
          </cell>
          <cell r="W50">
            <v>70716.007830000002</v>
          </cell>
          <cell r="X50">
            <v>72754.577619999996</v>
          </cell>
          <cell r="Y50">
            <v>75064.838499999998</v>
          </cell>
          <cell r="Z50">
            <v>77671.759479999993</v>
          </cell>
          <cell r="AA50">
            <v>80558.360969999994</v>
          </cell>
          <cell r="AB50">
            <v>83829.006800000003</v>
          </cell>
          <cell r="AC50">
            <v>87532.558990000005</v>
          </cell>
          <cell r="AD50">
            <v>91720.017019999999</v>
          </cell>
          <cell r="AE50">
            <v>96430.099719999998</v>
          </cell>
          <cell r="AF50">
            <v>101701.6323</v>
          </cell>
          <cell r="AG50">
            <v>107594.85219999999</v>
          </cell>
          <cell r="AH50">
            <v>114198.71219999999</v>
          </cell>
          <cell r="AI50">
            <v>121625.7267</v>
          </cell>
          <cell r="AJ50">
            <v>130022.9872</v>
          </cell>
          <cell r="AK50">
            <v>139588.07459999999</v>
          </cell>
        </row>
        <row r="51">
          <cell r="B51">
            <v>46402.331740000001</v>
          </cell>
          <cell r="C51">
            <v>47111.800499999998</v>
          </cell>
          <cell r="D51">
            <v>47783.114090000003</v>
          </cell>
          <cell r="E51">
            <v>48508.883580000002</v>
          </cell>
          <cell r="F51">
            <v>49167.745360000001</v>
          </cell>
          <cell r="G51">
            <v>49832.214919999999</v>
          </cell>
          <cell r="H51">
            <v>50536.007680000002</v>
          </cell>
          <cell r="I51">
            <v>51282.193850000003</v>
          </cell>
          <cell r="J51">
            <v>52052.893600000003</v>
          </cell>
          <cell r="K51">
            <v>52837.5049</v>
          </cell>
          <cell r="L51">
            <v>53612.273970000002</v>
          </cell>
          <cell r="M51">
            <v>54231.541429999997</v>
          </cell>
          <cell r="N51">
            <v>54719.572399999997</v>
          </cell>
          <cell r="O51">
            <v>55104.932849999997</v>
          </cell>
          <cell r="P51">
            <v>55424.193979999996</v>
          </cell>
          <cell r="Q51">
            <v>55713.647440000001</v>
          </cell>
          <cell r="R51">
            <v>55988.901449999998</v>
          </cell>
          <cell r="S51">
            <v>56292.23863</v>
          </cell>
          <cell r="T51">
            <v>56655.00621</v>
          </cell>
          <cell r="U51">
            <v>57098.055410000001</v>
          </cell>
          <cell r="V51">
            <v>57624.39129</v>
          </cell>
          <cell r="W51">
            <v>58265.581680000003</v>
          </cell>
          <cell r="X51">
            <v>59029.91906</v>
          </cell>
          <cell r="Y51">
            <v>59922.679969999997</v>
          </cell>
          <cell r="Z51">
            <v>60944.521159999997</v>
          </cell>
          <cell r="AA51">
            <v>62057.139280000003</v>
          </cell>
          <cell r="AB51">
            <v>63298.99439</v>
          </cell>
          <cell r="AC51">
            <v>64671.247239999997</v>
          </cell>
          <cell r="AD51">
            <v>66170.25404</v>
          </cell>
          <cell r="AE51">
            <v>67776.347200000004</v>
          </cell>
          <cell r="AF51">
            <v>69462.30257</v>
          </cell>
          <cell r="AG51">
            <v>71202.974189999994</v>
          </cell>
          <cell r="AH51">
            <v>72977.508740000005</v>
          </cell>
          <cell r="AI51">
            <v>74767.42078</v>
          </cell>
          <cell r="AJ51">
            <v>76555.688850000006</v>
          </cell>
          <cell r="AK51">
            <v>78326.40191</v>
          </cell>
        </row>
        <row r="52">
          <cell r="B52">
            <v>924.79195649999997</v>
          </cell>
          <cell r="C52">
            <v>938.93156939999994</v>
          </cell>
          <cell r="D52">
            <v>952.31075490000001</v>
          </cell>
          <cell r="E52">
            <v>966.77523900000006</v>
          </cell>
          <cell r="F52">
            <v>979.90626180000004</v>
          </cell>
          <cell r="G52">
            <v>993.14904690000003</v>
          </cell>
          <cell r="H52">
            <v>1007.175538</v>
          </cell>
          <cell r="I52">
            <v>1018.612602</v>
          </cell>
          <cell r="J52">
            <v>1032.2396679999999</v>
          </cell>
          <cell r="K52">
            <v>1048.4966569999999</v>
          </cell>
          <cell r="L52">
            <v>1062.958322</v>
          </cell>
          <cell r="M52">
            <v>1069.433139</v>
          </cell>
          <cell r="N52">
            <v>1069.967441</v>
          </cell>
          <cell r="O52">
            <v>1066.403149</v>
          </cell>
          <cell r="P52">
            <v>1060.306855</v>
          </cell>
          <cell r="Q52">
            <v>1052.587436</v>
          </cell>
          <cell r="R52">
            <v>1043.8254489999999</v>
          </cell>
          <cell r="S52">
            <v>1034.7034900000001</v>
          </cell>
          <cell r="T52">
            <v>1025.2629939999999</v>
          </cell>
          <cell r="U52">
            <v>1015.510055</v>
          </cell>
          <cell r="V52">
            <v>1005.215211</v>
          </cell>
          <cell r="W52">
            <v>994.64694770000006</v>
          </cell>
          <cell r="X52">
            <v>983.64998309999999</v>
          </cell>
          <cell r="Y52">
            <v>971.88487910000003</v>
          </cell>
          <cell r="Z52">
            <v>958.83514409999998</v>
          </cell>
          <cell r="AA52">
            <v>943.34180670000001</v>
          </cell>
          <cell r="AB52">
            <v>925.52597060000005</v>
          </cell>
          <cell r="AC52">
            <v>904.5239904</v>
          </cell>
          <cell r="AD52">
            <v>879.18803300000002</v>
          </cell>
          <cell r="AE52">
            <v>847.90541099999996</v>
          </cell>
          <cell r="AF52">
            <v>808.69390920000001</v>
          </cell>
          <cell r="AG52">
            <v>759.29294979999997</v>
          </cell>
          <cell r="AH52">
            <v>697.03580799999997</v>
          </cell>
          <cell r="AI52">
            <v>618.57886480000002</v>
          </cell>
          <cell r="AJ52">
            <v>519.67775549999999</v>
          </cell>
          <cell r="AK52">
            <v>394.84181000000001</v>
          </cell>
        </row>
        <row r="53">
          <cell r="B53">
            <v>924.7919564</v>
          </cell>
          <cell r="C53">
            <v>938.93156920000001</v>
          </cell>
          <cell r="D53">
            <v>952.31075469999996</v>
          </cell>
          <cell r="E53">
            <v>966.77523880000001</v>
          </cell>
          <cell r="F53">
            <v>979.90626150000003</v>
          </cell>
          <cell r="G53">
            <v>993.14904660000002</v>
          </cell>
          <cell r="H53">
            <v>1007.175538</v>
          </cell>
          <cell r="I53">
            <v>1022.046923</v>
          </cell>
          <cell r="J53">
            <v>1037.4068609999999</v>
          </cell>
          <cell r="K53">
            <v>1053.044054</v>
          </cell>
          <cell r="L53">
            <v>1068.485093</v>
          </cell>
          <cell r="M53">
            <v>1080.827006</v>
          </cell>
          <cell r="N53">
            <v>1090.5533949999999</v>
          </cell>
          <cell r="O53">
            <v>1098.233575</v>
          </cell>
          <cell r="P53">
            <v>1104.5964039999999</v>
          </cell>
          <cell r="Q53">
            <v>1110.3651709999999</v>
          </cell>
          <cell r="R53">
            <v>1115.8509449999999</v>
          </cell>
          <cell r="S53">
            <v>1121.8964120000001</v>
          </cell>
          <cell r="T53">
            <v>1129.126319</v>
          </cell>
          <cell r="U53">
            <v>1137.9562269999999</v>
          </cell>
          <cell r="V53">
            <v>1148.4460280000001</v>
          </cell>
          <cell r="W53">
            <v>1161.224862</v>
          </cell>
          <cell r="X53">
            <v>1176.457999</v>
          </cell>
          <cell r="Y53">
            <v>1194.2505980000001</v>
          </cell>
          <cell r="Z53">
            <v>1214.6157499999999</v>
          </cell>
          <cell r="AA53">
            <v>1236.7900729999999</v>
          </cell>
          <cell r="AB53">
            <v>1261.5400709999999</v>
          </cell>
          <cell r="AC53">
            <v>1288.8888770000001</v>
          </cell>
          <cell r="AD53">
            <v>1318.763872</v>
          </cell>
          <cell r="AE53">
            <v>1350.773083</v>
          </cell>
          <cell r="AF53">
            <v>1384.3739370000001</v>
          </cell>
          <cell r="AG53">
            <v>1419.065278</v>
          </cell>
          <cell r="AH53">
            <v>1454.431503</v>
          </cell>
          <cell r="AI53">
            <v>1490.104198</v>
          </cell>
          <cell r="AJ53">
            <v>1525.74413</v>
          </cell>
          <cell r="AK53">
            <v>1561.034193</v>
          </cell>
        </row>
        <row r="54">
          <cell r="B54">
            <v>1343.878066</v>
          </cell>
          <cell r="C54">
            <v>1364.425299</v>
          </cell>
          <cell r="D54">
            <v>1383.8675029999999</v>
          </cell>
          <cell r="E54">
            <v>1404.8868279999999</v>
          </cell>
          <cell r="F54">
            <v>1423.9684099999999</v>
          </cell>
          <cell r="G54">
            <v>1443.212401</v>
          </cell>
          <cell r="H54">
            <v>1463.595249</v>
          </cell>
          <cell r="I54">
            <v>1477.8238570000001</v>
          </cell>
          <cell r="J54">
            <v>1495.0046769999999</v>
          </cell>
          <cell r="K54">
            <v>1515.732616</v>
          </cell>
          <cell r="L54">
            <v>1533.572285</v>
          </cell>
          <cell r="M54">
            <v>1539.5926870000001</v>
          </cell>
          <cell r="N54">
            <v>1536.7749630000001</v>
          </cell>
          <cell r="O54">
            <v>1527.7846400000001</v>
          </cell>
          <cell r="P54">
            <v>1514.869447</v>
          </cell>
          <cell r="Q54">
            <v>1499.3150310000001</v>
          </cell>
          <cell r="R54">
            <v>1481.9221190000001</v>
          </cell>
          <cell r="S54">
            <v>1463.619097</v>
          </cell>
          <cell r="T54">
            <v>1444.4077179999999</v>
          </cell>
          <cell r="U54">
            <v>1424.226637</v>
          </cell>
          <cell r="V54">
            <v>1402.669351</v>
          </cell>
          <cell r="W54">
            <v>1380.006151</v>
          </cell>
          <cell r="X54">
            <v>1355.8865479999999</v>
          </cell>
          <cell r="Y54">
            <v>1329.675923</v>
          </cell>
          <cell r="Z54">
            <v>1300.463843</v>
          </cell>
          <cell r="AA54">
            <v>1266.4367589999999</v>
          </cell>
          <cell r="AB54">
            <v>1227.461824</v>
          </cell>
          <cell r="AC54">
            <v>1181.994326</v>
          </cell>
          <cell r="AD54">
            <v>1128.0250610000001</v>
          </cell>
          <cell r="AE54">
            <v>1062.834609</v>
          </cell>
          <cell r="AF54">
            <v>983.1079747</v>
          </cell>
          <cell r="AG54">
            <v>885.01448660000005</v>
          </cell>
          <cell r="AH54">
            <v>763.97901560000003</v>
          </cell>
          <cell r="AI54">
            <v>614.26203969999995</v>
          </cell>
          <cell r="AJ54">
            <v>428.56444809999999</v>
          </cell>
          <cell r="AK54">
            <v>197.420905</v>
          </cell>
        </row>
        <row r="55">
          <cell r="B55">
            <v>1343.878066</v>
          </cell>
          <cell r="C55">
            <v>1364.4252980000001</v>
          </cell>
          <cell r="D55">
            <v>1383.8675029999999</v>
          </cell>
          <cell r="E55">
            <v>1404.8868279999999</v>
          </cell>
          <cell r="F55">
            <v>1423.9684099999999</v>
          </cell>
          <cell r="G55">
            <v>1443.212401</v>
          </cell>
          <cell r="H55">
            <v>1463.595249</v>
          </cell>
          <cell r="I55">
            <v>1485.20587</v>
          </cell>
          <cell r="J55">
            <v>1507.5264400000001</v>
          </cell>
          <cell r="K55">
            <v>1530.249908</v>
          </cell>
          <cell r="L55">
            <v>1552.6883310000001</v>
          </cell>
          <cell r="M55">
            <v>1570.6232050000001</v>
          </cell>
          <cell r="N55">
            <v>1584.757282</v>
          </cell>
          <cell r="O55">
            <v>1595.9178730000001</v>
          </cell>
          <cell r="P55">
            <v>1605.164133</v>
          </cell>
          <cell r="Q55">
            <v>1613.5471199999999</v>
          </cell>
          <cell r="R55">
            <v>1621.518871</v>
          </cell>
          <cell r="S55">
            <v>1630.3039510000001</v>
          </cell>
          <cell r="T55">
            <v>1640.8102200000001</v>
          </cell>
          <cell r="U55">
            <v>1653.6415609999999</v>
          </cell>
          <cell r="V55">
            <v>1668.885002</v>
          </cell>
          <cell r="W55">
            <v>1687.4547950000001</v>
          </cell>
          <cell r="X55">
            <v>1709.5911020000001</v>
          </cell>
          <cell r="Y55">
            <v>1735.4467380000001</v>
          </cell>
          <cell r="Z55">
            <v>1765.040724</v>
          </cell>
          <cell r="AA55">
            <v>1797.263741</v>
          </cell>
          <cell r="AB55">
            <v>1833.2296449999999</v>
          </cell>
          <cell r="AC55">
            <v>1872.9720560000001</v>
          </cell>
          <cell r="AD55">
            <v>1916.385442</v>
          </cell>
          <cell r="AE55">
            <v>1962.9002029999999</v>
          </cell>
          <cell r="AF55">
            <v>2011.7278879999999</v>
          </cell>
          <cell r="AG55">
            <v>2062.140234</v>
          </cell>
          <cell r="AH55">
            <v>2113.5332990000002</v>
          </cell>
          <cell r="AI55">
            <v>2165.3717190000002</v>
          </cell>
          <cell r="AJ55">
            <v>2217.1625260000001</v>
          </cell>
          <cell r="AK55">
            <v>2268.4449159999999</v>
          </cell>
        </row>
        <row r="56">
          <cell r="B56">
            <v>1220.920836</v>
          </cell>
          <cell r="C56">
            <v>1239.588113</v>
          </cell>
          <cell r="D56">
            <v>1257.2514659999999</v>
          </cell>
          <cell r="E56">
            <v>1276.347642</v>
          </cell>
          <cell r="F56">
            <v>1293.6833670000001</v>
          </cell>
          <cell r="G56">
            <v>1311.1666419999999</v>
          </cell>
          <cell r="H56">
            <v>1329.684575</v>
          </cell>
          <cell r="I56">
            <v>1342.72612</v>
          </cell>
          <cell r="J56">
            <v>1358.4608149999999</v>
          </cell>
          <cell r="K56">
            <v>1377.4312669999999</v>
          </cell>
          <cell r="L56">
            <v>1393.7911180000001</v>
          </cell>
          <cell r="M56">
            <v>1399.423323</v>
          </cell>
          <cell r="N56">
            <v>1397.035905</v>
          </cell>
          <cell r="O56">
            <v>1389.0510449999999</v>
          </cell>
          <cell r="P56">
            <v>1377.512199</v>
          </cell>
          <cell r="Q56">
            <v>1363.589068</v>
          </cell>
          <cell r="R56">
            <v>1348.011178</v>
          </cell>
          <cell r="S56">
            <v>1331.6250230000001</v>
          </cell>
          <cell r="T56">
            <v>1314.4349999999999</v>
          </cell>
          <cell r="U56">
            <v>1296.388747</v>
          </cell>
          <cell r="V56">
            <v>1277.120459</v>
          </cell>
          <cell r="W56">
            <v>1256.8814520000001</v>
          </cell>
          <cell r="X56">
            <v>1235.3592940000001</v>
          </cell>
          <cell r="Y56">
            <v>1211.9842160000001</v>
          </cell>
          <cell r="Z56">
            <v>1185.9367569999999</v>
          </cell>
          <cell r="AA56">
            <v>1155.5755059999999</v>
          </cell>
          <cell r="AB56">
            <v>1120.7945950000001</v>
          </cell>
          <cell r="AC56">
            <v>1080.2045479999999</v>
          </cell>
          <cell r="AD56">
            <v>1031.9963660000001</v>
          </cell>
          <cell r="AE56">
            <v>973.7174847</v>
          </cell>
          <cell r="AF56">
            <v>902.37706379999997</v>
          </cell>
          <cell r="AG56">
            <v>814.52110760000005</v>
          </cell>
          <cell r="AH56">
            <v>706.02667810000003</v>
          </cell>
          <cell r="AI56">
            <v>571.72165510000002</v>
          </cell>
          <cell r="AJ56">
            <v>405.02905349999997</v>
          </cell>
          <cell r="AK56">
            <v>197.420905</v>
          </cell>
        </row>
        <row r="57">
          <cell r="B57">
            <v>1220.920836</v>
          </cell>
          <cell r="C57">
            <v>1239.588113</v>
          </cell>
          <cell r="D57">
            <v>1257.2514659999999</v>
          </cell>
          <cell r="E57">
            <v>1276.347642</v>
          </cell>
          <cell r="F57">
            <v>1293.6833670000001</v>
          </cell>
          <cell r="G57">
            <v>1311.1666419999999</v>
          </cell>
          <cell r="H57">
            <v>1329.684575</v>
          </cell>
          <cell r="I57">
            <v>1349.317947</v>
          </cell>
          <cell r="J57">
            <v>1369.596311</v>
          </cell>
          <cell r="K57">
            <v>1390.2407109999999</v>
          </cell>
          <cell r="L57">
            <v>1410.626145</v>
          </cell>
          <cell r="M57">
            <v>1426.920079</v>
          </cell>
          <cell r="N57">
            <v>1439.760968</v>
          </cell>
          <cell r="O57">
            <v>1449.900429</v>
          </cell>
          <cell r="P57">
            <v>1458.300708</v>
          </cell>
          <cell r="Q57">
            <v>1465.9167</v>
          </cell>
          <cell r="R57">
            <v>1473.159081</v>
          </cell>
          <cell r="S57">
            <v>1481.1403749999999</v>
          </cell>
          <cell r="T57">
            <v>1490.6853799999999</v>
          </cell>
          <cell r="U57">
            <v>1502.3427260000001</v>
          </cell>
          <cell r="V57">
            <v>1516.1914790000001</v>
          </cell>
          <cell r="W57">
            <v>1533.0622410000001</v>
          </cell>
          <cell r="X57">
            <v>1553.1732010000001</v>
          </cell>
          <cell r="Y57">
            <v>1576.6631930000001</v>
          </cell>
          <cell r="Z57">
            <v>1603.549497</v>
          </cell>
          <cell r="AA57">
            <v>1632.82429</v>
          </cell>
          <cell r="AB57">
            <v>1665.4995180000001</v>
          </cell>
          <cell r="AC57">
            <v>1701.6057229999999</v>
          </cell>
          <cell r="AD57">
            <v>1741.0470299999999</v>
          </cell>
          <cell r="AE57">
            <v>1783.3059539999999</v>
          </cell>
          <cell r="AF57">
            <v>1827.666183</v>
          </cell>
          <cell r="AG57">
            <v>1873.466085</v>
          </cell>
          <cell r="AH57">
            <v>1920.156976</v>
          </cell>
          <cell r="AI57">
            <v>1967.252473</v>
          </cell>
          <cell r="AJ57">
            <v>2014.304715</v>
          </cell>
          <cell r="AK57">
            <v>2060.8950559999998</v>
          </cell>
        </row>
        <row r="58">
          <cell r="B58">
            <v>2402.7509089999999</v>
          </cell>
          <cell r="C58">
            <v>2439.4840119999999</v>
          </cell>
          <cell r="D58">
            <v>2474.245128</v>
          </cell>
          <cell r="E58">
            <v>2511.8260110000001</v>
          </cell>
          <cell r="F58">
            <v>2545.9423630000001</v>
          </cell>
          <cell r="G58">
            <v>2580.349091</v>
          </cell>
          <cell r="H58">
            <v>2616.7920020000001</v>
          </cell>
          <cell r="I58">
            <v>3141.7611339999999</v>
          </cell>
          <cell r="J58">
            <v>3720.101064</v>
          </cell>
          <cell r="K58">
            <v>4362.1440720000001</v>
          </cell>
          <cell r="L58">
            <v>5057.3785280000002</v>
          </cell>
          <cell r="M58">
            <v>5775.9814079999996</v>
          </cell>
          <cell r="N58">
            <v>6521.7221810000001</v>
          </cell>
          <cell r="O58">
            <v>7301.6827929999999</v>
          </cell>
          <cell r="P58">
            <v>8125.8970820000004</v>
          </cell>
          <cell r="Q58">
            <v>9003.9963790000002</v>
          </cell>
          <cell r="R58">
            <v>9946.3778610000008</v>
          </cell>
          <cell r="S58">
            <v>10967.9738</v>
          </cell>
          <cell r="T58">
            <v>12080.999449999999</v>
          </cell>
          <cell r="U58">
            <v>13300.0088</v>
          </cell>
          <cell r="V58">
            <v>14639.536239999999</v>
          </cell>
          <cell r="W58">
            <v>16125.10241</v>
          </cell>
          <cell r="X58">
            <v>17782.158490000002</v>
          </cell>
          <cell r="Y58">
            <v>19639.09778</v>
          </cell>
          <cell r="Z58">
            <v>21727.690559999999</v>
          </cell>
          <cell r="AA58">
            <v>24071.718209999999</v>
          </cell>
          <cell r="AB58">
            <v>26735.45419</v>
          </cell>
          <cell r="AC58">
            <v>29776.649730000001</v>
          </cell>
          <cell r="AD58">
            <v>33262.987710000001</v>
          </cell>
          <cell r="AE58">
            <v>37268.129840000001</v>
          </cell>
          <cell r="AF58">
            <v>41876.912510000002</v>
          </cell>
          <cell r="AG58">
            <v>47196.471270000002</v>
          </cell>
          <cell r="AH58">
            <v>53364.833700000003</v>
          </cell>
          <cell r="AI58">
            <v>60555.702510000003</v>
          </cell>
          <cell r="AJ58">
            <v>68992.350770000005</v>
          </cell>
          <cell r="AK58">
            <v>78968.361999999994</v>
          </cell>
        </row>
        <row r="59">
          <cell r="B59">
            <v>2402.750908</v>
          </cell>
          <cell r="C59">
            <v>2439.484011</v>
          </cell>
          <cell r="D59">
            <v>2474.2451270000001</v>
          </cell>
          <cell r="E59">
            <v>2511.8260100000002</v>
          </cell>
          <cell r="F59">
            <v>2545.9423630000001</v>
          </cell>
          <cell r="G59">
            <v>2580.3490900000002</v>
          </cell>
          <cell r="H59">
            <v>2616.7920020000001</v>
          </cell>
          <cell r="I59">
            <v>2655.4300760000001</v>
          </cell>
          <cell r="J59">
            <v>2695.337481</v>
          </cell>
          <cell r="K59">
            <v>2735.9652369999999</v>
          </cell>
          <cell r="L59">
            <v>2776.0833539999999</v>
          </cell>
          <cell r="M59">
            <v>2808.1494830000001</v>
          </cell>
          <cell r="N59">
            <v>2833.4200890000002</v>
          </cell>
          <cell r="O59">
            <v>2853.3743399999998</v>
          </cell>
          <cell r="P59">
            <v>2869.9059179999999</v>
          </cell>
          <cell r="Q59">
            <v>2884.894033</v>
          </cell>
          <cell r="R59">
            <v>2899.14689</v>
          </cell>
          <cell r="S59">
            <v>2914.8539139999998</v>
          </cell>
          <cell r="T59">
            <v>2933.638289</v>
          </cell>
          <cell r="U59">
            <v>2956.579706</v>
          </cell>
          <cell r="V59">
            <v>2983.833768</v>
          </cell>
          <cell r="W59">
            <v>3017.0350830000002</v>
          </cell>
          <cell r="X59">
            <v>3056.6130400000002</v>
          </cell>
          <cell r="Y59">
            <v>3102.8408629999999</v>
          </cell>
          <cell r="Z59">
            <v>3155.7525580000001</v>
          </cell>
          <cell r="AA59">
            <v>3213.3647510000001</v>
          </cell>
          <cell r="AB59">
            <v>3277.6689310000002</v>
          </cell>
          <cell r="AC59">
            <v>3348.7252020000001</v>
          </cell>
          <cell r="AD59">
            <v>3426.3448870000002</v>
          </cell>
          <cell r="AE59">
            <v>3509.509583</v>
          </cell>
          <cell r="AF59">
            <v>3596.809604</v>
          </cell>
          <cell r="AG59">
            <v>3686.942873</v>
          </cell>
          <cell r="AH59">
            <v>3778.8295899999998</v>
          </cell>
          <cell r="AI59">
            <v>3871.5125640000001</v>
          </cell>
          <cell r="AJ59">
            <v>3964.1104129999999</v>
          </cell>
          <cell r="AK59">
            <v>4055.79925</v>
          </cell>
        </row>
        <row r="60">
          <cell r="B60">
            <v>873.49172550000003</v>
          </cell>
          <cell r="C60">
            <v>886.84698300000002</v>
          </cell>
          <cell r="D60">
            <v>899.48399600000005</v>
          </cell>
          <cell r="E60">
            <v>913.14610349999998</v>
          </cell>
          <cell r="F60">
            <v>925.54871969999999</v>
          </cell>
          <cell r="G60">
            <v>938.05689859999995</v>
          </cell>
          <cell r="H60">
            <v>951.30530940000006</v>
          </cell>
          <cell r="I60">
            <v>1672.597591</v>
          </cell>
          <cell r="J60">
            <v>2464.3611740000001</v>
          </cell>
          <cell r="K60">
            <v>3340.1945139999998</v>
          </cell>
          <cell r="L60">
            <v>4297.3321020000003</v>
          </cell>
          <cell r="M60">
            <v>5310.2195000000002</v>
          </cell>
          <cell r="N60">
            <v>6378.5699000000004</v>
          </cell>
          <cell r="O60">
            <v>7507.4174080000003</v>
          </cell>
          <cell r="P60">
            <v>8706.7970650000007</v>
          </cell>
          <cell r="Q60">
            <v>9987.9967579999993</v>
          </cell>
          <cell r="R60">
            <v>11364.31668</v>
          </cell>
          <cell r="S60">
            <v>12855.279119999999</v>
          </cell>
          <cell r="T60">
            <v>14478.292740000001</v>
          </cell>
          <cell r="U60">
            <v>16254.21968</v>
          </cell>
          <cell r="V60">
            <v>18204.549470000002</v>
          </cell>
          <cell r="W60">
            <v>20365.146789999999</v>
          </cell>
          <cell r="X60">
            <v>22772.95595</v>
          </cell>
          <cell r="Y60">
            <v>25469.654460000002</v>
          </cell>
          <cell r="Z60">
            <v>28502.257119999998</v>
          </cell>
          <cell r="AA60">
            <v>31908.105780000002</v>
          </cell>
          <cell r="AB60">
            <v>35779.069909999998</v>
          </cell>
          <cell r="AC60">
            <v>40200.402589999998</v>
          </cell>
          <cell r="AD60">
            <v>45272.395600000003</v>
          </cell>
          <cell r="AE60">
            <v>51105.211499999998</v>
          </cell>
          <cell r="AF60">
            <v>57826.072350000002</v>
          </cell>
          <cell r="AG60">
            <v>65594.965110000005</v>
          </cell>
          <cell r="AH60">
            <v>74617.324590000004</v>
          </cell>
          <cell r="AI60">
            <v>85151.6486</v>
          </cell>
          <cell r="AJ60">
            <v>97530.055059999999</v>
          </cell>
          <cell r="AK60">
            <v>112188.9972</v>
          </cell>
        </row>
        <row r="61">
          <cell r="B61">
            <v>873.49172529999998</v>
          </cell>
          <cell r="C61">
            <v>886.84698289999994</v>
          </cell>
          <cell r="D61">
            <v>899.4839958</v>
          </cell>
          <cell r="E61">
            <v>913.14610330000005</v>
          </cell>
          <cell r="F61">
            <v>925.54871949999995</v>
          </cell>
          <cell r="G61">
            <v>938.05689840000002</v>
          </cell>
          <cell r="H61">
            <v>951.30530920000001</v>
          </cell>
          <cell r="I61">
            <v>965.35174649999999</v>
          </cell>
          <cell r="J61">
            <v>979.85963500000003</v>
          </cell>
          <cell r="K61">
            <v>994.62939879999999</v>
          </cell>
          <cell r="L61">
            <v>1009.213889</v>
          </cell>
          <cell r="M61">
            <v>1020.87117</v>
          </cell>
          <cell r="N61">
            <v>1030.0580150000001</v>
          </cell>
          <cell r="O61">
            <v>1037.312158</v>
          </cell>
          <cell r="P61">
            <v>1043.3220269999999</v>
          </cell>
          <cell r="Q61">
            <v>1048.770788</v>
          </cell>
          <cell r="R61">
            <v>1053.952254</v>
          </cell>
          <cell r="S61">
            <v>1059.662366</v>
          </cell>
          <cell r="T61">
            <v>1066.4912139999999</v>
          </cell>
          <cell r="U61">
            <v>1074.831308</v>
          </cell>
          <cell r="V61">
            <v>1084.7392159999999</v>
          </cell>
          <cell r="W61">
            <v>1096.8091810000001</v>
          </cell>
          <cell r="X61">
            <v>1111.197302</v>
          </cell>
          <cell r="Y61">
            <v>1128.0029070000001</v>
          </cell>
          <cell r="Z61">
            <v>1147.2383589999999</v>
          </cell>
          <cell r="AA61">
            <v>1168.182624</v>
          </cell>
          <cell r="AB61">
            <v>1191.5596860000001</v>
          </cell>
          <cell r="AC61">
            <v>1217.391394</v>
          </cell>
          <cell r="AD61">
            <v>1245.609158</v>
          </cell>
          <cell r="AE61">
            <v>1275.842748</v>
          </cell>
          <cell r="AF61">
            <v>1307.5796889999999</v>
          </cell>
          <cell r="AG61">
            <v>1340.346626</v>
          </cell>
          <cell r="AH61">
            <v>1373.751008</v>
          </cell>
          <cell r="AI61">
            <v>1407.4448620000001</v>
          </cell>
          <cell r="AJ61">
            <v>1441.1077680000001</v>
          </cell>
          <cell r="AK61">
            <v>1474.440214</v>
          </cell>
        </row>
        <row r="62">
          <cell r="B62">
            <v>6724.2714509999996</v>
          </cell>
          <cell r="C62">
            <v>6827.0822440000002</v>
          </cell>
          <cell r="D62">
            <v>6924.3638819999996</v>
          </cell>
          <cell r="E62">
            <v>7029.5368520000002</v>
          </cell>
          <cell r="F62">
            <v>7125.0140680000004</v>
          </cell>
          <cell r="G62">
            <v>7221.3039209999997</v>
          </cell>
          <cell r="H62">
            <v>7323.2921919999999</v>
          </cell>
          <cell r="I62">
            <v>7634.8777950000003</v>
          </cell>
          <cell r="J62">
            <v>7984.3789390000002</v>
          </cell>
          <cell r="K62">
            <v>8379.2327150000001</v>
          </cell>
          <cell r="L62">
            <v>8787.7173089999997</v>
          </cell>
          <cell r="M62">
            <v>9158.4777429999995</v>
          </cell>
          <cell r="N62">
            <v>9505.6795390000007</v>
          </cell>
          <cell r="O62">
            <v>9843.7746540000007</v>
          </cell>
          <cell r="P62">
            <v>10186.904560000001</v>
          </cell>
          <cell r="Q62">
            <v>10545.0309</v>
          </cell>
          <cell r="R62">
            <v>10926.474759999999</v>
          </cell>
          <cell r="S62">
            <v>11342.26856</v>
          </cell>
          <cell r="T62">
            <v>11798.297979999999</v>
          </cell>
          <cell r="U62">
            <v>12301.31273</v>
          </cell>
          <cell r="V62">
            <v>12856.623030000001</v>
          </cell>
          <cell r="W62">
            <v>13477.63017</v>
          </cell>
          <cell r="X62">
            <v>14175.12998</v>
          </cell>
          <cell r="Y62">
            <v>14960.156940000001</v>
          </cell>
          <cell r="Z62">
            <v>15844.22788</v>
          </cell>
          <cell r="AA62">
            <v>16831.273270000002</v>
          </cell>
          <cell r="AB62">
            <v>17951.673320000002</v>
          </cell>
          <cell r="AC62">
            <v>19226.81984</v>
          </cell>
          <cell r="AD62">
            <v>20680.959579999999</v>
          </cell>
          <cell r="AE62">
            <v>22338.273939999999</v>
          </cell>
          <cell r="AF62">
            <v>24225.854370000001</v>
          </cell>
          <cell r="AG62">
            <v>26379.386869999998</v>
          </cell>
          <cell r="AH62">
            <v>28846.339309999999</v>
          </cell>
          <cell r="AI62">
            <v>31686.52332</v>
          </cell>
          <cell r="AJ62">
            <v>34977.143779999999</v>
          </cell>
          <cell r="AK62">
            <v>38820.266250000001</v>
          </cell>
        </row>
        <row r="63">
          <cell r="B63">
            <v>6724.2714500000002</v>
          </cell>
          <cell r="C63">
            <v>6827.0822429999998</v>
          </cell>
          <cell r="D63">
            <v>6924.3638799999999</v>
          </cell>
          <cell r="E63">
            <v>7029.5368500000004</v>
          </cell>
          <cell r="F63">
            <v>7125.0140659999997</v>
          </cell>
          <cell r="G63">
            <v>7221.3039200000003</v>
          </cell>
          <cell r="H63">
            <v>7323.2921909999995</v>
          </cell>
          <cell r="I63">
            <v>7431.4237899999998</v>
          </cell>
          <cell r="J63">
            <v>7543.1077109999997</v>
          </cell>
          <cell r="K63">
            <v>7656.8075859999999</v>
          </cell>
          <cell r="L63">
            <v>7769.081201</v>
          </cell>
          <cell r="M63">
            <v>7858.82071</v>
          </cell>
          <cell r="N63">
            <v>7929.5424320000002</v>
          </cell>
          <cell r="O63">
            <v>7985.3859240000002</v>
          </cell>
          <cell r="P63">
            <v>8031.6508080000003</v>
          </cell>
          <cell r="Q63">
            <v>8073.596192</v>
          </cell>
          <cell r="R63">
            <v>8113.4839009999996</v>
          </cell>
          <cell r="S63">
            <v>8157.4412080000002</v>
          </cell>
          <cell r="T63">
            <v>8210.010714</v>
          </cell>
          <cell r="U63">
            <v>8274.2140199999994</v>
          </cell>
          <cell r="V63">
            <v>8350.4865950000003</v>
          </cell>
          <cell r="W63">
            <v>8443.4030079999993</v>
          </cell>
          <cell r="X63">
            <v>8554.1649419999994</v>
          </cell>
          <cell r="Y63">
            <v>8683.5370340000009</v>
          </cell>
          <cell r="Z63">
            <v>8831.6144540000005</v>
          </cell>
          <cell r="AA63">
            <v>8992.8465730000007</v>
          </cell>
          <cell r="AB63">
            <v>9172.8067289999999</v>
          </cell>
          <cell r="AC63">
            <v>9371.6631290000005</v>
          </cell>
          <cell r="AD63">
            <v>9588.8877420000008</v>
          </cell>
          <cell r="AE63">
            <v>9821.6304949999994</v>
          </cell>
          <cell r="AF63">
            <v>10065.94627</v>
          </cell>
          <cell r="AG63">
            <v>10318.1911</v>
          </cell>
          <cell r="AH63">
            <v>10575.34309</v>
          </cell>
          <cell r="AI63">
            <v>10834.723470000001</v>
          </cell>
          <cell r="AJ63">
            <v>11093.86562</v>
          </cell>
          <cell r="AK63">
            <v>11350.463830000001</v>
          </cell>
        </row>
        <row r="64">
          <cell r="B64">
            <v>7911.8534200000004</v>
          </cell>
          <cell r="C64">
            <v>8013.8992360000002</v>
          </cell>
          <cell r="D64">
            <v>8111.553954</v>
          </cell>
          <cell r="E64">
            <v>8210.1475709999995</v>
          </cell>
          <cell r="F64">
            <v>8299.1550079999997</v>
          </cell>
          <cell r="G64">
            <v>8390.9637970000003</v>
          </cell>
          <cell r="H64">
            <v>8479.2823169999992</v>
          </cell>
          <cell r="I64">
            <v>8687.4708910000008</v>
          </cell>
          <cell r="J64">
            <v>8891.8873960000001</v>
          </cell>
          <cell r="K64">
            <v>9116.3431</v>
          </cell>
          <cell r="L64">
            <v>9355.0928480000002</v>
          </cell>
          <cell r="M64">
            <v>9570.9041400000006</v>
          </cell>
          <cell r="N64">
            <v>9781.1074819999994</v>
          </cell>
          <cell r="O64">
            <v>9994.5602080000008</v>
          </cell>
          <cell r="P64">
            <v>10217.933209999999</v>
          </cell>
          <cell r="Q64">
            <v>10455.33151</v>
          </cell>
          <cell r="R64">
            <v>10714.43239</v>
          </cell>
          <cell r="S64">
            <v>10998.25071</v>
          </cell>
          <cell r="T64">
            <v>11309.458189999999</v>
          </cell>
          <cell r="U64">
            <v>11652.347229999999</v>
          </cell>
          <cell r="V64">
            <v>12026.825580000001</v>
          </cell>
          <cell r="W64">
            <v>12448.06481</v>
          </cell>
          <cell r="X64">
            <v>12922.092720000001</v>
          </cell>
          <cell r="Y64">
            <v>13455.79952</v>
          </cell>
          <cell r="Z64">
            <v>14056.66524</v>
          </cell>
          <cell r="AA64">
            <v>14716.814270000001</v>
          </cell>
          <cell r="AB64">
            <v>15468.03937</v>
          </cell>
          <cell r="AC64">
            <v>16323.86859</v>
          </cell>
          <cell r="AD64">
            <v>17299.890770000002</v>
          </cell>
          <cell r="AE64">
            <v>18411.69659</v>
          </cell>
          <cell r="AF64">
            <v>19676.82631</v>
          </cell>
          <cell r="AG64">
            <v>21118.40583</v>
          </cell>
          <cell r="AH64">
            <v>22766.834650000001</v>
          </cell>
          <cell r="AI64">
            <v>24660.857629999999</v>
          </cell>
          <cell r="AJ64">
            <v>26850.694240000001</v>
          </cell>
          <cell r="AK64">
            <v>29402.860939999999</v>
          </cell>
        </row>
        <row r="65">
          <cell r="B65">
            <v>7911.8534200000004</v>
          </cell>
          <cell r="C65">
            <v>8013.8992399999997</v>
          </cell>
          <cell r="D65">
            <v>8111.553962</v>
          </cell>
          <cell r="E65">
            <v>8210.1475829999999</v>
          </cell>
          <cell r="F65">
            <v>8299.155025</v>
          </cell>
          <cell r="G65">
            <v>8390.9638159999995</v>
          </cell>
          <cell r="H65">
            <v>8479.2823370000006</v>
          </cell>
          <cell r="I65">
            <v>8566.2375109999994</v>
          </cell>
          <cell r="J65">
            <v>8651.7919259999999</v>
          </cell>
          <cell r="K65">
            <v>8736.5920779999997</v>
          </cell>
          <cell r="L65">
            <v>8825.269139</v>
          </cell>
          <cell r="M65">
            <v>8894.1314060000004</v>
          </cell>
          <cell r="N65">
            <v>8947.9578939999992</v>
          </cell>
          <cell r="O65">
            <v>8990.692685</v>
          </cell>
          <cell r="P65">
            <v>9026.5048139999999</v>
          </cell>
          <cell r="Q65">
            <v>9059.2544770000004</v>
          </cell>
          <cell r="R65">
            <v>9096.4362230000006</v>
          </cell>
          <cell r="S65">
            <v>9141.9815920000001</v>
          </cell>
          <cell r="T65">
            <v>9197.2642529999994</v>
          </cell>
          <cell r="U65">
            <v>9262.6154310000002</v>
          </cell>
          <cell r="V65">
            <v>9333.6653740000002</v>
          </cell>
          <cell r="W65">
            <v>9419.3250669999998</v>
          </cell>
          <cell r="X65">
            <v>9519.0026130000006</v>
          </cell>
          <cell r="Y65">
            <v>9632.6047930000004</v>
          </cell>
          <cell r="Z65">
            <v>9759.9381040000007</v>
          </cell>
          <cell r="AA65">
            <v>9886.7349439999998</v>
          </cell>
          <cell r="AB65">
            <v>10028.813550000001</v>
          </cell>
          <cell r="AC65">
            <v>10185.695170000001</v>
          </cell>
          <cell r="AD65">
            <v>10356.837390000001</v>
          </cell>
          <cell r="AE65">
            <v>10540.174429999999</v>
          </cell>
          <cell r="AF65">
            <v>10732.87817</v>
          </cell>
          <cell r="AG65">
            <v>10932.29666</v>
          </cell>
          <cell r="AH65">
            <v>11136.17512</v>
          </cell>
          <cell r="AI65">
            <v>11342.464749999999</v>
          </cell>
          <cell r="AJ65">
            <v>11549.23596</v>
          </cell>
          <cell r="AK65">
            <v>11754.64905</v>
          </cell>
        </row>
        <row r="66">
          <cell r="B66">
            <v>109.8413</v>
          </cell>
          <cell r="C66">
            <v>111.5207192</v>
          </cell>
          <cell r="D66">
            <v>113.1098195</v>
          </cell>
          <cell r="E66">
            <v>114.8278251</v>
          </cell>
          <cell r="F66">
            <v>116.38745</v>
          </cell>
          <cell r="G66">
            <v>117.9603494</v>
          </cell>
          <cell r="H66">
            <v>119.6263328</v>
          </cell>
          <cell r="I66">
            <v>121.9412025</v>
          </cell>
          <cell r="J66">
            <v>124.60826969999999</v>
          </cell>
          <cell r="K66">
            <v>127.6975324</v>
          </cell>
          <cell r="L66">
            <v>130.68528939999999</v>
          </cell>
          <cell r="M66">
            <v>132.80962020000001</v>
          </cell>
          <cell r="N66">
            <v>134.31058830000001</v>
          </cell>
          <cell r="O66">
            <v>135.4114007</v>
          </cell>
          <cell r="P66">
            <v>136.3096449</v>
          </cell>
          <cell r="Q66">
            <v>137.1273119</v>
          </cell>
          <cell r="R66">
            <v>137.95052290000001</v>
          </cell>
          <cell r="S66">
            <v>138.88576499999999</v>
          </cell>
          <cell r="T66">
            <v>139.96134230000001</v>
          </cell>
          <cell r="U66">
            <v>141.20605470000001</v>
          </cell>
          <cell r="V66">
            <v>142.6218686</v>
          </cell>
          <cell r="W66">
            <v>144.28861180000001</v>
          </cell>
          <cell r="X66">
            <v>146.23777179999999</v>
          </cell>
          <cell r="Y66">
            <v>148.4855689</v>
          </cell>
          <cell r="Z66">
            <v>151.03460430000001</v>
          </cell>
          <cell r="AA66">
            <v>153.79896439999999</v>
          </cell>
          <cell r="AB66">
            <v>156.9165515</v>
          </cell>
          <cell r="AC66">
            <v>160.40065079999999</v>
          </cell>
          <cell r="AD66">
            <v>164.25139899999999</v>
          </cell>
          <cell r="AE66">
            <v>168.4275993</v>
          </cell>
          <cell r="AF66">
            <v>172.86759939999999</v>
          </cell>
          <cell r="AG66">
            <v>177.52114610000001</v>
          </cell>
          <cell r="AH66">
            <v>182.35144349999999</v>
          </cell>
          <cell r="AI66">
            <v>187.31359079999999</v>
          </cell>
          <cell r="AJ66">
            <v>192.35595319999999</v>
          </cell>
          <cell r="AK66">
            <v>197.420905</v>
          </cell>
        </row>
        <row r="67">
          <cell r="B67">
            <v>109.8412999</v>
          </cell>
          <cell r="C67">
            <v>111.5207192</v>
          </cell>
          <cell r="D67">
            <v>113.1098195</v>
          </cell>
          <cell r="E67">
            <v>114.827825</v>
          </cell>
          <cell r="F67">
            <v>116.38745</v>
          </cell>
          <cell r="G67">
            <v>117.9603494</v>
          </cell>
          <cell r="H67">
            <v>119.6263328</v>
          </cell>
          <cell r="I67">
            <v>121.3926677</v>
          </cell>
          <cell r="J67">
            <v>123.2170299</v>
          </cell>
          <cell r="K67">
            <v>125.0743229</v>
          </cell>
          <cell r="L67">
            <v>126.9083179</v>
          </cell>
          <cell r="M67">
            <v>128.37421710000001</v>
          </cell>
          <cell r="N67">
            <v>129.52945980000001</v>
          </cell>
          <cell r="O67">
            <v>130.441666</v>
          </cell>
          <cell r="P67">
            <v>131.1974051</v>
          </cell>
          <cell r="Q67">
            <v>131.88258500000001</v>
          </cell>
          <cell r="R67">
            <v>132.5341526</v>
          </cell>
          <cell r="S67">
            <v>133.2521974</v>
          </cell>
          <cell r="T67">
            <v>134.1109228</v>
          </cell>
          <cell r="U67">
            <v>135.1596869</v>
          </cell>
          <cell r="V67">
            <v>136.40560310000001</v>
          </cell>
          <cell r="W67">
            <v>137.92339720000001</v>
          </cell>
          <cell r="X67">
            <v>139.73269880000001</v>
          </cell>
          <cell r="Y67">
            <v>141.8459982</v>
          </cell>
          <cell r="Z67">
            <v>144.26485</v>
          </cell>
          <cell r="AA67">
            <v>146.8985845</v>
          </cell>
          <cell r="AB67">
            <v>149.83824240000001</v>
          </cell>
          <cell r="AC67">
            <v>153.0865713</v>
          </cell>
          <cell r="AD67">
            <v>156.63494589999999</v>
          </cell>
          <cell r="AE67">
            <v>160.43681000000001</v>
          </cell>
          <cell r="AF67">
            <v>164.42771999999999</v>
          </cell>
          <cell r="AG67">
            <v>168.54815160000001</v>
          </cell>
          <cell r="AH67">
            <v>172.7487418</v>
          </cell>
          <cell r="AI67">
            <v>176.98573289999999</v>
          </cell>
          <cell r="AJ67">
            <v>181.21883249999999</v>
          </cell>
          <cell r="AK67">
            <v>185.4103767</v>
          </cell>
        </row>
      </sheetData>
      <sheetData sheetId="4">
        <row r="2">
          <cell r="B2">
            <v>5223867.193</v>
          </cell>
          <cell r="C2">
            <v>5286916.0070000002</v>
          </cell>
          <cell r="D2">
            <v>5355143.6749999998</v>
          </cell>
          <cell r="E2">
            <v>5429612.4780000001</v>
          </cell>
          <cell r="F2">
            <v>5511098.0769999996</v>
          </cell>
          <cell r="G2">
            <v>5600136.2300000004</v>
          </cell>
          <cell r="H2">
            <v>5696868.7390000001</v>
          </cell>
          <cell r="I2">
            <v>5799941.2779999999</v>
          </cell>
          <cell r="J2">
            <v>5909008.8849999998</v>
          </cell>
          <cell r="K2">
            <v>6025643.3310000002</v>
          </cell>
          <cell r="L2">
            <v>6150662.7980000004</v>
          </cell>
          <cell r="M2">
            <v>6283378.5209999997</v>
          </cell>
          <cell r="N2">
            <v>6422769.1809999999</v>
          </cell>
          <cell r="O2">
            <v>6567963.8569999998</v>
          </cell>
          <cell r="P2">
            <v>6718479.8080000002</v>
          </cell>
          <cell r="Q2">
            <v>6874173.3909999998</v>
          </cell>
          <cell r="R2">
            <v>7035060.0650000004</v>
          </cell>
          <cell r="S2">
            <v>7201483.5439999998</v>
          </cell>
          <cell r="T2">
            <v>7374047.0769999996</v>
          </cell>
          <cell r="U2">
            <v>7553513.3310000002</v>
          </cell>
          <cell r="V2">
            <v>7740600.5099999998</v>
          </cell>
          <cell r="W2">
            <v>7936265.3219999997</v>
          </cell>
          <cell r="X2">
            <v>8141553.1519999998</v>
          </cell>
          <cell r="Y2">
            <v>8357573.2630000003</v>
          </cell>
          <cell r="Z2">
            <v>8585436.7740000002</v>
          </cell>
          <cell r="AA2">
            <v>8825776.7760000005</v>
          </cell>
          <cell r="AB2">
            <v>9079523.5669999998</v>
          </cell>
          <cell r="AC2">
            <v>9347654.4289999995</v>
          </cell>
          <cell r="AD2">
            <v>9631225.5700000003</v>
          </cell>
          <cell r="AE2">
            <v>9931302.8609999996</v>
          </cell>
          <cell r="AF2">
            <v>10248885.85</v>
          </cell>
          <cell r="AG2">
            <v>10584889</v>
          </cell>
          <cell r="AH2">
            <v>10940173.41</v>
          </cell>
          <cell r="AI2">
            <v>11315604.43</v>
          </cell>
          <cell r="AJ2">
            <v>11712098.279999999</v>
          </cell>
          <cell r="AK2">
            <v>12130665.85</v>
          </cell>
        </row>
        <row r="3">
          <cell r="B3">
            <v>5223867.193</v>
          </cell>
          <cell r="C3">
            <v>5286916.0070000002</v>
          </cell>
          <cell r="D3">
            <v>5355143.6749999998</v>
          </cell>
          <cell r="E3">
            <v>5429612.477</v>
          </cell>
          <cell r="F3">
            <v>5511098.0760000004</v>
          </cell>
          <cell r="G3">
            <v>5600136.2300000004</v>
          </cell>
          <cell r="H3">
            <v>5696868.7390000001</v>
          </cell>
          <cell r="I3">
            <v>5801309.0769999996</v>
          </cell>
          <cell r="J3">
            <v>5913466.3550000004</v>
          </cell>
          <cell r="K3">
            <v>6033396.8279999997</v>
          </cell>
          <cell r="L3">
            <v>6161110.5350000001</v>
          </cell>
          <cell r="M3">
            <v>6295506.9289999995</v>
          </cell>
          <cell r="N3">
            <v>6435447.7790000001</v>
          </cell>
          <cell r="O3">
            <v>6580007.784</v>
          </cell>
          <cell r="P3">
            <v>6728560.057</v>
          </cell>
          <cell r="Q3">
            <v>6880772.9199999999</v>
          </cell>
          <cell r="R3">
            <v>7036749.3039999995</v>
          </cell>
          <cell r="S3">
            <v>7196924.7759999996</v>
          </cell>
          <cell r="T3">
            <v>7361932.4280000003</v>
          </cell>
          <cell r="U3">
            <v>7532480.8509999998</v>
          </cell>
          <cell r="V3">
            <v>7709154.5190000003</v>
          </cell>
          <cell r="W3">
            <v>7892712.7050000001</v>
          </cell>
          <cell r="X3">
            <v>8083948.8329999996</v>
          </cell>
          <cell r="Y3">
            <v>8283659.6270000003</v>
          </cell>
          <cell r="Z3">
            <v>8492582.6809999999</v>
          </cell>
          <cell r="AA3">
            <v>8710938.4849999994</v>
          </cell>
          <cell r="AB3">
            <v>8939191.7740000002</v>
          </cell>
          <cell r="AC3">
            <v>9177874.9570000004</v>
          </cell>
          <cell r="AD3">
            <v>9427562.0189999994</v>
          </cell>
          <cell r="AE3">
            <v>9688771.7609999999</v>
          </cell>
          <cell r="AF3">
            <v>9961881.8399999999</v>
          </cell>
          <cell r="AG3">
            <v>10247118.6</v>
          </cell>
          <cell r="AH3">
            <v>10544580.66</v>
          </cell>
          <cell r="AI3">
            <v>10854251.380000001</v>
          </cell>
          <cell r="AJ3">
            <v>11175999.35</v>
          </cell>
          <cell r="AK3">
            <v>11509570.73</v>
          </cell>
        </row>
        <row r="4">
          <cell r="B4">
            <v>47217.50215</v>
          </cell>
          <cell r="C4">
            <v>47792.00791</v>
          </cell>
          <cell r="D4">
            <v>48413.593390000002</v>
          </cell>
          <cell r="E4">
            <v>49096.635280000002</v>
          </cell>
          <cell r="F4">
            <v>49847.820010000003</v>
          </cell>
          <cell r="G4">
            <v>50671.896739999996</v>
          </cell>
          <cell r="H4">
            <v>51571.162490000002</v>
          </cell>
          <cell r="I4">
            <v>52550.299579999999</v>
          </cell>
          <cell r="J4">
            <v>53611.000010000003</v>
          </cell>
          <cell r="K4">
            <v>54772.722809999999</v>
          </cell>
          <cell r="L4">
            <v>56043.336340000002</v>
          </cell>
          <cell r="M4">
            <v>57406.43939</v>
          </cell>
          <cell r="N4">
            <v>58843.276259999999</v>
          </cell>
          <cell r="O4">
            <v>60337.890979999996</v>
          </cell>
          <cell r="P4">
            <v>61879.16085</v>
          </cell>
          <cell r="Q4">
            <v>63459.953650000003</v>
          </cell>
          <cell r="R4">
            <v>65079.749900000003</v>
          </cell>
          <cell r="S4">
            <v>66739.842799999999</v>
          </cell>
          <cell r="T4">
            <v>68443.371150000006</v>
          </cell>
          <cell r="U4">
            <v>70194.640100000004</v>
          </cell>
          <cell r="V4">
            <v>71997.487210000007</v>
          </cell>
          <cell r="W4">
            <v>73857.173169999995</v>
          </cell>
          <cell r="X4">
            <v>75779.755050000007</v>
          </cell>
          <cell r="Y4">
            <v>77771.555349999995</v>
          </cell>
          <cell r="Z4">
            <v>79838.181460000007</v>
          </cell>
          <cell r="AA4">
            <v>81980.502710000001</v>
          </cell>
          <cell r="AB4">
            <v>84198.508650000003</v>
          </cell>
          <cell r="AC4">
            <v>86493.069579999996</v>
          </cell>
          <cell r="AD4">
            <v>88865.695089999994</v>
          </cell>
          <cell r="AE4">
            <v>91317.101920000001</v>
          </cell>
          <cell r="AF4">
            <v>93845.816229999997</v>
          </cell>
          <cell r="AG4">
            <v>96447.537660000002</v>
          </cell>
          <cell r="AH4">
            <v>99115.183180000007</v>
          </cell>
          <cell r="AI4">
            <v>101839.211</v>
          </cell>
          <cell r="AJ4">
            <v>104607.61410000001</v>
          </cell>
          <cell r="AK4">
            <v>107405.71490000001</v>
          </cell>
        </row>
        <row r="5">
          <cell r="B5">
            <v>47217.50215</v>
          </cell>
          <cell r="C5">
            <v>47792.00791</v>
          </cell>
          <cell r="D5">
            <v>48413.593390000002</v>
          </cell>
          <cell r="E5">
            <v>49096.635280000002</v>
          </cell>
          <cell r="F5">
            <v>49847.820010000003</v>
          </cell>
          <cell r="G5">
            <v>50671.89673</v>
          </cell>
          <cell r="H5">
            <v>51571.162490000002</v>
          </cell>
          <cell r="I5">
            <v>52546.704149999998</v>
          </cell>
          <cell r="J5">
            <v>53598.762119999999</v>
          </cell>
          <cell r="K5">
            <v>54727.301160000003</v>
          </cell>
          <cell r="L5">
            <v>55930.225859999999</v>
          </cell>
          <cell r="M5">
            <v>57193.318120000004</v>
          </cell>
          <cell r="N5">
            <v>58501.690060000001</v>
          </cell>
          <cell r="O5">
            <v>59842.753490000003</v>
          </cell>
          <cell r="P5">
            <v>61207.288619999999</v>
          </cell>
          <cell r="Q5">
            <v>62589.576410000001</v>
          </cell>
          <cell r="R5">
            <v>63987.595020000001</v>
          </cell>
          <cell r="S5">
            <v>65403.12472</v>
          </cell>
          <cell r="T5">
            <v>66840.648239999995</v>
          </cell>
          <cell r="U5">
            <v>68306.100520000007</v>
          </cell>
          <cell r="V5">
            <v>69805.180930000002</v>
          </cell>
          <cell r="W5">
            <v>71345.205329999997</v>
          </cell>
          <cell r="X5">
            <v>72934.51569</v>
          </cell>
          <cell r="Y5">
            <v>74581.833069999993</v>
          </cell>
          <cell r="Z5">
            <v>76295.374609999999</v>
          </cell>
          <cell r="AA5">
            <v>78079.384349999993</v>
          </cell>
          <cell r="AB5">
            <v>79939.195110000001</v>
          </cell>
          <cell r="AC5">
            <v>81881.247159999999</v>
          </cell>
          <cell r="AD5">
            <v>83912.519279999993</v>
          </cell>
          <cell r="AE5">
            <v>86039.195940000005</v>
          </cell>
          <cell r="AF5">
            <v>88265.545599999998</v>
          </cell>
          <cell r="AG5">
            <v>90593.752049999996</v>
          </cell>
          <cell r="AH5">
            <v>93024.158540000004</v>
          </cell>
          <cell r="AI5">
            <v>95555.407600000006</v>
          </cell>
          <cell r="AJ5">
            <v>98184.48947</v>
          </cell>
          <cell r="AK5">
            <v>100906.7464</v>
          </cell>
        </row>
        <row r="6">
          <cell r="B6">
            <v>1844.8052849999999</v>
          </cell>
          <cell r="C6">
            <v>1864.2817809999999</v>
          </cell>
          <cell r="D6">
            <v>1881.5422470000001</v>
          </cell>
          <cell r="E6">
            <v>1896.477539</v>
          </cell>
          <cell r="F6">
            <v>1909.553402</v>
          </cell>
          <cell r="G6">
            <v>1921.2018760000001</v>
          </cell>
          <cell r="H6">
            <v>1931.705948</v>
          </cell>
          <cell r="I6">
            <v>1939.881063</v>
          </cell>
          <cell r="J6">
            <v>1945.802709</v>
          </cell>
          <cell r="K6">
            <v>1950.323429</v>
          </cell>
          <cell r="L6">
            <v>1954.0795290000001</v>
          </cell>
          <cell r="M6">
            <v>1957.541567</v>
          </cell>
          <cell r="N6">
            <v>1960.9731810000001</v>
          </cell>
          <cell r="O6">
            <v>1964.525783</v>
          </cell>
          <cell r="P6">
            <v>1968.3437719999999</v>
          </cell>
          <cell r="Q6">
            <v>1972.581786</v>
          </cell>
          <cell r="R6">
            <v>1977.059131</v>
          </cell>
          <cell r="S6">
            <v>1981.7782110000001</v>
          </cell>
          <cell r="T6">
            <v>1986.860835</v>
          </cell>
          <cell r="U6">
            <v>1992.4737479999999</v>
          </cell>
          <cell r="V6">
            <v>1998.7557859999999</v>
          </cell>
          <cell r="W6">
            <v>2005.8764000000001</v>
          </cell>
          <cell r="X6">
            <v>2013.9980660000001</v>
          </cell>
          <cell r="Y6">
            <v>2023.2670880000001</v>
          </cell>
          <cell r="Z6">
            <v>2033.8055380000001</v>
          </cell>
          <cell r="AA6">
            <v>2045.6198690000001</v>
          </cell>
          <cell r="AB6">
            <v>2058.8507669999999</v>
          </cell>
          <cell r="AC6">
            <v>2073.6157710000002</v>
          </cell>
          <cell r="AD6">
            <v>2090.0347219999999</v>
          </cell>
          <cell r="AE6">
            <v>2108.2246319999999</v>
          </cell>
          <cell r="AF6">
            <v>2128.292547</v>
          </cell>
          <cell r="AG6">
            <v>2150.3408159999999</v>
          </cell>
          <cell r="AH6">
            <v>2174.4812339999999</v>
          </cell>
          <cell r="AI6">
            <v>2200.8517740000002</v>
          </cell>
          <cell r="AJ6">
            <v>2229.6278299999999</v>
          </cell>
          <cell r="AK6">
            <v>2261.032901</v>
          </cell>
        </row>
        <row r="7">
          <cell r="B7">
            <v>1844.8052849999999</v>
          </cell>
          <cell r="C7">
            <v>1864.2817809999999</v>
          </cell>
          <cell r="D7">
            <v>1881.5422470000001</v>
          </cell>
          <cell r="E7">
            <v>1896.477539</v>
          </cell>
          <cell r="F7">
            <v>1909.553402</v>
          </cell>
          <cell r="G7">
            <v>1921.2018760000001</v>
          </cell>
          <cell r="H7">
            <v>1931.705948</v>
          </cell>
          <cell r="I7">
            <v>1941.27098</v>
          </cell>
          <cell r="J7">
            <v>1950.0770869999999</v>
          </cell>
          <cell r="K7">
            <v>1958.290483</v>
          </cell>
          <cell r="L7">
            <v>1966.071496</v>
          </cell>
          <cell r="M7">
            <v>1973.359653</v>
          </cell>
          <cell r="N7">
            <v>1980.111764</v>
          </cell>
          <cell r="O7">
            <v>1986.342472</v>
          </cell>
          <cell r="P7">
            <v>1992.1207280000001</v>
          </cell>
          <cell r="Q7">
            <v>1997.5534680000001</v>
          </cell>
          <cell r="R7">
            <v>2002.7643680000001</v>
          </cell>
          <cell r="S7">
            <v>2007.892603</v>
          </cell>
          <cell r="T7">
            <v>2013.0780789999999</v>
          </cell>
          <cell r="U7">
            <v>2018.44722</v>
          </cell>
          <cell r="V7">
            <v>2024.075122</v>
          </cell>
          <cell r="W7">
            <v>2030.0681460000001</v>
          </cell>
          <cell r="X7">
            <v>2036.5299090000001</v>
          </cell>
          <cell r="Y7">
            <v>2043.550358</v>
          </cell>
          <cell r="Z7">
            <v>2051.197232</v>
          </cell>
          <cell r="AA7">
            <v>2059.4209219999998</v>
          </cell>
          <cell r="AB7">
            <v>2068.242886</v>
          </cell>
          <cell r="AC7">
            <v>2077.7166820000002</v>
          </cell>
          <cell r="AD7">
            <v>2087.907811</v>
          </cell>
          <cell r="AE7">
            <v>2098.875125</v>
          </cell>
          <cell r="AF7">
            <v>2110.6593910000001</v>
          </cell>
          <cell r="AG7">
            <v>2123.2865270000002</v>
          </cell>
          <cell r="AH7">
            <v>2136.7737980000002</v>
          </cell>
          <cell r="AI7">
            <v>2151.1336550000001</v>
          </cell>
          <cell r="AJ7">
            <v>2166.3745439999998</v>
          </cell>
          <cell r="AK7">
            <v>2182.4997480000002</v>
          </cell>
        </row>
        <row r="8">
          <cell r="B8">
            <v>74527.120699999999</v>
          </cell>
          <cell r="C8">
            <v>75433.220709999994</v>
          </cell>
          <cell r="D8">
            <v>76414.466159999996</v>
          </cell>
          <cell r="E8">
            <v>77492.488630000007</v>
          </cell>
          <cell r="F8">
            <v>78679.200330000007</v>
          </cell>
          <cell r="G8">
            <v>79982.926300000006</v>
          </cell>
          <cell r="H8">
            <v>81409.218110000002</v>
          </cell>
          <cell r="I8">
            <v>82959.989740000005</v>
          </cell>
          <cell r="J8">
            <v>84637.455790000007</v>
          </cell>
          <cell r="K8">
            <v>86466.371910000002</v>
          </cell>
          <cell r="L8">
            <v>88459.449160000004</v>
          </cell>
          <cell r="M8">
            <v>90600.080709999995</v>
          </cell>
          <cell r="N8">
            <v>92867.155939999997</v>
          </cell>
          <cell r="O8">
            <v>95240.907179999995</v>
          </cell>
          <cell r="P8">
            <v>97705.745030000005</v>
          </cell>
          <cell r="Q8">
            <v>100250.07090000001</v>
          </cell>
          <cell r="R8">
            <v>102867.95540000001</v>
          </cell>
          <cell r="S8">
            <v>105557.2705</v>
          </cell>
          <cell r="T8">
            <v>108319.3778</v>
          </cell>
          <cell r="U8">
            <v>111158.109</v>
          </cell>
          <cell r="V8">
            <v>114076.79700000001</v>
          </cell>
          <cell r="W8">
            <v>117082.21550000001</v>
          </cell>
          <cell r="X8">
            <v>120182.96430000001</v>
          </cell>
          <cell r="Y8">
            <v>123388.882</v>
          </cell>
          <cell r="Z8">
            <v>126709.8006</v>
          </cell>
          <cell r="AA8">
            <v>130147.97900000001</v>
          </cell>
          <cell r="AB8">
            <v>133705.96830000001</v>
          </cell>
          <cell r="AC8">
            <v>137388.42629999999</v>
          </cell>
          <cell r="AD8">
            <v>141201.94320000001</v>
          </cell>
          <cell r="AE8">
            <v>145153.46489999999</v>
          </cell>
          <cell r="AF8">
            <v>149248.34239999999</v>
          </cell>
          <cell r="AG8">
            <v>153488.91380000001</v>
          </cell>
          <cell r="AH8">
            <v>157874.0699</v>
          </cell>
          <cell r="AI8">
            <v>162399.68419999999</v>
          </cell>
          <cell r="AJ8">
            <v>167058.58439999999</v>
          </cell>
          <cell r="AK8">
            <v>171840.2316</v>
          </cell>
        </row>
        <row r="9">
          <cell r="B9">
            <v>74527.120699999999</v>
          </cell>
          <cell r="C9">
            <v>75433.220700000005</v>
          </cell>
          <cell r="D9">
            <v>76414.466149999993</v>
          </cell>
          <cell r="E9">
            <v>77492.488620000004</v>
          </cell>
          <cell r="F9">
            <v>78679.200299999997</v>
          </cell>
          <cell r="G9">
            <v>79982.926259999993</v>
          </cell>
          <cell r="H9">
            <v>81409.218059999999</v>
          </cell>
          <cell r="I9">
            <v>82960.582240000003</v>
          </cell>
          <cell r="J9">
            <v>84638.024340000004</v>
          </cell>
          <cell r="K9">
            <v>86442.106780000002</v>
          </cell>
          <cell r="L9">
            <v>88371.610339999999</v>
          </cell>
          <cell r="M9">
            <v>90408.507930000007</v>
          </cell>
          <cell r="N9">
            <v>92532.818870000003</v>
          </cell>
          <cell r="O9">
            <v>94726.352119999996</v>
          </cell>
          <cell r="P9">
            <v>96974.334879999995</v>
          </cell>
          <cell r="Q9">
            <v>99266.025869999998</v>
          </cell>
          <cell r="R9">
            <v>101594.0466</v>
          </cell>
          <cell r="S9">
            <v>103957.42449999999</v>
          </cell>
          <cell r="T9">
            <v>106359.5068</v>
          </cell>
          <cell r="U9">
            <v>108806.07919999999</v>
          </cell>
          <cell r="V9">
            <v>111302.3787</v>
          </cell>
          <cell r="W9">
            <v>113857.0938</v>
          </cell>
          <cell r="X9">
            <v>116480.8324</v>
          </cell>
          <cell r="Y9">
            <v>119185.20699999999</v>
          </cell>
          <cell r="Z9">
            <v>121981.6142</v>
          </cell>
          <cell r="AA9">
            <v>124874.5289</v>
          </cell>
          <cell r="AB9">
            <v>127871.66800000001</v>
          </cell>
          <cell r="AC9">
            <v>130982.8857</v>
          </cell>
          <cell r="AD9">
            <v>134219.34719999999</v>
          </cell>
          <cell r="AE9">
            <v>137591.86129999999</v>
          </cell>
          <cell r="AF9">
            <v>141109.24890000001</v>
          </cell>
          <cell r="AG9">
            <v>144777.80739999999</v>
          </cell>
          <cell r="AH9">
            <v>148601.30840000001</v>
          </cell>
          <cell r="AI9">
            <v>152580.92850000001</v>
          </cell>
          <cell r="AJ9">
            <v>156715.13829999999</v>
          </cell>
          <cell r="AK9">
            <v>160999.58439999999</v>
          </cell>
        </row>
        <row r="10">
          <cell r="B10">
            <v>401529.44650000002</v>
          </cell>
          <cell r="C10">
            <v>406777.74839999998</v>
          </cell>
          <cell r="D10">
            <v>412960.68520000001</v>
          </cell>
          <cell r="E10">
            <v>420117.43290000001</v>
          </cell>
          <cell r="F10">
            <v>428224.91310000001</v>
          </cell>
          <cell r="G10">
            <v>437231.26449999999</v>
          </cell>
          <cell r="H10">
            <v>447062.44689999998</v>
          </cell>
          <cell r="I10">
            <v>457294.82620000001</v>
          </cell>
          <cell r="J10">
            <v>467789.62890000001</v>
          </cell>
          <cell r="K10">
            <v>478876.6421</v>
          </cell>
          <cell r="L10">
            <v>490570.82270000002</v>
          </cell>
          <cell r="M10">
            <v>502586.73719999997</v>
          </cell>
          <cell r="N10">
            <v>514634.31699999998</v>
          </cell>
          <cell r="O10">
            <v>526521.59250000003</v>
          </cell>
          <cell r="P10">
            <v>538189.41590000002</v>
          </cell>
          <cell r="Q10">
            <v>549670.571</v>
          </cell>
          <cell r="R10">
            <v>560986.44739999995</v>
          </cell>
          <cell r="S10">
            <v>572223.71149999998</v>
          </cell>
          <cell r="T10">
            <v>583506.2341</v>
          </cell>
          <cell r="U10">
            <v>594968.85519999999</v>
          </cell>
          <cell r="V10">
            <v>606745.04630000005</v>
          </cell>
          <cell r="W10">
            <v>618971.08629999997</v>
          </cell>
          <cell r="X10">
            <v>631786.42420000001</v>
          </cell>
          <cell r="Y10">
            <v>645328.83389999997</v>
          </cell>
          <cell r="Z10">
            <v>659724.38249999995</v>
          </cell>
          <cell r="AA10">
            <v>675076.88950000005</v>
          </cell>
          <cell r="AB10">
            <v>691523.75219999999</v>
          </cell>
          <cell r="AC10">
            <v>709182.85620000004</v>
          </cell>
          <cell r="AD10">
            <v>728157.52919999999</v>
          </cell>
          <cell r="AE10">
            <v>748515.48809999996</v>
          </cell>
          <cell r="AF10">
            <v>770276.66489999997</v>
          </cell>
          <cell r="AG10">
            <v>793419.49439999997</v>
          </cell>
          <cell r="AH10">
            <v>817892.89520000003</v>
          </cell>
          <cell r="AI10">
            <v>843625.31810000003</v>
          </cell>
          <cell r="AJ10">
            <v>870529.65300000005</v>
          </cell>
          <cell r="AK10">
            <v>898504.90480000002</v>
          </cell>
        </row>
        <row r="11">
          <cell r="B11">
            <v>401529.44650000002</v>
          </cell>
          <cell r="C11">
            <v>406777.74839999998</v>
          </cell>
          <cell r="D11">
            <v>412960.68520000001</v>
          </cell>
          <cell r="E11">
            <v>420117.43290000001</v>
          </cell>
          <cell r="F11">
            <v>428224.91310000001</v>
          </cell>
          <cell r="G11">
            <v>437231.26449999999</v>
          </cell>
          <cell r="H11">
            <v>447062.44689999998</v>
          </cell>
          <cell r="I11">
            <v>457647.48369999998</v>
          </cell>
          <cell r="J11">
            <v>468937.0931</v>
          </cell>
          <cell r="K11">
            <v>480905.1666</v>
          </cell>
          <cell r="L11">
            <v>493481.98090000002</v>
          </cell>
          <cell r="M11">
            <v>506395.34659999999</v>
          </cell>
          <cell r="N11">
            <v>519416.12160000001</v>
          </cell>
          <cell r="O11">
            <v>532396.32140000002</v>
          </cell>
          <cell r="P11">
            <v>545272.38840000005</v>
          </cell>
          <cell r="Q11">
            <v>558049.13159999996</v>
          </cell>
          <cell r="R11">
            <v>570798.92819999997</v>
          </cell>
          <cell r="S11">
            <v>583636.71250000002</v>
          </cell>
          <cell r="T11">
            <v>596694.19680000003</v>
          </cell>
          <cell r="U11">
            <v>610100.75340000005</v>
          </cell>
          <cell r="V11">
            <v>623976.78300000005</v>
          </cell>
          <cell r="W11">
            <v>638442.00930000003</v>
          </cell>
          <cell r="X11">
            <v>653618.36140000005</v>
          </cell>
          <cell r="Y11">
            <v>669624.50040000002</v>
          </cell>
          <cell r="Z11">
            <v>686564.36860000005</v>
          </cell>
          <cell r="AA11">
            <v>704516.41240000003</v>
          </cell>
          <cell r="AB11">
            <v>723559.61120000004</v>
          </cell>
          <cell r="AC11">
            <v>743779.14789999998</v>
          </cell>
          <cell r="AD11">
            <v>765256.28740000003</v>
          </cell>
          <cell r="AE11">
            <v>788039.65179999999</v>
          </cell>
          <cell r="AF11">
            <v>812130.66680000001</v>
          </cell>
          <cell r="AG11">
            <v>837491.821</v>
          </cell>
          <cell r="AH11">
            <v>864061.53359999997</v>
          </cell>
          <cell r="AI11">
            <v>891763.51769999997</v>
          </cell>
          <cell r="AJ11">
            <v>920511.44559999998</v>
          </cell>
          <cell r="AK11">
            <v>950210.68770000001</v>
          </cell>
        </row>
        <row r="13">
          <cell r="B13">
            <v>16084.438920000001</v>
          </cell>
          <cell r="C13">
            <v>16281.78391</v>
          </cell>
          <cell r="D13">
            <v>16497.062529999999</v>
          </cell>
          <cell r="E13">
            <v>16734.04333</v>
          </cell>
          <cell r="F13">
            <v>16994.022239999998</v>
          </cell>
          <cell r="G13">
            <v>17278.2032</v>
          </cell>
          <cell r="H13">
            <v>17587.897730000001</v>
          </cell>
          <cell r="I13">
            <v>17923.997090000001</v>
          </cell>
          <cell r="J13">
            <v>18287.140019999999</v>
          </cell>
          <cell r="K13">
            <v>18677.96142</v>
          </cell>
          <cell r="L13">
            <v>19096.57026</v>
          </cell>
          <cell r="M13">
            <v>19539.538189999999</v>
          </cell>
          <cell r="N13">
            <v>20003.4015</v>
          </cell>
          <cell r="O13">
            <v>20485.610909999999</v>
          </cell>
          <cell r="P13">
            <v>20984.821940000002</v>
          </cell>
          <cell r="Q13">
            <v>21500.830689999999</v>
          </cell>
          <cell r="R13">
            <v>22033.98301</v>
          </cell>
          <cell r="S13">
            <v>22585.99438</v>
          </cell>
          <cell r="T13">
            <v>23159.412380000002</v>
          </cell>
          <cell r="U13">
            <v>23757.097239999999</v>
          </cell>
          <cell r="V13">
            <v>24381.623510000001</v>
          </cell>
          <cell r="W13">
            <v>25035.782289999999</v>
          </cell>
          <cell r="X13">
            <v>25722.420849999999</v>
          </cell>
          <cell r="Y13">
            <v>26444.270929999999</v>
          </cell>
          <cell r="Z13">
            <v>27203.692070000001</v>
          </cell>
          <cell r="AA13">
            <v>28001.577570000001</v>
          </cell>
          <cell r="AB13">
            <v>28838.8786</v>
          </cell>
          <cell r="AC13">
            <v>29716.68173</v>
          </cell>
          <cell r="AD13">
            <v>30636.114000000001</v>
          </cell>
          <cell r="AE13">
            <v>31598.000090000001</v>
          </cell>
          <cell r="AF13">
            <v>32602.58725</v>
          </cell>
          <cell r="AG13">
            <v>33649.572590000003</v>
          </cell>
          <cell r="AH13">
            <v>34738.252269999997</v>
          </cell>
          <cell r="AI13">
            <v>35867.616529999999</v>
          </cell>
          <cell r="AJ13">
            <v>37036.388919999998</v>
          </cell>
          <cell r="AK13">
            <v>38243.027190000001</v>
          </cell>
        </row>
        <row r="14">
          <cell r="B14">
            <v>13394.580900000001</v>
          </cell>
          <cell r="C14">
            <v>13558.988450000001</v>
          </cell>
          <cell r="D14">
            <v>13739.677750000001</v>
          </cell>
          <cell r="E14">
            <v>13939.02339</v>
          </cell>
          <cell r="F14">
            <v>14158.38573</v>
          </cell>
          <cell r="G14">
            <v>14398.62939</v>
          </cell>
          <cell r="H14">
            <v>14659.901110000001</v>
          </cell>
          <cell r="I14">
            <v>14936.939130000001</v>
          </cell>
          <cell r="J14">
            <v>15227.73272</v>
          </cell>
          <cell r="K14">
            <v>15538.42223</v>
          </cell>
          <cell r="L14">
            <v>15869.65336</v>
          </cell>
          <cell r="M14">
            <v>16215.004419999999</v>
          </cell>
          <cell r="N14">
            <v>16567.490460000001</v>
          </cell>
          <cell r="O14">
            <v>16921.85569</v>
          </cell>
          <cell r="P14">
            <v>17275.37254</v>
          </cell>
          <cell r="Q14">
            <v>17627.222109999999</v>
          </cell>
          <cell r="R14">
            <v>17977.426439999999</v>
          </cell>
          <cell r="S14">
            <v>18327.413530000002</v>
          </cell>
          <cell r="T14">
            <v>18679.59015</v>
          </cell>
          <cell r="U14">
            <v>19036.885480000001</v>
          </cell>
          <cell r="V14">
            <v>19402.306049999999</v>
          </cell>
          <cell r="W14">
            <v>19779.309600000001</v>
          </cell>
          <cell r="X14">
            <v>20171.634600000001</v>
          </cell>
          <cell r="Y14">
            <v>20583.106609999999</v>
          </cell>
          <cell r="Z14">
            <v>21017.35598</v>
          </cell>
          <cell r="AA14">
            <v>21477.020970000001</v>
          </cell>
          <cell r="AB14">
            <v>21965.001939999998</v>
          </cell>
          <cell r="AC14">
            <v>22484.37501</v>
          </cell>
          <cell r="AD14">
            <v>23038.20131</v>
          </cell>
          <cell r="AE14">
            <v>23628.96183</v>
          </cell>
          <cell r="AF14">
            <v>24258.18491</v>
          </cell>
          <cell r="AG14">
            <v>24926.482739999999</v>
          </cell>
          <cell r="AH14">
            <v>25633.7572</v>
          </cell>
          <cell r="AI14">
            <v>26379.33655</v>
          </cell>
          <cell r="AJ14">
            <v>27162.034210000002</v>
          </cell>
          <cell r="AK14">
            <v>27980.176380000001</v>
          </cell>
        </row>
        <row r="15">
          <cell r="B15">
            <v>13394.580900000001</v>
          </cell>
          <cell r="C15">
            <v>13558.988450000001</v>
          </cell>
          <cell r="D15">
            <v>13739.677750000001</v>
          </cell>
          <cell r="E15">
            <v>13939.02339</v>
          </cell>
          <cell r="F15">
            <v>14158.38573</v>
          </cell>
          <cell r="G15">
            <v>14398.62939</v>
          </cell>
          <cell r="H15">
            <v>14659.901110000001</v>
          </cell>
          <cell r="I15">
            <v>14941.84179</v>
          </cell>
          <cell r="J15">
            <v>15243.907149999999</v>
          </cell>
          <cell r="K15">
            <v>15565.554400000001</v>
          </cell>
          <cell r="L15">
            <v>15905.28959</v>
          </cell>
          <cell r="M15">
            <v>16257.097169999999</v>
          </cell>
          <cell r="N15">
            <v>16615.321790000002</v>
          </cell>
          <cell r="O15">
            <v>16975.691620000001</v>
          </cell>
          <cell r="P15">
            <v>17335.58988</v>
          </cell>
          <cell r="Q15">
            <v>17693.918430000002</v>
          </cell>
          <cell r="R15">
            <v>18051.109619999999</v>
          </cell>
          <cell r="S15">
            <v>18408.992330000001</v>
          </cell>
          <cell r="T15">
            <v>18770.264299999999</v>
          </cell>
          <cell r="U15">
            <v>19137.997230000001</v>
          </cell>
          <cell r="V15">
            <v>19515.19526</v>
          </cell>
          <cell r="W15">
            <v>19905.18434</v>
          </cell>
          <cell r="X15">
            <v>20311.462909999998</v>
          </cell>
          <cell r="Y15">
            <v>20737.525440000001</v>
          </cell>
          <cell r="Z15">
            <v>21186.5965</v>
          </cell>
          <cell r="AA15">
            <v>21660.872169999999</v>
          </cell>
          <cell r="AB15">
            <v>22162.74624</v>
          </cell>
          <cell r="AC15">
            <v>22694.75762</v>
          </cell>
          <cell r="AD15">
            <v>23259.372780000002</v>
          </cell>
          <cell r="AE15">
            <v>23858.42036</v>
          </cell>
          <cell r="AF15">
            <v>24492.734069999999</v>
          </cell>
          <cell r="AG15">
            <v>25162.215909999999</v>
          </cell>
          <cell r="AH15">
            <v>25866.049370000001</v>
          </cell>
          <cell r="AI15">
            <v>26602.840810000002</v>
          </cell>
          <cell r="AJ15">
            <v>27370.697609999999</v>
          </cell>
          <cell r="AK15">
            <v>28167.27058</v>
          </cell>
        </row>
        <row r="16">
          <cell r="B16">
            <v>36396.253879999997</v>
          </cell>
          <cell r="C16">
            <v>36852.336909999998</v>
          </cell>
          <cell r="D16">
            <v>37364.041160000001</v>
          </cell>
          <cell r="E16">
            <v>37936.429120000001</v>
          </cell>
          <cell r="F16">
            <v>38571.928500000002</v>
          </cell>
          <cell r="G16">
            <v>39271.706010000002</v>
          </cell>
          <cell r="H16">
            <v>40035.987809999999</v>
          </cell>
          <cell r="I16">
            <v>40840.460480000002</v>
          </cell>
          <cell r="J16">
            <v>41678.248820000001</v>
          </cell>
          <cell r="K16">
            <v>42570.908219999998</v>
          </cell>
          <cell r="L16">
            <v>43519.630709999998</v>
          </cell>
          <cell r="M16">
            <v>44502.629950000002</v>
          </cell>
          <cell r="N16">
            <v>45496.989459999997</v>
          </cell>
          <cell r="O16">
            <v>46486.378369999999</v>
          </cell>
          <cell r="P16">
            <v>47463.529569999999</v>
          </cell>
          <cell r="Q16">
            <v>48427.695229999998</v>
          </cell>
          <cell r="R16">
            <v>49382.869050000001</v>
          </cell>
          <cell r="S16">
            <v>50336.106809999997</v>
          </cell>
          <cell r="T16">
            <v>51297.146070000003</v>
          </cell>
          <cell r="U16">
            <v>52277.00606</v>
          </cell>
          <cell r="V16">
            <v>53286.840499999998</v>
          </cell>
          <cell r="W16">
            <v>54338.613749999997</v>
          </cell>
          <cell r="X16">
            <v>55444.791010000001</v>
          </cell>
          <cell r="Y16">
            <v>56617.704740000001</v>
          </cell>
          <cell r="Z16">
            <v>57868.588810000001</v>
          </cell>
          <cell r="AA16">
            <v>59206.001479999999</v>
          </cell>
          <cell r="AB16">
            <v>60638.22653</v>
          </cell>
          <cell r="AC16">
            <v>62174.68576</v>
          </cell>
          <cell r="AD16">
            <v>63824.796119999999</v>
          </cell>
          <cell r="AE16">
            <v>65595.682759999996</v>
          </cell>
          <cell r="AF16">
            <v>67490.903479999994</v>
          </cell>
          <cell r="AG16">
            <v>69510.910470000003</v>
          </cell>
          <cell r="AH16">
            <v>71654.052729999996</v>
          </cell>
          <cell r="AI16">
            <v>73917.013260000007</v>
          </cell>
          <cell r="AJ16">
            <v>76294.931249999994</v>
          </cell>
          <cell r="AK16">
            <v>78781.431729999997</v>
          </cell>
        </row>
        <row r="17">
          <cell r="B17">
            <v>36396.253879999997</v>
          </cell>
          <cell r="C17">
            <v>36852.336909999998</v>
          </cell>
          <cell r="D17">
            <v>37364.041160000001</v>
          </cell>
          <cell r="E17">
            <v>37936.429120000001</v>
          </cell>
          <cell r="F17">
            <v>38571.928500000002</v>
          </cell>
          <cell r="G17">
            <v>39271.706010000002</v>
          </cell>
          <cell r="H17">
            <v>40035.987809999999</v>
          </cell>
          <cell r="I17">
            <v>40863.700120000001</v>
          </cell>
          <cell r="J17">
            <v>41753.090080000002</v>
          </cell>
          <cell r="K17">
            <v>42702.259469999997</v>
          </cell>
          <cell r="L17">
            <v>43705.253900000003</v>
          </cell>
          <cell r="M17">
            <v>44740.474150000002</v>
          </cell>
          <cell r="N17">
            <v>45789.006780000003</v>
          </cell>
          <cell r="O17">
            <v>46837.653250000003</v>
          </cell>
          <cell r="P17">
            <v>47879.428870000003</v>
          </cell>
          <cell r="Q17">
            <v>48912.686909999997</v>
          </cell>
          <cell r="R17">
            <v>49940.081960000003</v>
          </cell>
          <cell r="S17">
            <v>50968.771890000004</v>
          </cell>
          <cell r="T17">
            <v>52008.796190000001</v>
          </cell>
          <cell r="U17">
            <v>53071.285179999999</v>
          </cell>
          <cell r="V17">
            <v>54167.212650000001</v>
          </cell>
          <cell r="W17">
            <v>55307.990360000003</v>
          </cell>
          <cell r="X17">
            <v>56505.171490000001</v>
          </cell>
          <cell r="Y17">
            <v>57769.943079999997</v>
          </cell>
          <cell r="Z17">
            <v>59112.253929999999</v>
          </cell>
          <cell r="AA17">
            <v>60539.342879999997</v>
          </cell>
          <cell r="AB17">
            <v>62058.616110000003</v>
          </cell>
          <cell r="AC17">
            <v>63677.69902</v>
          </cell>
          <cell r="AD17">
            <v>65403.785960000001</v>
          </cell>
          <cell r="AE17">
            <v>67241.62788</v>
          </cell>
          <cell r="AF17">
            <v>69192.3897</v>
          </cell>
          <cell r="AG17">
            <v>71254.08567</v>
          </cell>
          <cell r="AH17">
            <v>73422.497669999997</v>
          </cell>
          <cell r="AI17">
            <v>75691.754889999997</v>
          </cell>
          <cell r="AJ17">
            <v>78054.64241</v>
          </cell>
          <cell r="AK17">
            <v>80502.757859999998</v>
          </cell>
        </row>
        <row r="18">
          <cell r="B18">
            <v>13360.21751</v>
          </cell>
          <cell r="C18">
            <v>13527.875550000001</v>
          </cell>
          <cell r="D18">
            <v>13715.92438</v>
          </cell>
          <cell r="E18">
            <v>13926.78471</v>
          </cell>
          <cell r="F18">
            <v>14161.24353</v>
          </cell>
          <cell r="G18">
            <v>14419.50136</v>
          </cell>
          <cell r="H18">
            <v>14701.205760000001</v>
          </cell>
          <cell r="I18">
            <v>15000.76418</v>
          </cell>
          <cell r="J18">
            <v>15316.825930000001</v>
          </cell>
          <cell r="K18">
            <v>15657.66439</v>
          </cell>
          <cell r="L18">
            <v>16024.28621</v>
          </cell>
          <cell r="M18">
            <v>16408.782159999999</v>
          </cell>
          <cell r="N18">
            <v>16802.495009999999</v>
          </cell>
          <cell r="O18">
            <v>17199.021369999999</v>
          </cell>
          <cell r="P18">
            <v>17595.25604</v>
          </cell>
          <cell r="Q18">
            <v>17990.572779999999</v>
          </cell>
          <cell r="R18">
            <v>18385.543870000001</v>
          </cell>
          <cell r="S18">
            <v>18782.31581</v>
          </cell>
          <cell r="T18">
            <v>19184.112590000001</v>
          </cell>
          <cell r="U18">
            <v>19594.659909999998</v>
          </cell>
          <cell r="V18">
            <v>20017.773120000002</v>
          </cell>
          <cell r="W18">
            <v>20457.524069999999</v>
          </cell>
          <cell r="X18">
            <v>20918.20117</v>
          </cell>
          <cell r="Y18">
            <v>21404.107950000001</v>
          </cell>
          <cell r="Z18">
            <v>21919.229070000001</v>
          </cell>
          <cell r="AA18">
            <v>22466.6525</v>
          </cell>
          <cell r="AB18">
            <v>23049.394189999999</v>
          </cell>
          <cell r="AC18">
            <v>23670.52577</v>
          </cell>
          <cell r="AD18">
            <v>24332.979589999999</v>
          </cell>
          <cell r="AE18">
            <v>25038.865559999998</v>
          </cell>
          <cell r="AF18">
            <v>25789.04666</v>
          </cell>
          <cell r="AG18">
            <v>26583.221969999999</v>
          </cell>
          <cell r="AH18">
            <v>27420.21499</v>
          </cell>
          <cell r="AI18">
            <v>28298.186890000001</v>
          </cell>
          <cell r="AJ18">
            <v>29214.73978</v>
          </cell>
          <cell r="AK18">
            <v>30166.9758</v>
          </cell>
        </row>
        <row r="19">
          <cell r="B19">
            <v>13360.21751</v>
          </cell>
          <cell r="C19">
            <v>13527.875539999999</v>
          </cell>
          <cell r="D19">
            <v>13715.92438</v>
          </cell>
          <cell r="E19">
            <v>13926.78471</v>
          </cell>
          <cell r="F19">
            <v>14161.24353</v>
          </cell>
          <cell r="G19">
            <v>14419.50135</v>
          </cell>
          <cell r="H19">
            <v>14701.205749999999</v>
          </cell>
          <cell r="I19">
            <v>15005.75837</v>
          </cell>
          <cell r="J19">
            <v>15332.53722</v>
          </cell>
          <cell r="K19">
            <v>15681.0196</v>
          </cell>
          <cell r="L19">
            <v>16049.41389</v>
          </cell>
          <cell r="M19">
            <v>16430.772919999999</v>
          </cell>
          <cell r="N19">
            <v>16818.77808</v>
          </cell>
          <cell r="O19">
            <v>17208.91675</v>
          </cell>
          <cell r="P19">
            <v>17598.723429999998</v>
          </cell>
          <cell r="Q19">
            <v>17987.528600000001</v>
          </cell>
          <cell r="R19">
            <v>18376.309229999999</v>
          </cell>
          <cell r="S19">
            <v>18767.43996</v>
          </cell>
          <cell r="T19">
            <v>19164.178660000001</v>
          </cell>
          <cell r="U19">
            <v>19570.142090000001</v>
          </cell>
          <cell r="V19">
            <v>19988.940060000001</v>
          </cell>
          <cell r="W19">
            <v>20424.363870000001</v>
          </cell>
          <cell r="X19">
            <v>20880.361639999999</v>
          </cell>
          <cell r="Y19">
            <v>21360.83325</v>
          </cell>
          <cell r="Z19">
            <v>21869.303660000001</v>
          </cell>
          <cell r="AA19">
            <v>22408.390149999999</v>
          </cell>
          <cell r="AB19">
            <v>22980.62572</v>
          </cell>
          <cell r="AC19">
            <v>23588.63478</v>
          </cell>
          <cell r="AD19">
            <v>24234.900140000002</v>
          </cell>
          <cell r="AE19">
            <v>24921.084309999998</v>
          </cell>
          <cell r="AF19">
            <v>25647.624950000001</v>
          </cell>
          <cell r="AG19">
            <v>26413.86102</v>
          </cell>
          <cell r="AH19">
            <v>27218.33771</v>
          </cell>
          <cell r="AI19">
            <v>28059.008709999998</v>
          </cell>
          <cell r="AJ19">
            <v>28933.348409999999</v>
          </cell>
          <cell r="AK19">
            <v>29838.41185</v>
          </cell>
        </row>
        <row r="20">
          <cell r="B20">
            <v>66530.747570000007</v>
          </cell>
          <cell r="C20">
            <v>67356.475279999999</v>
          </cell>
          <cell r="D20">
            <v>68276.705719999998</v>
          </cell>
          <cell r="E20">
            <v>69301.917149999994</v>
          </cell>
          <cell r="F20">
            <v>70436.667079999999</v>
          </cell>
          <cell r="G20">
            <v>71683.523079999999</v>
          </cell>
          <cell r="H20">
            <v>73042.145640000002</v>
          </cell>
          <cell r="I20">
            <v>74474.359800000006</v>
          </cell>
          <cell r="J20">
            <v>75966.039009999993</v>
          </cell>
          <cell r="K20">
            <v>77552.028260000006</v>
          </cell>
          <cell r="L20">
            <v>79236.356169999999</v>
          </cell>
          <cell r="M20">
            <v>80984.786330000003</v>
          </cell>
          <cell r="N20">
            <v>82759.873399999997</v>
          </cell>
          <cell r="O20">
            <v>84534.915359999999</v>
          </cell>
          <cell r="P20">
            <v>86298.817620000002</v>
          </cell>
          <cell r="Q20">
            <v>88052.120989999996</v>
          </cell>
          <cell r="R20">
            <v>89801.957169999994</v>
          </cell>
          <cell r="S20">
            <v>91561.462839999993</v>
          </cell>
          <cell r="T20">
            <v>93348.40668</v>
          </cell>
          <cell r="U20">
            <v>95182.835510000004</v>
          </cell>
          <cell r="V20">
            <v>97085.339949999994</v>
          </cell>
          <cell r="W20">
            <v>99077.852100000004</v>
          </cell>
          <cell r="X20">
            <v>101183.5537</v>
          </cell>
          <cell r="Y20">
            <v>103425.78810000001</v>
          </cell>
          <cell r="Z20">
            <v>105826.4755</v>
          </cell>
          <cell r="AA20">
            <v>108403.60550000001</v>
          </cell>
          <cell r="AB20">
            <v>111174.43859999999</v>
          </cell>
          <cell r="AC20">
            <v>114157.8924</v>
          </cell>
          <cell r="AD20">
            <v>117372.75750000001</v>
          </cell>
          <cell r="AE20">
            <v>120834.16800000001</v>
          </cell>
          <cell r="AF20">
            <v>124551.6214</v>
          </cell>
          <cell r="AG20">
            <v>128529.7588</v>
          </cell>
          <cell r="AH20">
            <v>132770.08309999999</v>
          </cell>
          <cell r="AI20">
            <v>137271.87789999999</v>
          </cell>
          <cell r="AJ20">
            <v>142032.71160000001</v>
          </cell>
          <cell r="AK20">
            <v>147048.85519999999</v>
          </cell>
        </row>
        <row r="21">
          <cell r="B21">
            <v>66530.747570000007</v>
          </cell>
          <cell r="C21">
            <v>67356.475279999999</v>
          </cell>
          <cell r="D21">
            <v>68276.705719999998</v>
          </cell>
          <cell r="E21">
            <v>69301.917149999994</v>
          </cell>
          <cell r="F21">
            <v>70436.667079999999</v>
          </cell>
          <cell r="G21">
            <v>71683.523090000002</v>
          </cell>
          <cell r="H21">
            <v>73042.145640000002</v>
          </cell>
          <cell r="I21">
            <v>74510.589919999999</v>
          </cell>
          <cell r="J21">
            <v>76086.533129999996</v>
          </cell>
          <cell r="K21">
            <v>77768.027119999999</v>
          </cell>
          <cell r="L21">
            <v>79546.765880000006</v>
          </cell>
          <cell r="M21">
            <v>81389.072360000006</v>
          </cell>
          <cell r="N21">
            <v>83264.049199999994</v>
          </cell>
          <cell r="O21">
            <v>85149.865319999997</v>
          </cell>
          <cell r="P21">
            <v>87035.116089999996</v>
          </cell>
          <cell r="Q21">
            <v>88917.516260000004</v>
          </cell>
          <cell r="R21">
            <v>90803.597970000003</v>
          </cell>
          <cell r="S21">
            <v>92706.886629999994</v>
          </cell>
          <cell r="T21">
            <v>94645.208719999995</v>
          </cell>
          <cell r="U21">
            <v>96637.966320000007</v>
          </cell>
          <cell r="V21">
            <v>98704.331879999998</v>
          </cell>
          <cell r="W21">
            <v>100863.944</v>
          </cell>
          <cell r="X21">
            <v>103136.90979999999</v>
          </cell>
          <cell r="Y21">
            <v>105542.9184</v>
          </cell>
          <cell r="Z21">
            <v>108099.731</v>
          </cell>
          <cell r="AA21">
            <v>110820.819</v>
          </cell>
          <cell r="AB21">
            <v>113718.9388</v>
          </cell>
          <cell r="AC21">
            <v>116807.0886</v>
          </cell>
          <cell r="AD21">
            <v>120097.4586</v>
          </cell>
          <cell r="AE21">
            <v>123598.0831</v>
          </cell>
          <cell r="AF21">
            <v>127310.8575</v>
          </cell>
          <cell r="AG21">
            <v>131232.1863</v>
          </cell>
          <cell r="AH21">
            <v>135354.554</v>
          </cell>
          <cell r="AI21">
            <v>139667.59899999999</v>
          </cell>
          <cell r="AJ21">
            <v>144158.70699999999</v>
          </cell>
          <cell r="AK21">
            <v>148813.31159999999</v>
          </cell>
        </row>
        <row r="22">
          <cell r="B22">
            <v>129149.4963</v>
          </cell>
          <cell r="C22">
            <v>130816.0477</v>
          </cell>
          <cell r="D22">
            <v>132738.7121</v>
          </cell>
          <cell r="E22">
            <v>134930.91099999999</v>
          </cell>
          <cell r="F22">
            <v>137395.69889999999</v>
          </cell>
          <cell r="G22">
            <v>140131.45619999999</v>
          </cell>
          <cell r="H22">
            <v>143132.61120000001</v>
          </cell>
          <cell r="I22">
            <v>146306.0686</v>
          </cell>
          <cell r="J22">
            <v>149643.54440000001</v>
          </cell>
          <cell r="K22">
            <v>153265.7058</v>
          </cell>
          <cell r="L22">
            <v>157192.1637</v>
          </cell>
          <cell r="M22">
            <v>161333.08040000001</v>
          </cell>
          <cell r="N22">
            <v>165582.4754</v>
          </cell>
          <cell r="O22">
            <v>169858.7574</v>
          </cell>
          <cell r="P22">
            <v>174120.1911</v>
          </cell>
          <cell r="Q22">
            <v>178354.3866</v>
          </cell>
          <cell r="R22">
            <v>182562.4333</v>
          </cell>
          <cell r="S22">
            <v>186767.7034</v>
          </cell>
          <cell r="T22">
            <v>191007.19459999999</v>
          </cell>
          <cell r="U22">
            <v>195323.06020000001</v>
          </cell>
          <cell r="V22">
            <v>199758.99780000001</v>
          </cell>
          <cell r="W22">
            <v>204360.74969999999</v>
          </cell>
          <cell r="X22">
            <v>209177.07500000001</v>
          </cell>
          <cell r="Y22">
            <v>214255.93169999999</v>
          </cell>
          <cell r="Z22">
            <v>219639.79680000001</v>
          </cell>
          <cell r="AA22">
            <v>225363.2972</v>
          </cell>
          <cell r="AB22">
            <v>231456.73800000001</v>
          </cell>
          <cell r="AC22">
            <v>237960.24230000001</v>
          </cell>
          <cell r="AD22">
            <v>244914.2279</v>
          </cell>
          <cell r="AE22">
            <v>252347.25049999999</v>
          </cell>
          <cell r="AF22">
            <v>260270.51250000001</v>
          </cell>
          <cell r="AG22">
            <v>268682.25939999998</v>
          </cell>
          <cell r="AH22">
            <v>277573.90340000001</v>
          </cell>
          <cell r="AI22">
            <v>286930.80709999998</v>
          </cell>
          <cell r="AJ22">
            <v>296732.2254</v>
          </cell>
          <cell r="AK22">
            <v>306951.353</v>
          </cell>
        </row>
        <row r="23">
          <cell r="B23">
            <v>129149.4963</v>
          </cell>
          <cell r="C23">
            <v>130816.0477</v>
          </cell>
          <cell r="D23">
            <v>132738.7121</v>
          </cell>
          <cell r="E23">
            <v>134930.91099999999</v>
          </cell>
          <cell r="F23">
            <v>137395.69889999999</v>
          </cell>
          <cell r="G23">
            <v>140131.45619999999</v>
          </cell>
          <cell r="H23">
            <v>143132.61120000001</v>
          </cell>
          <cell r="I23">
            <v>146391.8413</v>
          </cell>
          <cell r="J23">
            <v>149902.35630000001</v>
          </cell>
          <cell r="K23">
            <v>153658.842</v>
          </cell>
          <cell r="L23">
            <v>157636.8401</v>
          </cell>
          <cell r="M23">
            <v>161745.2328</v>
          </cell>
          <cell r="N23">
            <v>165906.446</v>
          </cell>
          <cell r="O23">
            <v>170068.43650000001</v>
          </cell>
          <cell r="P23">
            <v>174206.05100000001</v>
          </cell>
          <cell r="Q23">
            <v>178316.36420000001</v>
          </cell>
          <cell r="R23">
            <v>182415.60370000001</v>
          </cell>
          <cell r="S23">
            <v>186534.59049999999</v>
          </cell>
          <cell r="T23">
            <v>190712.9749</v>
          </cell>
          <cell r="U23">
            <v>194993.18299999999</v>
          </cell>
          <cell r="V23">
            <v>199417.96290000001</v>
          </cell>
          <cell r="W23">
            <v>204030.39120000001</v>
          </cell>
          <cell r="X23">
            <v>208875.0686</v>
          </cell>
          <cell r="Y23">
            <v>213995.95139999999</v>
          </cell>
          <cell r="Z23">
            <v>219432.41889999999</v>
          </cell>
          <cell r="AA23">
            <v>225217.16940000001</v>
          </cell>
          <cell r="AB23">
            <v>231380.74489999999</v>
          </cell>
          <cell r="AC23">
            <v>237954.80710000001</v>
          </cell>
          <cell r="AD23">
            <v>244969.0961</v>
          </cell>
          <cell r="AE23">
            <v>252442.1587</v>
          </cell>
          <cell r="AF23">
            <v>260376.60980000001</v>
          </cell>
          <cell r="AG23">
            <v>268761.66019999998</v>
          </cell>
          <cell r="AH23">
            <v>277577.64919999999</v>
          </cell>
          <cell r="AI23">
            <v>286798.81969999999</v>
          </cell>
          <cell r="AJ23">
            <v>296394.71779999998</v>
          </cell>
          <cell r="AK23">
            <v>306330.81559999997</v>
          </cell>
        </row>
        <row r="24">
          <cell r="B24">
            <v>144874.83119999999</v>
          </cell>
          <cell r="C24">
            <v>146632.45079999999</v>
          </cell>
          <cell r="D24">
            <v>148550.50169999999</v>
          </cell>
          <cell r="E24">
            <v>150659.9564</v>
          </cell>
          <cell r="F24">
            <v>152982.05179999999</v>
          </cell>
          <cell r="G24">
            <v>155530.09779999999</v>
          </cell>
          <cell r="H24">
            <v>158306.67240000001</v>
          </cell>
          <cell r="I24">
            <v>161255.82199999999</v>
          </cell>
          <cell r="J24">
            <v>164359.5177</v>
          </cell>
          <cell r="K24">
            <v>167679.2745</v>
          </cell>
          <cell r="L24">
            <v>171231.2984</v>
          </cell>
          <cell r="M24">
            <v>174967.78279999999</v>
          </cell>
          <cell r="N24">
            <v>178830.8463</v>
          </cell>
          <cell r="O24">
            <v>182775.2402</v>
          </cell>
          <cell r="P24">
            <v>186777.39139999999</v>
          </cell>
          <cell r="Q24">
            <v>190830.8763</v>
          </cell>
          <cell r="R24">
            <v>194933.20970000001</v>
          </cell>
          <cell r="S24">
            <v>199096.17980000001</v>
          </cell>
          <cell r="T24">
            <v>203341.44450000001</v>
          </cell>
          <cell r="U24">
            <v>207695.9345</v>
          </cell>
          <cell r="V24">
            <v>212186.80239999999</v>
          </cell>
          <cell r="W24">
            <v>216845.8584</v>
          </cell>
          <cell r="X24">
            <v>221707.60079999999</v>
          </cell>
          <cell r="Y24">
            <v>226807.79120000001</v>
          </cell>
          <cell r="Z24">
            <v>232180.87839999999</v>
          </cell>
          <cell r="AA24">
            <v>237850.4921</v>
          </cell>
          <cell r="AB24">
            <v>243846.65590000001</v>
          </cell>
          <cell r="AC24">
            <v>250198.28099999999</v>
          </cell>
          <cell r="AD24">
            <v>256933.85149999999</v>
          </cell>
          <cell r="AE24">
            <v>264077.54749999999</v>
          </cell>
          <cell r="AF24">
            <v>271645.88760000002</v>
          </cell>
          <cell r="AG24">
            <v>279647.33250000002</v>
          </cell>
          <cell r="AH24">
            <v>288083.65059999999</v>
          </cell>
          <cell r="AI24">
            <v>296951.5465</v>
          </cell>
          <cell r="AJ24">
            <v>306243.4926</v>
          </cell>
          <cell r="AK24">
            <v>315948.06170000002</v>
          </cell>
        </row>
        <row r="25">
          <cell r="B25">
            <v>144874.83119999999</v>
          </cell>
          <cell r="C25">
            <v>146632.45079999999</v>
          </cell>
          <cell r="D25">
            <v>148550.50169999999</v>
          </cell>
          <cell r="E25">
            <v>150659.9564</v>
          </cell>
          <cell r="F25">
            <v>152982.05179999999</v>
          </cell>
          <cell r="G25">
            <v>155530.09779999999</v>
          </cell>
          <cell r="H25">
            <v>158306.67240000001</v>
          </cell>
          <cell r="I25">
            <v>161309.92129999999</v>
          </cell>
          <cell r="J25">
            <v>164537.41320000001</v>
          </cell>
          <cell r="K25">
            <v>167987.76749999999</v>
          </cell>
          <cell r="L25">
            <v>171652.4895</v>
          </cell>
          <cell r="M25">
            <v>175481.17240000001</v>
          </cell>
          <cell r="N25">
            <v>179424.1048</v>
          </cell>
          <cell r="O25">
            <v>183442.88680000001</v>
          </cell>
          <cell r="P25">
            <v>187513.46799999999</v>
          </cell>
          <cell r="Q25">
            <v>191625.1747</v>
          </cell>
          <cell r="R25">
            <v>195783.12940000001</v>
          </cell>
          <cell r="S25">
            <v>200004.48180000001</v>
          </cell>
          <cell r="T25">
            <v>204313.71710000001</v>
          </cell>
          <cell r="U25">
            <v>208738.2121</v>
          </cell>
          <cell r="V25">
            <v>213303.6048</v>
          </cell>
          <cell r="W25">
            <v>218038.8849</v>
          </cell>
          <cell r="X25">
            <v>222974.7904</v>
          </cell>
          <cell r="Y25">
            <v>228142.2653</v>
          </cell>
          <cell r="Z25">
            <v>233569.87289999999</v>
          </cell>
          <cell r="AA25">
            <v>239274.68950000001</v>
          </cell>
          <cell r="AB25">
            <v>245276.58059999999</v>
          </cell>
          <cell r="AC25">
            <v>251597.55540000001</v>
          </cell>
          <cell r="AD25">
            <v>258260.04010000001</v>
          </cell>
          <cell r="AE25">
            <v>265281.96549999999</v>
          </cell>
          <cell r="AF25">
            <v>272673.2145</v>
          </cell>
          <cell r="AG25">
            <v>280435.82909999997</v>
          </cell>
          <cell r="AH25">
            <v>288565.74369999999</v>
          </cell>
          <cell r="AI25">
            <v>297053.94329999998</v>
          </cell>
          <cell r="AJ25">
            <v>305887.01569999999</v>
          </cell>
          <cell r="AK25">
            <v>315047.31760000001</v>
          </cell>
        </row>
        <row r="26">
          <cell r="B26">
            <v>1694030.6680000001</v>
          </cell>
          <cell r="C26">
            <v>1714101.2439999999</v>
          </cell>
          <cell r="D26">
            <v>1735421.7</v>
          </cell>
          <cell r="E26">
            <v>1758434.7830000001</v>
          </cell>
          <cell r="F26">
            <v>1783522.5989999999</v>
          </cell>
          <cell r="G26">
            <v>1811002.449</v>
          </cell>
          <cell r="H26">
            <v>1841071.8089999999</v>
          </cell>
          <cell r="I26">
            <v>1873644</v>
          </cell>
          <cell r="J26">
            <v>1908710.9569999999</v>
          </cell>
          <cell r="K26">
            <v>1946550.7819999999</v>
          </cell>
          <cell r="L26">
            <v>1987519.4069999999</v>
          </cell>
          <cell r="M26">
            <v>2031812.5759999999</v>
          </cell>
          <cell r="N26">
            <v>2079504.9639999999</v>
          </cell>
          <cell r="O26">
            <v>2130616.5520000001</v>
          </cell>
          <cell r="P26">
            <v>2185170.827</v>
          </cell>
          <cell r="Q26">
            <v>2243221.352</v>
          </cell>
          <cell r="R26">
            <v>2304850.9219999998</v>
          </cell>
          <cell r="S26">
            <v>2370200.5989999999</v>
          </cell>
          <cell r="T26">
            <v>2439476.2850000001</v>
          </cell>
          <cell r="U26">
            <v>2512939.0329999998</v>
          </cell>
          <cell r="V26">
            <v>2590851.4890000001</v>
          </cell>
          <cell r="W26">
            <v>2673540.8360000001</v>
          </cell>
          <cell r="X26">
            <v>2761377.1370000001</v>
          </cell>
          <cell r="Y26">
            <v>2854768.0329999998</v>
          </cell>
          <cell r="Z26">
            <v>2954146.7429999998</v>
          </cell>
          <cell r="AA26">
            <v>3059830.713</v>
          </cell>
          <cell r="AB26">
            <v>3172174.878</v>
          </cell>
          <cell r="AC26">
            <v>3291557.7859999998</v>
          </cell>
          <cell r="AD26">
            <v>3418403.023</v>
          </cell>
          <cell r="AE26">
            <v>3553189.852</v>
          </cell>
          <cell r="AF26">
            <v>3696447.003</v>
          </cell>
          <cell r="AG26">
            <v>3848739.7230000002</v>
          </cell>
          <cell r="AH26">
            <v>4010666.8769999999</v>
          </cell>
          <cell r="AI26">
            <v>4182877.7990000001</v>
          </cell>
          <cell r="AJ26">
            <v>4366091.9469999997</v>
          </cell>
          <cell r="AK26">
            <v>4561119.9380000001</v>
          </cell>
        </row>
        <row r="27">
          <cell r="B27">
            <v>1694030.6680000001</v>
          </cell>
          <cell r="C27">
            <v>1714101.2439999999</v>
          </cell>
          <cell r="D27">
            <v>1735421.7</v>
          </cell>
          <cell r="E27">
            <v>1758434.7830000001</v>
          </cell>
          <cell r="F27">
            <v>1783522.5989999999</v>
          </cell>
          <cell r="G27">
            <v>1811002.449</v>
          </cell>
          <cell r="H27">
            <v>1841071.8089999999</v>
          </cell>
          <cell r="I27">
            <v>1873867.233</v>
          </cell>
          <cell r="J27">
            <v>1909506.2709999999</v>
          </cell>
          <cell r="K27">
            <v>1948111.706</v>
          </cell>
          <cell r="L27">
            <v>1989832.102</v>
          </cell>
          <cell r="M27">
            <v>2034650.216</v>
          </cell>
          <cell r="N27">
            <v>2082466.6429999999</v>
          </cell>
          <cell r="O27">
            <v>2133162.5639999998</v>
          </cell>
          <cell r="P27">
            <v>2186635.1159999999</v>
          </cell>
          <cell r="Q27">
            <v>2242814.2149999999</v>
          </cell>
          <cell r="R27">
            <v>2301723.2680000002</v>
          </cell>
          <cell r="S27">
            <v>2363469.1579999998</v>
          </cell>
          <cell r="T27">
            <v>2428216.1660000002</v>
          </cell>
          <cell r="U27">
            <v>2496156.0610000002</v>
          </cell>
          <cell r="V27">
            <v>2567446.673</v>
          </cell>
          <cell r="W27">
            <v>2642277.0019999999</v>
          </cell>
          <cell r="X27">
            <v>2720847.1189999999</v>
          </cell>
          <cell r="Y27">
            <v>2803358.9070000001</v>
          </cell>
          <cell r="Z27">
            <v>2890002.321</v>
          </cell>
          <cell r="AA27">
            <v>2980820.8849999998</v>
          </cell>
          <cell r="AB27">
            <v>3075879.0090000001</v>
          </cell>
          <cell r="AC27">
            <v>3175260.9270000001</v>
          </cell>
          <cell r="AD27">
            <v>3279074.1740000001</v>
          </cell>
          <cell r="AE27">
            <v>3387446.7420000001</v>
          </cell>
          <cell r="AF27">
            <v>3500512.4079999998</v>
          </cell>
          <cell r="AG27">
            <v>3618398.8509999998</v>
          </cell>
          <cell r="AH27">
            <v>3741221.0189999999</v>
          </cell>
          <cell r="AI27">
            <v>3869075.3930000002</v>
          </cell>
          <cell r="AJ27">
            <v>4002033.3879999998</v>
          </cell>
          <cell r="AK27">
            <v>4140133.375</v>
          </cell>
        </row>
        <row r="28">
          <cell r="B28">
            <v>4359.8761270000005</v>
          </cell>
          <cell r="C28">
            <v>4412.099314</v>
          </cell>
          <cell r="D28">
            <v>4467.8170689999997</v>
          </cell>
          <cell r="E28">
            <v>4527.6293599999999</v>
          </cell>
          <cell r="F28">
            <v>4591.9429220000002</v>
          </cell>
          <cell r="G28">
            <v>4661.0059680000004</v>
          </cell>
          <cell r="H28">
            <v>4734.7985609999996</v>
          </cell>
          <cell r="I28">
            <v>4812.0546219999997</v>
          </cell>
          <cell r="J28">
            <v>4892.4170059999997</v>
          </cell>
          <cell r="K28">
            <v>4977.1870449999997</v>
          </cell>
          <cell r="L28">
            <v>5066.8656510000001</v>
          </cell>
          <cell r="M28">
            <v>5160.5502710000001</v>
          </cell>
          <cell r="N28">
            <v>5257.1383690000002</v>
          </cell>
          <cell r="O28">
            <v>5355.7369339999996</v>
          </cell>
          <cell r="P28">
            <v>5455.8353820000002</v>
          </cell>
          <cell r="Q28">
            <v>5557.2355349999998</v>
          </cell>
          <cell r="R28">
            <v>5659.9716920000001</v>
          </cell>
          <cell r="S28">
            <v>5764.2839830000003</v>
          </cell>
          <cell r="T28">
            <v>5870.5994460000002</v>
          </cell>
          <cell r="U28">
            <v>5979.4524499999998</v>
          </cell>
          <cell r="V28">
            <v>6091.3292179999999</v>
          </cell>
          <cell r="W28">
            <v>6206.8693240000002</v>
          </cell>
          <cell r="X28">
            <v>6326.7457619999996</v>
          </cell>
          <cell r="Y28">
            <v>6451.6355530000001</v>
          </cell>
          <cell r="Z28">
            <v>6582.1613530000004</v>
          </cell>
          <cell r="AA28">
            <v>6718.5501649999997</v>
          </cell>
          <cell r="AB28">
            <v>6861.1808659999997</v>
          </cell>
          <cell r="AC28">
            <v>7010.4339550000004</v>
          </cell>
          <cell r="AD28">
            <v>7166.6938369999998</v>
          </cell>
          <cell r="AE28">
            <v>7330.2639600000002</v>
          </cell>
          <cell r="AF28">
            <v>7501.2869270000001</v>
          </cell>
          <cell r="AG28">
            <v>7679.7239470000004</v>
          </cell>
          <cell r="AH28">
            <v>7865.3794950000001</v>
          </cell>
          <cell r="AI28">
            <v>8057.9394259999999</v>
          </cell>
          <cell r="AJ28">
            <v>8256.9867749999994</v>
          </cell>
          <cell r="AK28">
            <v>8462.0061270000006</v>
          </cell>
        </row>
        <row r="29">
          <cell r="B29">
            <v>4359.8761270000005</v>
          </cell>
          <cell r="C29">
            <v>4412.099314</v>
          </cell>
          <cell r="D29">
            <v>4467.8170689999997</v>
          </cell>
          <cell r="E29">
            <v>4527.6293599999999</v>
          </cell>
          <cell r="F29">
            <v>4591.9429220000002</v>
          </cell>
          <cell r="G29">
            <v>4661.0059680000004</v>
          </cell>
          <cell r="H29">
            <v>4734.7985609999996</v>
          </cell>
          <cell r="I29">
            <v>4813.2291230000001</v>
          </cell>
          <cell r="J29">
            <v>4896.202773</v>
          </cell>
          <cell r="K29">
            <v>4983.6512499999999</v>
          </cell>
          <cell r="L29">
            <v>5075.4181280000003</v>
          </cell>
          <cell r="M29">
            <v>5170.3957129999999</v>
          </cell>
          <cell r="N29">
            <v>5267.5143179999995</v>
          </cell>
          <cell r="O29">
            <v>5365.9555549999995</v>
          </cell>
          <cell r="P29">
            <v>5465.206193</v>
          </cell>
          <cell r="Q29">
            <v>5565.0385980000001</v>
          </cell>
          <cell r="R29">
            <v>5665.567325</v>
          </cell>
          <cell r="S29">
            <v>5767.161658</v>
          </cell>
          <cell r="T29">
            <v>5870.3446640000002</v>
          </cell>
          <cell r="U29">
            <v>5975.695608</v>
          </cell>
          <cell r="V29">
            <v>6083.7058509999997</v>
          </cell>
          <cell r="W29">
            <v>6194.996322</v>
          </cell>
          <cell r="X29">
            <v>6310.2100899999996</v>
          </cell>
          <cell r="Y29">
            <v>6429.9800530000002</v>
          </cell>
          <cell r="Z29">
            <v>6554.8756759999997</v>
          </cell>
          <cell r="AA29">
            <v>6685.0853569999999</v>
          </cell>
          <cell r="AB29">
            <v>6820.9781670000002</v>
          </cell>
          <cell r="AC29">
            <v>6962.9714309999999</v>
          </cell>
          <cell r="AD29">
            <v>7111.4927120000002</v>
          </cell>
          <cell r="AE29">
            <v>7266.8857639999997</v>
          </cell>
          <cell r="AF29">
            <v>7429.3364769999998</v>
          </cell>
          <cell r="AG29">
            <v>7598.8737179999998</v>
          </cell>
          <cell r="AH29">
            <v>7775.4007609999999</v>
          </cell>
          <cell r="AI29">
            <v>7958.7162209999997</v>
          </cell>
          <cell r="AJ29">
            <v>8148.5248620000002</v>
          </cell>
          <cell r="AK29">
            <v>8344.4424450000006</v>
          </cell>
        </row>
        <row r="30">
          <cell r="B30">
            <v>43526.008020000001</v>
          </cell>
          <cell r="C30">
            <v>44045.294419999998</v>
          </cell>
          <cell r="D30">
            <v>44598.113839999998</v>
          </cell>
          <cell r="E30">
            <v>45190.049930000001</v>
          </cell>
          <cell r="F30">
            <v>45825.709669999997</v>
          </cell>
          <cell r="G30">
            <v>46508.072039999999</v>
          </cell>
          <cell r="H30">
            <v>47236.943800000001</v>
          </cell>
          <cell r="I30">
            <v>47995.711159999999</v>
          </cell>
          <cell r="J30">
            <v>48779.029000000002</v>
          </cell>
          <cell r="K30">
            <v>49598.574769999999</v>
          </cell>
          <cell r="L30">
            <v>50458.48702</v>
          </cell>
          <cell r="M30">
            <v>51350.495819999996</v>
          </cell>
          <cell r="N30">
            <v>52264.458100000003</v>
          </cell>
          <cell r="O30">
            <v>53192.303269999997</v>
          </cell>
          <cell r="P30">
            <v>54129.68492</v>
          </cell>
          <cell r="Q30">
            <v>55075.26352</v>
          </cell>
          <cell r="R30">
            <v>56029.586000000003</v>
          </cell>
          <cell r="S30">
            <v>56995.345200000003</v>
          </cell>
          <cell r="T30">
            <v>57977.122380000001</v>
          </cell>
          <cell r="U30">
            <v>58980.580759999997</v>
          </cell>
          <cell r="V30">
            <v>60010.956720000002</v>
          </cell>
          <cell r="W30">
            <v>61075.012640000001</v>
          </cell>
          <cell r="X30">
            <v>62179.883540000003</v>
          </cell>
          <cell r="Y30">
            <v>63332.808440000001</v>
          </cell>
          <cell r="Z30">
            <v>64540.584620000001</v>
          </cell>
          <cell r="AA30">
            <v>65806.304459999999</v>
          </cell>
          <cell r="AB30">
            <v>67134.637929999997</v>
          </cell>
          <cell r="AC30">
            <v>68530.371920000005</v>
          </cell>
          <cell r="AD30">
            <v>69998.427110000004</v>
          </cell>
          <cell r="AE30">
            <v>71543.038060000006</v>
          </cell>
          <cell r="AF30">
            <v>73166.989079999999</v>
          </cell>
          <cell r="AG30">
            <v>74871.421759999997</v>
          </cell>
          <cell r="AH30">
            <v>76656.074680000005</v>
          </cell>
          <cell r="AI30">
            <v>78519.65814</v>
          </cell>
          <cell r="AJ30">
            <v>80460.021040000007</v>
          </cell>
          <cell r="AK30">
            <v>82474.211160000006</v>
          </cell>
        </row>
        <row r="31">
          <cell r="B31">
            <v>43526.008020000001</v>
          </cell>
          <cell r="C31">
            <v>44045.294419999998</v>
          </cell>
          <cell r="D31">
            <v>44598.113839999998</v>
          </cell>
          <cell r="E31">
            <v>45190.049930000001</v>
          </cell>
          <cell r="F31">
            <v>45825.709669999997</v>
          </cell>
          <cell r="G31">
            <v>46508.072050000002</v>
          </cell>
          <cell r="H31">
            <v>47236.943809999997</v>
          </cell>
          <cell r="I31">
            <v>48011.127719999997</v>
          </cell>
          <cell r="J31">
            <v>48829.35512</v>
          </cell>
          <cell r="K31">
            <v>49690.654199999997</v>
          </cell>
          <cell r="L31">
            <v>50593.222950000003</v>
          </cell>
          <cell r="M31">
            <v>51525.849609999997</v>
          </cell>
          <cell r="N31">
            <v>52477.7405</v>
          </cell>
          <cell r="O31">
            <v>53440.62457</v>
          </cell>
          <cell r="P31">
            <v>54409.273950000003</v>
          </cell>
          <cell r="Q31">
            <v>55381.29694</v>
          </cell>
          <cell r="R31">
            <v>56358.127469999999</v>
          </cell>
          <cell r="S31">
            <v>57343.87371</v>
          </cell>
          <cell r="T31">
            <v>58344.160499999998</v>
          </cell>
          <cell r="U31">
            <v>59365.094499999999</v>
          </cell>
          <cell r="V31">
            <v>60411.830390000003</v>
          </cell>
          <cell r="W31">
            <v>61490.713880000003</v>
          </cell>
          <cell r="X31">
            <v>62608.24439</v>
          </cell>
          <cell r="Y31">
            <v>63770.782160000002</v>
          </cell>
          <cell r="Z31">
            <v>64984.043100000003</v>
          </cell>
          <cell r="AA31">
            <v>66250.005090000006</v>
          </cell>
          <cell r="AB31">
            <v>67572.428</v>
          </cell>
          <cell r="AC31">
            <v>68955.554260000004</v>
          </cell>
          <cell r="AD31">
            <v>70403.741729999994</v>
          </cell>
          <cell r="AE31">
            <v>71920.538209999999</v>
          </cell>
          <cell r="AF31">
            <v>73507.95117</v>
          </cell>
          <cell r="AG31">
            <v>75166.451979999998</v>
          </cell>
          <cell r="AH31">
            <v>76895.279649999997</v>
          </cell>
          <cell r="AI31">
            <v>78692.639580000003</v>
          </cell>
          <cell r="AJ31">
            <v>80555.80141</v>
          </cell>
          <cell r="AK31">
            <v>82481.137870000006</v>
          </cell>
        </row>
        <row r="32">
          <cell r="B32">
            <v>25746.87141</v>
          </cell>
          <cell r="C32">
            <v>26085.86003</v>
          </cell>
          <cell r="D32">
            <v>26482.731589999999</v>
          </cell>
          <cell r="E32">
            <v>26939.241900000001</v>
          </cell>
          <cell r="F32">
            <v>27454.32202</v>
          </cell>
          <cell r="G32">
            <v>28026.735359999999</v>
          </cell>
          <cell r="H32">
            <v>28655.163530000002</v>
          </cell>
          <cell r="I32">
            <v>29331.86994</v>
          </cell>
          <cell r="J32">
            <v>30066.52331</v>
          </cell>
          <cell r="K32">
            <v>30898.08538</v>
          </cell>
          <cell r="L32">
            <v>31840.736840000001</v>
          </cell>
          <cell r="M32">
            <v>32877.008670000003</v>
          </cell>
          <cell r="N32">
            <v>33979.265659999997</v>
          </cell>
          <cell r="O32">
            <v>35121.836929999998</v>
          </cell>
          <cell r="P32">
            <v>36287.176010000003</v>
          </cell>
          <cell r="Q32">
            <v>37464.604370000001</v>
          </cell>
          <cell r="R32">
            <v>38652.418310000001</v>
          </cell>
          <cell r="S32">
            <v>39855.268580000004</v>
          </cell>
          <cell r="T32">
            <v>41082.001400000001</v>
          </cell>
          <cell r="U32">
            <v>42342.944519999997</v>
          </cell>
          <cell r="V32">
            <v>43648.840250000001</v>
          </cell>
          <cell r="W32">
            <v>45010.980409999996</v>
          </cell>
          <cell r="X32">
            <v>46441.659919999998</v>
          </cell>
          <cell r="Y32">
            <v>47952.351430000002</v>
          </cell>
          <cell r="Z32">
            <v>49551.976490000001</v>
          </cell>
          <cell r="AA32">
            <v>51246.779410000003</v>
          </cell>
          <cell r="AB32">
            <v>53044.208980000003</v>
          </cell>
          <cell r="AC32">
            <v>54956.423060000001</v>
          </cell>
          <cell r="AD32">
            <v>56996.14127</v>
          </cell>
          <cell r="AE32">
            <v>59172.126170000003</v>
          </cell>
          <cell r="AF32">
            <v>61487.312339999997</v>
          </cell>
          <cell r="AG32">
            <v>63941.296249999999</v>
          </cell>
          <cell r="AH32">
            <v>66533.225730000006</v>
          </cell>
          <cell r="AI32">
            <v>69261.154899999994</v>
          </cell>
          <cell r="AJ32">
            <v>72121.307639999999</v>
          </cell>
          <cell r="AK32">
            <v>75107.700599999996</v>
          </cell>
        </row>
        <row r="33">
          <cell r="B33">
            <v>25746.87141</v>
          </cell>
          <cell r="C33">
            <v>26085.86004</v>
          </cell>
          <cell r="D33">
            <v>26482.731589999999</v>
          </cell>
          <cell r="E33">
            <v>26939.241900000001</v>
          </cell>
          <cell r="F33">
            <v>27454.32202</v>
          </cell>
          <cell r="G33">
            <v>28026.735359999999</v>
          </cell>
          <cell r="H33">
            <v>28655.163540000001</v>
          </cell>
          <cell r="I33">
            <v>29337.94599</v>
          </cell>
          <cell r="J33">
            <v>30073.174620000002</v>
          </cell>
          <cell r="K33">
            <v>30859.01224</v>
          </cell>
          <cell r="L33">
            <v>31688.771680000002</v>
          </cell>
          <cell r="M33">
            <v>32540.313040000001</v>
          </cell>
          <cell r="N33">
            <v>33395.416239999999</v>
          </cell>
          <cell r="O33">
            <v>34242.324919999999</v>
          </cell>
          <cell r="P33">
            <v>35075.880550000002</v>
          </cell>
          <cell r="Q33">
            <v>35896.248789999998</v>
          </cell>
          <cell r="R33">
            <v>36707.764759999998</v>
          </cell>
          <cell r="S33">
            <v>37518.166290000001</v>
          </cell>
          <cell r="T33">
            <v>38337.33584</v>
          </cell>
          <cell r="U33">
            <v>39175.756840000002</v>
          </cell>
          <cell r="V33">
            <v>40043.962059999998</v>
          </cell>
          <cell r="W33">
            <v>40952.140399999997</v>
          </cell>
          <cell r="X33">
            <v>41910.512049999998</v>
          </cell>
          <cell r="Y33">
            <v>42928.873030000002</v>
          </cell>
          <cell r="Z33">
            <v>44015.759039999997</v>
          </cell>
          <cell r="AA33">
            <v>45178.506379999999</v>
          </cell>
          <cell r="AB33">
            <v>46423.704610000001</v>
          </cell>
          <cell r="AC33">
            <v>47758.110280000001</v>
          </cell>
          <cell r="AD33">
            <v>49187.963559999997</v>
          </cell>
          <cell r="AE33">
            <v>50716.832799999996</v>
          </cell>
          <cell r="AF33">
            <v>52344.590750000003</v>
          </cell>
          <cell r="AG33">
            <v>54068.098700000002</v>
          </cell>
          <cell r="AH33">
            <v>55882.324189999999</v>
          </cell>
          <cell r="AI33">
            <v>57781.015330000002</v>
          </cell>
          <cell r="AJ33">
            <v>59757.036780000002</v>
          </cell>
          <cell r="AK33">
            <v>61802.511939999997</v>
          </cell>
        </row>
        <row r="34">
          <cell r="B34">
            <v>14916.87595</v>
          </cell>
          <cell r="C34">
            <v>15104.81205</v>
          </cell>
          <cell r="D34">
            <v>15316.69377</v>
          </cell>
          <cell r="E34">
            <v>15555.174010000001</v>
          </cell>
          <cell r="F34">
            <v>15821.1767</v>
          </cell>
          <cell r="G34">
            <v>16116.350399999999</v>
          </cell>
          <cell r="H34">
            <v>16441.61073</v>
          </cell>
          <cell r="I34">
            <v>16793.018789999998</v>
          </cell>
          <cell r="J34">
            <v>17167.302520000001</v>
          </cell>
          <cell r="K34">
            <v>17573.299800000001</v>
          </cell>
          <cell r="L34">
            <v>18014.782500000001</v>
          </cell>
          <cell r="M34">
            <v>18486.898649999999</v>
          </cell>
          <cell r="N34">
            <v>18984.297460000002</v>
          </cell>
          <cell r="O34">
            <v>19502.39488</v>
          </cell>
          <cell r="P34">
            <v>20038.082030000001</v>
          </cell>
          <cell r="Q34">
            <v>20589.22406</v>
          </cell>
          <cell r="R34">
            <v>21154.692169999998</v>
          </cell>
          <cell r="S34">
            <v>21734.146669999998</v>
          </cell>
          <cell r="T34">
            <v>22328.541420000001</v>
          </cell>
          <cell r="U34">
            <v>22939.942139999999</v>
          </cell>
          <cell r="V34">
            <v>23570.96067</v>
          </cell>
          <cell r="W34">
            <v>24225.4745</v>
          </cell>
          <cell r="X34">
            <v>24908.343079999999</v>
          </cell>
          <cell r="Y34">
            <v>25624.84809</v>
          </cell>
          <cell r="Z34">
            <v>26380.05241</v>
          </cell>
          <cell r="AA34">
            <v>27177.360479999999</v>
          </cell>
          <cell r="AB34">
            <v>28021.270519999998</v>
          </cell>
          <cell r="AC34">
            <v>28917.534380000001</v>
          </cell>
          <cell r="AD34">
            <v>29872.560030000001</v>
          </cell>
          <cell r="AE34">
            <v>30892.310669999999</v>
          </cell>
          <cell r="AF34">
            <v>31981.56479</v>
          </cell>
          <cell r="AG34">
            <v>33144.129719999997</v>
          </cell>
          <cell r="AH34">
            <v>34383.351999999999</v>
          </cell>
          <cell r="AI34">
            <v>35702.077539999998</v>
          </cell>
          <cell r="AJ34">
            <v>37102.479500000001</v>
          </cell>
          <cell r="AK34">
            <v>38585.894370000002</v>
          </cell>
        </row>
        <row r="35">
          <cell r="B35">
            <v>14916.87595</v>
          </cell>
          <cell r="C35">
            <v>15104.81205</v>
          </cell>
          <cell r="D35">
            <v>15316.69377</v>
          </cell>
          <cell r="E35">
            <v>15555.174010000001</v>
          </cell>
          <cell r="F35">
            <v>15821.1767</v>
          </cell>
          <cell r="G35">
            <v>16116.350399999999</v>
          </cell>
          <cell r="H35">
            <v>16441.61073</v>
          </cell>
          <cell r="I35">
            <v>16797.47394</v>
          </cell>
          <cell r="J35">
            <v>17184.103640000001</v>
          </cell>
          <cell r="K35">
            <v>17601.522420000001</v>
          </cell>
          <cell r="L35">
            <v>18048.440269999999</v>
          </cell>
          <cell r="M35">
            <v>18517.608520000002</v>
          </cell>
          <cell r="N35">
            <v>19001.959760000002</v>
          </cell>
          <cell r="O35">
            <v>19495.749960000001</v>
          </cell>
          <cell r="P35">
            <v>19994.9221</v>
          </cell>
          <cell r="Q35">
            <v>20497.05645</v>
          </cell>
          <cell r="R35">
            <v>21001.94659</v>
          </cell>
          <cell r="S35">
            <v>21511.003560000001</v>
          </cell>
          <cell r="T35">
            <v>22026.698769999999</v>
          </cell>
          <cell r="U35">
            <v>22552.044190000001</v>
          </cell>
          <cell r="V35">
            <v>23090.035530000001</v>
          </cell>
          <cell r="W35">
            <v>23644.369630000001</v>
          </cell>
          <cell r="X35">
            <v>24219.234990000001</v>
          </cell>
          <cell r="Y35">
            <v>24819.055909999999</v>
          </cell>
          <cell r="Z35">
            <v>25448.107929999998</v>
          </cell>
          <cell r="AA35">
            <v>26109.262879999998</v>
          </cell>
          <cell r="AB35">
            <v>26805.94153</v>
          </cell>
          <cell r="AC35">
            <v>27542.02247</v>
          </cell>
          <cell r="AD35">
            <v>28321.539499999999</v>
          </cell>
          <cell r="AE35">
            <v>29147.967519999998</v>
          </cell>
          <cell r="AF35">
            <v>30023.715899999999</v>
          </cell>
          <cell r="AG35">
            <v>30950.118699999999</v>
          </cell>
          <cell r="AH35">
            <v>31927.600770000001</v>
          </cell>
          <cell r="AI35">
            <v>32955.76023</v>
          </cell>
          <cell r="AJ35">
            <v>34033.389860000003</v>
          </cell>
          <cell r="AK35">
            <v>35158.468560000001</v>
          </cell>
        </row>
        <row r="36">
          <cell r="B36">
            <v>1989009.473</v>
          </cell>
          <cell r="C36">
            <v>2012916.8419999999</v>
          </cell>
          <cell r="D36">
            <v>2038702.6040000001</v>
          </cell>
          <cell r="E36">
            <v>2066801.2879999999</v>
          </cell>
          <cell r="F36">
            <v>2097540.6129999999</v>
          </cell>
          <cell r="G36">
            <v>2131137.5</v>
          </cell>
          <cell r="H36">
            <v>2167626.335</v>
          </cell>
          <cell r="I36">
            <v>2206444.71</v>
          </cell>
          <cell r="J36">
            <v>2247416.4920000001</v>
          </cell>
          <cell r="K36">
            <v>2291073.7059999998</v>
          </cell>
          <cell r="L36">
            <v>2337688.6869999999</v>
          </cell>
          <cell r="M36">
            <v>2386944.199</v>
          </cell>
          <cell r="N36">
            <v>2438358.9989999998</v>
          </cell>
          <cell r="O36">
            <v>2491479.7230000002</v>
          </cell>
          <cell r="P36">
            <v>2545977.6740000001</v>
          </cell>
          <cell r="Q36">
            <v>2601644.497</v>
          </cell>
          <cell r="R36">
            <v>2658357.84</v>
          </cell>
          <cell r="S36">
            <v>2716125.4419999998</v>
          </cell>
          <cell r="T36">
            <v>2775059.9070000001</v>
          </cell>
          <cell r="U36">
            <v>2835341.9679999999</v>
          </cell>
          <cell r="V36">
            <v>2897139.7620000001</v>
          </cell>
          <cell r="W36">
            <v>2960718.031</v>
          </cell>
          <cell r="X36">
            <v>3026381.59</v>
          </cell>
          <cell r="Y36">
            <v>3094462.5460000001</v>
          </cell>
          <cell r="Z36">
            <v>3165293.6469999999</v>
          </cell>
          <cell r="AA36">
            <v>3239019.3640000001</v>
          </cell>
          <cell r="AB36">
            <v>3315881.3930000002</v>
          </cell>
          <cell r="AC36">
            <v>3396142.0290000001</v>
          </cell>
          <cell r="AD36">
            <v>3480092.466</v>
          </cell>
          <cell r="AE36">
            <v>3568020.7930000001</v>
          </cell>
          <cell r="AF36">
            <v>3660172.14</v>
          </cell>
          <cell r="AG36">
            <v>3756726.9330000002</v>
          </cell>
          <cell r="AH36">
            <v>3857800.8640000001</v>
          </cell>
          <cell r="AI36">
            <v>3963458.8190000001</v>
          </cell>
          <cell r="AJ36">
            <v>4073720.9610000001</v>
          </cell>
          <cell r="AK36">
            <v>4188563.6260000002</v>
          </cell>
        </row>
        <row r="37">
          <cell r="B37">
            <v>1989009.473</v>
          </cell>
          <cell r="C37">
            <v>2012916.8419999999</v>
          </cell>
          <cell r="D37">
            <v>2038702.6040000001</v>
          </cell>
          <cell r="E37">
            <v>2066801.2879999999</v>
          </cell>
          <cell r="F37">
            <v>2097540.6129999999</v>
          </cell>
          <cell r="G37">
            <v>2131137.5</v>
          </cell>
          <cell r="H37">
            <v>2167626.335</v>
          </cell>
          <cell r="I37">
            <v>2206976.9700000002</v>
          </cell>
          <cell r="J37">
            <v>2249149.5490000001</v>
          </cell>
          <cell r="K37">
            <v>2294115.5410000002</v>
          </cell>
          <cell r="L37">
            <v>2341827.4070000001</v>
          </cell>
          <cell r="M37">
            <v>2391809.3220000002</v>
          </cell>
          <cell r="N37">
            <v>2443543.8569999998</v>
          </cell>
          <cell r="O37">
            <v>2496578.9810000001</v>
          </cell>
          <cell r="P37">
            <v>2550568.6340000001</v>
          </cell>
          <cell r="Q37">
            <v>2605280.9939999999</v>
          </cell>
          <cell r="R37">
            <v>2660671.6359999999</v>
          </cell>
          <cell r="S37">
            <v>2716834.3470000001</v>
          </cell>
          <cell r="T37">
            <v>2773948.236</v>
          </cell>
          <cell r="U37">
            <v>2832232.486</v>
          </cell>
          <cell r="V37">
            <v>2891869.4980000001</v>
          </cell>
          <cell r="W37">
            <v>2953123.736</v>
          </cell>
          <cell r="X37">
            <v>3016289.548</v>
          </cell>
          <cell r="Y37">
            <v>3081675.1129999999</v>
          </cell>
          <cell r="Z37">
            <v>3149576.5490000001</v>
          </cell>
          <cell r="AA37">
            <v>3220097.94</v>
          </cell>
          <cell r="AB37">
            <v>3293444.9160000002</v>
          </cell>
          <cell r="AC37">
            <v>3369863.6970000002</v>
          </cell>
          <cell r="AD37">
            <v>3449624.3709999998</v>
          </cell>
          <cell r="AE37">
            <v>3532980.81</v>
          </cell>
          <cell r="AF37">
            <v>3620132.128</v>
          </cell>
          <cell r="AG37">
            <v>3711212.2039999999</v>
          </cell>
          <cell r="AH37">
            <v>3806293.6529999999</v>
          </cell>
          <cell r="AI37">
            <v>3905389.9649999999</v>
          </cell>
          <cell r="AJ37">
            <v>4008455.085</v>
          </cell>
          <cell r="AK37">
            <v>4115381.48</v>
          </cell>
        </row>
        <row r="38">
          <cell r="B38">
            <v>436561.8676</v>
          </cell>
          <cell r="C38">
            <v>441728.43040000001</v>
          </cell>
          <cell r="D38">
            <v>447134.5834</v>
          </cell>
          <cell r="E38">
            <v>452807.64230000001</v>
          </cell>
          <cell r="F38">
            <v>458775.46059999999</v>
          </cell>
          <cell r="G38">
            <v>465051.37170000002</v>
          </cell>
          <cell r="H38">
            <v>471609.1974</v>
          </cell>
          <cell r="I38">
            <v>478353.46269999997</v>
          </cell>
          <cell r="J38">
            <v>485276.10940000002</v>
          </cell>
          <cell r="K38">
            <v>492407.60930000001</v>
          </cell>
          <cell r="L38">
            <v>499814.09269999998</v>
          </cell>
          <cell r="M38">
            <v>507498.35369999998</v>
          </cell>
          <cell r="N38">
            <v>515475.45079999999</v>
          </cell>
          <cell r="O38">
            <v>523765.3848</v>
          </cell>
          <cell r="P38">
            <v>532390.34779999999</v>
          </cell>
          <cell r="Q38">
            <v>541372.68310000002</v>
          </cell>
          <cell r="R38">
            <v>550728.86640000006</v>
          </cell>
          <cell r="S38">
            <v>560478.97219999996</v>
          </cell>
          <cell r="T38">
            <v>570644.25419999997</v>
          </cell>
          <cell r="U38">
            <v>581243.80709999998</v>
          </cell>
          <cell r="V38">
            <v>592259.39969999995</v>
          </cell>
          <cell r="W38">
            <v>603721.52830000001</v>
          </cell>
          <cell r="X38">
            <v>615642.75549999997</v>
          </cell>
          <cell r="Y38">
            <v>628027.18200000003</v>
          </cell>
          <cell r="Z38">
            <v>640872.88670000003</v>
          </cell>
          <cell r="AA38">
            <v>654072.91070000001</v>
          </cell>
          <cell r="AB38">
            <v>667628.06869999995</v>
          </cell>
          <cell r="AC38">
            <v>681523.81099999999</v>
          </cell>
          <cell r="AD38">
            <v>695743.53509999998</v>
          </cell>
          <cell r="AE38">
            <v>710274.51150000002</v>
          </cell>
          <cell r="AF38">
            <v>725108.43640000001</v>
          </cell>
          <cell r="AG38">
            <v>740239.58470000001</v>
          </cell>
          <cell r="AH38">
            <v>755664.19720000005</v>
          </cell>
          <cell r="AI38">
            <v>771382.63210000005</v>
          </cell>
          <cell r="AJ38">
            <v>787399.67449999996</v>
          </cell>
          <cell r="AK38">
            <v>803723.75549999997</v>
          </cell>
        </row>
        <row r="39">
          <cell r="B39">
            <v>436561.8676</v>
          </cell>
          <cell r="C39">
            <v>441728.43040000001</v>
          </cell>
          <cell r="D39">
            <v>447134.5834</v>
          </cell>
          <cell r="E39">
            <v>452807.64230000001</v>
          </cell>
          <cell r="F39">
            <v>458775.46059999999</v>
          </cell>
          <cell r="G39">
            <v>465051.37160000001</v>
          </cell>
          <cell r="H39">
            <v>471609.1973</v>
          </cell>
          <cell r="I39">
            <v>478434.80160000001</v>
          </cell>
          <cell r="J39">
            <v>485523.20559999999</v>
          </cell>
          <cell r="K39">
            <v>492875.69429999997</v>
          </cell>
          <cell r="L39">
            <v>500537.04979999998</v>
          </cell>
          <cell r="M39">
            <v>508475.98210000002</v>
          </cell>
          <cell r="N39">
            <v>516682.92249999999</v>
          </cell>
          <cell r="O39">
            <v>525160.67169999995</v>
          </cell>
          <cell r="P39">
            <v>533918.14390000002</v>
          </cell>
          <cell r="Q39">
            <v>542966.98459999997</v>
          </cell>
          <cell r="R39">
            <v>552330.42449999996</v>
          </cell>
          <cell r="S39">
            <v>562034.3848</v>
          </cell>
          <cell r="T39">
            <v>572101.18310000002</v>
          </cell>
          <cell r="U39">
            <v>582546.27309999999</v>
          </cell>
          <cell r="V39">
            <v>593344.49179999996</v>
          </cell>
          <cell r="W39">
            <v>604518.70550000004</v>
          </cell>
          <cell r="X39">
            <v>616073.96440000006</v>
          </cell>
          <cell r="Y39">
            <v>628006.36089999997</v>
          </cell>
          <cell r="Z39">
            <v>640305.95719999995</v>
          </cell>
          <cell r="AA39">
            <v>652859.8382</v>
          </cell>
          <cell r="AB39">
            <v>665668.19880000001</v>
          </cell>
          <cell r="AC39">
            <v>678723.20169999998</v>
          </cell>
          <cell r="AD39">
            <v>692016.95979999995</v>
          </cell>
          <cell r="AE39">
            <v>705546.20129999996</v>
          </cell>
          <cell r="AF39">
            <v>719312.83270000003</v>
          </cell>
          <cell r="AG39">
            <v>733323.93790000002</v>
          </cell>
          <cell r="AH39">
            <v>747591.45860000001</v>
          </cell>
          <cell r="AI39">
            <v>762131.47499999998</v>
          </cell>
          <cell r="AJ39">
            <v>776963.31830000004</v>
          </cell>
          <cell r="AK39">
            <v>792108.52529999998</v>
          </cell>
        </row>
        <row r="40">
          <cell r="B40">
            <v>5635.470096</v>
          </cell>
          <cell r="C40">
            <v>5701.9922829999996</v>
          </cell>
          <cell r="D40">
            <v>5772.650243</v>
          </cell>
          <cell r="E40">
            <v>5848.1826629999996</v>
          </cell>
          <cell r="F40">
            <v>5929.3634910000001</v>
          </cell>
          <cell r="G40">
            <v>6016.8765649999996</v>
          </cell>
          <cell r="H40">
            <v>6110.9488570000003</v>
          </cell>
          <cell r="I40">
            <v>6207.0511630000001</v>
          </cell>
          <cell r="J40">
            <v>6303.1865989999997</v>
          </cell>
          <cell r="K40">
            <v>6400.3663150000002</v>
          </cell>
          <cell r="L40">
            <v>6498.9562400000004</v>
          </cell>
          <cell r="M40">
            <v>6597.7785160000003</v>
          </cell>
          <cell r="N40">
            <v>6695.2559789999996</v>
          </cell>
          <cell r="O40">
            <v>6790.0898939999997</v>
          </cell>
          <cell r="P40">
            <v>6881.5806860000002</v>
          </cell>
          <cell r="Q40">
            <v>6969.5568039999998</v>
          </cell>
          <cell r="R40">
            <v>7055.05537</v>
          </cell>
          <cell r="S40">
            <v>7138.9670539999997</v>
          </cell>
          <cell r="T40">
            <v>7222.3329160000003</v>
          </cell>
          <cell r="U40">
            <v>7306.3319369999999</v>
          </cell>
          <cell r="V40">
            <v>7392.1539249999996</v>
          </cell>
          <cell r="W40">
            <v>7481.1459629999999</v>
          </cell>
          <cell r="X40">
            <v>7574.7527819999996</v>
          </cell>
          <cell r="Y40">
            <v>7674.4281979999996</v>
          </cell>
          <cell r="Z40">
            <v>7781.5416150000001</v>
          </cell>
          <cell r="AA40">
            <v>7897.0967650000002</v>
          </cell>
          <cell r="AB40">
            <v>8021.8931130000001</v>
          </cell>
          <cell r="AC40">
            <v>8157.0458230000004</v>
          </cell>
          <cell r="AD40">
            <v>8303.7292820000002</v>
          </cell>
          <cell r="AE40">
            <v>8462.9339500000006</v>
          </cell>
          <cell r="AF40">
            <v>8635.3355570000003</v>
          </cell>
          <cell r="AG40">
            <v>8821.3292380000003</v>
          </cell>
          <cell r="AH40">
            <v>9021.1139239999993</v>
          </cell>
          <cell r="AI40">
            <v>9234.712458</v>
          </cell>
          <cell r="AJ40">
            <v>9461.9832320000005</v>
          </cell>
          <cell r="AK40">
            <v>9702.634231</v>
          </cell>
        </row>
        <row r="41">
          <cell r="B41">
            <v>5635.470096</v>
          </cell>
          <cell r="C41">
            <v>5701.9922829999996</v>
          </cell>
          <cell r="D41">
            <v>5772.650243</v>
          </cell>
          <cell r="E41">
            <v>5848.1826620000002</v>
          </cell>
          <cell r="F41">
            <v>5929.3634910000001</v>
          </cell>
          <cell r="G41">
            <v>6016.8765649999996</v>
          </cell>
          <cell r="H41">
            <v>6110.9488570000003</v>
          </cell>
          <cell r="I41">
            <v>6211.4911899999997</v>
          </cell>
          <cell r="J41">
            <v>6318.2779899999996</v>
          </cell>
          <cell r="K41">
            <v>6431.0590609999999</v>
          </cell>
          <cell r="L41">
            <v>6549.3027910000001</v>
          </cell>
          <cell r="M41">
            <v>6670.9819040000002</v>
          </cell>
          <cell r="N41">
            <v>6794.0873490000004</v>
          </cell>
          <cell r="O41">
            <v>6917.070721</v>
          </cell>
          <cell r="P41">
            <v>7038.9837530000004</v>
          </cell>
          <cell r="Q41">
            <v>7159.4494000000004</v>
          </cell>
          <cell r="R41">
            <v>7278.7966690000003</v>
          </cell>
          <cell r="S41">
            <v>7397.8978960000004</v>
          </cell>
          <cell r="T41">
            <v>7517.9590349999999</v>
          </cell>
          <cell r="U41">
            <v>7640.3244029999996</v>
          </cell>
          <cell r="V41">
            <v>7766.2921770000003</v>
          </cell>
          <cell r="W41">
            <v>7897.2457889999996</v>
          </cell>
          <cell r="X41">
            <v>8034.6007790000003</v>
          </cell>
          <cell r="Y41">
            <v>8179.7473980000004</v>
          </cell>
          <cell r="Z41">
            <v>8333.9700830000002</v>
          </cell>
          <cell r="AA41">
            <v>8498.1578289999998</v>
          </cell>
          <cell r="AB41">
            <v>8673.2320299999992</v>
          </cell>
          <cell r="AC41">
            <v>8860.1400560000002</v>
          </cell>
          <cell r="AD41">
            <v>9059.786102</v>
          </cell>
          <cell r="AE41">
            <v>9272.8437319999994</v>
          </cell>
          <cell r="AF41">
            <v>9499.6309569999994</v>
          </cell>
          <cell r="AG41">
            <v>9740.1206409999995</v>
          </cell>
          <cell r="AH41">
            <v>9994.0084819999993</v>
          </cell>
          <cell r="AI41">
            <v>10260.765100000001</v>
          </cell>
          <cell r="AJ41">
            <v>10539.668170000001</v>
          </cell>
          <cell r="AK41">
            <v>10829.821840000001</v>
          </cell>
        </row>
        <row r="42">
          <cell r="B42">
            <v>22391.097379999999</v>
          </cell>
          <cell r="C42">
            <v>22641.448960000002</v>
          </cell>
          <cell r="D42">
            <v>22890.119650000001</v>
          </cell>
          <cell r="E42">
            <v>23137.957999999999</v>
          </cell>
          <cell r="F42">
            <v>23389.58426</v>
          </cell>
          <cell r="G42">
            <v>23650.18346</v>
          </cell>
          <cell r="H42">
            <v>23923.056199999999</v>
          </cell>
          <cell r="I42">
            <v>24172.548900000002</v>
          </cell>
          <cell r="J42">
            <v>24386.99755</v>
          </cell>
          <cell r="K42">
            <v>24569.503049999999</v>
          </cell>
          <cell r="L42">
            <v>24721.479609999999</v>
          </cell>
          <cell r="M42">
            <v>24841.049210000001</v>
          </cell>
          <cell r="N42">
            <v>24925.71326</v>
          </cell>
          <cell r="O42">
            <v>24973.757389999999</v>
          </cell>
          <cell r="P42">
            <v>24984.921439999998</v>
          </cell>
          <cell r="Q42">
            <v>24960.00201</v>
          </cell>
          <cell r="R42">
            <v>24898.56522</v>
          </cell>
          <cell r="S42">
            <v>24801.852269999999</v>
          </cell>
          <cell r="T42">
            <v>24672.094679999998</v>
          </cell>
          <cell r="U42">
            <v>24511.969539999998</v>
          </cell>
          <cell r="V42">
            <v>24324.202509999999</v>
          </cell>
          <cell r="W42">
            <v>24111.719929999999</v>
          </cell>
          <cell r="X42">
            <v>23877.50791</v>
          </cell>
          <cell r="Y42">
            <v>23624.429980000001</v>
          </cell>
          <cell r="Z42">
            <v>23355.046279999999</v>
          </cell>
          <cell r="AA42">
            <v>23071.25534</v>
          </cell>
          <cell r="AB42">
            <v>22775.42671</v>
          </cell>
          <cell r="AC42">
            <v>22469.617910000001</v>
          </cell>
          <cell r="AD42">
            <v>22155.56208</v>
          </cell>
          <cell r="AE42">
            <v>21834.377649999999</v>
          </cell>
          <cell r="AF42">
            <v>21506.403429999998</v>
          </cell>
          <cell r="AG42">
            <v>21171.28642</v>
          </cell>
          <cell r="AH42">
            <v>20828.13567</v>
          </cell>
          <cell r="AI42">
            <v>20475.58611</v>
          </cell>
          <cell r="AJ42">
            <v>20111.83005</v>
          </cell>
          <cell r="AK42">
            <v>19734.63796</v>
          </cell>
        </row>
        <row r="43">
          <cell r="B43">
            <v>22391.09737</v>
          </cell>
          <cell r="C43">
            <v>22641.448950000002</v>
          </cell>
          <cell r="D43">
            <v>22890.119640000001</v>
          </cell>
          <cell r="E43">
            <v>23137.957979999999</v>
          </cell>
          <cell r="F43">
            <v>23389.58424</v>
          </cell>
          <cell r="G43">
            <v>23650.183430000001</v>
          </cell>
          <cell r="H43">
            <v>23923.05616</v>
          </cell>
          <cell r="I43">
            <v>24209.569210000001</v>
          </cell>
          <cell r="J43">
            <v>24510.046129999999</v>
          </cell>
          <cell r="K43">
            <v>24824.361850000001</v>
          </cell>
          <cell r="L43">
            <v>25151.42986</v>
          </cell>
          <cell r="M43">
            <v>25486.1296</v>
          </cell>
          <cell r="N43">
            <v>25823.153740000002</v>
          </cell>
          <cell r="O43">
            <v>26158.138190000001</v>
          </cell>
          <cell r="P43">
            <v>26488.029699999999</v>
          </cell>
          <cell r="Q43">
            <v>26811.06035</v>
          </cell>
          <cell r="R43">
            <v>27127.512210000001</v>
          </cell>
          <cell r="S43">
            <v>27439.311249999999</v>
          </cell>
          <cell r="T43">
            <v>27749.314259999999</v>
          </cell>
          <cell r="U43">
            <v>28060.726879999998</v>
          </cell>
          <cell r="V43">
            <v>28376.658950000001</v>
          </cell>
          <cell r="W43">
            <v>28700.433509999999</v>
          </cell>
          <cell r="X43">
            <v>29035.499980000001</v>
          </cell>
          <cell r="Y43">
            <v>29385.348890000001</v>
          </cell>
          <cell r="Z43">
            <v>29753.354619999998</v>
          </cell>
          <cell r="AA43">
            <v>30142.194630000002</v>
          </cell>
          <cell r="AB43">
            <v>30554.811409999998</v>
          </cell>
          <cell r="AC43">
            <v>30994.378659999998</v>
          </cell>
          <cell r="AD43">
            <v>31464.108749999999</v>
          </cell>
          <cell r="AE43">
            <v>31966.754260000002</v>
          </cell>
          <cell r="AF43">
            <v>32504.253629999999</v>
          </cell>
          <cell r="AG43">
            <v>33077.702429999998</v>
          </cell>
          <cell r="AH43">
            <v>33687.458059999997</v>
          </cell>
          <cell r="AI43">
            <v>34333.207799999996</v>
          </cell>
          <cell r="AJ43">
            <v>35013.994659999997</v>
          </cell>
          <cell r="AK43">
            <v>35728.21744</v>
          </cell>
        </row>
        <row r="44">
          <cell r="B44">
            <v>1608.157915</v>
          </cell>
          <cell r="C44">
            <v>1625.6863089999999</v>
          </cell>
          <cell r="D44">
            <v>1642.4313340000001</v>
          </cell>
          <cell r="E44">
            <v>1658.4674809999999</v>
          </cell>
          <cell r="F44">
            <v>1674.1814059999999</v>
          </cell>
          <cell r="G44">
            <v>1690.006112</v>
          </cell>
          <cell r="H44">
            <v>1706.265787</v>
          </cell>
          <cell r="I44">
            <v>1744.843556</v>
          </cell>
          <cell r="J44">
            <v>1813.6206500000001</v>
          </cell>
          <cell r="K44">
            <v>1916.3055420000001</v>
          </cell>
          <cell r="L44">
            <v>2055.21839</v>
          </cell>
          <cell r="M44">
            <v>2232.267715</v>
          </cell>
          <cell r="N44">
            <v>2449.192043</v>
          </cell>
          <cell r="O44">
            <v>2707.625943</v>
          </cell>
          <cell r="P44">
            <v>3009.1328880000001</v>
          </cell>
          <cell r="Q44">
            <v>3355.185086</v>
          </cell>
          <cell r="R44">
            <v>3746.951145</v>
          </cell>
          <cell r="S44">
            <v>4185.5136430000002</v>
          </cell>
          <cell r="T44">
            <v>4671.9779079999998</v>
          </cell>
          <cell r="U44">
            <v>5207.5058630000003</v>
          </cell>
          <cell r="V44">
            <v>5793.2859230000004</v>
          </cell>
          <cell r="W44">
            <v>6430.6726550000003</v>
          </cell>
          <cell r="X44">
            <v>7121.23441</v>
          </cell>
          <cell r="Y44">
            <v>7866.7791189999998</v>
          </cell>
          <cell r="Z44">
            <v>8669.3606390000004</v>
          </cell>
          <cell r="AA44">
            <v>9531.076497</v>
          </cell>
          <cell r="AB44">
            <v>10454.491550000001</v>
          </cell>
          <cell r="AC44">
            <v>11442.80487</v>
          </cell>
          <cell r="AD44">
            <v>12499.890950000001</v>
          </cell>
          <cell r="AE44">
            <v>13630.235570000001</v>
          </cell>
          <cell r="AF44">
            <v>14838.891369999999</v>
          </cell>
          <cell r="AG44">
            <v>16131.592850000001</v>
          </cell>
          <cell r="AH44">
            <v>17515.009890000001</v>
          </cell>
          <cell r="AI44">
            <v>18997.057150000001</v>
          </cell>
          <cell r="AJ44">
            <v>20587.381300000001</v>
          </cell>
          <cell r="AK44">
            <v>22298.20926</v>
          </cell>
        </row>
        <row r="45">
          <cell r="B45">
            <v>1608.157915</v>
          </cell>
          <cell r="C45">
            <v>1625.6863089999999</v>
          </cell>
          <cell r="D45">
            <v>1642.4313340000001</v>
          </cell>
          <cell r="E45">
            <v>1658.4674809999999</v>
          </cell>
          <cell r="F45">
            <v>1674.1814059999999</v>
          </cell>
          <cell r="G45">
            <v>1690.006112</v>
          </cell>
          <cell r="H45">
            <v>1706.265787</v>
          </cell>
          <cell r="I45">
            <v>1723.1409080000001</v>
          </cell>
          <cell r="J45">
            <v>1740.716977</v>
          </cell>
          <cell r="K45">
            <v>1759.0264890000001</v>
          </cell>
          <cell r="L45">
            <v>1778.0537919999999</v>
          </cell>
          <cell r="M45">
            <v>1797.6253690000001</v>
          </cell>
          <cell r="N45">
            <v>1817.5311879999999</v>
          </cell>
          <cell r="O45">
            <v>1837.5726549999999</v>
          </cell>
          <cell r="P45">
            <v>1857.5839249999999</v>
          </cell>
          <cell r="Q45">
            <v>1877.4392620000001</v>
          </cell>
          <cell r="R45">
            <v>1897.0943749999999</v>
          </cell>
          <cell r="S45">
            <v>1916.5868840000001</v>
          </cell>
          <cell r="T45">
            <v>1936.0065689999999</v>
          </cell>
          <cell r="U45">
            <v>1955.4664749999999</v>
          </cell>
          <cell r="V45">
            <v>1975.0772320000001</v>
          </cell>
          <cell r="W45">
            <v>1994.962814</v>
          </cell>
          <cell r="X45">
            <v>2015.256337</v>
          </cell>
          <cell r="Y45">
            <v>2036.097379</v>
          </cell>
          <cell r="Z45">
            <v>2057.6268009999999</v>
          </cell>
          <cell r="AA45">
            <v>2079.9538990000001</v>
          </cell>
          <cell r="AB45">
            <v>2103.2033470000001</v>
          </cell>
          <cell r="AC45">
            <v>2127.5133980000001</v>
          </cell>
          <cell r="AD45">
            <v>2153.0291339999999</v>
          </cell>
          <cell r="AE45">
            <v>2179.884912</v>
          </cell>
          <cell r="AF45">
            <v>2208.1891190000001</v>
          </cell>
          <cell r="AG45">
            <v>2238.0185019999999</v>
          </cell>
          <cell r="AH45">
            <v>2269.4176349999998</v>
          </cell>
          <cell r="AI45">
            <v>2302.398267</v>
          </cell>
          <cell r="AJ45">
            <v>2336.9380809999998</v>
          </cell>
          <cell r="AK45">
            <v>2372.9793730000001</v>
          </cell>
        </row>
        <row r="46">
          <cell r="B46">
            <v>534.22115250000002</v>
          </cell>
          <cell r="C46">
            <v>540.02155049999999</v>
          </cell>
          <cell r="D46">
            <v>545.68978790000006</v>
          </cell>
          <cell r="E46">
            <v>551.20194460000005</v>
          </cell>
          <cell r="F46">
            <v>556.70918440000003</v>
          </cell>
          <cell r="G46">
            <v>562.36378690000004</v>
          </cell>
          <cell r="H46">
            <v>568.11544219999996</v>
          </cell>
          <cell r="I46">
            <v>571.86168050000003</v>
          </cell>
          <cell r="J46">
            <v>573.04465010000001</v>
          </cell>
          <cell r="K46">
            <v>571.80896680000001</v>
          </cell>
          <cell r="L46">
            <v>568.38520949999997</v>
          </cell>
          <cell r="M46">
            <v>562.98385800000005</v>
          </cell>
          <cell r="N46">
            <v>555.77744840000003</v>
          </cell>
          <cell r="O46">
            <v>546.93028179999999</v>
          </cell>
          <cell r="P46">
            <v>536.61511410000003</v>
          </cell>
          <cell r="Q46">
            <v>525.00812610000003</v>
          </cell>
          <cell r="R46">
            <v>512.3001514</v>
          </cell>
          <cell r="S46">
            <v>498.6733524</v>
          </cell>
          <cell r="T46">
            <v>484.29459070000001</v>
          </cell>
          <cell r="U46">
            <v>469.31312120000001</v>
          </cell>
          <cell r="V46">
            <v>453.85789649999998</v>
          </cell>
          <cell r="W46">
            <v>438.04615219999999</v>
          </cell>
          <cell r="X46">
            <v>421.98030110000002</v>
          </cell>
          <cell r="Y46">
            <v>405.7475819</v>
          </cell>
          <cell r="Z46">
            <v>389.420209</v>
          </cell>
          <cell r="AA46">
            <v>373.05127879999998</v>
          </cell>
          <cell r="AB46">
            <v>356.6883449</v>
          </cell>
          <cell r="AC46">
            <v>340.37224500000002</v>
          </cell>
          <cell r="AD46">
            <v>324.13534929999997</v>
          </cell>
          <cell r="AE46">
            <v>308.00026780000002</v>
          </cell>
          <cell r="AF46">
            <v>291.98063139999999</v>
          </cell>
          <cell r="AG46">
            <v>276.08375560000002</v>
          </cell>
          <cell r="AH46">
            <v>260.31344089999999</v>
          </cell>
          <cell r="AI46">
            <v>244.67207429999999</v>
          </cell>
          <cell r="AJ46">
            <v>229.16256659999999</v>
          </cell>
          <cell r="AK46">
            <v>213.79019410000001</v>
          </cell>
        </row>
        <row r="47">
          <cell r="B47">
            <v>534.22115059999999</v>
          </cell>
          <cell r="C47">
            <v>540.02154619999999</v>
          </cell>
          <cell r="D47">
            <v>545.68978119999997</v>
          </cell>
          <cell r="E47">
            <v>551.20193570000004</v>
          </cell>
          <cell r="F47">
            <v>556.70917329999997</v>
          </cell>
          <cell r="G47">
            <v>562.36377389999996</v>
          </cell>
          <cell r="H47">
            <v>568.11542729999996</v>
          </cell>
          <cell r="I47">
            <v>573.88362600000005</v>
          </cell>
          <cell r="J47">
            <v>579.61336819999997</v>
          </cell>
          <cell r="K47">
            <v>585.27687019999996</v>
          </cell>
          <cell r="L47">
            <v>590.85184589999994</v>
          </cell>
          <cell r="M47">
            <v>596.22638789999996</v>
          </cell>
          <cell r="N47">
            <v>601.29276649999997</v>
          </cell>
          <cell r="O47">
            <v>605.97518349999996</v>
          </cell>
          <cell r="P47">
            <v>610.23571130000005</v>
          </cell>
          <cell r="Q47">
            <v>614.07075180000004</v>
          </cell>
          <cell r="R47">
            <v>617.60960279999995</v>
          </cell>
          <cell r="S47">
            <v>620.99774349999996</v>
          </cell>
          <cell r="T47">
            <v>624.36922079999999</v>
          </cell>
          <cell r="U47">
            <v>627.84180830000003</v>
          </cell>
          <cell r="V47">
            <v>631.51216939999995</v>
          </cell>
          <cell r="W47">
            <v>635.47695339999996</v>
          </cell>
          <cell r="X47">
            <v>639.82953050000003</v>
          </cell>
          <cell r="Y47">
            <v>644.65912309999999</v>
          </cell>
          <cell r="Z47">
            <v>650.04838040000004</v>
          </cell>
          <cell r="AA47">
            <v>656.05191620000005</v>
          </cell>
          <cell r="AB47">
            <v>662.73658660000001</v>
          </cell>
          <cell r="AC47">
            <v>670.17464259999997</v>
          </cell>
          <cell r="AD47">
            <v>678.43823520000001</v>
          </cell>
          <cell r="AE47">
            <v>687.58877099999995</v>
          </cell>
          <cell r="AF47">
            <v>697.66891750000002</v>
          </cell>
          <cell r="AG47">
            <v>708.70182539999996</v>
          </cell>
          <cell r="AH47">
            <v>720.69332310000004</v>
          </cell>
          <cell r="AI47">
            <v>733.63394840000001</v>
          </cell>
          <cell r="AJ47">
            <v>747.50004779999995</v>
          </cell>
          <cell r="AK47">
            <v>762.25417719999996</v>
          </cell>
        </row>
        <row r="48">
          <cell r="B48">
            <v>333.5687527</v>
          </cell>
          <cell r="C48">
            <v>337.1879581</v>
          </cell>
          <cell r="D48">
            <v>340.72497729999998</v>
          </cell>
          <cell r="E48">
            <v>344.16349659999997</v>
          </cell>
          <cell r="F48">
            <v>347.59887270000002</v>
          </cell>
          <cell r="G48">
            <v>351.1261591</v>
          </cell>
          <cell r="H48">
            <v>354.71241199999997</v>
          </cell>
          <cell r="I48">
            <v>361.19015730000001</v>
          </cell>
          <cell r="J48">
            <v>371.3199583</v>
          </cell>
          <cell r="K48">
            <v>385.34904569999998</v>
          </cell>
          <cell r="L48">
            <v>403.30946560000001</v>
          </cell>
          <cell r="M48">
            <v>425.14544139999998</v>
          </cell>
          <cell r="N48">
            <v>450.73708099999999</v>
          </cell>
          <cell r="O48">
            <v>479.9440793</v>
          </cell>
          <cell r="P48">
            <v>512.64120460000004</v>
          </cell>
          <cell r="Q48">
            <v>548.72423400000002</v>
          </cell>
          <cell r="R48">
            <v>588.15775989999997</v>
          </cell>
          <cell r="S48">
            <v>630.94617500000004</v>
          </cell>
          <cell r="T48">
            <v>677.12363049999999</v>
          </cell>
          <cell r="U48">
            <v>726.74812770000005</v>
          </cell>
          <cell r="V48">
            <v>779.88594780000005</v>
          </cell>
          <cell r="W48">
            <v>836.64794900000004</v>
          </cell>
          <cell r="X48">
            <v>897.17833599999994</v>
          </cell>
          <cell r="Y48">
            <v>961.64991239999995</v>
          </cell>
          <cell r="Z48">
            <v>1030.256484</v>
          </cell>
          <cell r="AA48">
            <v>1103.153472</v>
          </cell>
          <cell r="AB48">
            <v>1180.5641450000001</v>
          </cell>
          <cell r="AC48">
            <v>1262.783876</v>
          </cell>
          <cell r="AD48">
            <v>1350.167985</v>
          </cell>
          <cell r="AE48">
            <v>1443.1019160000001</v>
          </cell>
          <cell r="AF48">
            <v>1541.9795670000001</v>
          </cell>
          <cell r="AG48">
            <v>1647.2106739999999</v>
          </cell>
          <cell r="AH48">
            <v>1759.246144</v>
          </cell>
          <cell r="AI48">
            <v>1878.6026429999999</v>
          </cell>
          <cell r="AJ48">
            <v>2005.892752</v>
          </cell>
          <cell r="AK48">
            <v>2141.8663879999999</v>
          </cell>
        </row>
        <row r="49">
          <cell r="B49">
            <v>333.56875739999998</v>
          </cell>
          <cell r="C49">
            <v>337.18796889999999</v>
          </cell>
          <cell r="D49">
            <v>340.7249946</v>
          </cell>
          <cell r="E49">
            <v>344.16352039999998</v>
          </cell>
          <cell r="F49">
            <v>347.59890280000002</v>
          </cell>
          <cell r="G49">
            <v>351.12619549999999</v>
          </cell>
          <cell r="H49">
            <v>354.71245440000001</v>
          </cell>
          <cell r="I49">
            <v>358.30580659999998</v>
          </cell>
          <cell r="J49">
            <v>361.87093470000002</v>
          </cell>
          <cell r="K49">
            <v>365.3901103</v>
          </cell>
          <cell r="L49">
            <v>368.84958999999998</v>
          </cell>
          <cell r="M49">
            <v>372.18069689999999</v>
          </cell>
          <cell r="N49">
            <v>375.31822110000002</v>
          </cell>
          <cell r="O49">
            <v>378.21733330000001</v>
          </cell>
          <cell r="P49">
            <v>380.85679499999998</v>
          </cell>
          <cell r="Q49">
            <v>383.23641199999997</v>
          </cell>
          <cell r="R49">
            <v>385.43932969999997</v>
          </cell>
          <cell r="S49">
            <v>387.55826280000002</v>
          </cell>
          <cell r="T49">
            <v>389.67793360000002</v>
          </cell>
          <cell r="U49">
            <v>391.87198480000001</v>
          </cell>
          <cell r="V49">
            <v>394.200039</v>
          </cell>
          <cell r="W49">
            <v>396.7210225</v>
          </cell>
          <cell r="X49">
            <v>399.49127170000003</v>
          </cell>
          <cell r="Y49">
            <v>402.56409059999999</v>
          </cell>
          <cell r="Z49">
            <v>405.98827849999998</v>
          </cell>
          <cell r="AA49">
            <v>409.79483370000003</v>
          </cell>
          <cell r="AB49">
            <v>414.02226730000001</v>
          </cell>
          <cell r="AC49">
            <v>418.71250090000001</v>
          </cell>
          <cell r="AD49">
            <v>423.90756240000002</v>
          </cell>
          <cell r="AE49">
            <v>429.643171</v>
          </cell>
          <cell r="AF49">
            <v>435.94386170000001</v>
          </cell>
          <cell r="AG49">
            <v>442.82257070000003</v>
          </cell>
          <cell r="AH49">
            <v>450.28203330000002</v>
          </cell>
          <cell r="AI49">
            <v>458.3160469</v>
          </cell>
          <cell r="AJ49">
            <v>466.91013900000002</v>
          </cell>
          <cell r="AK49">
            <v>476.04179310000001</v>
          </cell>
        </row>
        <row r="50">
          <cell r="B50">
            <v>27533.715670000001</v>
          </cell>
          <cell r="C50">
            <v>27861.26354</v>
          </cell>
          <cell r="D50">
            <v>28199.487069999999</v>
          </cell>
          <cell r="E50">
            <v>28549.8894</v>
          </cell>
          <cell r="F50">
            <v>28909.995500000001</v>
          </cell>
          <cell r="G50">
            <v>29278.829269999998</v>
          </cell>
          <cell r="H50">
            <v>29657.20449</v>
          </cell>
          <cell r="I50">
            <v>30068.738860000001</v>
          </cell>
          <cell r="J50">
            <v>30526.870029999998</v>
          </cell>
          <cell r="K50">
            <v>31042.719529999998</v>
          </cell>
          <cell r="L50">
            <v>31618.221399999999</v>
          </cell>
          <cell r="M50">
            <v>32239.731349999998</v>
          </cell>
          <cell r="N50">
            <v>32892.5573</v>
          </cell>
          <cell r="O50">
            <v>33565.653120000003</v>
          </cell>
          <cell r="P50">
            <v>34252.700980000001</v>
          </cell>
          <cell r="Q50">
            <v>34951.176030000002</v>
          </cell>
          <cell r="R50">
            <v>35661.439299999998</v>
          </cell>
          <cell r="S50">
            <v>36386.856599999999</v>
          </cell>
          <cell r="T50">
            <v>37132.474779999997</v>
          </cell>
          <cell r="U50">
            <v>37904.63609</v>
          </cell>
          <cell r="V50">
            <v>38710.40986</v>
          </cell>
          <cell r="W50">
            <v>39558.952089999999</v>
          </cell>
          <cell r="X50">
            <v>40461.138930000001</v>
          </cell>
          <cell r="Y50">
            <v>41429.25462</v>
          </cell>
          <cell r="Z50">
            <v>42476.758690000002</v>
          </cell>
          <cell r="AA50">
            <v>43616.549630000001</v>
          </cell>
          <cell r="AB50">
            <v>44865.214269999997</v>
          </cell>
          <cell r="AC50">
            <v>46242.20319</v>
          </cell>
          <cell r="AD50">
            <v>47769.607210000002</v>
          </cell>
          <cell r="AE50">
            <v>49471.604619999998</v>
          </cell>
          <cell r="AF50">
            <v>51374.297709999999</v>
          </cell>
          <cell r="AG50">
            <v>53506.54765</v>
          </cell>
          <cell r="AH50">
            <v>55901.448700000001</v>
          </cell>
          <cell r="AI50">
            <v>58597.81768</v>
          </cell>
          <cell r="AJ50">
            <v>61642.167289999998</v>
          </cell>
          <cell r="AK50">
            <v>65091.555670000002</v>
          </cell>
        </row>
        <row r="51">
          <cell r="B51">
            <v>27533.715670000001</v>
          </cell>
          <cell r="C51">
            <v>27861.26354</v>
          </cell>
          <cell r="D51">
            <v>28199.487069999999</v>
          </cell>
          <cell r="E51">
            <v>28549.8894</v>
          </cell>
          <cell r="F51">
            <v>28909.995500000001</v>
          </cell>
          <cell r="G51">
            <v>29278.829269999998</v>
          </cell>
          <cell r="H51">
            <v>29657.20449</v>
          </cell>
          <cell r="I51">
            <v>30046.580669999999</v>
          </cell>
          <cell r="J51">
            <v>30447.893370000002</v>
          </cell>
          <cell r="K51">
            <v>30861.476200000001</v>
          </cell>
          <cell r="L51">
            <v>31286.559720000001</v>
          </cell>
          <cell r="M51">
            <v>31716.522499999999</v>
          </cell>
          <cell r="N51">
            <v>32143.946779999998</v>
          </cell>
          <cell r="O51">
            <v>32562.464929999998</v>
          </cell>
          <cell r="P51">
            <v>32967.608390000001</v>
          </cell>
          <cell r="Q51">
            <v>33357.021769999999</v>
          </cell>
          <cell r="R51">
            <v>33729.692060000001</v>
          </cell>
          <cell r="S51">
            <v>34086.685740000001</v>
          </cell>
          <cell r="T51">
            <v>34430.910900000003</v>
          </cell>
          <cell r="U51">
            <v>34766.581059999997</v>
          </cell>
          <cell r="V51">
            <v>35098.328379999999</v>
          </cell>
          <cell r="W51">
            <v>35431.987990000001</v>
          </cell>
          <cell r="X51">
            <v>35773.929700000001</v>
          </cell>
          <cell r="Y51">
            <v>36130.709159999999</v>
          </cell>
          <cell r="Z51">
            <v>36508.781069999997</v>
          </cell>
          <cell r="AA51">
            <v>36912.951410000001</v>
          </cell>
          <cell r="AB51">
            <v>37348.808199999999</v>
          </cell>
          <cell r="AC51">
            <v>37822.085619999998</v>
          </cell>
          <cell r="AD51">
            <v>38338.264170000002</v>
          </cell>
          <cell r="AE51">
            <v>38901.855839999997</v>
          </cell>
          <cell r="AF51">
            <v>39515.915240000002</v>
          </cell>
          <cell r="AG51">
            <v>40181.991759999997</v>
          </cell>
          <cell r="AH51">
            <v>40900.302759999999</v>
          </cell>
          <cell r="AI51">
            <v>41669.897870000001</v>
          </cell>
          <cell r="AJ51">
            <v>42488.781759999998</v>
          </cell>
          <cell r="AK51">
            <v>43354.008860000002</v>
          </cell>
        </row>
        <row r="52">
          <cell r="B52">
            <v>548.74308740000004</v>
          </cell>
          <cell r="C52">
            <v>555.27107049999995</v>
          </cell>
          <cell r="D52">
            <v>562.01181789999998</v>
          </cell>
          <cell r="E52">
            <v>568.99528720000001</v>
          </cell>
          <cell r="F52">
            <v>576.17215120000003</v>
          </cell>
          <cell r="G52">
            <v>583.52295649999996</v>
          </cell>
          <cell r="H52">
            <v>591.06392149999999</v>
          </cell>
          <cell r="I52">
            <v>598.69459300000005</v>
          </cell>
          <cell r="J52">
            <v>606.45987100000002</v>
          </cell>
          <cell r="K52">
            <v>614.46707690000005</v>
          </cell>
          <cell r="L52">
            <v>622.67257099999995</v>
          </cell>
          <cell r="M52">
            <v>630.7506932</v>
          </cell>
          <cell r="N52">
            <v>638.37200410000003</v>
          </cell>
          <cell r="O52">
            <v>645.28693099999998</v>
          </cell>
          <cell r="P52">
            <v>651.33892309999999</v>
          </cell>
          <cell r="Q52">
            <v>656.44109760000003</v>
          </cell>
          <cell r="R52">
            <v>660.55466000000001</v>
          </cell>
          <cell r="S52">
            <v>663.68483570000001</v>
          </cell>
          <cell r="T52">
            <v>665.8539806</v>
          </cell>
          <cell r="U52">
            <v>667.09127820000003</v>
          </cell>
          <cell r="V52">
            <v>667.42053139999996</v>
          </cell>
          <cell r="W52">
            <v>666.87509560000001</v>
          </cell>
          <cell r="X52">
            <v>665.48623499999997</v>
          </cell>
          <cell r="Y52">
            <v>663.27266350000002</v>
          </cell>
          <cell r="Z52">
            <v>660.23143570000002</v>
          </cell>
          <cell r="AA52">
            <v>656.31289800000002</v>
          </cell>
          <cell r="AB52">
            <v>651.46164390000001</v>
          </cell>
          <cell r="AC52">
            <v>645.59425510000005</v>
          </cell>
          <cell r="AD52">
            <v>638.5841289</v>
          </cell>
          <cell r="AE52">
            <v>630.24370350000004</v>
          </cell>
          <cell r="AF52">
            <v>620.31096720000005</v>
          </cell>
          <cell r="AG52">
            <v>608.44252619999997</v>
          </cell>
          <cell r="AH52">
            <v>594.20672560000003</v>
          </cell>
          <cell r="AI52">
            <v>577.07127549999996</v>
          </cell>
          <cell r="AJ52">
            <v>556.38761009999996</v>
          </cell>
          <cell r="AK52">
            <v>531.36944249999999</v>
          </cell>
        </row>
        <row r="53">
          <cell r="B53">
            <v>548.74308740000004</v>
          </cell>
          <cell r="C53">
            <v>555.27107049999995</v>
          </cell>
          <cell r="D53">
            <v>562.01181789999998</v>
          </cell>
          <cell r="E53">
            <v>568.99528720000001</v>
          </cell>
          <cell r="F53">
            <v>576.17215120000003</v>
          </cell>
          <cell r="G53">
            <v>583.52295649999996</v>
          </cell>
          <cell r="H53">
            <v>591.06392140000003</v>
          </cell>
          <cell r="I53">
            <v>598.82413410000004</v>
          </cell>
          <cell r="J53">
            <v>606.82223980000003</v>
          </cell>
          <cell r="K53">
            <v>615.06488750000005</v>
          </cell>
          <cell r="L53">
            <v>623.53674230000001</v>
          </cell>
          <cell r="M53">
            <v>632.10584019999999</v>
          </cell>
          <cell r="N53">
            <v>640.62434619999999</v>
          </cell>
          <cell r="O53">
            <v>648.96535410000001</v>
          </cell>
          <cell r="P53">
            <v>657.03980639999997</v>
          </cell>
          <cell r="Q53">
            <v>664.80076029999998</v>
          </cell>
          <cell r="R53">
            <v>672.22802690000003</v>
          </cell>
          <cell r="S53">
            <v>679.34286080000004</v>
          </cell>
          <cell r="T53">
            <v>686.20321999999999</v>
          </cell>
          <cell r="U53">
            <v>692.89307910000002</v>
          </cell>
          <cell r="V53">
            <v>699.50475670000003</v>
          </cell>
          <cell r="W53">
            <v>706.15454580000005</v>
          </cell>
          <cell r="X53">
            <v>712.96939610000004</v>
          </cell>
          <cell r="Y53">
            <v>720.07996060000005</v>
          </cell>
          <cell r="Z53">
            <v>727.61488059999999</v>
          </cell>
          <cell r="AA53">
            <v>735.66993869999999</v>
          </cell>
          <cell r="AB53">
            <v>744.35650339999995</v>
          </cell>
          <cell r="AC53">
            <v>753.78885590000004</v>
          </cell>
          <cell r="AD53">
            <v>764.07622189999995</v>
          </cell>
          <cell r="AE53">
            <v>775.30852479999999</v>
          </cell>
          <cell r="AF53">
            <v>787.54664249999996</v>
          </cell>
          <cell r="AG53">
            <v>800.82145390000005</v>
          </cell>
          <cell r="AH53">
            <v>815.13729130000002</v>
          </cell>
          <cell r="AI53">
            <v>830.47521389999997</v>
          </cell>
          <cell r="AJ53">
            <v>846.79545480000002</v>
          </cell>
          <cell r="AK53">
            <v>864.03930930000001</v>
          </cell>
        </row>
        <row r="54">
          <cell r="B54">
            <v>797.41588769999998</v>
          </cell>
          <cell r="C54">
            <v>806.90214390000006</v>
          </cell>
          <cell r="D54">
            <v>816.69758220000006</v>
          </cell>
          <cell r="E54">
            <v>826.84573620000003</v>
          </cell>
          <cell r="F54">
            <v>837.27492519999998</v>
          </cell>
          <cell r="G54">
            <v>847.9568802</v>
          </cell>
          <cell r="H54">
            <v>858.91516909999996</v>
          </cell>
          <cell r="I54">
            <v>869.91354790000003</v>
          </cell>
          <cell r="J54">
            <v>880.98221269999999</v>
          </cell>
          <cell r="K54">
            <v>892.25950360000002</v>
          </cell>
          <cell r="L54">
            <v>903.66967580000005</v>
          </cell>
          <cell r="M54">
            <v>914.73186769999995</v>
          </cell>
          <cell r="N54">
            <v>924.96265170000004</v>
          </cell>
          <cell r="O54">
            <v>933.99603979999995</v>
          </cell>
          <cell r="P54">
            <v>941.60129979999999</v>
          </cell>
          <cell r="Q54">
            <v>947.64831130000005</v>
          </cell>
          <cell r="R54">
            <v>952.07570850000002</v>
          </cell>
          <cell r="S54">
            <v>954.88403840000001</v>
          </cell>
          <cell r="T54">
            <v>956.09670500000004</v>
          </cell>
          <cell r="U54">
            <v>955.74471719999997</v>
          </cell>
          <cell r="V54">
            <v>953.84897490000003</v>
          </cell>
          <cell r="W54">
            <v>950.44033060000004</v>
          </cell>
          <cell r="X54">
            <v>945.54231709999999</v>
          </cell>
          <cell r="Y54">
            <v>939.15571020000004</v>
          </cell>
          <cell r="Z54">
            <v>931.24515280000003</v>
          </cell>
          <cell r="AA54">
            <v>921.7048542</v>
          </cell>
          <cell r="AB54">
            <v>910.41260490000002</v>
          </cell>
          <cell r="AC54">
            <v>897.19800829999997</v>
          </cell>
          <cell r="AD54">
            <v>881.82085930000005</v>
          </cell>
          <cell r="AE54">
            <v>863.94713369999999</v>
          </cell>
          <cell r="AF54">
            <v>843.13190540000005</v>
          </cell>
          <cell r="AG54">
            <v>818.81177230000003</v>
          </cell>
          <cell r="AH54">
            <v>790.29837799999996</v>
          </cell>
          <cell r="AI54">
            <v>756.76631229999998</v>
          </cell>
          <cell r="AJ54">
            <v>717.23087559999999</v>
          </cell>
          <cell r="AK54">
            <v>670.41772379999998</v>
          </cell>
        </row>
        <row r="55">
          <cell r="B55">
            <v>797.41588769999998</v>
          </cell>
          <cell r="C55">
            <v>806.90214390000006</v>
          </cell>
          <cell r="D55">
            <v>816.69758220000006</v>
          </cell>
          <cell r="E55">
            <v>826.84573620000003</v>
          </cell>
          <cell r="F55">
            <v>837.27492519999998</v>
          </cell>
          <cell r="G55">
            <v>847.95688010000003</v>
          </cell>
          <cell r="H55">
            <v>858.91516899999999</v>
          </cell>
          <cell r="I55">
            <v>870.19206159999999</v>
          </cell>
          <cell r="J55">
            <v>881.81465279999998</v>
          </cell>
          <cell r="K55">
            <v>893.7926046</v>
          </cell>
          <cell r="L55">
            <v>906.10363280000001</v>
          </cell>
          <cell r="M55">
            <v>918.55597139999998</v>
          </cell>
          <cell r="N55">
            <v>930.93479170000001</v>
          </cell>
          <cell r="O55">
            <v>943.05567740000004</v>
          </cell>
          <cell r="P55">
            <v>954.78921300000002</v>
          </cell>
          <cell r="Q55">
            <v>966.06718269999999</v>
          </cell>
          <cell r="R55">
            <v>976.86024880000002</v>
          </cell>
          <cell r="S55">
            <v>987.19929769999999</v>
          </cell>
          <cell r="T55">
            <v>997.16855199999998</v>
          </cell>
          <cell r="U55">
            <v>1006.890041</v>
          </cell>
          <cell r="V55">
            <v>1016.497919</v>
          </cell>
          <cell r="W55">
            <v>1026.1611800000001</v>
          </cell>
          <cell r="X55">
            <v>1036.064302</v>
          </cell>
          <cell r="Y55">
            <v>1046.3971469999999</v>
          </cell>
          <cell r="Z55">
            <v>1057.3466510000001</v>
          </cell>
          <cell r="AA55">
            <v>1069.0520039999999</v>
          </cell>
          <cell r="AB55">
            <v>1081.6750420000001</v>
          </cell>
          <cell r="AC55">
            <v>1095.3818349999999</v>
          </cell>
          <cell r="AD55">
            <v>1110.331105</v>
          </cell>
          <cell r="AE55">
            <v>1126.6535280000001</v>
          </cell>
          <cell r="AF55">
            <v>1144.4375689999999</v>
          </cell>
          <cell r="AG55">
            <v>1163.7281</v>
          </cell>
          <cell r="AH55">
            <v>1184.5314169999999</v>
          </cell>
          <cell r="AI55">
            <v>1206.8199950000001</v>
          </cell>
          <cell r="AJ55">
            <v>1230.5360470000001</v>
          </cell>
          <cell r="AK55">
            <v>1255.5942640000001</v>
          </cell>
        </row>
        <row r="56">
          <cell r="B56">
            <v>724.45685140000001</v>
          </cell>
          <cell r="C56">
            <v>733.07516880000003</v>
          </cell>
          <cell r="D56">
            <v>741.97438</v>
          </cell>
          <cell r="E56">
            <v>751.19403539999996</v>
          </cell>
          <cell r="F56">
            <v>760.66901270000005</v>
          </cell>
          <cell r="G56">
            <v>770.37362929999995</v>
          </cell>
          <cell r="H56">
            <v>780.32929679999995</v>
          </cell>
          <cell r="I56">
            <v>790.32571970000004</v>
          </cell>
          <cell r="J56">
            <v>800.39201319999995</v>
          </cell>
          <cell r="K56">
            <v>810.65470349999998</v>
          </cell>
          <cell r="L56">
            <v>821.04556520000006</v>
          </cell>
          <cell r="M56">
            <v>831.12809460000005</v>
          </cell>
          <cell r="N56">
            <v>840.46331540000006</v>
          </cell>
          <cell r="O56">
            <v>848.71887849999996</v>
          </cell>
          <cell r="P56">
            <v>855.68530999999996</v>
          </cell>
          <cell r="Q56">
            <v>861.2445712</v>
          </cell>
          <cell r="R56">
            <v>865.34113909999996</v>
          </cell>
          <cell r="S56">
            <v>867.97583520000001</v>
          </cell>
          <cell r="T56">
            <v>869.17034120000005</v>
          </cell>
          <cell r="U56">
            <v>868.9533553</v>
          </cell>
          <cell r="V56">
            <v>867.34449640000003</v>
          </cell>
          <cell r="W56">
            <v>864.37260690000005</v>
          </cell>
          <cell r="X56">
            <v>860.06007609999995</v>
          </cell>
          <cell r="Y56">
            <v>854.40882290000002</v>
          </cell>
          <cell r="Z56">
            <v>847.38814649999995</v>
          </cell>
          <cell r="AA56">
            <v>838.903459</v>
          </cell>
          <cell r="AB56">
            <v>828.84561110000004</v>
          </cell>
          <cell r="AC56">
            <v>817.06199100000003</v>
          </cell>
          <cell r="AD56">
            <v>803.3368428</v>
          </cell>
          <cell r="AE56">
            <v>787.36933910000005</v>
          </cell>
          <cell r="AF56">
            <v>768.75790159999997</v>
          </cell>
          <cell r="AG56">
            <v>746.99314289999995</v>
          </cell>
          <cell r="AH56">
            <v>721.45174129999998</v>
          </cell>
          <cell r="AI56">
            <v>691.38516240000001</v>
          </cell>
          <cell r="AJ56">
            <v>655.9002567</v>
          </cell>
          <cell r="AK56">
            <v>613.85841370000003</v>
          </cell>
        </row>
        <row r="57">
          <cell r="B57">
            <v>724.45685140000001</v>
          </cell>
          <cell r="C57">
            <v>733.07516880000003</v>
          </cell>
          <cell r="D57">
            <v>741.97438</v>
          </cell>
          <cell r="E57">
            <v>751.19403539999996</v>
          </cell>
          <cell r="F57">
            <v>760.66901270000005</v>
          </cell>
          <cell r="G57">
            <v>770.37362919999998</v>
          </cell>
          <cell r="H57">
            <v>780.32929679999995</v>
          </cell>
          <cell r="I57">
            <v>790.57441759999995</v>
          </cell>
          <cell r="J57">
            <v>801.13360750000004</v>
          </cell>
          <cell r="K57">
            <v>812.01564459999997</v>
          </cell>
          <cell r="L57">
            <v>823.20028339999999</v>
          </cell>
          <cell r="M57">
            <v>834.51330359999997</v>
          </cell>
          <cell r="N57">
            <v>845.75953189999996</v>
          </cell>
          <cell r="O57">
            <v>856.77142530000003</v>
          </cell>
          <cell r="P57">
            <v>867.43140889999995</v>
          </cell>
          <cell r="Q57">
            <v>877.6775083</v>
          </cell>
          <cell r="R57">
            <v>887.48306990000003</v>
          </cell>
          <cell r="S57">
            <v>896.87615440000002</v>
          </cell>
          <cell r="T57">
            <v>905.93327850000003</v>
          </cell>
          <cell r="U57">
            <v>914.76530630000002</v>
          </cell>
          <cell r="V57">
            <v>923.49411810000004</v>
          </cell>
          <cell r="W57">
            <v>932.27324520000002</v>
          </cell>
          <cell r="X57">
            <v>941.27028789999997</v>
          </cell>
          <cell r="Y57">
            <v>950.65773579999995</v>
          </cell>
          <cell r="Z57">
            <v>960.60542269999996</v>
          </cell>
          <cell r="AA57">
            <v>971.23980189999997</v>
          </cell>
          <cell r="AB57">
            <v>982.70790320000003</v>
          </cell>
          <cell r="AC57">
            <v>995.16060200000004</v>
          </cell>
          <cell r="AD57">
            <v>1008.7420990000001</v>
          </cell>
          <cell r="AE57">
            <v>1023.571113</v>
          </cell>
          <cell r="AF57">
            <v>1039.7280149999999</v>
          </cell>
          <cell r="AG57">
            <v>1057.2535720000001</v>
          </cell>
          <cell r="AH57">
            <v>1076.153503</v>
          </cell>
          <cell r="AI57">
            <v>1096.4028020000001</v>
          </cell>
          <cell r="AJ57">
            <v>1117.948969</v>
          </cell>
          <cell r="AK57">
            <v>1140.714502</v>
          </cell>
        </row>
        <row r="58">
          <cell r="B58">
            <v>1425.718447</v>
          </cell>
          <cell r="C58">
            <v>1442.679003</v>
          </cell>
          <cell r="D58">
            <v>1460.1923099999999</v>
          </cell>
          <cell r="E58">
            <v>1478.3362360000001</v>
          </cell>
          <cell r="F58">
            <v>1496.98263</v>
          </cell>
          <cell r="G58">
            <v>1516.0809549999999</v>
          </cell>
          <cell r="H58">
            <v>1535.673348</v>
          </cell>
          <cell r="I58">
            <v>1573.7028459999999</v>
          </cell>
          <cell r="J58">
            <v>1637.830485</v>
          </cell>
          <cell r="K58">
            <v>1732.9034019999999</v>
          </cell>
          <cell r="L58">
            <v>1862.6178829999999</v>
          </cell>
          <cell r="M58">
            <v>2029.233696</v>
          </cell>
          <cell r="N58">
            <v>2234.623607</v>
          </cell>
          <cell r="O58">
            <v>2480.776417</v>
          </cell>
          <cell r="P58">
            <v>2770.0817200000001</v>
          </cell>
          <cell r="Q58">
            <v>3105.4104189999998</v>
          </cell>
          <cell r="R58">
            <v>3490.173358</v>
          </cell>
          <cell r="S58">
            <v>3928.5505509999998</v>
          </cell>
          <cell r="T58">
            <v>4425.4601389999998</v>
          </cell>
          <cell r="U58">
            <v>4986.6565890000002</v>
          </cell>
          <cell r="V58">
            <v>5618.7665349999997</v>
          </cell>
          <cell r="W58">
            <v>6329.8480140000001</v>
          </cell>
          <cell r="X58">
            <v>7129.6022400000002</v>
          </cell>
          <cell r="Y58">
            <v>8029.597906</v>
          </cell>
          <cell r="Z58">
            <v>9043.522481</v>
          </cell>
          <cell r="AA58">
            <v>10186.821669999999</v>
          </cell>
          <cell r="AB58">
            <v>11478.755660000001</v>
          </cell>
          <cell r="AC58">
            <v>12942.79062</v>
          </cell>
          <cell r="AD58">
            <v>14607.25698</v>
          </cell>
          <cell r="AE58">
            <v>16505.890879999999</v>
          </cell>
          <cell r="AF58">
            <v>18678.619320000002</v>
          </cell>
          <cell r="AG58">
            <v>21173.085849999999</v>
          </cell>
          <cell r="AH58">
            <v>24046.967789999999</v>
          </cell>
          <cell r="AI58">
            <v>27370.883740000001</v>
          </cell>
          <cell r="AJ58">
            <v>31232.379629999999</v>
          </cell>
          <cell r="AK58">
            <v>35741.626190000003</v>
          </cell>
        </row>
        <row r="59">
          <cell r="B59">
            <v>1425.718447</v>
          </cell>
          <cell r="C59">
            <v>1442.679003</v>
          </cell>
          <cell r="D59">
            <v>1460.1923099999999</v>
          </cell>
          <cell r="E59">
            <v>1478.3362360000001</v>
          </cell>
          <cell r="F59">
            <v>1496.98263</v>
          </cell>
          <cell r="G59">
            <v>1516.0809549999999</v>
          </cell>
          <cell r="H59">
            <v>1535.673348</v>
          </cell>
          <cell r="I59">
            <v>1555.8353850000001</v>
          </cell>
          <cell r="J59">
            <v>1576.615509</v>
          </cell>
          <cell r="K59">
            <v>1598.0309970000001</v>
          </cell>
          <cell r="L59">
            <v>1620.0420039999999</v>
          </cell>
          <cell r="M59">
            <v>1642.30567</v>
          </cell>
          <cell r="N59">
            <v>1664.437897</v>
          </cell>
          <cell r="O59">
            <v>1686.1089649999999</v>
          </cell>
          <cell r="P59">
            <v>1707.0874879999999</v>
          </cell>
          <cell r="Q59">
            <v>1727.251503</v>
          </cell>
          <cell r="R59">
            <v>1746.5485550000001</v>
          </cell>
          <cell r="S59">
            <v>1765.033868</v>
          </cell>
          <cell r="T59">
            <v>1782.8580239999999</v>
          </cell>
          <cell r="U59">
            <v>1800.2392010000001</v>
          </cell>
          <cell r="V59">
            <v>1817.4172570000001</v>
          </cell>
          <cell r="W59">
            <v>1834.6943389999999</v>
          </cell>
          <cell r="X59">
            <v>1852.400279</v>
          </cell>
          <cell r="Y59">
            <v>1870.874534</v>
          </cell>
          <cell r="Z59">
            <v>1890.4513320000001</v>
          </cell>
          <cell r="AA59">
            <v>1911.379531</v>
          </cell>
          <cell r="AB59">
            <v>1933.948482</v>
          </cell>
          <cell r="AC59">
            <v>1958.455105</v>
          </cell>
          <cell r="AD59">
            <v>1985.1831830000001</v>
          </cell>
          <cell r="AE59">
            <v>2014.366352</v>
          </cell>
          <cell r="AF59">
            <v>2046.1627800000001</v>
          </cell>
          <cell r="AG59">
            <v>2080.652697</v>
          </cell>
          <cell r="AH59">
            <v>2117.8473560000002</v>
          </cell>
          <cell r="AI59">
            <v>2157.6975480000001</v>
          </cell>
          <cell r="AJ59">
            <v>2200.099952</v>
          </cell>
          <cell r="AK59">
            <v>2244.9020439999999</v>
          </cell>
        </row>
        <row r="60">
          <cell r="B60">
            <v>518.30310899999995</v>
          </cell>
          <cell r="C60">
            <v>524.46897060000003</v>
          </cell>
          <cell r="D60">
            <v>530.83579399999996</v>
          </cell>
          <cell r="E60">
            <v>537.43187499999999</v>
          </cell>
          <cell r="F60">
            <v>544.21062270000004</v>
          </cell>
          <cell r="G60">
            <v>551.15366270000004</v>
          </cell>
          <cell r="H60">
            <v>558.27631389999999</v>
          </cell>
          <cell r="I60">
            <v>590.00294399999996</v>
          </cell>
          <cell r="J60">
            <v>658.72922430000006</v>
          </cell>
          <cell r="K60">
            <v>773.88332969999999</v>
          </cell>
          <cell r="L60">
            <v>943.71204780000005</v>
          </cell>
          <cell r="M60">
            <v>1175.0059120000001</v>
          </cell>
          <cell r="N60">
            <v>1473.7324779999999</v>
          </cell>
          <cell r="O60">
            <v>1845.478969</v>
          </cell>
          <cell r="P60">
            <v>2295.8258569999998</v>
          </cell>
          <cell r="Q60">
            <v>2830.5530250000002</v>
          </cell>
          <cell r="R60">
            <v>3455.8264250000002</v>
          </cell>
          <cell r="S60">
            <v>4178.6184869999997</v>
          </cell>
          <cell r="T60">
            <v>5006.7805049999997</v>
          </cell>
          <cell r="U60">
            <v>5949.2664189999996</v>
          </cell>
          <cell r="V60">
            <v>7016.2527369999998</v>
          </cell>
          <cell r="W60">
            <v>8220.0351570000003</v>
          </cell>
          <cell r="X60">
            <v>9575.4269810000005</v>
          </cell>
          <cell r="Y60">
            <v>11100.161050000001</v>
          </cell>
          <cell r="Z60">
            <v>12815.319009999999</v>
          </cell>
          <cell r="AA60">
            <v>14744.7793</v>
          </cell>
          <cell r="AB60">
            <v>16918.472600000001</v>
          </cell>
          <cell r="AC60">
            <v>19373.038240000002</v>
          </cell>
          <cell r="AD60">
            <v>22152.880219999999</v>
          </cell>
          <cell r="AE60">
            <v>25311.01802</v>
          </cell>
          <cell r="AF60">
            <v>28910.311320000001</v>
          </cell>
          <cell r="AG60">
            <v>33025.865409999999</v>
          </cell>
          <cell r="AH60">
            <v>37748.70364</v>
          </cell>
          <cell r="AI60">
            <v>43190.376380000002</v>
          </cell>
          <cell r="AJ60">
            <v>49489.283519999997</v>
          </cell>
          <cell r="AK60">
            <v>56819.716910000003</v>
          </cell>
        </row>
        <row r="61">
          <cell r="B61">
            <v>518.30310899999995</v>
          </cell>
          <cell r="C61">
            <v>524.46897060000003</v>
          </cell>
          <cell r="D61">
            <v>530.83579399999996</v>
          </cell>
          <cell r="E61">
            <v>537.43187499999999</v>
          </cell>
          <cell r="F61">
            <v>544.21062259999997</v>
          </cell>
          <cell r="G61">
            <v>551.15366270000004</v>
          </cell>
          <cell r="H61">
            <v>558.27631389999999</v>
          </cell>
          <cell r="I61">
            <v>565.6060506</v>
          </cell>
          <cell r="J61">
            <v>573.16048390000003</v>
          </cell>
          <cell r="K61">
            <v>580.94589389999999</v>
          </cell>
          <cell r="L61">
            <v>588.94779640000002</v>
          </cell>
          <cell r="M61">
            <v>597.04154770000002</v>
          </cell>
          <cell r="N61">
            <v>605.0875135</v>
          </cell>
          <cell r="O61">
            <v>612.96582750000005</v>
          </cell>
          <cell r="P61">
            <v>620.59237229999997</v>
          </cell>
          <cell r="Q61">
            <v>627.92280909999999</v>
          </cell>
          <cell r="R61">
            <v>634.93806900000004</v>
          </cell>
          <cell r="S61">
            <v>641.65822760000003</v>
          </cell>
          <cell r="T61">
            <v>648.13802759999999</v>
          </cell>
          <cell r="U61">
            <v>654.45678559999999</v>
          </cell>
          <cell r="V61">
            <v>660.70169899999996</v>
          </cell>
          <cell r="W61">
            <v>666.98260979999998</v>
          </cell>
          <cell r="X61">
            <v>673.41942540000002</v>
          </cell>
          <cell r="Y61">
            <v>680.13555129999997</v>
          </cell>
          <cell r="Z61">
            <v>687.25249289999999</v>
          </cell>
          <cell r="AA61">
            <v>694.86071930000003</v>
          </cell>
          <cell r="AB61">
            <v>703.06542130000003</v>
          </cell>
          <cell r="AC61">
            <v>711.97454059999995</v>
          </cell>
          <cell r="AD61">
            <v>721.69124390000002</v>
          </cell>
          <cell r="AE61">
            <v>732.3004664</v>
          </cell>
          <cell r="AF61">
            <v>743.85970889999999</v>
          </cell>
          <cell r="AG61">
            <v>756.39813760000004</v>
          </cell>
          <cell r="AH61">
            <v>769.91984419999994</v>
          </cell>
          <cell r="AI61">
            <v>784.40693869999996</v>
          </cell>
          <cell r="AJ61">
            <v>799.82186019999995</v>
          </cell>
          <cell r="AK61">
            <v>816.10916039999995</v>
          </cell>
        </row>
        <row r="62">
          <cell r="B62">
            <v>3989.9757450000002</v>
          </cell>
          <cell r="C62">
            <v>4037.4414809999998</v>
          </cell>
          <cell r="D62">
            <v>4086.4542510000001</v>
          </cell>
          <cell r="E62">
            <v>4137.2318809999997</v>
          </cell>
          <cell r="F62">
            <v>4189.4157059999998</v>
          </cell>
          <cell r="G62">
            <v>4242.864278</v>
          </cell>
          <cell r="H62">
            <v>4297.6955250000001</v>
          </cell>
          <cell r="I62">
            <v>4361.7601430000004</v>
          </cell>
          <cell r="J62">
            <v>4438.7507660000001</v>
          </cell>
          <cell r="K62">
            <v>4531.2070709999998</v>
          </cell>
          <cell r="L62">
            <v>4640.1056399999998</v>
          </cell>
          <cell r="M62">
            <v>4763.9616619999997</v>
          </cell>
          <cell r="N62">
            <v>4901.0228310000002</v>
          </cell>
          <cell r="O62">
            <v>5050.0266819999997</v>
          </cell>
          <cell r="P62">
            <v>5210.4236840000003</v>
          </cell>
          <cell r="Q62">
            <v>5382.2797879999998</v>
          </cell>
          <cell r="R62">
            <v>5566.1744930000004</v>
          </cell>
          <cell r="S62">
            <v>5763.2724939999998</v>
          </cell>
          <cell r="T62">
            <v>5975.1401910000004</v>
          </cell>
          <cell r="U62">
            <v>6203.7162779999999</v>
          </cell>
          <cell r="V62">
            <v>6451.2431409999999</v>
          </cell>
          <cell r="W62">
            <v>6720.572435</v>
          </cell>
          <cell r="X62">
            <v>7015.1600920000001</v>
          </cell>
          <cell r="Y62">
            <v>7339.0715929999997</v>
          </cell>
          <cell r="Z62">
            <v>7697.0044049999997</v>
          </cell>
          <cell r="AA62">
            <v>8093.9772869999997</v>
          </cell>
          <cell r="AB62">
            <v>8536.3471900000004</v>
          </cell>
          <cell r="AC62">
            <v>9031.7828669999999</v>
          </cell>
          <cell r="AD62">
            <v>9589.3794710000002</v>
          </cell>
          <cell r="AE62">
            <v>10219.70687</v>
          </cell>
          <cell r="AF62">
            <v>10934.96586</v>
          </cell>
          <cell r="AG62">
            <v>11749.440060000001</v>
          </cell>
          <cell r="AH62">
            <v>12680.20629</v>
          </cell>
          <cell r="AI62">
            <v>13747.978569999999</v>
          </cell>
          <cell r="AJ62">
            <v>14978.255499999999</v>
          </cell>
          <cell r="AK62">
            <v>16402.962950000001</v>
          </cell>
        </row>
        <row r="63">
          <cell r="B63">
            <v>3989.9757450000002</v>
          </cell>
          <cell r="C63">
            <v>4037.4414809999998</v>
          </cell>
          <cell r="D63">
            <v>4086.4542510000001</v>
          </cell>
          <cell r="E63">
            <v>4137.2318800000003</v>
          </cell>
          <cell r="F63">
            <v>4189.4157050000003</v>
          </cell>
          <cell r="G63">
            <v>4242.864278</v>
          </cell>
          <cell r="H63">
            <v>4297.6955239999998</v>
          </cell>
          <cell r="I63">
            <v>4354.120946</v>
          </cell>
          <cell r="J63">
            <v>4412.2761170000003</v>
          </cell>
          <cell r="K63">
            <v>4472.2093809999997</v>
          </cell>
          <cell r="L63">
            <v>4533.8092370000004</v>
          </cell>
          <cell r="M63">
            <v>4596.1161590000002</v>
          </cell>
          <cell r="N63">
            <v>4658.0552209999996</v>
          </cell>
          <cell r="O63">
            <v>4718.7036740000003</v>
          </cell>
          <cell r="P63">
            <v>4777.4139699999996</v>
          </cell>
          <cell r="Q63">
            <v>4833.8447820000001</v>
          </cell>
          <cell r="R63">
            <v>4887.8493129999997</v>
          </cell>
          <cell r="S63">
            <v>4939.5821100000003</v>
          </cell>
          <cell r="T63">
            <v>4989.4645920000003</v>
          </cell>
          <cell r="U63">
            <v>5038.1073459999998</v>
          </cell>
          <cell r="V63">
            <v>5086.1816339999996</v>
          </cell>
          <cell r="W63">
            <v>5134.5330359999998</v>
          </cell>
          <cell r="X63">
            <v>5184.0846170000004</v>
          </cell>
          <cell r="Y63">
            <v>5235.7863699999998</v>
          </cell>
          <cell r="Z63">
            <v>5290.5736630000001</v>
          </cell>
          <cell r="AA63">
            <v>5349.1429410000001</v>
          </cell>
          <cell r="AB63">
            <v>5412.3039779999999</v>
          </cell>
          <cell r="AC63">
            <v>5480.8877259999999</v>
          </cell>
          <cell r="AD63">
            <v>5555.6883779999998</v>
          </cell>
          <cell r="AE63">
            <v>5637.359778</v>
          </cell>
          <cell r="AF63">
            <v>5726.3445760000004</v>
          </cell>
          <cell r="AG63">
            <v>5822.8672969999998</v>
          </cell>
          <cell r="AH63">
            <v>5926.9594399999996</v>
          </cell>
          <cell r="AI63">
            <v>6038.4832850000003</v>
          </cell>
          <cell r="AJ63">
            <v>6157.1496829999996</v>
          </cell>
          <cell r="AK63">
            <v>6282.5317830000004</v>
          </cell>
        </row>
        <row r="64">
          <cell r="B64">
            <v>4700.0919050000002</v>
          </cell>
          <cell r="C64">
            <v>4754.8166499999998</v>
          </cell>
          <cell r="D64">
            <v>4810.4976150000002</v>
          </cell>
          <cell r="E64">
            <v>4867.0898360000001</v>
          </cell>
          <cell r="F64">
            <v>4924.175397</v>
          </cell>
          <cell r="G64">
            <v>4981.6940329999998</v>
          </cell>
          <cell r="H64">
            <v>5039.4657939999997</v>
          </cell>
          <cell r="I64">
            <v>5101.912851</v>
          </cell>
          <cell r="J64">
            <v>5170.1617900000001</v>
          </cell>
          <cell r="K64">
            <v>5245.1293619999997</v>
          </cell>
          <cell r="L64">
            <v>5327.4509840000001</v>
          </cell>
          <cell r="M64">
            <v>5416.2536810000001</v>
          </cell>
          <cell r="N64">
            <v>5510.8437869999998</v>
          </cell>
          <cell r="O64">
            <v>5610.9392500000004</v>
          </cell>
          <cell r="P64">
            <v>5716.6424900000002</v>
          </cell>
          <cell r="Q64">
            <v>5828.3263479999996</v>
          </cell>
          <cell r="R64">
            <v>5946.7296550000001</v>
          </cell>
          <cell r="S64">
            <v>6072.8047749999996</v>
          </cell>
          <cell r="T64">
            <v>6207.651194</v>
          </cell>
          <cell r="U64">
            <v>6352.5555960000002</v>
          </cell>
          <cell r="V64">
            <v>6508.8335479999996</v>
          </cell>
          <cell r="W64">
            <v>6678.3698919999997</v>
          </cell>
          <cell r="X64">
            <v>6863.4349899999997</v>
          </cell>
          <cell r="Y64">
            <v>7066.6519490000001</v>
          </cell>
          <cell r="Z64">
            <v>7291.0097649999998</v>
          </cell>
          <cell r="AA64">
            <v>7539.260894</v>
          </cell>
          <cell r="AB64">
            <v>7815.3010679999998</v>
          </cell>
          <cell r="AC64">
            <v>8123.9044940000003</v>
          </cell>
          <cell r="AD64">
            <v>8470.7112379999999</v>
          </cell>
          <cell r="AE64">
            <v>8862.2325110000002</v>
          </cell>
          <cell r="AF64">
            <v>9305.9416610000007</v>
          </cell>
          <cell r="AG64">
            <v>9810.5477260000007</v>
          </cell>
          <cell r="AH64">
            <v>10386.4085</v>
          </cell>
          <cell r="AI64">
            <v>11046.046840000001</v>
          </cell>
          <cell r="AJ64">
            <v>11804.85124</v>
          </cell>
          <cell r="AK64">
            <v>12682.072690000001</v>
          </cell>
        </row>
        <row r="65">
          <cell r="B65">
            <v>4700.0919050000002</v>
          </cell>
          <cell r="C65">
            <v>4754.8166499999998</v>
          </cell>
          <cell r="D65">
            <v>4810.4976150000002</v>
          </cell>
          <cell r="E65">
            <v>4867.0898370000004</v>
          </cell>
          <cell r="F65">
            <v>4924.1753989999997</v>
          </cell>
          <cell r="G65">
            <v>4981.6940350000004</v>
          </cell>
          <cell r="H65">
            <v>5039.4657969999998</v>
          </cell>
          <cell r="I65">
            <v>5097.3550299999997</v>
          </cell>
          <cell r="J65">
            <v>5155.2434119999998</v>
          </cell>
          <cell r="K65">
            <v>5213.0457379999998</v>
          </cell>
          <cell r="L65">
            <v>5270.8645690000003</v>
          </cell>
          <cell r="M65">
            <v>5327.9673620000003</v>
          </cell>
          <cell r="N65">
            <v>5383.5562609999997</v>
          </cell>
          <cell r="O65">
            <v>5436.9905490000001</v>
          </cell>
          <cell r="P65">
            <v>5487.8572000000004</v>
          </cell>
          <cell r="Q65">
            <v>5535.9749579999998</v>
          </cell>
          <cell r="R65">
            <v>5581.5257609999999</v>
          </cell>
          <cell r="S65">
            <v>5624.9510929999997</v>
          </cell>
          <cell r="T65">
            <v>5666.814308</v>
          </cell>
          <cell r="U65">
            <v>5707.7147629999999</v>
          </cell>
          <cell r="V65">
            <v>5748.0845829999998</v>
          </cell>
          <cell r="W65">
            <v>5788.6238990000002</v>
          </cell>
          <cell r="X65">
            <v>5830.0762850000001</v>
          </cell>
          <cell r="Y65">
            <v>5873.1722410000002</v>
          </cell>
          <cell r="Z65">
            <v>5918.6093000000001</v>
          </cell>
          <cell r="AA65">
            <v>5966.527247</v>
          </cell>
          <cell r="AB65">
            <v>6017.4672549999996</v>
          </cell>
          <cell r="AC65">
            <v>6072.0662590000002</v>
          </cell>
          <cell r="AD65">
            <v>6130.9492209999999</v>
          </cell>
          <cell r="AE65">
            <v>6194.641815</v>
          </cell>
          <cell r="AF65">
            <v>6263.5177759999997</v>
          </cell>
          <cell r="AG65">
            <v>6337.7925409999998</v>
          </cell>
          <cell r="AH65">
            <v>6417.5394130000004</v>
          </cell>
          <cell r="AI65">
            <v>6502.7050920000001</v>
          </cell>
          <cell r="AJ65">
            <v>6593.1212720000003</v>
          </cell>
          <cell r="AK65">
            <v>6688.513715</v>
          </cell>
        </row>
        <row r="66">
          <cell r="B66">
            <v>65.17644713</v>
          </cell>
          <cell r="C66">
            <v>65.951802220000005</v>
          </cell>
          <cell r="D66">
            <v>66.752428190000003</v>
          </cell>
          <cell r="E66">
            <v>67.581883230000003</v>
          </cell>
          <cell r="F66">
            <v>68.434308540000004</v>
          </cell>
          <cell r="G66">
            <v>69.307393559999994</v>
          </cell>
          <cell r="H66">
            <v>70.20306463</v>
          </cell>
          <cell r="I66">
            <v>71.145442709999998</v>
          </cell>
          <cell r="J66">
            <v>72.153900640000003</v>
          </cell>
          <cell r="K66">
            <v>73.248325460000004</v>
          </cell>
          <cell r="L66">
            <v>74.428610809999995</v>
          </cell>
          <cell r="M66">
            <v>75.65932368</v>
          </cell>
          <cell r="N66">
            <v>76.90346692</v>
          </cell>
          <cell r="O66">
            <v>78.133036860000004</v>
          </cell>
          <cell r="P66">
            <v>79.331113279999997</v>
          </cell>
          <cell r="Q66">
            <v>80.489377849999997</v>
          </cell>
          <cell r="R66">
            <v>81.605764609999994</v>
          </cell>
          <cell r="S66">
            <v>82.684370970000003</v>
          </cell>
          <cell r="T66">
            <v>83.732282720000001</v>
          </cell>
          <cell r="U66">
            <v>84.758497480000003</v>
          </cell>
          <cell r="V66">
            <v>85.772509069999998</v>
          </cell>
          <cell r="W66">
            <v>86.786810299999999</v>
          </cell>
          <cell r="X66">
            <v>87.815740890000001</v>
          </cell>
          <cell r="Y66">
            <v>88.874458689999997</v>
          </cell>
          <cell r="Z66">
            <v>89.978070869999996</v>
          </cell>
          <cell r="AA66">
            <v>91.13799229</v>
          </cell>
          <cell r="AB66">
            <v>92.369393590000001</v>
          </cell>
          <cell r="AC66">
            <v>93.688758160000006</v>
          </cell>
          <cell r="AD66">
            <v>95.112528459999993</v>
          </cell>
          <cell r="AE66">
            <v>96.655129360000004</v>
          </cell>
          <cell r="AF66">
            <v>98.327610960000001</v>
          </cell>
          <cell r="AG66">
            <v>100.1377233</v>
          </cell>
          <cell r="AH66">
            <v>102.0905168</v>
          </cell>
          <cell r="AI66">
            <v>104.18826180000001</v>
          </cell>
          <cell r="AJ66">
            <v>106.43019339999999</v>
          </cell>
          <cell r="AK66">
            <v>108.81223319999999</v>
          </cell>
        </row>
        <row r="67">
          <cell r="B67">
            <v>65.17644713</v>
          </cell>
          <cell r="C67">
            <v>65.951802220000005</v>
          </cell>
          <cell r="D67">
            <v>66.752428190000003</v>
          </cell>
          <cell r="E67">
            <v>67.581883219999995</v>
          </cell>
          <cell r="F67">
            <v>68.434308529999996</v>
          </cell>
          <cell r="G67">
            <v>69.307393559999994</v>
          </cell>
          <cell r="H67">
            <v>70.203064620000006</v>
          </cell>
          <cell r="I67">
            <v>71.124776629999999</v>
          </cell>
          <cell r="J67">
            <v>72.074744150000001</v>
          </cell>
          <cell r="K67">
            <v>73.053756930000006</v>
          </cell>
          <cell r="L67">
            <v>74.059993559999995</v>
          </cell>
          <cell r="M67">
            <v>75.077780140000002</v>
          </cell>
          <cell r="N67">
            <v>76.089557729999996</v>
          </cell>
          <cell r="O67">
            <v>77.080253150000004</v>
          </cell>
          <cell r="P67">
            <v>78.039288679999999</v>
          </cell>
          <cell r="Q67">
            <v>78.961088720000006</v>
          </cell>
          <cell r="R67">
            <v>79.843255360000001</v>
          </cell>
          <cell r="S67">
            <v>80.688313109999996</v>
          </cell>
          <cell r="T67">
            <v>81.503145860000004</v>
          </cell>
          <cell r="U67">
            <v>82.297727609999995</v>
          </cell>
          <cell r="V67">
            <v>83.083023429999997</v>
          </cell>
          <cell r="W67">
            <v>83.872845929999997</v>
          </cell>
          <cell r="X67">
            <v>84.6822734</v>
          </cell>
          <cell r="Y67">
            <v>85.526824039999994</v>
          </cell>
          <cell r="Z67">
            <v>86.421777120000002</v>
          </cell>
          <cell r="AA67">
            <v>87.378509120000004</v>
          </cell>
          <cell r="AB67">
            <v>88.410247720000001</v>
          </cell>
          <cell r="AC67">
            <v>89.530566570000005</v>
          </cell>
          <cell r="AD67">
            <v>90.752438839999996</v>
          </cell>
          <cell r="AE67">
            <v>92.086545119999997</v>
          </cell>
          <cell r="AF67">
            <v>93.540116100000006</v>
          </cell>
          <cell r="AG67">
            <v>95.116819419999999</v>
          </cell>
          <cell r="AH67">
            <v>96.817169620000001</v>
          </cell>
          <cell r="AI67">
            <v>98.638917039999995</v>
          </cell>
          <cell r="AJ67">
            <v>100.5773384</v>
          </cell>
          <cell r="AK67">
            <v>102.6254611</v>
          </cell>
        </row>
      </sheetData>
      <sheetData sheetId="5" refreshError="1"/>
      <sheetData sheetId="6">
        <row r="3">
          <cell r="F3">
            <v>32317.940999999999</v>
          </cell>
          <cell r="G3">
            <v>31921.431260000001</v>
          </cell>
          <cell r="H3">
            <v>31769.040730000001</v>
          </cell>
          <cell r="I3">
            <v>31782.726709999999</v>
          </cell>
          <cell r="J3">
            <v>31936.275829999999</v>
          </cell>
          <cell r="K3">
            <v>32191.02579</v>
          </cell>
          <cell r="L3">
            <v>32500.476070000001</v>
          </cell>
          <cell r="M3">
            <v>32742.127189999999</v>
          </cell>
          <cell r="N3">
            <v>32981.055390000001</v>
          </cell>
          <cell r="O3">
            <v>33249.856200000002</v>
          </cell>
          <cell r="P3">
            <v>33560.284570000003</v>
          </cell>
          <cell r="Q3">
            <v>33930.917150000001</v>
          </cell>
          <cell r="R3">
            <v>34338.722029999997</v>
          </cell>
          <cell r="S3">
            <v>34759.366379999999</v>
          </cell>
          <cell r="T3">
            <v>35176.011019999998</v>
          </cell>
          <cell r="U3">
            <v>35578.872320000002</v>
          </cell>
          <cell r="V3">
            <v>35955.232479999999</v>
          </cell>
          <cell r="W3">
            <v>36312.84908</v>
          </cell>
          <cell r="X3">
            <v>36658.063249999999</v>
          </cell>
          <cell r="Y3">
            <v>36995.420830000003</v>
          </cell>
          <cell r="Z3">
            <v>37324.903570000002</v>
          </cell>
          <cell r="AA3">
            <v>37655.570619999999</v>
          </cell>
          <cell r="AB3">
            <v>37991.970280000001</v>
          </cell>
          <cell r="AC3">
            <v>38339.475639999997</v>
          </cell>
          <cell r="AD3">
            <v>38702.94586</v>
          </cell>
          <cell r="AE3">
            <v>39075.654549999999</v>
          </cell>
          <cell r="AF3">
            <v>39469.310340000004</v>
          </cell>
          <cell r="AG3">
            <v>39888.159019999999</v>
          </cell>
          <cell r="AH3">
            <v>40338.149460000001</v>
          </cell>
          <cell r="AI3">
            <v>40825.19025</v>
          </cell>
          <cell r="AJ3">
            <v>41353.219620000003</v>
          </cell>
          <cell r="AK3">
            <v>41923.710590000002</v>
          </cell>
          <cell r="AL3">
            <v>42536.467660000002</v>
          </cell>
          <cell r="AM3">
            <v>43190.848169999997</v>
          </cell>
          <cell r="AN3">
            <v>43885.755109999998</v>
          </cell>
          <cell r="AO3">
            <v>44619.433190000003</v>
          </cell>
        </row>
        <row r="4">
          <cell r="F4">
            <v>32271.24</v>
          </cell>
          <cell r="G4">
            <v>31856.525000000001</v>
          </cell>
          <cell r="H4">
            <v>31683.999660000001</v>
          </cell>
          <cell r="I4">
            <v>31675.878840000001</v>
          </cell>
          <cell r="J4">
            <v>31805.82416</v>
          </cell>
          <cell r="K4">
            <v>32035.536800000002</v>
          </cell>
          <cell r="L4">
            <v>32318.91128</v>
          </cell>
          <cell r="M4">
            <v>32533.473440000002</v>
          </cell>
          <cell r="N4">
            <v>32738.94225</v>
          </cell>
          <cell r="O4">
            <v>32962.604979999996</v>
          </cell>
          <cell r="P4">
            <v>33209.970540000002</v>
          </cell>
          <cell r="Q4">
            <v>33494.63276</v>
          </cell>
          <cell r="R4">
            <v>33793.662709999997</v>
          </cell>
          <cell r="S4">
            <v>34083.473180000001</v>
          </cell>
          <cell r="T4">
            <v>34348.090530000001</v>
          </cell>
          <cell r="U4">
            <v>34578.508999999998</v>
          </cell>
          <cell r="V4">
            <v>34762.721279999998</v>
          </cell>
          <cell r="W4">
            <v>34907.396050000003</v>
          </cell>
          <cell r="X4">
            <v>35018.173580000002</v>
          </cell>
          <cell r="Y4">
            <v>35099.138030000002</v>
          </cell>
          <cell r="Z4">
            <v>35150.289100000002</v>
          </cell>
          <cell r="AA4">
            <v>35179.631009999997</v>
          </cell>
          <cell r="AB4">
            <v>35190.944689999997</v>
          </cell>
          <cell r="AC4">
            <v>35188.534740000003</v>
          </cell>
          <cell r="AD4">
            <v>35176.036740000003</v>
          </cell>
          <cell r="AE4">
            <v>35147.195019999999</v>
          </cell>
          <cell r="AF4">
            <v>35111.100839999999</v>
          </cell>
          <cell r="AG4">
            <v>35070.23818</v>
          </cell>
          <cell r="AH4">
            <v>35028.178489999998</v>
          </cell>
          <cell r="AI4">
            <v>34988.121930000001</v>
          </cell>
          <cell r="AJ4">
            <v>34951.398730000001</v>
          </cell>
          <cell r="AK4">
            <v>34917.195090000001</v>
          </cell>
          <cell r="AL4">
            <v>34883.290159999997</v>
          </cell>
          <cell r="AM4">
            <v>34847.0648</v>
          </cell>
          <cell r="AN4">
            <v>34805.54681</v>
          </cell>
          <cell r="AO4">
            <v>34755.322030000003</v>
          </cell>
        </row>
        <row r="12">
          <cell r="F12">
            <v>44.765000000000001</v>
          </cell>
          <cell r="G12">
            <v>62.915118380000003</v>
          </cell>
          <cell r="H12">
            <v>82.980588449999999</v>
          </cell>
          <cell r="I12">
            <v>104.7097115</v>
          </cell>
          <cell r="J12">
            <v>128.22913059999999</v>
          </cell>
          <cell r="K12">
            <v>153.1781277</v>
          </cell>
          <cell r="L12">
            <v>179.1651076</v>
          </cell>
          <cell r="M12">
            <v>206.17472839999999</v>
          </cell>
          <cell r="N12">
            <v>239.5590794</v>
          </cell>
          <cell r="O12">
            <v>284.62393689999999</v>
          </cell>
          <cell r="P12">
            <v>347.61465629999998</v>
          </cell>
          <cell r="Q12">
            <v>433.51269189999999</v>
          </cell>
          <cell r="R12">
            <v>542.21673229999999</v>
          </cell>
          <cell r="S12">
            <v>672.98298829999999</v>
          </cell>
          <cell r="T12">
            <v>824.94710599999996</v>
          </cell>
          <cell r="U12">
            <v>997.33185019999996</v>
          </cell>
          <cell r="V12">
            <v>1189.427653</v>
          </cell>
          <cell r="W12">
            <v>1402.322776</v>
          </cell>
          <cell r="X12">
            <v>1636.717523</v>
          </cell>
          <cell r="Y12">
            <v>1893.073169</v>
          </cell>
          <cell r="Z12">
            <v>2171.3716639999998</v>
          </cell>
          <cell r="AA12">
            <v>2472.6672060000001</v>
          </cell>
          <cell r="AB12">
            <v>2797.7267609999999</v>
          </cell>
          <cell r="AC12">
            <v>3147.618375</v>
          </cell>
          <cell r="AD12">
            <v>3523.565239</v>
          </cell>
          <cell r="AE12">
            <v>3925.0970929999999</v>
          </cell>
          <cell r="AF12">
            <v>4354.8304600000001</v>
          </cell>
          <cell r="AG12">
            <v>4814.5268669999996</v>
          </cell>
          <cell r="AH12">
            <v>5306.563384</v>
          </cell>
          <cell r="AI12">
            <v>5833.6480709999996</v>
          </cell>
          <cell r="AJ12">
            <v>6398.388731</v>
          </cell>
          <cell r="AK12">
            <v>7003.0722189999997</v>
          </cell>
          <cell r="AL12">
            <v>7649.7239760000002</v>
          </cell>
          <cell r="AM12">
            <v>8340.3206680000003</v>
          </cell>
          <cell r="AN12">
            <v>9076.7376660000009</v>
          </cell>
          <cell r="AO12">
            <v>9860.6341140000004</v>
          </cell>
        </row>
        <row r="20">
          <cell r="F20">
            <v>1.9359999999999999</v>
          </cell>
          <cell r="G20">
            <v>1.991142959</v>
          </cell>
          <cell r="H20">
            <v>2.0604747460000001</v>
          </cell>
          <cell r="I20">
            <v>2.1381571419999998</v>
          </cell>
          <cell r="J20">
            <v>2.222530372</v>
          </cell>
          <cell r="K20">
            <v>2.3108613849999999</v>
          </cell>
          <cell r="L20">
            <v>2.3996817140000002</v>
          </cell>
          <cell r="M20">
            <v>2.4790224329999999</v>
          </cell>
          <cell r="N20">
            <v>2.5540431840000002</v>
          </cell>
          <cell r="O20">
            <v>2.6272469470000002</v>
          </cell>
          <cell r="P20">
            <v>2.6993290380000001</v>
          </cell>
          <cell r="Q20">
            <v>2.7716565609999999</v>
          </cell>
          <cell r="R20">
            <v>2.8425317309999998</v>
          </cell>
          <cell r="S20">
            <v>2.9101576699999998</v>
          </cell>
          <cell r="T20">
            <v>2.9733352160000002</v>
          </cell>
          <cell r="U20">
            <v>3.0314211059999998</v>
          </cell>
          <cell r="V20">
            <v>3.0835012339999999</v>
          </cell>
          <cell r="W20">
            <v>3.130209115</v>
          </cell>
          <cell r="X20">
            <v>3.1720958709999998</v>
          </cell>
          <cell r="Y20">
            <v>3.2095843199999998</v>
          </cell>
          <cell r="Z20">
            <v>3.242754422</v>
          </cell>
          <cell r="AA20">
            <v>3.2723536000000002</v>
          </cell>
          <cell r="AB20">
            <v>3.2987800909999998</v>
          </cell>
          <cell r="AC20">
            <v>3.322475957</v>
          </cell>
          <cell r="AD20">
            <v>3.3438275700000002</v>
          </cell>
          <cell r="AE20">
            <v>3.3623899439999998</v>
          </cell>
          <cell r="AF20">
            <v>3.3789943220000001</v>
          </cell>
          <cell r="AG20">
            <v>3.3939243440000002</v>
          </cell>
          <cell r="AH20">
            <v>3.4075535229999998</v>
          </cell>
          <cell r="AI20">
            <v>3.4202241849999999</v>
          </cell>
          <cell r="AJ20">
            <v>3.4321210870000001</v>
          </cell>
          <cell r="AK20">
            <v>3.443246013</v>
          </cell>
          <cell r="AL20">
            <v>3.453477109</v>
          </cell>
          <cell r="AM20">
            <v>3.4626521559999999</v>
          </cell>
          <cell r="AN20">
            <v>3.4705722880000001</v>
          </cell>
          <cell r="AO20">
            <v>3.4769945089999998</v>
          </cell>
        </row>
        <row r="28">
          <cell r="F28">
            <v>32317.940999999999</v>
          </cell>
          <cell r="G28">
            <v>31921.431260000001</v>
          </cell>
          <cell r="H28">
            <v>31769.040730000001</v>
          </cell>
          <cell r="I28">
            <v>31782.726699999999</v>
          </cell>
          <cell r="J28">
            <v>31936.275819999999</v>
          </cell>
          <cell r="K28">
            <v>32191.02579</v>
          </cell>
          <cell r="L28">
            <v>32500.476060000001</v>
          </cell>
          <cell r="M28">
            <v>32841.698640000002</v>
          </cell>
          <cell r="N28">
            <v>33206.180500000002</v>
          </cell>
          <cell r="O28">
            <v>33590.021159999997</v>
          </cell>
          <cell r="P28">
            <v>33993.87801</v>
          </cell>
          <cell r="Q28">
            <v>34400.538119999997</v>
          </cell>
          <cell r="R28">
            <v>34800.051200000002</v>
          </cell>
          <cell r="S28">
            <v>35183.87917</v>
          </cell>
          <cell r="T28">
            <v>35545.61363</v>
          </cell>
          <cell r="U28">
            <v>35881.662579999997</v>
          </cell>
          <cell r="V28">
            <v>36207.915889999997</v>
          </cell>
          <cell r="W28">
            <v>36529.432659999999</v>
          </cell>
          <cell r="X28">
            <v>36845.948389999998</v>
          </cell>
          <cell r="Y28">
            <v>37156.589610000003</v>
          </cell>
          <cell r="Z28">
            <v>37457.810570000001</v>
          </cell>
          <cell r="AA28">
            <v>37756.427470000002</v>
          </cell>
          <cell r="AB28">
            <v>38055.849710000002</v>
          </cell>
          <cell r="AC28">
            <v>38360.375890000003</v>
          </cell>
          <cell r="AD28">
            <v>38673.972159999998</v>
          </cell>
          <cell r="AE28">
            <v>38989.739130000002</v>
          </cell>
          <cell r="AF28">
            <v>39319.485710000001</v>
          </cell>
          <cell r="AG28">
            <v>39668.000209999998</v>
          </cell>
          <cell r="AH28">
            <v>40040.230369999997</v>
          </cell>
          <cell r="AI28">
            <v>40440.558199999999</v>
          </cell>
          <cell r="AJ28">
            <v>40871.415560000001</v>
          </cell>
          <cell r="AK28">
            <v>41333.060030000001</v>
          </cell>
          <cell r="AL28">
            <v>41823.92626</v>
          </cell>
          <cell r="AM28">
            <v>42341.009059999997</v>
          </cell>
          <cell r="AN28">
            <v>42880.218480000003</v>
          </cell>
          <cell r="AO28">
            <v>43436.656199999998</v>
          </cell>
        </row>
        <row r="29">
          <cell r="F29">
            <v>32271.24</v>
          </cell>
          <cell r="G29">
            <v>31856.525000000001</v>
          </cell>
          <cell r="H29">
            <v>31683.999660000001</v>
          </cell>
          <cell r="I29">
            <v>31675.878830000001</v>
          </cell>
          <cell r="J29">
            <v>31805.82416</v>
          </cell>
          <cell r="K29">
            <v>32035.536800000002</v>
          </cell>
          <cell r="L29">
            <v>32318.911270000001</v>
          </cell>
          <cell r="M29">
            <v>32632.99195</v>
          </cell>
          <cell r="N29">
            <v>32968.956339999997</v>
          </cell>
          <cell r="O29">
            <v>33322.481169999999</v>
          </cell>
          <cell r="P29">
            <v>33693.700169999996</v>
          </cell>
          <cell r="Q29">
            <v>34065.126069999998</v>
          </cell>
          <cell r="R29">
            <v>34426.47539</v>
          </cell>
          <cell r="S29">
            <v>34768.901259999999</v>
          </cell>
          <cell r="T29">
            <v>35085.69369</v>
          </cell>
          <cell r="U29">
            <v>35372.936220000003</v>
          </cell>
          <cell r="V29">
            <v>35645.9087</v>
          </cell>
          <cell r="W29">
            <v>35909.499620000002</v>
          </cell>
          <cell r="X29">
            <v>36163.459459999998</v>
          </cell>
          <cell r="Y29">
            <v>36406.923000000003</v>
          </cell>
          <cell r="Z29">
            <v>36636.380859999997</v>
          </cell>
          <cell r="AA29">
            <v>36858.286160000003</v>
          </cell>
          <cell r="AB29">
            <v>37075.686569999998</v>
          </cell>
          <cell r="AC29">
            <v>37292.389320000002</v>
          </cell>
          <cell r="AD29">
            <v>37511.779470000001</v>
          </cell>
          <cell r="AE29">
            <v>37726.761079999997</v>
          </cell>
          <cell r="AF29">
            <v>37948.062380000003</v>
          </cell>
          <cell r="AG29">
            <v>38179.5579</v>
          </cell>
          <cell r="AH29">
            <v>38425.14834</v>
          </cell>
          <cell r="AI29">
            <v>38688.069539999997</v>
          </cell>
          <cell r="AJ29">
            <v>38969.596299999997</v>
          </cell>
          <cell r="AK29">
            <v>39268.860399999998</v>
          </cell>
          <cell r="AL29">
            <v>39583.213620000002</v>
          </cell>
          <cell r="AM29">
            <v>39908.617570000002</v>
          </cell>
          <cell r="AN29">
            <v>40240.004059999999</v>
          </cell>
          <cell r="AO29">
            <v>40571.559390000002</v>
          </cell>
        </row>
        <row r="37">
          <cell r="F37">
            <v>44.765000000000001</v>
          </cell>
          <cell r="G37">
            <v>62.915118380000003</v>
          </cell>
          <cell r="H37">
            <v>82.980588460000007</v>
          </cell>
          <cell r="I37">
            <v>104.7097115</v>
          </cell>
          <cell r="J37">
            <v>128.22913059999999</v>
          </cell>
          <cell r="K37">
            <v>153.1781278</v>
          </cell>
          <cell r="L37">
            <v>179.16510779999999</v>
          </cell>
          <cell r="M37">
            <v>206.21930850000001</v>
          </cell>
          <cell r="N37">
            <v>234.65067540000001</v>
          </cell>
          <cell r="O37">
            <v>264.88209549999999</v>
          </cell>
          <cell r="P37">
            <v>297.43703499999998</v>
          </cell>
          <cell r="Q37">
            <v>332.59105419999997</v>
          </cell>
          <cell r="R37">
            <v>370.67806009999998</v>
          </cell>
          <cell r="S37">
            <v>412.00742300000002</v>
          </cell>
          <cell r="T37">
            <v>456.88118279999998</v>
          </cell>
          <cell r="U37">
            <v>505.62402220000001</v>
          </cell>
          <cell r="V37">
            <v>558.84454909999999</v>
          </cell>
          <cell r="W37">
            <v>616.71287359999997</v>
          </cell>
          <cell r="X37">
            <v>679.21391180000001</v>
          </cell>
          <cell r="Y37">
            <v>746.33940410000002</v>
          </cell>
          <cell r="Z37">
            <v>818.05315280000002</v>
          </cell>
          <cell r="AA37">
            <v>894.71761700000002</v>
          </cell>
          <cell r="AB37">
            <v>976.69419960000005</v>
          </cell>
          <cell r="AC37">
            <v>1064.4738319999999</v>
          </cell>
          <cell r="AD37">
            <v>1158.63726</v>
          </cell>
          <cell r="AE37">
            <v>1259.381525</v>
          </cell>
          <cell r="AF37">
            <v>1367.7863339999999</v>
          </cell>
          <cell r="AG37">
            <v>1484.765083</v>
          </cell>
          <cell r="AH37">
            <v>1611.3643959999999</v>
          </cell>
          <cell r="AI37">
            <v>1748.7300720000001</v>
          </cell>
          <cell r="AJ37">
            <v>1898.019</v>
          </cell>
          <cell r="AK37">
            <v>2060.3569689999999</v>
          </cell>
          <cell r="AL37">
            <v>2236.8270120000002</v>
          </cell>
          <cell r="AM37">
            <v>2428.4625890000002</v>
          </cell>
          <cell r="AN37">
            <v>2636.2423229999999</v>
          </cell>
          <cell r="AO37">
            <v>2861.082054</v>
          </cell>
        </row>
        <row r="45">
          <cell r="F45">
            <v>1.9359999999999999</v>
          </cell>
          <cell r="G45">
            <v>1.991142959</v>
          </cell>
          <cell r="H45">
            <v>2.0604747460000001</v>
          </cell>
          <cell r="I45">
            <v>2.1381571419999998</v>
          </cell>
          <cell r="J45">
            <v>2.222530372</v>
          </cell>
          <cell r="K45">
            <v>2.3108613839999999</v>
          </cell>
          <cell r="L45">
            <v>2.3996817140000002</v>
          </cell>
          <cell r="M45">
            <v>2.487383082</v>
          </cell>
          <cell r="N45">
            <v>2.5734949899999999</v>
          </cell>
          <cell r="O45">
            <v>2.6578966500000001</v>
          </cell>
          <cell r="P45">
            <v>2.7408209920000002</v>
          </cell>
          <cell r="Q45">
            <v>2.8210069080000002</v>
          </cell>
          <cell r="R45">
            <v>2.8977629770000002</v>
          </cell>
          <cell r="S45">
            <v>2.970494451</v>
          </cell>
          <cell r="T45">
            <v>3.0387654350000002</v>
          </cell>
          <cell r="U45">
            <v>3.1023580989999999</v>
          </cell>
          <cell r="V45">
            <v>3.1626553199999998</v>
          </cell>
          <cell r="W45">
            <v>3.220180456</v>
          </cell>
          <cell r="X45">
            <v>3.2750244639999999</v>
          </cell>
          <cell r="Y45">
            <v>3.3272192610000002</v>
          </cell>
          <cell r="Z45">
            <v>3.3765669730000001</v>
          </cell>
          <cell r="AA45">
            <v>3.4236961099999998</v>
          </cell>
          <cell r="AB45">
            <v>3.468951992</v>
          </cell>
          <cell r="AC45">
            <v>3.5127420950000001</v>
          </cell>
          <cell r="AD45">
            <v>3.5554378519999998</v>
          </cell>
          <cell r="AE45">
            <v>3.5965290909999998</v>
          </cell>
          <cell r="AF45">
            <v>3.6369885630000001</v>
          </cell>
          <cell r="AG45">
            <v>3.6772225719999998</v>
          </cell>
          <cell r="AH45">
            <v>3.7176395609999999</v>
          </cell>
          <cell r="AI45">
            <v>3.7585920879999999</v>
          </cell>
          <cell r="AJ45">
            <v>3.8002670850000002</v>
          </cell>
          <cell r="AK45">
            <v>3.8426680989999999</v>
          </cell>
          <cell r="AL45">
            <v>3.8856432349999999</v>
          </cell>
          <cell r="AM45">
            <v>3.928915994</v>
          </cell>
          <cell r="AN45">
            <v>3.9721142380000001</v>
          </cell>
          <cell r="AO45">
            <v>4.0147933199999999</v>
          </cell>
        </row>
        <row r="104">
          <cell r="F104">
            <v>3.476542051</v>
          </cell>
          <cell r="G104">
            <v>5.987398829</v>
          </cell>
          <cell r="H104">
            <v>9.7216995849999996</v>
          </cell>
          <cell r="I104">
            <v>14.72550581</v>
          </cell>
          <cell r="J104">
            <v>21.136822559999999</v>
          </cell>
          <cell r="K104">
            <v>28.986906229999999</v>
          </cell>
          <cell r="L104">
            <v>37.641656040000001</v>
          </cell>
          <cell r="M104">
            <v>46.873312929999997</v>
          </cell>
          <cell r="N104">
            <v>57.509496230000003</v>
          </cell>
          <cell r="O104">
            <v>70.743714260000004</v>
          </cell>
          <cell r="P104">
            <v>86.202584470000005</v>
          </cell>
          <cell r="Q104">
            <v>103.1955016</v>
          </cell>
          <cell r="R104">
            <v>121.12035729999999</v>
          </cell>
          <cell r="S104">
            <v>139.47689410000001</v>
          </cell>
          <cell r="T104">
            <v>157.967285</v>
          </cell>
          <cell r="U104">
            <v>176.42533969999999</v>
          </cell>
          <cell r="V104">
            <v>194.76181460000001</v>
          </cell>
          <cell r="W104">
            <v>212.93171630000001</v>
          </cell>
          <cell r="X104">
            <v>230.91485</v>
          </cell>
          <cell r="Y104">
            <v>248.69946479999999</v>
          </cell>
          <cell r="Z104">
            <v>266.25325859999998</v>
          </cell>
          <cell r="AA104">
            <v>283.62675489999998</v>
          </cell>
          <cell r="AB104">
            <v>300.79347480000001</v>
          </cell>
          <cell r="AC104">
            <v>317.75450430000001</v>
          </cell>
          <cell r="AD104">
            <v>334.5116147</v>
          </cell>
          <cell r="AE104">
            <v>350.99481830000002</v>
          </cell>
          <cell r="AF104">
            <v>367.31665149999998</v>
          </cell>
          <cell r="AG104">
            <v>383.44136049999997</v>
          </cell>
          <cell r="AH104">
            <v>399.37146869999998</v>
          </cell>
          <cell r="AI104">
            <v>415.10948580000002</v>
          </cell>
          <cell r="AJ104">
            <v>430.65784680000002</v>
          </cell>
          <cell r="AK104">
            <v>446.018888</v>
          </cell>
          <cell r="AL104">
            <v>461.19485759999998</v>
          </cell>
          <cell r="AM104">
            <v>476.18794350000002</v>
          </cell>
          <cell r="AN104">
            <v>491.00029910000001</v>
          </cell>
          <cell r="AO104">
            <v>505.63406170000002</v>
          </cell>
        </row>
        <row r="105">
          <cell r="F105">
            <v>68.80476281</v>
          </cell>
          <cell r="G105">
            <v>77.827730720000005</v>
          </cell>
          <cell r="H105">
            <v>88.898412100000002</v>
          </cell>
          <cell r="I105">
            <v>101.06671660000001</v>
          </cell>
          <cell r="J105">
            <v>113.93173090000001</v>
          </cell>
          <cell r="K105">
            <v>126.95945639999999</v>
          </cell>
          <cell r="L105">
            <v>139.1611001</v>
          </cell>
          <cell r="M105">
            <v>150.9928701</v>
          </cell>
          <cell r="N105">
            <v>161.99995559999999</v>
          </cell>
          <cell r="O105">
            <v>170.7782943</v>
          </cell>
          <cell r="P105">
            <v>178.47292680000001</v>
          </cell>
          <cell r="Q105">
            <v>183.4716962</v>
          </cell>
          <cell r="R105">
            <v>187.37862939999999</v>
          </cell>
          <cell r="S105">
            <v>190.65966649999999</v>
          </cell>
          <cell r="T105">
            <v>193.5972198</v>
          </cell>
          <cell r="U105">
            <v>196.35137589999999</v>
          </cell>
          <cell r="V105">
            <v>199.00985109999999</v>
          </cell>
          <cell r="W105">
            <v>201.61835170000001</v>
          </cell>
          <cell r="X105">
            <v>204.19886980000001</v>
          </cell>
          <cell r="Y105">
            <v>206.76547009999999</v>
          </cell>
          <cell r="Z105">
            <v>208.63949840000001</v>
          </cell>
          <cell r="AA105">
            <v>211.19786690000001</v>
          </cell>
          <cell r="AB105">
            <v>213.7584344</v>
          </cell>
          <cell r="AC105">
            <v>216.3227881</v>
          </cell>
          <cell r="AD105">
            <v>218.89180970000001</v>
          </cell>
          <cell r="AE105">
            <v>219.5904257</v>
          </cell>
          <cell r="AF105">
            <v>221.28328149999999</v>
          </cell>
          <cell r="AG105">
            <v>222.97693799999999</v>
          </cell>
          <cell r="AH105">
            <v>224.67137389999999</v>
          </cell>
          <cell r="AI105">
            <v>226.36654859999999</v>
          </cell>
          <cell r="AJ105">
            <v>228.0624636</v>
          </cell>
          <cell r="AK105">
            <v>229.759187</v>
          </cell>
          <cell r="AL105">
            <v>231.4568433</v>
          </cell>
          <cell r="AM105">
            <v>233.15558590000001</v>
          </cell>
          <cell r="AN105">
            <v>234.85557209999999</v>
          </cell>
          <cell r="AO105">
            <v>236.55694500000001</v>
          </cell>
        </row>
        <row r="106">
          <cell r="F106">
            <v>408.28039699999999</v>
          </cell>
          <cell r="G106">
            <v>425.15943820000001</v>
          </cell>
          <cell r="H106">
            <v>442.00447759999997</v>
          </cell>
          <cell r="I106">
            <v>456.98778620000002</v>
          </cell>
          <cell r="J106">
            <v>470.15990729999999</v>
          </cell>
          <cell r="K106">
            <v>481.83168239999998</v>
          </cell>
          <cell r="L106">
            <v>491.05830909999997</v>
          </cell>
          <cell r="M106">
            <v>499.92339090000002</v>
          </cell>
          <cell r="N106">
            <v>508.05017729999997</v>
          </cell>
          <cell r="O106">
            <v>515.61752890000002</v>
          </cell>
          <cell r="P106">
            <v>525.82852700000001</v>
          </cell>
          <cell r="Q106">
            <v>533.00736219999999</v>
          </cell>
          <cell r="R106">
            <v>540.12981809999997</v>
          </cell>
          <cell r="S106">
            <v>547.23099530000002</v>
          </cell>
          <cell r="T106">
            <v>554.32831940000005</v>
          </cell>
          <cell r="U106">
            <v>561.43048810000005</v>
          </cell>
          <cell r="V106">
            <v>568.5418889</v>
          </cell>
          <cell r="W106">
            <v>575.66478029999996</v>
          </cell>
          <cell r="X106">
            <v>582.8003688</v>
          </cell>
          <cell r="Y106">
            <v>589.94934079999996</v>
          </cell>
          <cell r="Z106">
            <v>595.18301689999998</v>
          </cell>
          <cell r="AA106">
            <v>602.35364059999995</v>
          </cell>
          <cell r="AB106">
            <v>609.5385933</v>
          </cell>
          <cell r="AC106">
            <v>616.73807980000004</v>
          </cell>
          <cell r="AD106">
            <v>623.95228859999997</v>
          </cell>
          <cell r="AE106">
            <v>625.91543090000005</v>
          </cell>
          <cell r="AF106">
            <v>630.66936320000002</v>
          </cell>
          <cell r="AG106">
            <v>635.42511990000003</v>
          </cell>
          <cell r="AH106">
            <v>640.18281379999996</v>
          </cell>
          <cell r="AI106">
            <v>644.94255569999996</v>
          </cell>
          <cell r="AJ106">
            <v>649.70445500000005</v>
          </cell>
          <cell r="AK106">
            <v>654.46861950000005</v>
          </cell>
          <cell r="AL106">
            <v>659.23515569999995</v>
          </cell>
          <cell r="AM106">
            <v>664.00416889999997</v>
          </cell>
          <cell r="AN106">
            <v>668.77576299999998</v>
          </cell>
          <cell r="AO106">
            <v>673.55004059999999</v>
          </cell>
        </row>
        <row r="107">
          <cell r="F107">
            <v>954.38155940000001</v>
          </cell>
          <cell r="G107">
            <v>947.21728470000005</v>
          </cell>
          <cell r="H107">
            <v>939.3684379</v>
          </cell>
          <cell r="I107">
            <v>931.00877790000004</v>
          </cell>
          <cell r="J107">
            <v>922.29808400000002</v>
          </cell>
          <cell r="K107">
            <v>913.3958212</v>
          </cell>
          <cell r="L107">
            <v>904.45038899999997</v>
          </cell>
          <cell r="M107">
            <v>895.52603090000002</v>
          </cell>
          <cell r="N107">
            <v>886.62542199999996</v>
          </cell>
          <cell r="O107">
            <v>877.77995510000005</v>
          </cell>
          <cell r="P107">
            <v>869.00818049999998</v>
          </cell>
          <cell r="Q107">
            <v>860.31916330000001</v>
          </cell>
          <cell r="R107">
            <v>851.71629940000003</v>
          </cell>
          <cell r="S107">
            <v>843.20098989999997</v>
          </cell>
          <cell r="T107">
            <v>834.77345969999999</v>
          </cell>
          <cell r="U107">
            <v>826.43335830000001</v>
          </cell>
          <cell r="V107">
            <v>818.18005640000001</v>
          </cell>
          <cell r="W107">
            <v>810.01279169999998</v>
          </cell>
          <cell r="X107">
            <v>801.9307417</v>
          </cell>
          <cell r="Y107">
            <v>793.9330582</v>
          </cell>
          <cell r="Z107">
            <v>786.01888570000006</v>
          </cell>
          <cell r="AA107">
            <v>778.18710490000001</v>
          </cell>
          <cell r="AB107">
            <v>770.43713170000001</v>
          </cell>
          <cell r="AC107">
            <v>762.76812289999998</v>
          </cell>
          <cell r="AD107">
            <v>755.17924310000001</v>
          </cell>
          <cell r="AE107">
            <v>747.66966500000001</v>
          </cell>
          <cell r="AF107">
            <v>740.2378483</v>
          </cell>
          <cell r="AG107">
            <v>732.88337039999999</v>
          </cell>
          <cell r="AH107">
            <v>725.60543059999998</v>
          </cell>
          <cell r="AI107">
            <v>718.40323690000002</v>
          </cell>
          <cell r="AJ107">
            <v>711.27600529999995</v>
          </cell>
          <cell r="AK107">
            <v>704.22295989999998</v>
          </cell>
          <cell r="AL107">
            <v>697.24333320000005</v>
          </cell>
          <cell r="AM107">
            <v>690.33636539999998</v>
          </cell>
          <cell r="AN107">
            <v>683.50130469999999</v>
          </cell>
          <cell r="AO107">
            <v>676.73740729999997</v>
          </cell>
        </row>
        <row r="108">
          <cell r="F108">
            <v>878.79999729999997</v>
          </cell>
          <cell r="G108">
            <v>867.86991079999996</v>
          </cell>
          <cell r="H108">
            <v>856.89817619999997</v>
          </cell>
          <cell r="I108">
            <v>845.95795940000005</v>
          </cell>
          <cell r="J108">
            <v>835.0970777</v>
          </cell>
          <cell r="K108">
            <v>824.34559620000005</v>
          </cell>
          <cell r="L108">
            <v>813.72024680000004</v>
          </cell>
          <cell r="M108">
            <v>803.22780479999994</v>
          </cell>
          <cell r="N108">
            <v>792.86982939999996</v>
          </cell>
          <cell r="O108">
            <v>782.64709530000005</v>
          </cell>
          <cell r="P108">
            <v>772.55910349999999</v>
          </cell>
          <cell r="Q108">
            <v>762.60510850000003</v>
          </cell>
          <cell r="R108">
            <v>752.78325670000004</v>
          </cell>
          <cell r="S108">
            <v>743.09195799999998</v>
          </cell>
          <cell r="T108">
            <v>733.52956500000005</v>
          </cell>
          <cell r="U108">
            <v>724.09441370000002</v>
          </cell>
          <cell r="V108">
            <v>714.78484300000002</v>
          </cell>
          <cell r="W108">
            <v>705.59920420000003</v>
          </cell>
          <cell r="X108">
            <v>696.53586610000002</v>
          </cell>
          <cell r="Y108">
            <v>687.59321720000003</v>
          </cell>
          <cell r="Z108">
            <v>678.76966619999996</v>
          </cell>
          <cell r="AA108">
            <v>670.06337789999998</v>
          </cell>
          <cell r="AB108">
            <v>661.47306890000004</v>
          </cell>
          <cell r="AC108">
            <v>652.99720939999997</v>
          </cell>
          <cell r="AD108">
            <v>644.63428950000002</v>
          </cell>
          <cell r="AE108">
            <v>636.38281930000005</v>
          </cell>
          <cell r="AF108">
            <v>628.24060729999997</v>
          </cell>
          <cell r="AG108">
            <v>620.20659250000006</v>
          </cell>
          <cell r="AH108">
            <v>612.27934570000002</v>
          </cell>
          <cell r="AI108">
            <v>604.45745680000005</v>
          </cell>
          <cell r="AJ108">
            <v>596.73953429999995</v>
          </cell>
          <cell r="AK108">
            <v>589.12420499999996</v>
          </cell>
          <cell r="AL108">
            <v>581.61011389999999</v>
          </cell>
          <cell r="AM108">
            <v>574.19592390000003</v>
          </cell>
          <cell r="AN108">
            <v>566.88031569999998</v>
          </cell>
          <cell r="AO108">
            <v>559.6619872</v>
          </cell>
        </row>
        <row r="109">
          <cell r="F109">
            <v>139.85209269999999</v>
          </cell>
          <cell r="G109">
            <v>137.94033959999999</v>
          </cell>
          <cell r="H109">
            <v>136.0367478</v>
          </cell>
          <cell r="I109">
            <v>134.148278</v>
          </cell>
          <cell r="J109">
            <v>132.28015450000001</v>
          </cell>
          <cell r="K109">
            <v>130.435193</v>
          </cell>
          <cell r="L109">
            <v>128.61463169999999</v>
          </cell>
          <cell r="M109">
            <v>126.8188842</v>
          </cell>
          <cell r="N109">
            <v>125.0479665</v>
          </cell>
          <cell r="O109">
            <v>123.3017055</v>
          </cell>
          <cell r="P109">
            <v>121.5798393</v>
          </cell>
          <cell r="Q109">
            <v>119.8820657</v>
          </cell>
          <cell r="R109">
            <v>118.2080661</v>
          </cell>
          <cell r="S109">
            <v>116.5575159</v>
          </cell>
          <cell r="T109">
            <v>114.9300904</v>
          </cell>
          <cell r="U109">
            <v>113.325467</v>
          </cell>
          <cell r="V109">
            <v>111.7433266</v>
          </cell>
          <cell r="W109">
            <v>110.18335399999999</v>
          </cell>
          <cell r="X109">
            <v>108.6452381</v>
          </cell>
          <cell r="Y109">
            <v>107.12867230000001</v>
          </cell>
          <cell r="Z109">
            <v>105.633354</v>
          </cell>
          <cell r="AA109">
            <v>104.158985</v>
          </cell>
          <cell r="AB109">
            <v>102.7052711</v>
          </cell>
          <cell r="AC109">
            <v>101.27192239999999</v>
          </cell>
          <cell r="AD109">
            <v>99.858652950000007</v>
          </cell>
          <cell r="AE109">
            <v>98.46518098</v>
          </cell>
          <cell r="AF109">
            <v>97.091228569999998</v>
          </cell>
          <cell r="AG109">
            <v>95.73652165</v>
          </cell>
          <cell r="AH109">
            <v>94.400790060000006</v>
          </cell>
          <cell r="AI109">
            <v>93.083767440000003</v>
          </cell>
          <cell r="AJ109">
            <v>91.785191170000004</v>
          </cell>
          <cell r="AK109">
            <v>90.504802330000004</v>
          </cell>
          <cell r="AL109">
            <v>89.242345630000003</v>
          </cell>
          <cell r="AM109">
            <v>87.997569389999995</v>
          </cell>
          <cell r="AN109">
            <v>86.770225449999998</v>
          </cell>
          <cell r="AO109">
            <v>85.560069170000006</v>
          </cell>
        </row>
        <row r="110">
          <cell r="F110">
            <v>3.874567114</v>
          </cell>
          <cell r="G110">
            <v>3.7242706870000002</v>
          </cell>
          <cell r="H110">
            <v>3.580155676</v>
          </cell>
          <cell r="I110">
            <v>3.4419608070000001</v>
          </cell>
          <cell r="J110">
            <v>3.309436576</v>
          </cell>
          <cell r="K110">
            <v>3.1823445769999998</v>
          </cell>
          <cell r="L110">
            <v>3.0604567930000002</v>
          </cell>
          <cell r="M110">
            <v>2.943555001</v>
          </cell>
          <cell r="N110">
            <v>2.8314302690000002</v>
          </cell>
          <cell r="O110">
            <v>2.7238825310000001</v>
          </cell>
          <cell r="P110">
            <v>2.6207201850000001</v>
          </cell>
          <cell r="Q110">
            <v>2.5217597280000001</v>
          </cell>
          <cell r="R110">
            <v>2.4268254090000001</v>
          </cell>
          <cell r="S110">
            <v>2.3357489</v>
          </cell>
          <cell r="T110">
            <v>2.248368975</v>
          </cell>
          <cell r="U110">
            <v>2.164531212</v>
          </cell>
          <cell r="V110">
            <v>2.084087705</v>
          </cell>
          <cell r="W110">
            <v>2.006896786</v>
          </cell>
          <cell r="X110">
            <v>1.9328227609999999</v>
          </cell>
          <cell r="Y110">
            <v>1.8617356599999999</v>
          </cell>
          <cell r="Z110">
            <v>1.793510994</v>
          </cell>
          <cell r="AA110">
            <v>1.72802952</v>
          </cell>
          <cell r="AB110">
            <v>1.665177022</v>
          </cell>
          <cell r="AC110">
            <v>1.6048440980000001</v>
          </cell>
          <cell r="AD110">
            <v>1.546925954</v>
          </cell>
          <cell r="AE110">
            <v>1.491322211</v>
          </cell>
          <cell r="AF110">
            <v>1.4379367190000001</v>
          </cell>
          <cell r="AG110">
            <v>1.386677376</v>
          </cell>
          <cell r="AH110">
            <v>1.3374559589999999</v>
          </cell>
          <cell r="AI110">
            <v>1.2901879549999999</v>
          </cell>
          <cell r="AJ110">
            <v>1.244792412</v>
          </cell>
          <cell r="AK110">
            <v>1.201191782</v>
          </cell>
          <cell r="AL110">
            <v>1.159311778</v>
          </cell>
          <cell r="AM110">
            <v>1.1190812400000001</v>
          </cell>
          <cell r="AN110">
            <v>1.0804319979999999</v>
          </cell>
          <cell r="AO110">
            <v>1.0432987469999999</v>
          </cell>
        </row>
        <row r="112">
          <cell r="F112">
            <v>3.476542051</v>
          </cell>
          <cell r="G112">
            <v>5.9873988220000003</v>
          </cell>
          <cell r="H112">
            <v>9.7216995520000005</v>
          </cell>
          <cell r="I112">
            <v>14.72550575</v>
          </cell>
          <cell r="J112">
            <v>21.136822500000001</v>
          </cell>
          <cell r="K112">
            <v>28.986906250000001</v>
          </cell>
          <cell r="L112">
            <v>37.641656130000001</v>
          </cell>
          <cell r="M112">
            <v>46.873311510000001</v>
          </cell>
          <cell r="N112">
            <v>56.669990030000001</v>
          </cell>
          <cell r="O112">
            <v>67.163745719999994</v>
          </cell>
          <cell r="P112">
            <v>78.481265870000001</v>
          </cell>
          <cell r="Q112">
            <v>90.573120119999999</v>
          </cell>
          <cell r="R112">
            <v>103.4443417</v>
          </cell>
          <cell r="S112">
            <v>116.9923555</v>
          </cell>
          <cell r="T112">
            <v>131.0670729</v>
          </cell>
          <cell r="U112">
            <v>145.50076749999999</v>
          </cell>
          <cell r="V112">
            <v>160.13335559999999</v>
          </cell>
          <cell r="W112">
            <v>174.84128820000001</v>
          </cell>
          <cell r="X112">
            <v>189.5498959</v>
          </cell>
          <cell r="Y112">
            <v>204.1434892</v>
          </cell>
          <cell r="Z112">
            <v>218.49206760000001</v>
          </cell>
          <cell r="AA112">
            <v>232.5791499</v>
          </cell>
          <cell r="AB112">
            <v>246.34927630000001</v>
          </cell>
          <cell r="AC112">
            <v>259.8098397</v>
          </cell>
          <cell r="AD112">
            <v>272.9990712</v>
          </cell>
          <cell r="AE112">
            <v>285.90721129999997</v>
          </cell>
          <cell r="AF112">
            <v>298.72598260000001</v>
          </cell>
          <cell r="AG112">
            <v>311.51059400000003</v>
          </cell>
          <cell r="AH112">
            <v>324.35361920000003</v>
          </cell>
          <cell r="AI112">
            <v>337.33550159999999</v>
          </cell>
          <cell r="AJ112">
            <v>350.51417359999999</v>
          </cell>
          <cell r="AK112">
            <v>363.91680919999999</v>
          </cell>
          <cell r="AL112">
            <v>377.53797200000002</v>
          </cell>
          <cell r="AM112">
            <v>391.34456990000001</v>
          </cell>
          <cell r="AN112">
            <v>405.28542800000002</v>
          </cell>
          <cell r="AO112">
            <v>419.30203390000003</v>
          </cell>
        </row>
        <row r="113">
          <cell r="F113">
            <v>68.80476281</v>
          </cell>
          <cell r="G113">
            <v>77.827730689999996</v>
          </cell>
          <cell r="H113">
            <v>88.898411899999999</v>
          </cell>
          <cell r="I113">
            <v>101.0667162</v>
          </cell>
          <cell r="J113">
            <v>113.9317301</v>
          </cell>
          <cell r="K113">
            <v>126.95945519999999</v>
          </cell>
          <cell r="L113">
            <v>139.1610986</v>
          </cell>
          <cell r="M113">
            <v>150.99286660000001</v>
          </cell>
          <cell r="N113">
            <v>162.4418871</v>
          </cell>
          <cell r="O113">
            <v>173.38576560000001</v>
          </cell>
          <cell r="P113">
            <v>184.71514999999999</v>
          </cell>
          <cell r="Q113">
            <v>194.23953760000001</v>
          </cell>
          <cell r="R113">
            <v>202.94489250000001</v>
          </cell>
          <cell r="S113">
            <v>210.86820650000001</v>
          </cell>
          <cell r="T113">
            <v>218.11451740000001</v>
          </cell>
          <cell r="U113">
            <v>224.82349199999999</v>
          </cell>
          <cell r="V113">
            <v>231.1391299</v>
          </cell>
          <cell r="W113">
            <v>237.17581469999999</v>
          </cell>
          <cell r="X113">
            <v>243.0016454</v>
          </cell>
          <cell r="Y113">
            <v>248.72814869999999</v>
          </cell>
          <cell r="Z113">
            <v>253.76899969999999</v>
          </cell>
          <cell r="AA113">
            <v>259.56382150000002</v>
          </cell>
          <cell r="AB113">
            <v>265.4568817</v>
          </cell>
          <cell r="AC113">
            <v>271.44327909999998</v>
          </cell>
          <cell r="AD113">
            <v>277.48994499999998</v>
          </cell>
          <cell r="AE113">
            <v>281.66653600000001</v>
          </cell>
          <cell r="AF113">
            <v>286.76516579999998</v>
          </cell>
          <cell r="AG113">
            <v>291.70846010000002</v>
          </cell>
          <cell r="AH113">
            <v>296.41209650000002</v>
          </cell>
          <cell r="AI113">
            <v>300.80139630000002</v>
          </cell>
          <cell r="AJ113">
            <v>304.82135269999998</v>
          </cell>
          <cell r="AK113">
            <v>308.44536970000001</v>
          </cell>
          <cell r="AL113">
            <v>311.67818340000002</v>
          </cell>
          <cell r="AM113">
            <v>314.55195320000001</v>
          </cell>
          <cell r="AN113">
            <v>317.11736480000002</v>
          </cell>
          <cell r="AO113">
            <v>319.43313920000003</v>
          </cell>
        </row>
        <row r="114">
          <cell r="F114">
            <v>408.28039699999999</v>
          </cell>
          <cell r="G114">
            <v>425.15943820000001</v>
          </cell>
          <cell r="H114">
            <v>442.0044777</v>
          </cell>
          <cell r="I114">
            <v>456.98778650000003</v>
          </cell>
          <cell r="J114">
            <v>470.15990790000001</v>
          </cell>
          <cell r="K114">
            <v>481.83168330000001</v>
          </cell>
          <cell r="L114">
            <v>491.05831019999999</v>
          </cell>
          <cell r="M114">
            <v>499.92339190000001</v>
          </cell>
          <cell r="N114">
            <v>508.43134079999999</v>
          </cell>
          <cell r="O114">
            <v>516.55755999999997</v>
          </cell>
          <cell r="P114">
            <v>527.26443570000004</v>
          </cell>
          <cell r="Q114">
            <v>534.81260559999998</v>
          </cell>
          <cell r="R114">
            <v>542.187141</v>
          </cell>
          <cell r="S114">
            <v>549.45313950000002</v>
          </cell>
          <cell r="T114">
            <v>556.65688009999997</v>
          </cell>
          <cell r="U114">
            <v>563.82857799999999</v>
          </cell>
          <cell r="V114">
            <v>570.98694220000004</v>
          </cell>
          <cell r="W114">
            <v>578.14398229999995</v>
          </cell>
          <cell r="X114">
            <v>585.30919779999999</v>
          </cell>
          <cell r="Y114">
            <v>592.48970580000002</v>
          </cell>
          <cell r="Z114">
            <v>597.76215979999995</v>
          </cell>
          <cell r="AA114">
            <v>604.98306379999997</v>
          </cell>
          <cell r="AB114">
            <v>612.23234509999997</v>
          </cell>
          <cell r="AC114">
            <v>619.51037840000004</v>
          </cell>
          <cell r="AD114">
            <v>626.81485580000003</v>
          </cell>
          <cell r="AE114">
            <v>628.87506970000004</v>
          </cell>
          <cell r="AF114">
            <v>633.72627829999999</v>
          </cell>
          <cell r="AG114">
            <v>638.57254469999998</v>
          </cell>
          <cell r="AH114">
            <v>643.4082674</v>
          </cell>
          <cell r="AI114">
            <v>648.23026800000002</v>
          </cell>
          <cell r="AJ114">
            <v>653.03815159999999</v>
          </cell>
          <cell r="AK114">
            <v>657.83382700000004</v>
          </cell>
          <cell r="AL114">
            <v>662.62045000000001</v>
          </cell>
          <cell r="AM114">
            <v>667.40138190000005</v>
          </cell>
          <cell r="AN114">
            <v>672.17951559999995</v>
          </cell>
          <cell r="AO114">
            <v>676.95701919999999</v>
          </cell>
        </row>
        <row r="115">
          <cell r="F115">
            <v>954.38155940000001</v>
          </cell>
          <cell r="G115">
            <v>947.21728470000005</v>
          </cell>
          <cell r="H115">
            <v>939.36843799999997</v>
          </cell>
          <cell r="I115">
            <v>931.00877809999997</v>
          </cell>
          <cell r="J115">
            <v>922.29808419999995</v>
          </cell>
          <cell r="K115">
            <v>913.39582150000001</v>
          </cell>
          <cell r="L115">
            <v>904.45038939999995</v>
          </cell>
          <cell r="M115">
            <v>895.52603260000001</v>
          </cell>
          <cell r="N115">
            <v>886.64128870000002</v>
          </cell>
          <cell r="O115">
            <v>877.8113879</v>
          </cell>
          <cell r="P115">
            <v>869.05001749999997</v>
          </cell>
          <cell r="Q115">
            <v>860.36693019999996</v>
          </cell>
          <cell r="R115">
            <v>851.76710300000002</v>
          </cell>
          <cell r="S115">
            <v>843.25316899999996</v>
          </cell>
          <cell r="T115">
            <v>834.82611350000002</v>
          </cell>
          <cell r="U115">
            <v>826.48601280000003</v>
          </cell>
          <cell r="V115">
            <v>818.23246670000003</v>
          </cell>
          <cell r="W115">
            <v>810.06483619999995</v>
          </cell>
          <cell r="X115">
            <v>801.98237140000003</v>
          </cell>
          <cell r="Y115">
            <v>793.98426940000002</v>
          </cell>
          <cell r="Z115">
            <v>786.06971039999996</v>
          </cell>
          <cell r="AA115">
            <v>778.23760770000001</v>
          </cell>
          <cell r="AB115">
            <v>770.48740369999996</v>
          </cell>
          <cell r="AC115">
            <v>762.8182663</v>
          </cell>
          <cell r="AD115">
            <v>755.22934710000004</v>
          </cell>
          <cell r="AE115">
            <v>747.71978039999999</v>
          </cell>
          <cell r="AF115">
            <v>740.28796999999997</v>
          </cell>
          <cell r="AG115">
            <v>732.93343800000002</v>
          </cell>
          <cell r="AH115">
            <v>725.65534909999997</v>
          </cell>
          <cell r="AI115">
            <v>718.45290450000005</v>
          </cell>
          <cell r="AJ115">
            <v>711.32533550000005</v>
          </cell>
          <cell r="AK115">
            <v>704.27189120000003</v>
          </cell>
          <cell r="AL115">
            <v>697.29182790000004</v>
          </cell>
          <cell r="AM115">
            <v>690.38440330000003</v>
          </cell>
          <cell r="AN115">
            <v>683.54887670000005</v>
          </cell>
          <cell r="AO115">
            <v>676.78451059999998</v>
          </cell>
        </row>
        <row r="116">
          <cell r="F116">
            <v>878.79999729999997</v>
          </cell>
          <cell r="G116">
            <v>867.86991079999996</v>
          </cell>
          <cell r="H116">
            <v>856.89817619999997</v>
          </cell>
          <cell r="I116">
            <v>845.95795940000005</v>
          </cell>
          <cell r="J116">
            <v>835.0970777</v>
          </cell>
          <cell r="K116">
            <v>824.34559620000005</v>
          </cell>
          <cell r="L116">
            <v>813.72024680000004</v>
          </cell>
          <cell r="M116">
            <v>803.22780699999998</v>
          </cell>
          <cell r="N116">
            <v>792.87037380000004</v>
          </cell>
          <cell r="O116">
            <v>782.64812810000001</v>
          </cell>
          <cell r="P116">
            <v>772.5604525</v>
          </cell>
          <cell r="Q116">
            <v>762.60663699999998</v>
          </cell>
          <cell r="R116">
            <v>752.78488070000003</v>
          </cell>
          <cell r="S116">
            <v>743.09363069999995</v>
          </cell>
          <cell r="T116">
            <v>733.53126159999999</v>
          </cell>
          <cell r="U116">
            <v>724.0961211</v>
          </cell>
          <cell r="V116">
            <v>714.78655460000004</v>
          </cell>
          <cell r="W116">
            <v>705.60091699999998</v>
          </cell>
          <cell r="X116">
            <v>696.53757919999998</v>
          </cell>
          <cell r="Y116">
            <v>687.59493050000003</v>
          </cell>
          <cell r="Z116">
            <v>678.77138009999999</v>
          </cell>
          <cell r="AA116">
            <v>670.06509310000001</v>
          </cell>
          <cell r="AB116">
            <v>661.47478650000005</v>
          </cell>
          <cell r="AC116">
            <v>652.99893039999995</v>
          </cell>
          <cell r="AD116">
            <v>644.6360148</v>
          </cell>
          <cell r="AE116">
            <v>636.3845493</v>
          </cell>
          <cell r="AF116">
            <v>628.24234179999996</v>
          </cell>
          <cell r="AG116">
            <v>620.20833040000002</v>
          </cell>
          <cell r="AH116">
            <v>612.28108589999999</v>
          </cell>
          <cell r="AI116">
            <v>604.45919800000001</v>
          </cell>
          <cell r="AJ116">
            <v>596.74127539999995</v>
          </cell>
          <cell r="AK116">
            <v>589.12594539999998</v>
          </cell>
          <cell r="AL116">
            <v>581.61185290000003</v>
          </cell>
          <cell r="AM116">
            <v>574.1976611</v>
          </cell>
          <cell r="AN116">
            <v>566.88205059999996</v>
          </cell>
          <cell r="AO116">
            <v>559.66371939999999</v>
          </cell>
        </row>
        <row r="117">
          <cell r="F117">
            <v>139.85209269999999</v>
          </cell>
          <cell r="G117">
            <v>137.94033959999999</v>
          </cell>
          <cell r="H117">
            <v>136.0367478</v>
          </cell>
          <cell r="I117">
            <v>134.148278</v>
          </cell>
          <cell r="J117">
            <v>132.28015450000001</v>
          </cell>
          <cell r="K117">
            <v>130.435193</v>
          </cell>
          <cell r="L117">
            <v>128.61463169999999</v>
          </cell>
          <cell r="M117">
            <v>126.8188842</v>
          </cell>
          <cell r="N117">
            <v>125.0479667</v>
          </cell>
          <cell r="O117">
            <v>123.3017059</v>
          </cell>
          <cell r="P117">
            <v>121.5798401</v>
          </cell>
          <cell r="Q117">
            <v>119.88206700000001</v>
          </cell>
          <cell r="R117">
            <v>118.208068</v>
          </cell>
          <cell r="S117">
            <v>116.5575185</v>
          </cell>
          <cell r="T117">
            <v>114.9300937</v>
          </cell>
          <cell r="U117">
            <v>113.32547099999999</v>
          </cell>
          <cell r="V117">
            <v>111.7433314</v>
          </cell>
          <cell r="W117">
            <v>110.18335949999999</v>
          </cell>
          <cell r="X117">
            <v>108.6452445</v>
          </cell>
          <cell r="Y117">
            <v>107.1286795</v>
          </cell>
          <cell r="Z117">
            <v>105.63336200000001</v>
          </cell>
          <cell r="AA117">
            <v>104.1589938</v>
          </cell>
          <cell r="AB117">
            <v>102.7052807</v>
          </cell>
          <cell r="AC117">
            <v>101.2719328</v>
          </cell>
          <cell r="AD117">
            <v>99.858664189999999</v>
          </cell>
          <cell r="AE117">
            <v>98.465193020000001</v>
          </cell>
          <cell r="AF117">
            <v>97.09124138</v>
          </cell>
          <cell r="AG117">
            <v>95.736535230000001</v>
          </cell>
          <cell r="AH117">
            <v>94.400804390000005</v>
          </cell>
          <cell r="AI117">
            <v>93.083782510000006</v>
          </cell>
          <cell r="AJ117">
            <v>91.785206959999996</v>
          </cell>
          <cell r="AK117">
            <v>90.504818819999997</v>
          </cell>
          <cell r="AL117">
            <v>89.242362810000003</v>
          </cell>
          <cell r="AM117">
            <v>87.997587229999993</v>
          </cell>
          <cell r="AN117">
            <v>86.77024394</v>
          </cell>
          <cell r="AO117">
            <v>85.560088280000002</v>
          </cell>
        </row>
        <row r="118">
          <cell r="F118">
            <v>3.874567114</v>
          </cell>
          <cell r="G118">
            <v>3.7242706870000002</v>
          </cell>
          <cell r="H118">
            <v>3.580155676</v>
          </cell>
          <cell r="I118">
            <v>3.4419608070000001</v>
          </cell>
          <cell r="J118">
            <v>3.309436576</v>
          </cell>
          <cell r="K118">
            <v>3.1823445769999998</v>
          </cell>
          <cell r="L118">
            <v>3.0604567930000002</v>
          </cell>
          <cell r="M118">
            <v>2.9435550020000001</v>
          </cell>
          <cell r="N118">
            <v>2.8314302750000002</v>
          </cell>
          <cell r="O118">
            <v>2.7238825449999999</v>
          </cell>
          <cell r="P118">
            <v>2.6207202139999999</v>
          </cell>
          <cell r="Q118">
            <v>2.5217597770000002</v>
          </cell>
          <cell r="R118">
            <v>2.426825483</v>
          </cell>
          <cell r="S118">
            <v>2.3357490009999999</v>
          </cell>
          <cell r="T118">
            <v>2.2483691029999999</v>
          </cell>
          <cell r="U118">
            <v>2.164531368</v>
          </cell>
          <cell r="V118">
            <v>2.0840878859999998</v>
          </cell>
          <cell r="W118">
            <v>2.0068969920000002</v>
          </cell>
          <cell r="X118">
            <v>1.9328229910000001</v>
          </cell>
          <cell r="Y118">
            <v>1.861735914</v>
          </cell>
          <cell r="Z118">
            <v>1.7935112710000001</v>
          </cell>
          <cell r="AA118">
            <v>1.7280298190000001</v>
          </cell>
          <cell r="AB118">
            <v>1.6651773430000001</v>
          </cell>
          <cell r="AC118">
            <v>1.604844438</v>
          </cell>
          <cell r="AD118">
            <v>1.5469263120000001</v>
          </cell>
          <cell r="AE118">
            <v>1.4913225859999999</v>
          </cell>
          <cell r="AF118">
            <v>1.43793711</v>
          </cell>
          <cell r="AG118">
            <v>1.3866777800000001</v>
          </cell>
          <cell r="AH118">
            <v>1.3374563749999999</v>
          </cell>
          <cell r="AI118">
            <v>1.290188382</v>
          </cell>
          <cell r="AJ118">
            <v>1.2447928479999999</v>
          </cell>
          <cell r="AK118">
            <v>1.201192225</v>
          </cell>
          <cell r="AL118">
            <v>1.159312227</v>
          </cell>
          <cell r="AM118">
            <v>1.1190816939999999</v>
          </cell>
          <cell r="AN118">
            <v>1.080432455</v>
          </cell>
          <cell r="AO118">
            <v>1.043299207</v>
          </cell>
        </row>
        <row r="205">
          <cell r="E205" t="str">
            <v>YG_toe_2</v>
          </cell>
          <cell r="F205">
            <v>148.5608263</v>
          </cell>
          <cell r="G205">
            <v>150.18980999999999</v>
          </cell>
          <cell r="H205">
            <v>151.82846799999999</v>
          </cell>
          <cell r="I205">
            <v>153.5814345</v>
          </cell>
          <cell r="J205">
            <v>155.5307847</v>
          </cell>
          <cell r="K205">
            <v>157.7021771</v>
          </cell>
          <cell r="L205">
            <v>160.01794749999999</v>
          </cell>
          <cell r="M205">
            <v>163.23195820000001</v>
          </cell>
          <cell r="N205">
            <v>166.7420764</v>
          </cell>
          <cell r="O205">
            <v>171.08687639999999</v>
          </cell>
          <cell r="P205">
            <v>175.5917129</v>
          </cell>
          <cell r="Q205">
            <v>179.6289476</v>
          </cell>
          <cell r="R205">
            <v>183.3098895</v>
          </cell>
          <cell r="S205">
            <v>186.79799299999999</v>
          </cell>
          <cell r="T205">
            <v>190.28215399999999</v>
          </cell>
          <cell r="U205">
            <v>193.8818574</v>
          </cell>
          <cell r="V205">
            <v>197.48884200000001</v>
          </cell>
          <cell r="W205">
            <v>201.39281360000001</v>
          </cell>
          <cell r="X205">
            <v>205.67967619999999</v>
          </cell>
          <cell r="Y205">
            <v>210.4229847</v>
          </cell>
          <cell r="Z205">
            <v>215.66218269999999</v>
          </cell>
          <cell r="AA205">
            <v>221.5401032</v>
          </cell>
          <cell r="AB205">
            <v>228.15082319999999</v>
          </cell>
          <cell r="AC205">
            <v>235.58023560000001</v>
          </cell>
          <cell r="AD205">
            <v>243.9082009</v>
          </cell>
          <cell r="AE205">
            <v>253.10876780000001</v>
          </cell>
          <cell r="AF205">
            <v>263.52624530000003</v>
          </cell>
          <cell r="AG205">
            <v>275.28977930000002</v>
          </cell>
          <cell r="AH205">
            <v>288.57596109999997</v>
          </cell>
          <cell r="AI205">
            <v>303.53033900000003</v>
          </cell>
          <cell r="AJ205">
            <v>320.30826089999999</v>
          </cell>
          <cell r="AK205">
            <v>339.14050079999998</v>
          </cell>
          <cell r="AL205">
            <v>360.35455059999998</v>
          </cell>
          <cell r="AM205">
            <v>384.36363740000002</v>
          </cell>
          <cell r="AN205">
            <v>411.70868630000001</v>
          </cell>
          <cell r="AO205">
            <v>443.11839670000001</v>
          </cell>
        </row>
        <row r="206">
          <cell r="E206" t="str">
            <v>YG_toe_ccoa_2</v>
          </cell>
          <cell r="F206">
            <v>2.3689359419999998</v>
          </cell>
          <cell r="G206">
            <v>2.3856616929999999</v>
          </cell>
          <cell r="H206">
            <v>2.404060174</v>
          </cell>
          <cell r="I206">
            <v>2.4172020349999999</v>
          </cell>
          <cell r="J206">
            <v>2.4455840690000001</v>
          </cell>
          <cell r="K206">
            <v>2.4862899139999999</v>
          </cell>
          <cell r="L206">
            <v>2.531724348</v>
          </cell>
          <cell r="M206">
            <v>2.4771025450000002</v>
          </cell>
          <cell r="N206">
            <v>2.407582042</v>
          </cell>
          <cell r="O206">
            <v>2.351087927</v>
          </cell>
          <cell r="P206">
            <v>2.2971943079999999</v>
          </cell>
          <cell r="Q206">
            <v>2.2491624259999998</v>
          </cell>
          <cell r="R206">
            <v>2.204015327</v>
          </cell>
          <cell r="S206">
            <v>2.1614859580000001</v>
          </cell>
          <cell r="T206">
            <v>2.1226670900000002</v>
          </cell>
          <cell r="U206">
            <v>2.0878685680000002</v>
          </cell>
          <cell r="V206">
            <v>2.0513588120000001</v>
          </cell>
          <cell r="W206">
            <v>2.016312369</v>
          </cell>
          <cell r="X206">
            <v>1.984317476</v>
          </cell>
          <cell r="Y206">
            <v>1.9559596990000001</v>
          </cell>
          <cell r="Z206">
            <v>1.9314269019999999</v>
          </cell>
          <cell r="AA206">
            <v>1.910890317</v>
          </cell>
          <cell r="AB206">
            <v>1.894581649</v>
          </cell>
          <cell r="AC206">
            <v>1.8824818720000001</v>
          </cell>
          <cell r="AD206">
            <v>1.874335681</v>
          </cell>
          <cell r="AE206">
            <v>1.8697948099999999</v>
          </cell>
          <cell r="AF206">
            <v>1.8693970870000001</v>
          </cell>
          <cell r="AG206">
            <v>1.8733406829999999</v>
          </cell>
          <cell r="AH206">
            <v>1.881685007</v>
          </cell>
          <cell r="AI206">
            <v>1.893951503</v>
          </cell>
          <cell r="AJ206">
            <v>1.9095666760000001</v>
          </cell>
          <cell r="AK206">
            <v>1.928384412</v>
          </cell>
          <cell r="AL206">
            <v>1.9507270139999999</v>
          </cell>
          <cell r="AM206">
            <v>1.9771822990000001</v>
          </cell>
          <cell r="AN206">
            <v>2.0087138169999998</v>
          </cell>
          <cell r="AO206">
            <v>2.0469865290000002</v>
          </cell>
        </row>
        <row r="209">
          <cell r="E209" t="str">
            <v>YG_toe_ccoi_2</v>
          </cell>
          <cell r="F209">
            <v>1.0946754059999999</v>
          </cell>
          <cell r="G209">
            <v>1.1049675050000001</v>
          </cell>
          <cell r="H209">
            <v>1.115367604</v>
          </cell>
          <cell r="I209">
            <v>1.126722937</v>
          </cell>
          <cell r="J209">
            <v>1.1408372840000001</v>
          </cell>
          <cell r="K209">
            <v>1.1577281859999999</v>
          </cell>
          <cell r="L209">
            <v>1.176171732</v>
          </cell>
          <cell r="M209">
            <v>1.170040671</v>
          </cell>
          <cell r="N209">
            <v>1.160944457</v>
          </cell>
          <cell r="O209">
            <v>1.155603444</v>
          </cell>
          <cell r="P209">
            <v>1.1503084509999999</v>
          </cell>
          <cell r="Q209">
            <v>1.1422777550000001</v>
          </cell>
          <cell r="R209">
            <v>1.1315523430000001</v>
          </cell>
          <cell r="S209">
            <v>1.1187846269999999</v>
          </cell>
          <cell r="T209">
            <v>1.1048568009999999</v>
          </cell>
          <cell r="U209">
            <v>1.090265955</v>
          </cell>
          <cell r="V209">
            <v>1.0740730570000001</v>
          </cell>
          <cell r="W209">
            <v>1.057543353</v>
          </cell>
          <cell r="X209">
            <v>1.0410818740000001</v>
          </cell>
          <cell r="Y209">
            <v>1.0248209639999999</v>
          </cell>
          <cell r="Z209">
            <v>1.0087266070000001</v>
          </cell>
          <cell r="AA209">
            <v>0.9929483268</v>
          </cell>
          <cell r="AB209">
            <v>0.97754682469999998</v>
          </cell>
          <cell r="AC209">
            <v>0.96247850800000001</v>
          </cell>
          <cell r="AD209">
            <v>0.94759554729999995</v>
          </cell>
          <cell r="AE209">
            <v>0.93251598849999995</v>
          </cell>
          <cell r="AF209">
            <v>0.91777633049999996</v>
          </cell>
          <cell r="AG209">
            <v>0.90309459459999997</v>
          </cell>
          <cell r="AH209">
            <v>0.88831247680000003</v>
          </cell>
          <cell r="AI209">
            <v>0.87304660550000002</v>
          </cell>
          <cell r="AJ209">
            <v>0.85680347690000003</v>
          </cell>
          <cell r="AK209">
            <v>0.83915153220000005</v>
          </cell>
          <cell r="AL209">
            <v>0.81973437520000003</v>
          </cell>
          <cell r="AM209">
            <v>0.79818942029999995</v>
          </cell>
          <cell r="AN209">
            <v>0.77412376130000005</v>
          </cell>
          <cell r="AO209">
            <v>0.7470947013</v>
          </cell>
        </row>
        <row r="212">
          <cell r="E212" t="str">
            <v>YG_toe_cfut_2</v>
          </cell>
          <cell r="F212">
            <v>42.288296580000001</v>
          </cell>
          <cell r="G212">
            <v>42.548091919999997</v>
          </cell>
          <cell r="H212">
            <v>42.808939250000002</v>
          </cell>
          <cell r="I212">
            <v>43.12291243</v>
          </cell>
          <cell r="J212">
            <v>43.561391299999997</v>
          </cell>
          <cell r="K212">
            <v>44.112339040000002</v>
          </cell>
          <cell r="L212">
            <v>44.735325670000002</v>
          </cell>
          <cell r="M212">
            <v>45.64065617</v>
          </cell>
          <cell r="N212">
            <v>46.580339819999999</v>
          </cell>
          <cell r="O212">
            <v>47.627439879999997</v>
          </cell>
          <cell r="P212">
            <v>48.716842909999997</v>
          </cell>
          <cell r="Q212">
            <v>49.813326969999999</v>
          </cell>
          <cell r="R212">
            <v>50.907928650000002</v>
          </cell>
          <cell r="S212">
            <v>52.0030669</v>
          </cell>
          <cell r="T212">
            <v>53.109780350000001</v>
          </cell>
          <cell r="U212">
            <v>54.235840469999999</v>
          </cell>
          <cell r="V212">
            <v>55.367699459999997</v>
          </cell>
          <cell r="W212">
            <v>56.526757109999998</v>
          </cell>
          <cell r="X212">
            <v>57.732118730000003</v>
          </cell>
          <cell r="Y212">
            <v>58.998090310000002</v>
          </cell>
          <cell r="Z212">
            <v>60.331014260000003</v>
          </cell>
          <cell r="AA212">
            <v>61.750726440000001</v>
          </cell>
          <cell r="AB212">
            <v>63.270622299999999</v>
          </cell>
          <cell r="AC212">
            <v>64.902377490000006</v>
          </cell>
          <cell r="AD212">
            <v>66.655334620000005</v>
          </cell>
          <cell r="AE212">
            <v>68.520708369999994</v>
          </cell>
          <cell r="AF212">
            <v>70.527296379999996</v>
          </cell>
          <cell r="AG212">
            <v>72.695665379999994</v>
          </cell>
          <cell r="AH212">
            <v>75.043022579999999</v>
          </cell>
          <cell r="AI212">
            <v>77.57975922</v>
          </cell>
          <cell r="AJ212">
            <v>80.313330629999996</v>
          </cell>
          <cell r="AK212">
            <v>83.255703429999997</v>
          </cell>
          <cell r="AL212">
            <v>86.426160499999995</v>
          </cell>
          <cell r="AM212">
            <v>89.850489490000001</v>
          </cell>
          <cell r="AN212">
            <v>93.565769450000005</v>
          </cell>
          <cell r="AO212">
            <v>97.628910450000006</v>
          </cell>
        </row>
        <row r="215">
          <cell r="E215" t="str">
            <v>YG_toe_cfuh_2</v>
          </cell>
          <cell r="F215">
            <v>7.921345187</v>
          </cell>
          <cell r="G215">
            <v>7.9775045100000002</v>
          </cell>
          <cell r="H215">
            <v>8.0319449420000009</v>
          </cell>
          <cell r="I215">
            <v>8.0832804589999991</v>
          </cell>
          <cell r="J215">
            <v>8.1532327759999994</v>
          </cell>
          <cell r="K215">
            <v>8.2385141490000002</v>
          </cell>
          <cell r="L215">
            <v>8.3257630040000006</v>
          </cell>
          <cell r="M215">
            <v>8.0488596789999995</v>
          </cell>
          <cell r="N215">
            <v>7.7598520830000002</v>
          </cell>
          <cell r="O215">
            <v>7.4911647260000001</v>
          </cell>
          <cell r="P215">
            <v>7.2308736150000001</v>
          </cell>
          <cell r="Q215">
            <v>6.9732732449999997</v>
          </cell>
          <cell r="R215">
            <v>6.7142507580000004</v>
          </cell>
          <cell r="S215">
            <v>6.4534341209999999</v>
          </cell>
          <cell r="T215">
            <v>6.1924888009999997</v>
          </cell>
          <cell r="U215">
            <v>5.9324214179999997</v>
          </cell>
          <cell r="V215">
            <v>5.6731160129999996</v>
          </cell>
          <cell r="W215">
            <v>5.4169592729999998</v>
          </cell>
          <cell r="X215">
            <v>5.1647463020000002</v>
          </cell>
          <cell r="Y215">
            <v>4.9162410469999998</v>
          </cell>
          <cell r="Z215">
            <v>4.6697488480000002</v>
          </cell>
          <cell r="AA215">
            <v>4.4264660119999997</v>
          </cell>
          <cell r="AB215">
            <v>4.1853987349999997</v>
          </cell>
          <cell r="AC215">
            <v>3.9452932270000001</v>
          </cell>
          <cell r="AD215">
            <v>3.704721771</v>
          </cell>
          <cell r="AE215">
            <v>3.4599528429999999</v>
          </cell>
          <cell r="AF215">
            <v>3.2124529339999999</v>
          </cell>
          <cell r="AG215">
            <v>2.960991527</v>
          </cell>
          <cell r="AH215">
            <v>2.7040491310000001</v>
          </cell>
          <cell r="AI215">
            <v>2.4396187010000001</v>
          </cell>
          <cell r="AJ215">
            <v>2.1655488140000001</v>
          </cell>
          <cell r="AK215">
            <v>1.8798313040000001</v>
          </cell>
          <cell r="AL215">
            <v>1.580588407</v>
          </cell>
          <cell r="AM215">
            <v>1.265927883</v>
          </cell>
          <cell r="AN215">
            <v>0.93382471190000005</v>
          </cell>
          <cell r="AO215">
            <v>0.58196689820000003</v>
          </cell>
        </row>
        <row r="217">
          <cell r="E217" t="str">
            <v>YG_toe_cgas_2</v>
          </cell>
          <cell r="F217">
            <v>6.6386592860000002</v>
          </cell>
          <cell r="G217">
            <v>6.5180426530000002</v>
          </cell>
          <cell r="H217">
            <v>6.4064554490000001</v>
          </cell>
          <cell r="I217">
            <v>6.2911220739999996</v>
          </cell>
          <cell r="J217">
            <v>6.2126123069999997</v>
          </cell>
          <cell r="K217">
            <v>6.1383611089999999</v>
          </cell>
          <cell r="L217">
            <v>6.0425099769999999</v>
          </cell>
          <cell r="M217">
            <v>5.8213525519999996</v>
          </cell>
          <cell r="N217">
            <v>5.6798970420000003</v>
          </cell>
          <cell r="O217">
            <v>5.5568315799999999</v>
          </cell>
          <cell r="P217">
            <v>5.4712254710000003</v>
          </cell>
          <cell r="Q217">
            <v>5.444066082</v>
          </cell>
          <cell r="R217">
            <v>5.4451223290000001</v>
          </cell>
          <cell r="S217">
            <v>5.4566708750000004</v>
          </cell>
          <cell r="T217">
            <v>5.466941297</v>
          </cell>
          <cell r="U217">
            <v>5.4705185030000001</v>
          </cell>
          <cell r="V217">
            <v>5.4637925709999999</v>
          </cell>
          <cell r="W217">
            <v>5.4440823849999997</v>
          </cell>
          <cell r="X217">
            <v>5.4097265659999998</v>
          </cell>
          <cell r="Y217">
            <v>5.3603082149999999</v>
          </cell>
          <cell r="Z217">
            <v>5.2948085359999997</v>
          </cell>
          <cell r="AA217">
            <v>5.2139650910000004</v>
          </cell>
          <cell r="AB217">
            <v>5.1146426619999996</v>
          </cell>
          <cell r="AC217">
            <v>4.9955213389999997</v>
          </cell>
          <cell r="AD217">
            <v>4.8564156829999998</v>
          </cell>
          <cell r="AE217">
            <v>4.6953262479999998</v>
          </cell>
          <cell r="AF217">
            <v>4.5135676699999996</v>
          </cell>
          <cell r="AG217">
            <v>4.3081387309999997</v>
          </cell>
          <cell r="AH217">
            <v>4.0775887070000003</v>
          </cell>
          <cell r="AI217">
            <v>3.8223275839999999</v>
          </cell>
          <cell r="AJ217">
            <v>3.5431850200000001</v>
          </cell>
          <cell r="AK217">
            <v>3.2396660499999999</v>
          </cell>
          <cell r="AL217">
            <v>2.9098055060000001</v>
          </cell>
          <cell r="AM217">
            <v>2.5509151829999999</v>
          </cell>
          <cell r="AN217">
            <v>2.1592134220000001</v>
          </cell>
          <cell r="AO217">
            <v>1.7291845320000001</v>
          </cell>
        </row>
        <row r="223">
          <cell r="E223" t="str">
            <v>YG_toe_cele_2</v>
          </cell>
          <cell r="F223">
            <v>57.547032539999996</v>
          </cell>
          <cell r="G223">
            <v>58.553381700000003</v>
          </cell>
          <cell r="H223">
            <v>59.539524200000002</v>
          </cell>
          <cell r="I223">
            <v>60.598319170000003</v>
          </cell>
          <cell r="J223">
            <v>61.595226160000003</v>
          </cell>
          <cell r="K223">
            <v>62.61264645</v>
          </cell>
          <cell r="L223">
            <v>63.68636755</v>
          </cell>
          <cell r="M223">
            <v>66.242909549999993</v>
          </cell>
          <cell r="N223">
            <v>69.041019079999998</v>
          </cell>
          <cell r="O223">
            <v>72.302845820000002</v>
          </cell>
          <cell r="P223">
            <v>75.635379720000003</v>
          </cell>
          <cell r="Q223">
            <v>78.554383369999996</v>
          </cell>
          <cell r="R223">
            <v>81.183925840000001</v>
          </cell>
          <cell r="S223">
            <v>83.660332370000006</v>
          </cell>
          <cell r="T223">
            <v>86.122581969999999</v>
          </cell>
          <cell r="U223">
            <v>88.66230041</v>
          </cell>
          <cell r="V223">
            <v>91.280768850000001</v>
          </cell>
          <cell r="W223">
            <v>94.144106870000002</v>
          </cell>
          <cell r="X223">
            <v>97.301439369999997</v>
          </cell>
          <cell r="Y223">
            <v>100.8030313</v>
          </cell>
          <cell r="Z223">
            <v>104.686862</v>
          </cell>
          <cell r="AA223">
            <v>109.051258</v>
          </cell>
          <cell r="AB223">
            <v>113.9738976</v>
          </cell>
          <cell r="AC223">
            <v>119.527511</v>
          </cell>
          <cell r="AD223">
            <v>125.7840592</v>
          </cell>
          <cell r="AE223">
            <v>132.75886180000001</v>
          </cell>
          <cell r="AF223">
            <v>140.69581199999999</v>
          </cell>
          <cell r="AG223">
            <v>149.72260869999999</v>
          </cell>
          <cell r="AH223">
            <v>159.99599570000001</v>
          </cell>
          <cell r="AI223">
            <v>171.65986889999999</v>
          </cell>
          <cell r="AJ223">
            <v>184.87408199999999</v>
          </cell>
          <cell r="AK223">
            <v>199.8636649</v>
          </cell>
          <cell r="AL223">
            <v>216.93734979999999</v>
          </cell>
          <cell r="AM223">
            <v>236.48020650000001</v>
          </cell>
          <cell r="AN223">
            <v>258.99063319999999</v>
          </cell>
          <cell r="AO223">
            <v>285.13113980000003</v>
          </cell>
        </row>
        <row r="233">
          <cell r="E233" t="str">
            <v>YG_toe_chea_2</v>
          </cell>
          <cell r="F233">
            <v>5.7001631780000004</v>
          </cell>
          <cell r="G233">
            <v>5.7679417309999996</v>
          </cell>
          <cell r="H233">
            <v>5.8367970070000004</v>
          </cell>
          <cell r="I233">
            <v>5.9011155310000003</v>
          </cell>
          <cell r="J233">
            <v>5.9656033710000003</v>
          </cell>
          <cell r="K233">
            <v>6.0373194139999997</v>
          </cell>
          <cell r="L233">
            <v>6.1037246490000001</v>
          </cell>
          <cell r="M233">
            <v>6.131113719</v>
          </cell>
          <cell r="N233">
            <v>6.1200588610000004</v>
          </cell>
          <cell r="O233">
            <v>6.1063854080000004</v>
          </cell>
          <cell r="P233">
            <v>6.0957321789999996</v>
          </cell>
          <cell r="Q233">
            <v>6.0776464619999997</v>
          </cell>
          <cell r="R233">
            <v>6.0634434229999998</v>
          </cell>
          <cell r="S233">
            <v>6.0556961989999998</v>
          </cell>
          <cell r="T233">
            <v>6.0549369530000003</v>
          </cell>
          <cell r="U233">
            <v>6.0604835880000003</v>
          </cell>
          <cell r="V233">
            <v>6.0744019610000004</v>
          </cell>
          <cell r="W233">
            <v>6.0940578949999997</v>
          </cell>
          <cell r="X233">
            <v>6.119410383</v>
          </cell>
          <cell r="Y233">
            <v>6.151236506</v>
          </cell>
          <cell r="Z233">
            <v>6.1861754610000004</v>
          </cell>
          <cell r="AA233">
            <v>6.2324889079999997</v>
          </cell>
          <cell r="AB233">
            <v>6.2899186269999996</v>
          </cell>
          <cell r="AC233">
            <v>6.3586991060000004</v>
          </cell>
          <cell r="AD233">
            <v>6.4391183109999997</v>
          </cell>
          <cell r="AE233">
            <v>6.5192095879999998</v>
          </cell>
          <cell r="AF233">
            <v>6.6138585399999998</v>
          </cell>
          <cell r="AG233">
            <v>6.7236403859999996</v>
          </cell>
          <cell r="AH233">
            <v>6.848873126</v>
          </cell>
          <cell r="AI233">
            <v>6.9890906130000001</v>
          </cell>
          <cell r="AJ233">
            <v>7.1435944960000004</v>
          </cell>
          <cell r="AK233">
            <v>7.3120838749999999</v>
          </cell>
          <cell r="AL233">
            <v>7.4943151739999996</v>
          </cell>
          <cell r="AM233">
            <v>7.6905386299999998</v>
          </cell>
          <cell r="AN233">
            <v>7.9014584220000001</v>
          </cell>
          <cell r="AO233">
            <v>8.1283594840000006</v>
          </cell>
        </row>
        <row r="235">
          <cell r="E235" t="str">
            <v>YG_toe_cbio_2</v>
          </cell>
          <cell r="F235">
            <v>11.164134839999999</v>
          </cell>
          <cell r="G235">
            <v>11.163816779999999</v>
          </cell>
          <cell r="H235">
            <v>11.160223719999999</v>
          </cell>
          <cell r="I235">
            <v>11.148305519999999</v>
          </cell>
          <cell r="J235">
            <v>11.17040366</v>
          </cell>
          <cell r="K235">
            <v>11.21194141</v>
          </cell>
          <cell r="L235">
            <v>11.265000909999999</v>
          </cell>
          <cell r="M235">
            <v>11.21203523</v>
          </cell>
          <cell r="N235">
            <v>11.180043810000001</v>
          </cell>
          <cell r="O235">
            <v>11.193610189999999</v>
          </cell>
          <cell r="P235">
            <v>11.230171070000001</v>
          </cell>
          <cell r="Q235">
            <v>11.27911911</v>
          </cell>
          <cell r="R235">
            <v>11.3254854</v>
          </cell>
          <cell r="S235">
            <v>11.36797973</v>
          </cell>
          <cell r="T235">
            <v>11.41097542</v>
          </cell>
          <cell r="U235">
            <v>11.45819283</v>
          </cell>
          <cell r="V235">
            <v>11.49256641</v>
          </cell>
          <cell r="W235">
            <v>11.53338091</v>
          </cell>
          <cell r="X235">
            <v>11.58761679</v>
          </cell>
          <cell r="Y235">
            <v>11.65940954</v>
          </cell>
          <cell r="Z235">
            <v>11.74796293</v>
          </cell>
          <cell r="AA235">
            <v>11.862237110000001</v>
          </cell>
          <cell r="AB235">
            <v>12.004542600000001</v>
          </cell>
          <cell r="AC235">
            <v>12.176936019999999</v>
          </cell>
          <cell r="AD235">
            <v>12.3813282</v>
          </cell>
          <cell r="AE235">
            <v>12.60875714</v>
          </cell>
          <cell r="AF235">
            <v>12.87760956</v>
          </cell>
          <cell r="AG235">
            <v>13.19075512</v>
          </cell>
          <cell r="AH235">
            <v>13.552357499999999</v>
          </cell>
          <cell r="AI235">
            <v>13.96518202</v>
          </cell>
          <cell r="AJ235">
            <v>14.431895689999999</v>
          </cell>
          <cell r="AK235">
            <v>14.95705471</v>
          </cell>
          <cell r="AL235">
            <v>15.547619040000001</v>
          </cell>
          <cell r="AM235">
            <v>16.212732219999999</v>
          </cell>
          <cell r="AN235">
            <v>16.964522630000001</v>
          </cell>
          <cell r="AO235">
            <v>17.819034689999999</v>
          </cell>
        </row>
        <row r="238">
          <cell r="E238" t="str">
            <v>YG_toe_cote_2</v>
          </cell>
          <cell r="F238">
            <v>13.83758336</v>
          </cell>
          <cell r="G238">
            <v>14.17040152</v>
          </cell>
          <cell r="H238">
            <v>14.52515565</v>
          </cell>
          <cell r="I238">
            <v>14.89245429</v>
          </cell>
          <cell r="J238">
            <v>15.285893740000001</v>
          </cell>
          <cell r="K238">
            <v>15.70703747</v>
          </cell>
          <cell r="L238">
            <v>16.151359639999999</v>
          </cell>
          <cell r="M238">
            <v>16.487888040000001</v>
          </cell>
          <cell r="N238">
            <v>16.812339170000001</v>
          </cell>
          <cell r="O238">
            <v>17.301907409999998</v>
          </cell>
          <cell r="P238">
            <v>17.763985210000001</v>
          </cell>
          <cell r="Q238">
            <v>18.09569217</v>
          </cell>
          <cell r="R238">
            <v>18.33416544</v>
          </cell>
          <cell r="S238">
            <v>18.52054227</v>
          </cell>
          <cell r="T238">
            <v>18.696925289999999</v>
          </cell>
          <cell r="U238">
            <v>18.88396564</v>
          </cell>
          <cell r="V238">
            <v>19.01106489</v>
          </cell>
          <cell r="W238">
            <v>19.159613440000001</v>
          </cell>
          <cell r="X238">
            <v>19.339218689999999</v>
          </cell>
          <cell r="Y238">
            <v>19.553887100000001</v>
          </cell>
          <cell r="Z238">
            <v>19.80545721</v>
          </cell>
          <cell r="AA238">
            <v>20.099122999999999</v>
          </cell>
          <cell r="AB238">
            <v>20.43967228</v>
          </cell>
          <cell r="AC238">
            <v>20.828937079999999</v>
          </cell>
          <cell r="AD238">
            <v>21.265291879999999</v>
          </cell>
          <cell r="AE238">
            <v>21.743641019999998</v>
          </cell>
          <cell r="AF238">
            <v>22.29847483</v>
          </cell>
          <cell r="AG238">
            <v>22.911544110000001</v>
          </cell>
          <cell r="AH238">
            <v>23.58407691</v>
          </cell>
          <cell r="AI238">
            <v>24.307493900000001</v>
          </cell>
          <cell r="AJ238">
            <v>25.070254139999999</v>
          </cell>
          <cell r="AK238">
            <v>25.864960629999999</v>
          </cell>
          <cell r="AL238">
            <v>26.688250780000001</v>
          </cell>
          <cell r="AM238">
            <v>27.537455770000001</v>
          </cell>
          <cell r="AN238">
            <v>28.410426919999999</v>
          </cell>
          <cell r="AO238">
            <v>29.305719679999999</v>
          </cell>
        </row>
        <row r="241">
          <cell r="E241" t="str">
            <v>YG_toe_0</v>
          </cell>
          <cell r="F241">
            <v>148.56082459999999</v>
          </cell>
          <cell r="G241">
            <v>150.1898084</v>
          </cell>
          <cell r="H241">
            <v>151.8284664</v>
          </cell>
          <cell r="I241">
            <v>153.58143290000001</v>
          </cell>
          <cell r="J241">
            <v>155.53078310000001</v>
          </cell>
          <cell r="K241">
            <v>157.7021756</v>
          </cell>
          <cell r="L241">
            <v>160.01794599999999</v>
          </cell>
          <cell r="M241">
            <v>162.4314406</v>
          </cell>
          <cell r="N241">
            <v>164.90688800000001</v>
          </cell>
          <cell r="O241">
            <v>167.4254038</v>
          </cell>
          <cell r="P241">
            <v>169.91869310000001</v>
          </cell>
          <cell r="Q241">
            <v>171.9710024</v>
          </cell>
          <cell r="R241">
            <v>173.67471509999999</v>
          </cell>
          <cell r="S241">
            <v>175.11421340000001</v>
          </cell>
          <cell r="T241">
            <v>176.3870522</v>
          </cell>
          <cell r="U241">
            <v>177.58405819999999</v>
          </cell>
          <cell r="V241">
            <v>178.80612410000001</v>
          </cell>
          <cell r="W241">
            <v>180.1551375</v>
          </cell>
          <cell r="X241">
            <v>181.6966357</v>
          </cell>
          <cell r="Y241">
            <v>183.46596220000001</v>
          </cell>
          <cell r="Z241">
            <v>185.45583009999999</v>
          </cell>
          <cell r="AA241">
            <v>187.7378769</v>
          </cell>
          <cell r="AB241">
            <v>190.33091239999999</v>
          </cell>
          <cell r="AC241">
            <v>193.24671369999999</v>
          </cell>
          <cell r="AD241">
            <v>196.4836559</v>
          </cell>
          <cell r="AE241">
            <v>199.9417894</v>
          </cell>
          <cell r="AF241">
            <v>203.7215941</v>
          </cell>
          <cell r="AG241">
            <v>207.835849</v>
          </cell>
          <cell r="AH241">
            <v>212.2806731</v>
          </cell>
          <cell r="AI241">
            <v>217.00675960000001</v>
          </cell>
          <cell r="AJ241">
            <v>221.94435110000001</v>
          </cell>
          <cell r="AK241">
            <v>227.03106159999999</v>
          </cell>
          <cell r="AL241">
            <v>232.215789</v>
          </cell>
          <cell r="AM241">
            <v>237.45264470000001</v>
          </cell>
          <cell r="AN241">
            <v>242.69807030000001</v>
          </cell>
          <cell r="AO241">
            <v>247.90958699999999</v>
          </cell>
        </row>
        <row r="242">
          <cell r="E242" t="str">
            <v>YG_toe_ccoa_0</v>
          </cell>
          <cell r="F242">
            <v>2.3689359379999999</v>
          </cell>
          <cell r="G242">
            <v>2.3856616879999999</v>
          </cell>
          <cell r="H242">
            <v>2.4040601700000002</v>
          </cell>
          <cell r="I242">
            <v>2.4172020320000001</v>
          </cell>
          <cell r="J242">
            <v>2.4455840659999999</v>
          </cell>
          <cell r="K242">
            <v>2.48628991</v>
          </cell>
          <cell r="L242">
            <v>2.5317243440000001</v>
          </cell>
          <cell r="M242">
            <v>2.5773255449999999</v>
          </cell>
          <cell r="N242">
            <v>2.6225384260000002</v>
          </cell>
          <cell r="O242">
            <v>2.667522258</v>
          </cell>
          <cell r="P242">
            <v>2.7100665500000001</v>
          </cell>
          <cell r="Q242">
            <v>2.741819853</v>
          </cell>
          <cell r="R242">
            <v>2.7655426620000001</v>
          </cell>
          <cell r="S242">
            <v>2.784184389</v>
          </cell>
          <cell r="T242">
            <v>2.8004805359999998</v>
          </cell>
          <cell r="U242">
            <v>2.816544816</v>
          </cell>
          <cell r="V242">
            <v>2.8380549099999999</v>
          </cell>
          <cell r="W242">
            <v>2.866965553</v>
          </cell>
          <cell r="X242">
            <v>2.9037798760000002</v>
          </cell>
          <cell r="Y242">
            <v>2.9481490199999998</v>
          </cell>
          <cell r="Z242">
            <v>2.9994958490000001</v>
          </cell>
          <cell r="AA242">
            <v>3.0575657020000002</v>
          </cell>
          <cell r="AB242">
            <v>3.1223972199999999</v>
          </cell>
          <cell r="AC242">
            <v>3.193929985</v>
          </cell>
          <cell r="AD242">
            <v>3.2718072330000001</v>
          </cell>
          <cell r="AE242">
            <v>3.3553463680000002</v>
          </cell>
          <cell r="AF242">
            <v>3.4447183099999998</v>
          </cell>
          <cell r="AG242">
            <v>3.5404017969999999</v>
          </cell>
          <cell r="AH242">
            <v>3.642475213</v>
          </cell>
          <cell r="AI242">
            <v>3.7499665370000002</v>
          </cell>
          <cell r="AJ242">
            <v>3.8614400679999998</v>
          </cell>
          <cell r="AK242">
            <v>3.9757149260000002</v>
          </cell>
          <cell r="AL242">
            <v>4.0919671600000003</v>
          </cell>
          <cell r="AM242">
            <v>4.2095060719999999</v>
          </cell>
          <cell r="AN242">
            <v>4.327656309</v>
          </cell>
          <cell r="AO242">
            <v>4.4457042610000004</v>
          </cell>
        </row>
        <row r="245">
          <cell r="E245" t="str">
            <v>YG_toe_ccoi_0</v>
          </cell>
          <cell r="F245">
            <v>1.0946754030000001</v>
          </cell>
          <cell r="G245">
            <v>1.104967501</v>
          </cell>
          <cell r="H245">
            <v>1.1153675999999999</v>
          </cell>
          <cell r="I245">
            <v>1.126722934</v>
          </cell>
          <cell r="J245">
            <v>1.140837281</v>
          </cell>
          <cell r="K245">
            <v>1.1577281820000001</v>
          </cell>
          <cell r="L245">
            <v>1.1761717279999999</v>
          </cell>
          <cell r="M245">
            <v>1.1953181879999999</v>
          </cell>
          <cell r="N245">
            <v>1.2148063579999999</v>
          </cell>
          <cell r="O245">
            <v>1.2345278930000001</v>
          </cell>
          <cell r="P245">
            <v>1.253903526</v>
          </cell>
          <cell r="Q245">
            <v>1.2703247040000001</v>
          </cell>
          <cell r="R245">
            <v>1.2841803089999999</v>
          </cell>
          <cell r="S245">
            <v>1.296123022</v>
          </cell>
          <cell r="T245">
            <v>1.306844516</v>
          </cell>
          <cell r="U245">
            <v>1.3169499469999999</v>
          </cell>
          <cell r="V245">
            <v>1.32750173</v>
          </cell>
          <cell r="W245">
            <v>1.3392702869999999</v>
          </cell>
          <cell r="X245">
            <v>1.352638096</v>
          </cell>
          <cell r="Y245">
            <v>1.3677238469999999</v>
          </cell>
          <cell r="Z245">
            <v>1.384453795</v>
          </cell>
          <cell r="AA245">
            <v>1.403028691</v>
          </cell>
          <cell r="AB245">
            <v>1.4235741989999999</v>
          </cell>
          <cell r="AC245">
            <v>1.446166544</v>
          </cell>
          <cell r="AD245">
            <v>1.4707862220000001</v>
          </cell>
          <cell r="AE245">
            <v>1.49705212</v>
          </cell>
          <cell r="AF245">
            <v>1.5252858979999999</v>
          </cell>
          <cell r="AG245">
            <v>1.5556894670000001</v>
          </cell>
          <cell r="AH245">
            <v>1.5883232920000001</v>
          </cell>
          <cell r="AI245">
            <v>1.622933156</v>
          </cell>
          <cell r="AJ245">
            <v>1.6590918880000001</v>
          </cell>
          <cell r="AK245">
            <v>1.696405116</v>
          </cell>
          <cell r="AL245">
            <v>1.7345544020000001</v>
          </cell>
          <cell r="AM245">
            <v>1.773249002</v>
          </cell>
          <cell r="AN245">
            <v>1.812199758</v>
          </cell>
          <cell r="AO245">
            <v>1.85110712</v>
          </cell>
        </row>
        <row r="248">
          <cell r="E248" t="str">
            <v>YG_toe_cfut_0</v>
          </cell>
          <cell r="F248">
            <v>42.28829657</v>
          </cell>
          <cell r="G248">
            <v>42.548091909999997</v>
          </cell>
          <cell r="H248">
            <v>42.808939240000001</v>
          </cell>
          <cell r="I248">
            <v>43.122912419999999</v>
          </cell>
          <cell r="J248">
            <v>43.561391290000003</v>
          </cell>
          <cell r="K248">
            <v>44.11233902</v>
          </cell>
          <cell r="L248">
            <v>44.735325660000001</v>
          </cell>
          <cell r="M248">
            <v>45.392704019999996</v>
          </cell>
          <cell r="N248">
            <v>46.06702688</v>
          </cell>
          <cell r="O248">
            <v>46.75055708</v>
          </cell>
          <cell r="P248">
            <v>47.430890179999999</v>
          </cell>
          <cell r="Q248">
            <v>48.039423489999997</v>
          </cell>
          <cell r="R248">
            <v>48.581746969999998</v>
          </cell>
          <cell r="S248">
            <v>49.067792310000002</v>
          </cell>
          <cell r="T248">
            <v>49.510823670000001</v>
          </cell>
          <cell r="U248">
            <v>49.924509209999997</v>
          </cell>
          <cell r="V248">
            <v>50.336711430000001</v>
          </cell>
          <cell r="W248">
            <v>50.772800189999998</v>
          </cell>
          <cell r="X248">
            <v>51.246274560000003</v>
          </cell>
          <cell r="Y248">
            <v>51.762556660000001</v>
          </cell>
          <cell r="Z248">
            <v>52.318796820000003</v>
          </cell>
          <cell r="AA248">
            <v>52.924887329999997</v>
          </cell>
          <cell r="AB248">
            <v>53.584533880000002</v>
          </cell>
          <cell r="AC248">
            <v>54.300933739999998</v>
          </cell>
          <cell r="AD248">
            <v>55.075193489999997</v>
          </cell>
          <cell r="AE248">
            <v>55.891547410000001</v>
          </cell>
          <cell r="AF248">
            <v>56.765385549999998</v>
          </cell>
          <cell r="AG248">
            <v>57.701189820000003</v>
          </cell>
          <cell r="AH248">
            <v>58.701020370000002</v>
          </cell>
          <cell r="AI248">
            <v>59.759628319999997</v>
          </cell>
          <cell r="AJ248">
            <v>60.867215819999998</v>
          </cell>
          <cell r="AK248">
            <v>62.013612109999997</v>
          </cell>
          <cell r="AL248">
            <v>63.18936866</v>
          </cell>
          <cell r="AM248">
            <v>64.384961390000001</v>
          </cell>
          <cell r="AN248">
            <v>65.590488300000004</v>
          </cell>
          <cell r="AO248">
            <v>66.795637490000004</v>
          </cell>
        </row>
        <row r="251">
          <cell r="E251" t="str">
            <v>YG_toe_cfuh_0</v>
          </cell>
          <cell r="F251">
            <v>7.921345187</v>
          </cell>
          <cell r="G251">
            <v>7.9775045110000002</v>
          </cell>
          <cell r="H251">
            <v>8.0319449420000009</v>
          </cell>
          <cell r="I251">
            <v>8.0832804580000008</v>
          </cell>
          <cell r="J251">
            <v>8.1532327749999993</v>
          </cell>
          <cell r="K251">
            <v>8.2385141480000001</v>
          </cell>
          <cell r="L251">
            <v>8.3257630030000005</v>
          </cell>
          <cell r="M251">
            <v>8.4099257769999998</v>
          </cell>
          <cell r="N251">
            <v>8.4918357170000007</v>
          </cell>
          <cell r="O251">
            <v>8.5730144490000004</v>
          </cell>
          <cell r="P251">
            <v>8.6539070890000005</v>
          </cell>
          <cell r="Q251">
            <v>8.7171255940000005</v>
          </cell>
          <cell r="R251">
            <v>8.7657064810000005</v>
          </cell>
          <cell r="S251">
            <v>8.8029298810000007</v>
          </cell>
          <cell r="T251">
            <v>8.8324490339999997</v>
          </cell>
          <cell r="U251">
            <v>8.857761086</v>
          </cell>
          <cell r="V251">
            <v>8.8899255499999992</v>
          </cell>
          <cell r="W251">
            <v>8.9333495200000002</v>
          </cell>
          <cell r="X251">
            <v>8.9886310829999996</v>
          </cell>
          <cell r="Y251">
            <v>9.0557453189999997</v>
          </cell>
          <cell r="Z251">
            <v>9.1325272569999996</v>
          </cell>
          <cell r="AA251">
            <v>9.2226495899999996</v>
          </cell>
          <cell r="AB251">
            <v>9.3260809570000003</v>
          </cell>
          <cell r="AC251">
            <v>9.4431601660000002</v>
          </cell>
          <cell r="AD251">
            <v>9.5739143710000008</v>
          </cell>
          <cell r="AE251">
            <v>9.7119992330000002</v>
          </cell>
          <cell r="AF251">
            <v>9.8643191199999993</v>
          </cell>
          <cell r="AG251">
            <v>10.031456929999999</v>
          </cell>
          <cell r="AH251">
            <v>10.21361628</v>
          </cell>
          <cell r="AI251">
            <v>10.40936567</v>
          </cell>
          <cell r="AJ251">
            <v>10.616263249999999</v>
          </cell>
          <cell r="AK251">
            <v>10.83188039</v>
          </cell>
          <cell r="AL251">
            <v>11.05395964</v>
          </cell>
          <cell r="AM251">
            <v>11.280339100000001</v>
          </cell>
          <cell r="AN251">
            <v>11.508945649999999</v>
          </cell>
          <cell r="AO251">
            <v>11.737714950000001</v>
          </cell>
        </row>
        <row r="253">
          <cell r="E253" t="str">
            <v>YG_toe_cgas_0</v>
          </cell>
          <cell r="F253">
            <v>6.6386576220000002</v>
          </cell>
          <cell r="G253">
            <v>6.5180410479999997</v>
          </cell>
          <cell r="H253">
            <v>6.4064538840000003</v>
          </cell>
          <cell r="I253">
            <v>6.2911205460000001</v>
          </cell>
          <cell r="J253">
            <v>6.2126107929999996</v>
          </cell>
          <cell r="K253">
            <v>6.1383596039999997</v>
          </cell>
          <cell r="L253">
            <v>6.0425084839999998</v>
          </cell>
          <cell r="M253">
            <v>5.946107939</v>
          </cell>
          <cell r="N253">
            <v>5.8600928010000004</v>
          </cell>
          <cell r="O253">
            <v>5.7862029140000004</v>
          </cell>
          <cell r="P253">
            <v>5.7319628519999997</v>
          </cell>
          <cell r="Q253">
            <v>5.7153026550000003</v>
          </cell>
          <cell r="R253">
            <v>5.7279351949999997</v>
          </cell>
          <cell r="S253">
            <v>5.7618031590000003</v>
          </cell>
          <cell r="T253">
            <v>5.8087279939999998</v>
          </cell>
          <cell r="U253">
            <v>5.8617398449999998</v>
          </cell>
          <cell r="V253">
            <v>5.919954036</v>
          </cell>
          <cell r="W253">
            <v>5.9664817450000003</v>
          </cell>
          <cell r="X253">
            <v>5.9947721070000002</v>
          </cell>
          <cell r="Y253">
            <v>6.0029248229999999</v>
          </cell>
          <cell r="Z253">
            <v>5.9896525540000001</v>
          </cell>
          <cell r="AA253">
            <v>5.9567835760000003</v>
          </cell>
          <cell r="AB253">
            <v>5.9039763580000004</v>
          </cell>
          <cell r="AC253">
            <v>5.8313465869999996</v>
          </cell>
          <cell r="AD253">
            <v>5.739818026</v>
          </cell>
          <cell r="AE253">
            <v>5.6281016370000003</v>
          </cell>
          <cell r="AF253">
            <v>5.4991564669999997</v>
          </cell>
          <cell r="AG253">
            <v>5.3524869879999999</v>
          </cell>
          <cell r="AH253">
            <v>5.1882969110000001</v>
          </cell>
          <cell r="AI253">
            <v>5.0095281600000003</v>
          </cell>
          <cell r="AJ253">
            <v>4.8203006740000003</v>
          </cell>
          <cell r="AK253">
            <v>4.6241922750000004</v>
          </cell>
          <cell r="AL253">
            <v>4.423543832</v>
          </cell>
          <cell r="AM253">
            <v>4.2206626759999999</v>
          </cell>
          <cell r="AN253">
            <v>4.0179607800000001</v>
          </cell>
          <cell r="AO253">
            <v>3.8179460230000002</v>
          </cell>
        </row>
        <row r="259">
          <cell r="E259" t="str">
            <v>YG_toe_cele_0</v>
          </cell>
          <cell r="F259">
            <v>57.547032530000003</v>
          </cell>
          <cell r="G259">
            <v>58.553381680000001</v>
          </cell>
          <cell r="H259">
            <v>59.539524190000002</v>
          </cell>
          <cell r="I259">
            <v>60.598319150000002</v>
          </cell>
          <cell r="J259">
            <v>61.595226150000002</v>
          </cell>
          <cell r="K259">
            <v>62.612646439999999</v>
          </cell>
          <cell r="L259">
            <v>63.686367539999999</v>
          </cell>
          <cell r="M259">
            <v>64.813352710000004</v>
          </cell>
          <cell r="N259">
            <v>65.969727129999995</v>
          </cell>
          <cell r="O259">
            <v>67.141876389999993</v>
          </cell>
          <cell r="P259">
            <v>68.285467080000004</v>
          </cell>
          <cell r="Q259">
            <v>69.186753179999997</v>
          </cell>
          <cell r="R259">
            <v>69.894810430000007</v>
          </cell>
          <cell r="S259">
            <v>70.455501490000003</v>
          </cell>
          <cell r="T259">
            <v>70.924733119999999</v>
          </cell>
          <cell r="U259">
            <v>71.355975529999995</v>
          </cell>
          <cell r="V259">
            <v>71.777281340000002</v>
          </cell>
          <cell r="W259">
            <v>72.24813374</v>
          </cell>
          <cell r="X259">
            <v>72.811924300000001</v>
          </cell>
          <cell r="Y259">
            <v>73.496231660000007</v>
          </cell>
          <cell r="Z259">
            <v>74.307397010000003</v>
          </cell>
          <cell r="AA259">
            <v>75.282823669999999</v>
          </cell>
          <cell r="AB259">
            <v>76.434805510000004</v>
          </cell>
          <cell r="AC259">
            <v>77.770303470000002</v>
          </cell>
          <cell r="AD259">
            <v>79.288764749999999</v>
          </cell>
          <cell r="AE259">
            <v>80.945400699999993</v>
          </cell>
          <cell r="AF259">
            <v>82.783090810000004</v>
          </cell>
          <cell r="AG259">
            <v>84.804636610000003</v>
          </cell>
          <cell r="AH259">
            <v>87.004240420000002</v>
          </cell>
          <cell r="AI259">
            <v>89.351215780000004</v>
          </cell>
          <cell r="AJ259">
            <v>91.804375690000001</v>
          </cell>
          <cell r="AK259">
            <v>94.327012749999994</v>
          </cell>
          <cell r="AL259">
            <v>96.889530980000004</v>
          </cell>
          <cell r="AM259">
            <v>99.465926629999998</v>
          </cell>
          <cell r="AN259">
            <v>102.0323272</v>
          </cell>
          <cell r="AO259">
            <v>104.56640729999999</v>
          </cell>
        </row>
        <row r="269">
          <cell r="E269" t="str">
            <v>YG_toe_chea_0</v>
          </cell>
          <cell r="F269">
            <v>5.7001631799999997</v>
          </cell>
          <cell r="G269">
            <v>5.7679417390000003</v>
          </cell>
          <cell r="H269">
            <v>5.8367970209999998</v>
          </cell>
          <cell r="I269">
            <v>5.9011155530000003</v>
          </cell>
          <cell r="J269">
            <v>5.9656033989999999</v>
          </cell>
          <cell r="K269">
            <v>6.0373194459999997</v>
          </cell>
          <cell r="L269">
            <v>6.1037246830000003</v>
          </cell>
          <cell r="M269">
            <v>6.1653903789999998</v>
          </cell>
          <cell r="N269">
            <v>6.223335208</v>
          </cell>
          <cell r="O269">
            <v>6.2789720190000002</v>
          </cell>
          <cell r="P269">
            <v>6.337726236</v>
          </cell>
          <cell r="Q269">
            <v>6.3805132880000004</v>
          </cell>
          <cell r="R269">
            <v>6.4118230369999996</v>
          </cell>
          <cell r="S269">
            <v>6.4351197249999998</v>
          </cell>
          <cell r="T269">
            <v>6.4536036220000002</v>
          </cell>
          <cell r="U269">
            <v>6.4699958860000004</v>
          </cell>
          <cell r="V269">
            <v>6.4942563550000001</v>
          </cell>
          <cell r="W269">
            <v>6.5284232790000001</v>
          </cell>
          <cell r="X269">
            <v>6.5721650199999999</v>
          </cell>
          <cell r="Y269">
            <v>6.624474921</v>
          </cell>
          <cell r="Z269">
            <v>6.6805022730000001</v>
          </cell>
          <cell r="AA269">
            <v>6.7475951270000003</v>
          </cell>
          <cell r="AB269">
            <v>6.824704047</v>
          </cell>
          <cell r="AC269">
            <v>6.911440689</v>
          </cell>
          <cell r="AD269">
            <v>7.007483015</v>
          </cell>
          <cell r="AE269">
            <v>7.100122056</v>
          </cell>
          <cell r="AF269">
            <v>7.2035634010000003</v>
          </cell>
          <cell r="AG269">
            <v>7.3173685519999996</v>
          </cell>
          <cell r="AH269">
            <v>7.4411408449999996</v>
          </cell>
          <cell r="AI269">
            <v>7.5734335169999998</v>
          </cell>
          <cell r="AJ269">
            <v>7.7122621389999999</v>
          </cell>
          <cell r="AK269">
            <v>7.8557683239999996</v>
          </cell>
          <cell r="AL269">
            <v>8.0023681040000003</v>
          </cell>
          <cell r="AM269">
            <v>8.1506011689999998</v>
          </cell>
          <cell r="AN269">
            <v>8.299061816</v>
          </cell>
          <cell r="AO269">
            <v>8.4463785500000004</v>
          </cell>
        </row>
        <row r="271">
          <cell r="E271" t="str">
            <v>YG_toe_cbio_0</v>
          </cell>
          <cell r="F271">
            <v>11.164134839999999</v>
          </cell>
          <cell r="G271">
            <v>11.163816779999999</v>
          </cell>
          <cell r="H271">
            <v>11.160223719999999</v>
          </cell>
          <cell r="I271">
            <v>11.148305519999999</v>
          </cell>
          <cell r="J271">
            <v>11.17040366</v>
          </cell>
          <cell r="K271">
            <v>11.21194141</v>
          </cell>
          <cell r="L271">
            <v>11.265000909999999</v>
          </cell>
          <cell r="M271">
            <v>11.324230419999999</v>
          </cell>
          <cell r="N271">
            <v>11.387717609999999</v>
          </cell>
          <cell r="O271">
            <v>11.45385684</v>
          </cell>
          <cell r="P271">
            <v>11.52350414</v>
          </cell>
          <cell r="Q271">
            <v>11.57277811</v>
          </cell>
          <cell r="R271">
            <v>11.605503300000001</v>
          </cell>
          <cell r="S271">
            <v>11.62574981</v>
          </cell>
          <cell r="T271">
            <v>11.6381935</v>
          </cell>
          <cell r="U271">
            <v>11.64727501</v>
          </cell>
          <cell r="V271">
            <v>11.65437959</v>
          </cell>
          <cell r="W271">
            <v>11.66528024</v>
          </cell>
          <cell r="X271">
            <v>11.683795030000001</v>
          </cell>
          <cell r="Y271">
            <v>11.712223079999999</v>
          </cell>
          <cell r="Z271">
            <v>11.74827509</v>
          </cell>
          <cell r="AA271">
            <v>11.799639170000001</v>
          </cell>
          <cell r="AB271">
            <v>11.866748919999999</v>
          </cell>
          <cell r="AC271">
            <v>11.949831720000001</v>
          </cell>
          <cell r="AD271">
            <v>12.04864514</v>
          </cell>
          <cell r="AE271">
            <v>12.151457479999999</v>
          </cell>
          <cell r="AF271">
            <v>12.270268590000001</v>
          </cell>
          <cell r="AG271">
            <v>12.40543851</v>
          </cell>
          <cell r="AH271">
            <v>12.55641428</v>
          </cell>
          <cell r="AI271">
            <v>12.72076968</v>
          </cell>
          <cell r="AJ271">
            <v>12.89520196</v>
          </cell>
          <cell r="AK271">
            <v>13.076674909999999</v>
          </cell>
          <cell r="AL271">
            <v>13.26260184</v>
          </cell>
          <cell r="AM271">
            <v>13.450738490000001</v>
          </cell>
          <cell r="AN271">
            <v>13.63902541</v>
          </cell>
          <cell r="AO271">
            <v>13.825518410000001</v>
          </cell>
        </row>
        <row r="274">
          <cell r="E274" t="str">
            <v>YG_toe_cote_0</v>
          </cell>
          <cell r="F274">
            <v>13.83758336</v>
          </cell>
          <cell r="G274">
            <v>14.17040151</v>
          </cell>
          <cell r="H274">
            <v>14.525155639999999</v>
          </cell>
          <cell r="I274">
            <v>14.89245429</v>
          </cell>
          <cell r="J274">
            <v>15.28589373</v>
          </cell>
          <cell r="K274">
            <v>15.70703746</v>
          </cell>
          <cell r="L274">
            <v>16.151359630000002</v>
          </cell>
          <cell r="M274">
            <v>16.60708558</v>
          </cell>
          <cell r="N274">
            <v>17.069807870000002</v>
          </cell>
          <cell r="O274">
            <v>17.53887391</v>
          </cell>
          <cell r="P274">
            <v>17.99126541</v>
          </cell>
          <cell r="Q274">
            <v>18.346961520000001</v>
          </cell>
          <cell r="R274">
            <v>18.637466669999998</v>
          </cell>
          <cell r="S274">
            <v>18.885009620000002</v>
          </cell>
          <cell r="T274">
            <v>19.111196199999998</v>
          </cell>
          <cell r="U274">
            <v>19.333306910000001</v>
          </cell>
          <cell r="V274">
            <v>19.568059120000001</v>
          </cell>
          <cell r="W274">
            <v>19.834432899999999</v>
          </cell>
          <cell r="X274">
            <v>20.14265567</v>
          </cell>
          <cell r="Y274">
            <v>20.495932880000002</v>
          </cell>
          <cell r="Z274">
            <v>20.894729430000002</v>
          </cell>
          <cell r="AA274">
            <v>21.342904000000001</v>
          </cell>
          <cell r="AB274">
            <v>21.844091280000001</v>
          </cell>
          <cell r="AC274">
            <v>22.399600800000002</v>
          </cell>
          <cell r="AD274">
            <v>23.007243689999999</v>
          </cell>
          <cell r="AE274">
            <v>23.660762429999998</v>
          </cell>
          <cell r="AF274">
            <v>24.36580597</v>
          </cell>
          <cell r="AG274">
            <v>25.127180370000001</v>
          </cell>
          <cell r="AH274">
            <v>25.945145530000001</v>
          </cell>
          <cell r="AI274">
            <v>26.809918769999999</v>
          </cell>
          <cell r="AJ274">
            <v>27.708199629999999</v>
          </cell>
          <cell r="AK274">
            <v>28.62980078</v>
          </cell>
          <cell r="AL274">
            <v>29.56789436</v>
          </cell>
          <cell r="AM274">
            <v>30.516660170000002</v>
          </cell>
          <cell r="AN274">
            <v>31.470405060000001</v>
          </cell>
          <cell r="AO274">
            <v>32.423172909999998</v>
          </cell>
        </row>
        <row r="281">
          <cell r="F281">
            <v>161.694278</v>
          </cell>
          <cell r="G281">
            <v>162.55302470000001</v>
          </cell>
          <cell r="H281">
            <v>163.46206340000001</v>
          </cell>
          <cell r="I281">
            <v>164.3846781</v>
          </cell>
          <cell r="J281">
            <v>165.9038563</v>
          </cell>
          <cell r="K281">
            <v>167.9177215</v>
          </cell>
          <cell r="L281">
            <v>169.9607244</v>
          </cell>
          <cell r="M281">
            <v>169.92943260000001</v>
          </cell>
          <cell r="N281">
            <v>169.64017519999999</v>
          </cell>
          <cell r="O281">
            <v>169.93346070000001</v>
          </cell>
          <cell r="P281">
            <v>170.4318873</v>
          </cell>
          <cell r="Q281">
            <v>170.8730645</v>
          </cell>
          <cell r="R281">
            <v>171.2020086</v>
          </cell>
          <cell r="S281">
            <v>171.44876110000001</v>
          </cell>
          <cell r="T281">
            <v>171.6928442</v>
          </cell>
          <cell r="U281">
            <v>171.98507889999999</v>
          </cell>
          <cell r="V281">
            <v>172.37530810000001</v>
          </cell>
          <cell r="W281">
            <v>172.90539770000001</v>
          </cell>
          <cell r="X281">
            <v>173.6280745</v>
          </cell>
          <cell r="Y281">
            <v>174.58347449999999</v>
          </cell>
          <cell r="Z281">
            <v>175.7678373</v>
          </cell>
          <cell r="AA281">
            <v>177.27756410000001</v>
          </cell>
          <cell r="AB281">
            <v>179.13878700000001</v>
          </cell>
          <cell r="AC281">
            <v>181.3720337</v>
          </cell>
          <cell r="AD281">
            <v>183.9877966</v>
          </cell>
          <cell r="AE281">
            <v>186.8815784</v>
          </cell>
          <cell r="AF281">
            <v>190.19607790000001</v>
          </cell>
          <cell r="AG281">
            <v>193.9844962</v>
          </cell>
          <cell r="AH281">
            <v>198.2730541</v>
          </cell>
          <cell r="AI281">
            <v>203.05133670000001</v>
          </cell>
          <cell r="AJ281">
            <v>208.2958051</v>
          </cell>
          <cell r="AK281">
            <v>214.00243270000001</v>
          </cell>
          <cell r="AL281">
            <v>220.19220300000001</v>
          </cell>
          <cell r="AM281">
            <v>226.9009509</v>
          </cell>
          <cell r="AN281">
            <v>234.19207850000001</v>
          </cell>
          <cell r="AO281">
            <v>242.17682679999999</v>
          </cell>
        </row>
        <row r="282">
          <cell r="E282" t="str">
            <v>CF_toe_ccoa_2</v>
          </cell>
          <cell r="F282">
            <v>5.4028818909999998</v>
          </cell>
          <cell r="G282">
            <v>5.441783043</v>
          </cell>
          <cell r="H282">
            <v>5.4869486670000001</v>
          </cell>
          <cell r="I282">
            <v>5.5158022510000002</v>
          </cell>
          <cell r="J282">
            <v>5.5837484010000002</v>
          </cell>
          <cell r="K282">
            <v>5.6823443669999998</v>
          </cell>
          <cell r="L282">
            <v>5.7932296839999999</v>
          </cell>
          <cell r="M282">
            <v>5.686380057</v>
          </cell>
          <cell r="N282">
            <v>5.5458493759999996</v>
          </cell>
          <cell r="O282">
            <v>5.4361990609999999</v>
          </cell>
          <cell r="P282">
            <v>5.3309465410000003</v>
          </cell>
          <cell r="Q282">
            <v>5.2385735149999997</v>
          </cell>
          <cell r="R282">
            <v>5.1527701390000002</v>
          </cell>
          <cell r="S282">
            <v>5.0741137419999998</v>
          </cell>
          <cell r="T282">
            <v>5.0061571340000004</v>
          </cell>
          <cell r="U282">
            <v>4.9502307869999997</v>
          </cell>
          <cell r="V282">
            <v>4.894400911</v>
          </cell>
          <cell r="W282">
            <v>4.8447267460000001</v>
          </cell>
          <cell r="X282">
            <v>4.8051952330000001</v>
          </cell>
          <cell r="Y282">
            <v>4.7776172819999996</v>
          </cell>
          <cell r="Z282">
            <v>4.7625068869999998</v>
          </cell>
          <cell r="AA282">
            <v>4.7611571049999997</v>
          </cell>
          <cell r="AB282">
            <v>4.774349247</v>
          </cell>
          <cell r="AC282">
            <v>4.8020669209999998</v>
          </cell>
          <cell r="AD282">
            <v>4.8436099339999998</v>
          </cell>
          <cell r="AE282">
            <v>4.8969337829999997</v>
          </cell>
          <cell r="AF282">
            <v>4.9627813710000002</v>
          </cell>
          <cell r="AG282">
            <v>5.0426581090000004</v>
          </cell>
          <cell r="AH282">
            <v>5.1361546259999997</v>
          </cell>
          <cell r="AI282">
            <v>5.2410655879999997</v>
          </cell>
          <cell r="AJ282">
            <v>5.3546536830000004</v>
          </cell>
          <cell r="AK282">
            <v>5.4750183090000002</v>
          </cell>
          <cell r="AL282">
            <v>5.6010559039999999</v>
          </cell>
          <cell r="AM282">
            <v>5.7316707539999996</v>
          </cell>
          <cell r="AN282">
            <v>5.8658910679999998</v>
          </cell>
          <cell r="AO282">
            <v>6.0029310999999996</v>
          </cell>
        </row>
        <row r="285">
          <cell r="E285" t="str">
            <v>CF_toe_ccoi_2</v>
          </cell>
          <cell r="F285">
            <v>8.3953620399999998E-2</v>
          </cell>
          <cell r="G285">
            <v>8.44877988E-2</v>
          </cell>
          <cell r="H285">
            <v>8.5097257100000004E-2</v>
          </cell>
          <cell r="I285">
            <v>8.5571029699999995E-2</v>
          </cell>
          <cell r="J285">
            <v>8.6610261199999997E-2</v>
          </cell>
          <cell r="K285">
            <v>8.8122838600000003E-2</v>
          </cell>
          <cell r="L285">
            <v>8.9348275000000005E-2</v>
          </cell>
          <cell r="M285">
            <v>8.7879953499999997E-2</v>
          </cell>
          <cell r="N285">
            <v>8.5908376600000003E-2</v>
          </cell>
          <cell r="O285">
            <v>8.4332604399999997E-2</v>
          </cell>
          <cell r="P285">
            <v>8.2913258700000006E-2</v>
          </cell>
          <cell r="Q285">
            <v>8.1687417799999995E-2</v>
          </cell>
          <cell r="R285">
            <v>8.0540225600000001E-2</v>
          </cell>
          <cell r="S285">
            <v>7.9449203999999995E-2</v>
          </cell>
          <cell r="T285">
            <v>7.8446233500000004E-2</v>
          </cell>
          <cell r="U285">
            <v>7.7548790800000003E-2</v>
          </cell>
          <cell r="V285">
            <v>7.6799898699999994E-2</v>
          </cell>
          <cell r="W285">
            <v>7.6202885999999997E-2</v>
          </cell>
          <cell r="X285">
            <v>7.5775488200000005E-2</v>
          </cell>
          <cell r="Y285">
            <v>7.5529262799999997E-2</v>
          </cell>
          <cell r="Z285">
            <v>7.5461664900000003E-2</v>
          </cell>
          <cell r="AA285">
            <v>7.5605768700000006E-2</v>
          </cell>
          <cell r="AB285">
            <v>7.5975281399999997E-2</v>
          </cell>
          <cell r="AC285">
            <v>7.6575071499999994E-2</v>
          </cell>
          <cell r="AD285">
            <v>7.7401033499999994E-2</v>
          </cell>
          <cell r="AE285">
            <v>7.8411876699999994E-2</v>
          </cell>
          <cell r="AF285">
            <v>7.9653906999999996E-2</v>
          </cell>
          <cell r="AG285">
            <v>8.1158287900000001E-2</v>
          </cell>
          <cell r="AH285">
            <v>8.2931389499999994E-2</v>
          </cell>
          <cell r="AI285">
            <v>8.4953353100000004E-2</v>
          </cell>
          <cell r="AJ285">
            <v>8.7195596099999995E-2</v>
          </cell>
          <cell r="AK285">
            <v>8.9643969000000004E-2</v>
          </cell>
          <cell r="AL285">
            <v>9.2300743699999993E-2</v>
          </cell>
          <cell r="AM285">
            <v>9.5173844899999999E-2</v>
          </cell>
          <cell r="AN285">
            <v>9.8285172099999998E-2</v>
          </cell>
          <cell r="AO285">
            <v>0.10168255349999999</v>
          </cell>
        </row>
        <row r="288">
          <cell r="E288" t="str">
            <v>CF_toe_cfut_2</v>
          </cell>
          <cell r="F288">
            <v>47.250386450000001</v>
          </cell>
          <cell r="G288">
            <v>47.454210539999998</v>
          </cell>
          <cell r="H288">
            <v>47.66478824</v>
          </cell>
          <cell r="I288">
            <v>47.949029369999998</v>
          </cell>
          <cell r="J288">
            <v>48.427439460000002</v>
          </cell>
          <cell r="K288">
            <v>49.079871019999999</v>
          </cell>
          <cell r="L288">
            <v>49.837486179999999</v>
          </cell>
          <cell r="M288">
            <v>50.17898615</v>
          </cell>
          <cell r="N288">
            <v>50.42220726</v>
          </cell>
          <cell r="O288">
            <v>50.779696729999998</v>
          </cell>
          <cell r="P288">
            <v>51.169671510000001</v>
          </cell>
          <cell r="Q288">
            <v>51.555174919999999</v>
          </cell>
          <cell r="R288">
            <v>51.917966319999998</v>
          </cell>
          <cell r="S288">
            <v>52.25437427</v>
          </cell>
          <cell r="T288">
            <v>52.573892720000003</v>
          </cell>
          <cell r="U288">
            <v>52.88270155</v>
          </cell>
          <cell r="V288">
            <v>53.160920160000003</v>
          </cell>
          <cell r="W288">
            <v>53.433699760000003</v>
          </cell>
          <cell r="X288">
            <v>53.724772270000003</v>
          </cell>
          <cell r="Y288">
            <v>54.051030650000001</v>
          </cell>
          <cell r="Z288">
            <v>54.418375130000001</v>
          </cell>
          <cell r="AA288">
            <v>54.849547180000002</v>
          </cell>
          <cell r="AB288">
            <v>55.357541099999999</v>
          </cell>
          <cell r="AC288">
            <v>55.952246270000003</v>
          </cell>
          <cell r="AD288">
            <v>56.63990828</v>
          </cell>
          <cell r="AE288">
            <v>57.404020930000001</v>
          </cell>
          <cell r="AF288">
            <v>58.274111929999997</v>
          </cell>
          <cell r="AG288">
            <v>59.268757899999997</v>
          </cell>
          <cell r="AH288">
            <v>60.400759440000002</v>
          </cell>
          <cell r="AI288">
            <v>61.674322869999997</v>
          </cell>
          <cell r="AJ288">
            <v>63.090260360000002</v>
          </cell>
          <cell r="AK288">
            <v>64.654584929999999</v>
          </cell>
          <cell r="AL288">
            <v>66.38103649</v>
          </cell>
          <cell r="AM288">
            <v>68.289692090000003</v>
          </cell>
          <cell r="AN288">
            <v>70.412186410000004</v>
          </cell>
          <cell r="AO288">
            <v>72.800407949999993</v>
          </cell>
        </row>
        <row r="291">
          <cell r="E291" t="str">
            <v>CF_toe_cfuh_2</v>
          </cell>
          <cell r="F291">
            <v>14.789342299999999</v>
          </cell>
          <cell r="G291">
            <v>14.865638840000001</v>
          </cell>
          <cell r="H291">
            <v>14.932997780000001</v>
          </cell>
          <cell r="I291">
            <v>14.98969632</v>
          </cell>
          <cell r="J291">
            <v>15.08647476</v>
          </cell>
          <cell r="K291">
            <v>15.21605111</v>
          </cell>
          <cell r="L291">
            <v>15.349849170000001</v>
          </cell>
          <cell r="M291">
            <v>15.284759149999999</v>
          </cell>
          <cell r="N291">
            <v>15.192406009999999</v>
          </cell>
          <cell r="O291">
            <v>15.1404683</v>
          </cell>
          <cell r="P291">
            <v>15.11165057</v>
          </cell>
          <cell r="Q291">
            <v>15.101417590000001</v>
          </cell>
          <cell r="R291">
            <v>15.09826331</v>
          </cell>
          <cell r="S291">
            <v>15.098664769999999</v>
          </cell>
          <cell r="T291">
            <v>15.10473258</v>
          </cell>
          <cell r="U291">
            <v>15.118238720000001</v>
          </cell>
          <cell r="V291">
            <v>15.13853654</v>
          </cell>
          <cell r="W291">
            <v>15.17359212</v>
          </cell>
          <cell r="X291">
            <v>15.227856109999999</v>
          </cell>
          <cell r="Y291">
            <v>15.30350475</v>
          </cell>
          <cell r="Z291">
            <v>15.39812781</v>
          </cell>
          <cell r="AA291">
            <v>15.520117109999999</v>
          </cell>
          <cell r="AB291">
            <v>15.6710519</v>
          </cell>
          <cell r="AC291">
            <v>15.851862840000001</v>
          </cell>
          <cell r="AD291">
            <v>16.063186049999999</v>
          </cell>
          <cell r="AE291">
            <v>16.293988200000001</v>
          </cell>
          <cell r="AF291">
            <v>16.558775929999999</v>
          </cell>
          <cell r="AG291">
            <v>16.861019240000001</v>
          </cell>
          <cell r="AH291">
            <v>17.20375748</v>
          </cell>
          <cell r="AI291">
            <v>17.58790904</v>
          </cell>
          <cell r="AJ291">
            <v>18.01351232</v>
          </cell>
          <cell r="AK291">
            <v>18.48170867</v>
          </cell>
          <cell r="AL291">
            <v>18.99561842</v>
          </cell>
          <cell r="AM291">
            <v>19.560485740000001</v>
          </cell>
          <cell r="AN291">
            <v>20.184551379999998</v>
          </cell>
          <cell r="AO291">
            <v>20.880981049999999</v>
          </cell>
        </row>
        <row r="293">
          <cell r="E293" t="str">
            <v>CF_toe_cgas_2</v>
          </cell>
          <cell r="F293">
            <v>34.131798240000002</v>
          </cell>
          <cell r="G293">
            <v>33.921030829999999</v>
          </cell>
          <cell r="H293">
            <v>33.748974080000004</v>
          </cell>
          <cell r="I293">
            <v>33.493329660000001</v>
          </cell>
          <cell r="J293">
            <v>33.547516729999998</v>
          </cell>
          <cell r="K293">
            <v>33.796648750000003</v>
          </cell>
          <cell r="L293">
            <v>33.897641729999997</v>
          </cell>
          <cell r="M293">
            <v>32.767859059999999</v>
          </cell>
          <cell r="N293">
            <v>31.658903859999999</v>
          </cell>
          <cell r="O293">
            <v>30.79071952</v>
          </cell>
          <cell r="P293">
            <v>30.09361195</v>
          </cell>
          <cell r="Q293">
            <v>29.618099449999999</v>
          </cell>
          <cell r="R293">
            <v>29.257983920000001</v>
          </cell>
          <cell r="S293">
            <v>28.968845630000001</v>
          </cell>
          <cell r="T293">
            <v>28.738093490000001</v>
          </cell>
          <cell r="U293">
            <v>28.559250209999998</v>
          </cell>
          <cell r="V293">
            <v>28.45715826</v>
          </cell>
          <cell r="W293">
            <v>28.424616239999999</v>
          </cell>
          <cell r="X293">
            <v>28.461806939999999</v>
          </cell>
          <cell r="Y293">
            <v>28.57003598</v>
          </cell>
          <cell r="Z293">
            <v>28.74354744</v>
          </cell>
          <cell r="AA293">
            <v>29.00008768</v>
          </cell>
          <cell r="AB293">
            <v>29.338374699999999</v>
          </cell>
          <cell r="AC293">
            <v>29.760120109999999</v>
          </cell>
          <cell r="AD293">
            <v>30.267370530000001</v>
          </cell>
          <cell r="AE293">
            <v>30.838835329999998</v>
          </cell>
          <cell r="AF293">
            <v>31.50840797</v>
          </cell>
          <cell r="AG293">
            <v>32.289437599999999</v>
          </cell>
          <cell r="AH293">
            <v>33.191734279999999</v>
          </cell>
          <cell r="AI293">
            <v>34.220840289999998</v>
          </cell>
          <cell r="AJ293">
            <v>35.382136109999998</v>
          </cell>
          <cell r="AK293">
            <v>36.687089049999997</v>
          </cell>
          <cell r="AL293">
            <v>38.155042569999999</v>
          </cell>
          <cell r="AM293">
            <v>39.812375289999999</v>
          </cell>
          <cell r="AN293">
            <v>41.697103140000003</v>
          </cell>
          <cell r="AO293">
            <v>43.866465519999998</v>
          </cell>
        </row>
        <row r="299">
          <cell r="E299" t="str">
            <v>CF_toe_cele_2</v>
          </cell>
          <cell r="F299">
            <v>38.029212520000002</v>
          </cell>
          <cell r="G299">
            <v>38.59114288</v>
          </cell>
          <cell r="H299">
            <v>39.14279114</v>
          </cell>
          <cell r="I299">
            <v>39.757892480000002</v>
          </cell>
          <cell r="J299">
            <v>40.32544034</v>
          </cell>
          <cell r="K299">
            <v>40.90807281</v>
          </cell>
          <cell r="L299">
            <v>41.535112480000002</v>
          </cell>
          <cell r="M299">
            <v>42.484491599999998</v>
          </cell>
          <cell r="N299">
            <v>43.373101409999997</v>
          </cell>
          <cell r="O299">
            <v>44.338949139999997</v>
          </cell>
          <cell r="P299">
            <v>45.272347259999997</v>
          </cell>
          <cell r="Q299">
            <v>45.925558279999997</v>
          </cell>
          <cell r="R299">
            <v>46.38883096</v>
          </cell>
          <cell r="S299">
            <v>46.73131077</v>
          </cell>
          <cell r="T299">
            <v>47.011570339999999</v>
          </cell>
          <cell r="U299">
            <v>47.267170900000004</v>
          </cell>
          <cell r="V299">
            <v>47.56358925</v>
          </cell>
          <cell r="W299">
            <v>47.894217740000002</v>
          </cell>
          <cell r="X299">
            <v>48.267581939999999</v>
          </cell>
          <cell r="Y299">
            <v>48.69577855</v>
          </cell>
          <cell r="Z299">
            <v>49.180430700000002</v>
          </cell>
          <cell r="AA299">
            <v>49.753070960000002</v>
          </cell>
          <cell r="AB299">
            <v>50.424125510000003</v>
          </cell>
          <cell r="AC299">
            <v>51.20123521</v>
          </cell>
          <cell r="AD299">
            <v>52.08811764</v>
          </cell>
          <cell r="AE299">
            <v>53.052862390000001</v>
          </cell>
          <cell r="AF299">
            <v>54.136546809999999</v>
          </cell>
          <cell r="AG299">
            <v>55.349492740000002</v>
          </cell>
          <cell r="AH299">
            <v>56.692760309999997</v>
          </cell>
          <cell r="AI299">
            <v>58.154395370000003</v>
          </cell>
          <cell r="AJ299">
            <v>59.716577710000003</v>
          </cell>
          <cell r="AK299">
            <v>61.364834799999997</v>
          </cell>
          <cell r="AL299">
            <v>63.088778410000003</v>
          </cell>
          <cell r="AM299">
            <v>64.877224440000006</v>
          </cell>
          <cell r="AN299">
            <v>66.719826789999999</v>
          </cell>
          <cell r="AO299">
            <v>68.608780049999993</v>
          </cell>
        </row>
        <row r="309">
          <cell r="E309" t="str">
            <v>CF_toe_chea_2</v>
          </cell>
          <cell r="F309">
            <v>5.1300730300000001</v>
          </cell>
          <cell r="G309">
            <v>5.1910641780000004</v>
          </cell>
          <cell r="H309">
            <v>5.253029862</v>
          </cell>
          <cell r="I309">
            <v>5.3109046519999996</v>
          </cell>
          <cell r="J309">
            <v>5.3689424140000002</v>
          </cell>
          <cell r="K309">
            <v>5.4334953050000001</v>
          </cell>
          <cell r="L309">
            <v>5.4932634279999997</v>
          </cell>
          <cell r="M309">
            <v>5.5177255550000002</v>
          </cell>
          <cell r="N309">
            <v>5.5075166739999997</v>
          </cell>
          <cell r="O309">
            <v>5.4949251449999998</v>
          </cell>
          <cell r="P309">
            <v>5.4850396979999996</v>
          </cell>
          <cell r="Q309">
            <v>5.4684765769999997</v>
          </cell>
          <cell r="R309">
            <v>5.4554232569999996</v>
          </cell>
          <cell r="S309">
            <v>5.4481883050000004</v>
          </cell>
          <cell r="T309">
            <v>5.4472429990000002</v>
          </cell>
          <cell r="U309">
            <v>5.4519670160000002</v>
          </cell>
          <cell r="V309">
            <v>5.4642141759999996</v>
          </cell>
          <cell r="W309">
            <v>5.4816053719999998</v>
          </cell>
          <cell r="X309">
            <v>5.5041004359999999</v>
          </cell>
          <cell r="Y309">
            <v>5.5323951429999996</v>
          </cell>
          <cell r="Z309">
            <v>5.5634590399999997</v>
          </cell>
          <cell r="AA309">
            <v>5.6047246839999998</v>
          </cell>
          <cell r="AB309">
            <v>5.6559511120000003</v>
          </cell>
          <cell r="AC309">
            <v>5.7173416269999997</v>
          </cell>
          <cell r="AD309">
            <v>5.7891471189999999</v>
          </cell>
          <cell r="AE309">
            <v>5.8605860349999999</v>
          </cell>
          <cell r="AF309">
            <v>5.945046241</v>
          </cell>
          <cell r="AG309">
            <v>6.0430282990000004</v>
          </cell>
          <cell r="AH309">
            <v>6.1548004870000002</v>
          </cell>
          <cell r="AI309">
            <v>6.279924082</v>
          </cell>
          <cell r="AJ309">
            <v>6.4177489420000002</v>
          </cell>
          <cell r="AK309">
            <v>6.5679770670000002</v>
          </cell>
          <cell r="AL309">
            <v>6.7303536690000003</v>
          </cell>
          <cell r="AM309">
            <v>6.9050593449999997</v>
          </cell>
          <cell r="AN309">
            <v>7.0926706360000003</v>
          </cell>
          <cell r="AO309">
            <v>7.2942688359999996</v>
          </cell>
        </row>
        <row r="311">
          <cell r="E311" t="str">
            <v>CF_toe_cbio_2</v>
          </cell>
          <cell r="F311">
            <v>8.1755841480000004</v>
          </cell>
          <cell r="G311">
            <v>8.1066908140000002</v>
          </cell>
          <cell r="H311">
            <v>8.032334036</v>
          </cell>
          <cell r="I311">
            <v>7.9425797039999999</v>
          </cell>
          <cell r="J311">
            <v>7.8973234789999998</v>
          </cell>
          <cell r="K311">
            <v>7.8758953419999997</v>
          </cell>
          <cell r="L311">
            <v>7.8650944220000003</v>
          </cell>
          <cell r="M311">
            <v>7.6693996489999998</v>
          </cell>
          <cell r="N311">
            <v>7.4800207829999996</v>
          </cell>
          <cell r="O311">
            <v>7.3146711360000003</v>
          </cell>
          <cell r="P311">
            <v>7.1682737660000004</v>
          </cell>
          <cell r="Q311">
            <v>7.0631672539999997</v>
          </cell>
          <cell r="R311">
            <v>6.9748615239999996</v>
          </cell>
          <cell r="S311">
            <v>6.8935929829999996</v>
          </cell>
          <cell r="T311">
            <v>6.8165954830000004</v>
          </cell>
          <cell r="U311">
            <v>6.7432324860000001</v>
          </cell>
          <cell r="V311">
            <v>6.6554656989999996</v>
          </cell>
          <cell r="W311">
            <v>6.5655904500000002</v>
          </cell>
          <cell r="X311">
            <v>6.4795588820000001</v>
          </cell>
          <cell r="Y311">
            <v>6.4000681500000001</v>
          </cell>
          <cell r="Z311">
            <v>6.326243002</v>
          </cell>
          <cell r="AA311">
            <v>6.262028087</v>
          </cell>
          <cell r="AB311">
            <v>6.2071432690000004</v>
          </cell>
          <cell r="AC311">
            <v>6.161344605</v>
          </cell>
          <cell r="AD311">
            <v>6.1243770209999999</v>
          </cell>
          <cell r="AE311">
            <v>6.090405863</v>
          </cell>
          <cell r="AF311">
            <v>6.0657811050000001</v>
          </cell>
          <cell r="AG311">
            <v>6.0505642770000003</v>
          </cell>
          <cell r="AH311">
            <v>6.04442462</v>
          </cell>
          <cell r="AI311">
            <v>6.0465514530000002</v>
          </cell>
          <cell r="AJ311">
            <v>6.0559747660000003</v>
          </cell>
          <cell r="AK311">
            <v>6.0719816120000001</v>
          </cell>
          <cell r="AL311">
            <v>6.0940800460000002</v>
          </cell>
          <cell r="AM311">
            <v>6.1217334719999998</v>
          </cell>
          <cell r="AN311">
            <v>6.1544930229999997</v>
          </cell>
          <cell r="AO311">
            <v>6.1920299529999996</v>
          </cell>
        </row>
        <row r="314">
          <cell r="E314" t="str">
            <v>CF_toe_cote_2</v>
          </cell>
          <cell r="F314">
            <v>8.7010457809999995</v>
          </cell>
          <cell r="G314">
            <v>8.8969758050000003</v>
          </cell>
          <cell r="H314">
            <v>9.1151022889999993</v>
          </cell>
          <cell r="I314">
            <v>9.3398726770000007</v>
          </cell>
          <cell r="J314">
            <v>9.5803604700000005</v>
          </cell>
          <cell r="K314">
            <v>9.8372199709999997</v>
          </cell>
          <cell r="L314">
            <v>10.09969903</v>
          </cell>
          <cell r="M314">
            <v>10.251951419999999</v>
          </cell>
          <cell r="N314">
            <v>10.37426146</v>
          </cell>
          <cell r="O314">
            <v>10.553499029999999</v>
          </cell>
          <cell r="P314">
            <v>10.717432710000001</v>
          </cell>
          <cell r="Q314">
            <v>10.820909459999999</v>
          </cell>
          <cell r="R314">
            <v>10.875368910000001</v>
          </cell>
          <cell r="S314">
            <v>10.90022147</v>
          </cell>
          <cell r="T314">
            <v>10.9161132</v>
          </cell>
          <cell r="U314">
            <v>10.93473841</v>
          </cell>
          <cell r="V314">
            <v>10.96422319</v>
          </cell>
          <cell r="W314">
            <v>11.011146370000001</v>
          </cell>
          <cell r="X314">
            <v>11.08142717</v>
          </cell>
          <cell r="Y314">
            <v>11.177514759999999</v>
          </cell>
          <cell r="Z314">
            <v>11.299685650000001</v>
          </cell>
          <cell r="AA314">
            <v>11.451225490000001</v>
          </cell>
          <cell r="AB314">
            <v>11.634274850000001</v>
          </cell>
          <cell r="AC314">
            <v>11.84924101</v>
          </cell>
          <cell r="AD314">
            <v>12.094678979999999</v>
          </cell>
          <cell r="AE314">
            <v>12.365533989999999</v>
          </cell>
          <cell r="AF314">
            <v>12.664972669999999</v>
          </cell>
          <cell r="AG314">
            <v>12.998379720000001</v>
          </cell>
          <cell r="AH314">
            <v>13.365731480000001</v>
          </cell>
          <cell r="AI314">
            <v>13.76137464</v>
          </cell>
          <cell r="AJ314">
            <v>14.17774565</v>
          </cell>
          <cell r="AK314">
            <v>14.60959431</v>
          </cell>
          <cell r="AL314">
            <v>15.05393675</v>
          </cell>
          <cell r="AM314">
            <v>15.50753593</v>
          </cell>
          <cell r="AN314">
            <v>15.9670709</v>
          </cell>
          <cell r="AO314">
            <v>16.429279770000001</v>
          </cell>
        </row>
        <row r="317">
          <cell r="E317" t="str">
            <v>CF_toe_0</v>
          </cell>
          <cell r="F317">
            <v>161.69427809999999</v>
          </cell>
          <cell r="G317">
            <v>162.55302499999999</v>
          </cell>
          <cell r="H317">
            <v>163.46206380000001</v>
          </cell>
          <cell r="I317">
            <v>164.38467869999999</v>
          </cell>
          <cell r="J317">
            <v>165.90385699999999</v>
          </cell>
          <cell r="K317">
            <v>167.91772230000001</v>
          </cell>
          <cell r="L317">
            <v>169.96072520000001</v>
          </cell>
          <cell r="M317">
            <v>171.99870519999999</v>
          </cell>
          <cell r="N317">
            <v>174.04341310000001</v>
          </cell>
          <cell r="O317">
            <v>176.1031175</v>
          </cell>
          <cell r="P317">
            <v>178.13936079999999</v>
          </cell>
          <cell r="Q317">
            <v>179.71478300000001</v>
          </cell>
          <cell r="R317">
            <v>180.90565090000001</v>
          </cell>
          <cell r="S317">
            <v>181.7965882</v>
          </cell>
          <cell r="T317">
            <v>182.4866634</v>
          </cell>
          <cell r="U317">
            <v>183.07132799999999</v>
          </cell>
          <cell r="V317">
            <v>183.85292150000001</v>
          </cell>
          <cell r="W317">
            <v>184.87895829999999</v>
          </cell>
          <cell r="X317">
            <v>186.1795123</v>
          </cell>
          <cell r="Y317">
            <v>187.76850830000001</v>
          </cell>
          <cell r="Z317">
            <v>189.61605349999999</v>
          </cell>
          <cell r="AA317">
            <v>191.80021249999999</v>
          </cell>
          <cell r="AB317">
            <v>194.33341909999999</v>
          </cell>
          <cell r="AC317">
            <v>197.2280408</v>
          </cell>
          <cell r="AD317">
            <v>200.48521700000001</v>
          </cell>
          <cell r="AE317">
            <v>203.9818228</v>
          </cell>
          <cell r="AF317">
            <v>207.84663699999999</v>
          </cell>
          <cell r="AG317">
            <v>212.0920989</v>
          </cell>
          <cell r="AH317">
            <v>216.71896659999999</v>
          </cell>
          <cell r="AI317">
            <v>221.6835069</v>
          </cell>
          <cell r="AJ317">
            <v>226.91739190000001</v>
          </cell>
          <cell r="AK317">
            <v>232.35448550000001</v>
          </cell>
          <cell r="AL317">
            <v>237.9359638</v>
          </cell>
          <cell r="AM317">
            <v>243.60662339999999</v>
          </cell>
          <cell r="AN317">
            <v>249.3124138</v>
          </cell>
          <cell r="AO317">
            <v>254.99935840000001</v>
          </cell>
        </row>
        <row r="318">
          <cell r="E318" t="str">
            <v>CF_toe_ccoa_0</v>
          </cell>
          <cell r="F318">
            <v>5.4028818909999998</v>
          </cell>
          <cell r="G318">
            <v>5.441783043</v>
          </cell>
          <cell r="H318">
            <v>5.4869486670000001</v>
          </cell>
          <cell r="I318">
            <v>5.5158022510000002</v>
          </cell>
          <cell r="J318">
            <v>5.5837484010000002</v>
          </cell>
          <cell r="K318">
            <v>5.6823443669999998</v>
          </cell>
          <cell r="L318">
            <v>5.793229685</v>
          </cell>
          <cell r="M318">
            <v>5.904638544</v>
          </cell>
          <cell r="N318">
            <v>6.015114895</v>
          </cell>
          <cell r="O318">
            <v>6.1248116379999997</v>
          </cell>
          <cell r="P318">
            <v>6.2279948999999997</v>
          </cell>
          <cell r="Q318">
            <v>6.3012362700000004</v>
          </cell>
          <cell r="R318">
            <v>6.3520159940000003</v>
          </cell>
          <cell r="S318">
            <v>6.3881346649999999</v>
          </cell>
          <cell r="T318">
            <v>6.4171702870000003</v>
          </cell>
          <cell r="U318">
            <v>6.4452640780000001</v>
          </cell>
          <cell r="V318">
            <v>6.4875094329999996</v>
          </cell>
          <cell r="W318">
            <v>6.5495602870000003</v>
          </cell>
          <cell r="X318">
            <v>6.633307866</v>
          </cell>
          <cell r="Y318">
            <v>6.738384495</v>
          </cell>
          <cell r="Z318">
            <v>6.8634055629999997</v>
          </cell>
          <cell r="AA318">
            <v>7.0085468200000003</v>
          </cell>
          <cell r="AB318">
            <v>7.1740133540000004</v>
          </cell>
          <cell r="AC318">
            <v>7.3596648030000003</v>
          </cell>
          <cell r="AD318">
            <v>7.5645692020000004</v>
          </cell>
          <cell r="AE318">
            <v>7.785892445</v>
          </cell>
          <cell r="AF318">
            <v>8.0249695209999992</v>
          </cell>
          <cell r="AG318">
            <v>8.2827983750000005</v>
          </cell>
          <cell r="AH318">
            <v>8.5592795899999992</v>
          </cell>
          <cell r="AI318">
            <v>8.8514371759999992</v>
          </cell>
          <cell r="AJ318">
            <v>9.1550543399999995</v>
          </cell>
          <cell r="AK318">
            <v>9.4665882920000008</v>
          </cell>
          <cell r="AL318">
            <v>9.7834698969999998</v>
          </cell>
          <cell r="AM318">
            <v>10.10353035</v>
          </cell>
          <cell r="AN318">
            <v>10.424704609999999</v>
          </cell>
          <cell r="AO318">
            <v>10.74490144</v>
          </cell>
        </row>
        <row r="321">
          <cell r="E321" t="str">
            <v>CF_toe_ccoi_0</v>
          </cell>
          <cell r="F321">
            <v>8.3953620399999998E-2</v>
          </cell>
          <cell r="G321">
            <v>8.4487798899999994E-2</v>
          </cell>
          <cell r="H321">
            <v>8.5097257199999998E-2</v>
          </cell>
          <cell r="I321">
            <v>8.5571029800000004E-2</v>
          </cell>
          <cell r="J321">
            <v>8.6610261300000005E-2</v>
          </cell>
          <cell r="K321">
            <v>8.8122838699999997E-2</v>
          </cell>
          <cell r="L321">
            <v>8.9348275099999999E-2</v>
          </cell>
          <cell r="M321">
            <v>9.0351316200000004E-2</v>
          </cell>
          <cell r="N321">
            <v>9.1223557600000005E-2</v>
          </cell>
          <cell r="O321">
            <v>9.2025480000000007E-2</v>
          </cell>
          <cell r="P321">
            <v>9.2737204899999995E-2</v>
          </cell>
          <cell r="Q321">
            <v>9.3063396399999998E-2</v>
          </cell>
          <cell r="R321">
            <v>9.3079429000000005E-2</v>
          </cell>
          <cell r="S321">
            <v>9.28621741E-2</v>
          </cell>
          <cell r="T321">
            <v>9.2496233299999994E-2</v>
          </cell>
          <cell r="U321">
            <v>9.2060491300000005E-2</v>
          </cell>
          <cell r="V321">
            <v>9.2004513699999999E-2</v>
          </cell>
          <cell r="W321">
            <v>9.2278185900000004E-2</v>
          </cell>
          <cell r="X321">
            <v>9.2852936699999999E-2</v>
          </cell>
          <cell r="Y321">
            <v>9.3707734900000006E-2</v>
          </cell>
          <cell r="Z321">
            <v>9.4814414400000005E-2</v>
          </cell>
          <cell r="AA321">
            <v>9.6197387300000006E-2</v>
          </cell>
          <cell r="AB321">
            <v>9.7861853100000007E-2</v>
          </cell>
          <cell r="AC321">
            <v>9.9813960100000002E-2</v>
          </cell>
          <cell r="AD321">
            <v>0.102052318</v>
          </cell>
          <cell r="AE321">
            <v>0.1045233483</v>
          </cell>
          <cell r="AF321">
            <v>0.1072836481</v>
          </cell>
          <cell r="AG321">
            <v>0.1103456816</v>
          </cell>
          <cell r="AH321">
            <v>0.1137127771</v>
          </cell>
          <cell r="AI321">
            <v>0.11735556580000001</v>
          </cell>
          <cell r="AJ321">
            <v>0.1212256968</v>
          </cell>
          <cell r="AK321">
            <v>0.1252754982</v>
          </cell>
          <cell r="AL321">
            <v>0.12946247150000001</v>
          </cell>
          <cell r="AM321">
            <v>0.1337450077</v>
          </cell>
          <cell r="AN321">
            <v>0.138080483</v>
          </cell>
          <cell r="AO321">
            <v>0.14242457180000001</v>
          </cell>
        </row>
        <row r="324">
          <cell r="E324" t="str">
            <v>CF_toe_cfut_0</v>
          </cell>
          <cell r="F324">
            <v>47.250386450000001</v>
          </cell>
          <cell r="G324">
            <v>47.454210539999998</v>
          </cell>
          <cell r="H324">
            <v>47.66478824</v>
          </cell>
          <cell r="I324">
            <v>47.949029359999997</v>
          </cell>
          <cell r="J324">
            <v>48.427439450000001</v>
          </cell>
          <cell r="K324">
            <v>49.079870999999997</v>
          </cell>
          <cell r="L324">
            <v>49.837486159999997</v>
          </cell>
          <cell r="M324">
            <v>50.645064720000001</v>
          </cell>
          <cell r="N324">
            <v>51.477894050000003</v>
          </cell>
          <cell r="O324">
            <v>52.324724590000002</v>
          </cell>
          <cell r="P324">
            <v>53.166107230000001</v>
          </cell>
          <cell r="Q324">
            <v>53.898223659999999</v>
          </cell>
          <cell r="R324">
            <v>54.52949125</v>
          </cell>
          <cell r="S324">
            <v>55.07341589</v>
          </cell>
          <cell r="T324">
            <v>55.54883117</v>
          </cell>
          <cell r="U324">
            <v>55.975699880000001</v>
          </cell>
          <cell r="V324">
            <v>56.399986490000003</v>
          </cell>
          <cell r="W324">
            <v>56.85723299</v>
          </cell>
          <cell r="X324">
            <v>57.36674455</v>
          </cell>
          <cell r="Y324">
            <v>57.936696419999997</v>
          </cell>
          <cell r="Z324">
            <v>58.563483439999999</v>
          </cell>
          <cell r="AA324">
            <v>59.262470350000001</v>
          </cell>
          <cell r="AB324">
            <v>60.040126100000002</v>
          </cell>
          <cell r="AC324">
            <v>60.901995479999997</v>
          </cell>
          <cell r="AD324">
            <v>61.850308859999998</v>
          </cell>
          <cell r="AE324">
            <v>62.862141700000002</v>
          </cell>
          <cell r="AF324">
            <v>63.960588119999997</v>
          </cell>
          <cell r="AG324">
            <v>65.152958620000007</v>
          </cell>
          <cell r="AH324">
            <v>66.44282226</v>
          </cell>
          <cell r="AI324">
            <v>67.822667899999999</v>
          </cell>
          <cell r="AJ324">
            <v>69.278030540000003</v>
          </cell>
          <cell r="AK324">
            <v>70.793682309999994</v>
          </cell>
          <cell r="AL324">
            <v>72.355209729999999</v>
          </cell>
          <cell r="AM324">
            <v>73.9478218</v>
          </cell>
          <cell r="AN324">
            <v>75.555961710000005</v>
          </cell>
          <cell r="AO324">
            <v>77.163306030000001</v>
          </cell>
        </row>
        <row r="327">
          <cell r="E327" t="str">
            <v>CF_toe_cfuh_0</v>
          </cell>
          <cell r="F327">
            <v>14.789342299999999</v>
          </cell>
          <cell r="G327">
            <v>14.865638840000001</v>
          </cell>
          <cell r="H327">
            <v>14.932997780000001</v>
          </cell>
          <cell r="I327">
            <v>14.98969632</v>
          </cell>
          <cell r="J327">
            <v>15.08647476</v>
          </cell>
          <cell r="K327">
            <v>15.21605111</v>
          </cell>
          <cell r="L327">
            <v>15.34984916</v>
          </cell>
          <cell r="M327">
            <v>15.47694506</v>
          </cell>
          <cell r="N327">
            <v>15.599300749999999</v>
          </cell>
          <cell r="O327">
            <v>15.720160030000001</v>
          </cell>
          <cell r="P327">
            <v>15.841306980000001</v>
          </cell>
          <cell r="Q327">
            <v>15.930269450000001</v>
          </cell>
          <cell r="R327">
            <v>15.99246361</v>
          </cell>
          <cell r="S327">
            <v>16.03356595</v>
          </cell>
          <cell r="T327">
            <v>16.059995279999999</v>
          </cell>
          <cell r="U327">
            <v>16.078005269999998</v>
          </cell>
          <cell r="V327">
            <v>16.11015008</v>
          </cell>
          <cell r="W327">
            <v>16.16457174</v>
          </cell>
          <cell r="X327">
            <v>16.241590479999999</v>
          </cell>
          <cell r="Y327">
            <v>16.340732379999999</v>
          </cell>
          <cell r="Z327">
            <v>16.457476610000001</v>
          </cell>
          <cell r="AA327">
            <v>16.59905534</v>
          </cell>
          <cell r="AB327">
            <v>16.765184640000001</v>
          </cell>
          <cell r="AC327">
            <v>16.956507940000002</v>
          </cell>
          <cell r="AD327">
            <v>17.173236129999999</v>
          </cell>
          <cell r="AE327">
            <v>17.40301955</v>
          </cell>
          <cell r="AF327">
            <v>17.659834249999999</v>
          </cell>
          <cell r="AG327">
            <v>17.94481043</v>
          </cell>
          <cell r="AH327">
            <v>18.258434210000001</v>
          </cell>
          <cell r="AI327">
            <v>18.598205610000001</v>
          </cell>
          <cell r="AJ327">
            <v>18.959735210000002</v>
          </cell>
          <cell r="AK327">
            <v>19.33856724</v>
          </cell>
          <cell r="AL327">
            <v>19.730416380000001</v>
          </cell>
          <cell r="AM327">
            <v>20.131104530000002</v>
          </cell>
          <cell r="AN327">
            <v>20.536599989999999</v>
          </cell>
          <cell r="AO327">
            <v>20.94285932</v>
          </cell>
        </row>
        <row r="329">
          <cell r="E329" t="str">
            <v>CF_toe_cgas_0</v>
          </cell>
          <cell r="F329">
            <v>34.131798320000001</v>
          </cell>
          <cell r="G329">
            <v>33.9210311</v>
          </cell>
          <cell r="H329">
            <v>33.748974500000003</v>
          </cell>
          <cell r="I329">
            <v>33.49333026</v>
          </cell>
          <cell r="J329">
            <v>33.547517429999999</v>
          </cell>
          <cell r="K329">
            <v>33.796649510000002</v>
          </cell>
          <cell r="L329">
            <v>33.897642509999997</v>
          </cell>
          <cell r="M329">
            <v>33.909725430000002</v>
          </cell>
          <cell r="N329">
            <v>33.889613789999999</v>
          </cell>
          <cell r="O329">
            <v>33.863703819999998</v>
          </cell>
          <cell r="P329">
            <v>33.83967088</v>
          </cell>
          <cell r="Q329">
            <v>33.733157740000003</v>
          </cell>
          <cell r="R329">
            <v>33.565507609999997</v>
          </cell>
          <cell r="S329">
            <v>33.355154040000002</v>
          </cell>
          <cell r="T329">
            <v>33.120849229999997</v>
          </cell>
          <cell r="U329">
            <v>32.879439089999998</v>
          </cell>
          <cell r="V329">
            <v>32.811700530000003</v>
          </cell>
          <cell r="W329">
            <v>32.860452700000003</v>
          </cell>
          <cell r="X329">
            <v>32.997244629999997</v>
          </cell>
          <cell r="Y329">
            <v>33.206212630000003</v>
          </cell>
          <cell r="Z329">
            <v>33.469698020000003</v>
          </cell>
          <cell r="AA329">
            <v>33.800593849999998</v>
          </cell>
          <cell r="AB329">
            <v>34.197223819999998</v>
          </cell>
          <cell r="AC329">
            <v>34.660277720000003</v>
          </cell>
          <cell r="AD329">
            <v>35.189278170000001</v>
          </cell>
          <cell r="AE329">
            <v>35.756468050000002</v>
          </cell>
          <cell r="AF329">
            <v>36.393850370000003</v>
          </cell>
          <cell r="AG329">
            <v>37.103215749999997</v>
          </cell>
          <cell r="AH329">
            <v>37.885291680000002</v>
          </cell>
          <cell r="AI329">
            <v>38.733564110000003</v>
          </cell>
          <cell r="AJ329">
            <v>39.636948910000001</v>
          </cell>
          <cell r="AK329">
            <v>40.584404190000001</v>
          </cell>
          <cell r="AL329">
            <v>41.565130410000002</v>
          </cell>
          <cell r="AM329">
            <v>42.569062080000002</v>
          </cell>
          <cell r="AN329">
            <v>43.586291410000001</v>
          </cell>
          <cell r="AO329">
            <v>44.606737809999998</v>
          </cell>
        </row>
        <row r="335">
          <cell r="E335" t="str">
            <v>CF_toe_cele_0</v>
          </cell>
          <cell r="F335">
            <v>38.029212510000001</v>
          </cell>
          <cell r="G335">
            <v>38.591142869999999</v>
          </cell>
          <cell r="H335">
            <v>39.142791129999999</v>
          </cell>
          <cell r="I335">
            <v>39.757892460000001</v>
          </cell>
          <cell r="J335">
            <v>40.325440319999998</v>
          </cell>
          <cell r="K335">
            <v>40.908072789999999</v>
          </cell>
          <cell r="L335">
            <v>41.535112460000001</v>
          </cell>
          <cell r="M335">
            <v>42.205152089999999</v>
          </cell>
          <cell r="N335">
            <v>42.900023930000003</v>
          </cell>
          <cell r="O335">
            <v>43.609010300000001</v>
          </cell>
          <cell r="P335">
            <v>44.314592099999999</v>
          </cell>
          <cell r="Q335">
            <v>44.899114060000002</v>
          </cell>
          <cell r="R335">
            <v>45.373648629999998</v>
          </cell>
          <cell r="S335">
            <v>45.757106950000001</v>
          </cell>
          <cell r="T335">
            <v>46.07719092</v>
          </cell>
          <cell r="U335">
            <v>46.3635527</v>
          </cell>
          <cell r="V335">
            <v>46.625409400000002</v>
          </cell>
          <cell r="W335">
            <v>46.901236079999997</v>
          </cell>
          <cell r="X335">
            <v>47.220253599999999</v>
          </cell>
          <cell r="Y335">
            <v>47.60307486</v>
          </cell>
          <cell r="Z335">
            <v>48.054070289999999</v>
          </cell>
          <cell r="AA335">
            <v>48.602612350000001</v>
          </cell>
          <cell r="AB335">
            <v>49.256629390000001</v>
          </cell>
          <cell r="AC335">
            <v>50.022100090000002</v>
          </cell>
          <cell r="AD335">
            <v>50.901361020000003</v>
          </cell>
          <cell r="AE335">
            <v>51.861655059999997</v>
          </cell>
          <cell r="AF335">
            <v>52.937617750000001</v>
          </cell>
          <cell r="AG335">
            <v>54.129517200000002</v>
          </cell>
          <cell r="AH335">
            <v>55.434689259999999</v>
          </cell>
          <cell r="AI335">
            <v>56.837599730000001</v>
          </cell>
          <cell r="AJ335">
            <v>58.315951550000001</v>
          </cell>
          <cell r="AK335">
            <v>59.848056880000001</v>
          </cell>
          <cell r="AL335">
            <v>61.414966059999998</v>
          </cell>
          <cell r="AM335">
            <v>62.999347520000001</v>
          </cell>
          <cell r="AN335">
            <v>64.584925650000002</v>
          </cell>
          <cell r="AO335">
            <v>66.156302449999998</v>
          </cell>
        </row>
        <row r="345">
          <cell r="E345" t="str">
            <v>CF_toe_chea_0</v>
          </cell>
          <cell r="F345">
            <v>5.1300730310000002</v>
          </cell>
          <cell r="G345">
            <v>5.1910641850000001</v>
          </cell>
          <cell r="H345">
            <v>5.2530298750000002</v>
          </cell>
          <cell r="I345">
            <v>5.3109046710000003</v>
          </cell>
          <cell r="J345">
            <v>5.3689424389999996</v>
          </cell>
          <cell r="K345">
            <v>5.4334953329999998</v>
          </cell>
          <cell r="L345">
            <v>5.4932634589999996</v>
          </cell>
          <cell r="M345">
            <v>5.5487601790000003</v>
          </cell>
          <cell r="N345">
            <v>5.6009037849999999</v>
          </cell>
          <cell r="O345">
            <v>5.6509674030000001</v>
          </cell>
          <cell r="P345">
            <v>5.7038375930000003</v>
          </cell>
          <cell r="Q345">
            <v>5.7423324779999998</v>
          </cell>
          <cell r="R345">
            <v>5.7704976710000002</v>
          </cell>
          <cell r="S345">
            <v>5.7914519090000001</v>
          </cell>
          <cell r="T345">
            <v>5.8080755269999997</v>
          </cell>
          <cell r="U345">
            <v>5.8228172389999999</v>
          </cell>
          <cell r="V345">
            <v>5.8446483990000004</v>
          </cell>
          <cell r="W345">
            <v>5.8754016419999999</v>
          </cell>
          <cell r="X345">
            <v>5.9147760460000001</v>
          </cell>
          <cell r="Y345">
            <v>5.9618635419999997</v>
          </cell>
          <cell r="Z345">
            <v>6.0122954159999997</v>
          </cell>
          <cell r="AA345">
            <v>6.0726877159999999</v>
          </cell>
          <cell r="AB345">
            <v>6.1420939649999999</v>
          </cell>
          <cell r="AC345">
            <v>6.2201641670000001</v>
          </cell>
          <cell r="AD345">
            <v>6.3066082420000003</v>
          </cell>
          <cell r="AE345">
            <v>6.3899830619999998</v>
          </cell>
          <cell r="AF345">
            <v>6.4830811600000002</v>
          </cell>
          <cell r="AG345">
            <v>6.585505994</v>
          </cell>
          <cell r="AH345">
            <v>6.6969004280000002</v>
          </cell>
          <cell r="AI345">
            <v>6.8159623580000002</v>
          </cell>
          <cell r="AJ345">
            <v>6.940905914</v>
          </cell>
          <cell r="AK345">
            <v>7.0700587559999999</v>
          </cell>
          <cell r="AL345">
            <v>7.2019955060000003</v>
          </cell>
          <cell r="AM345">
            <v>7.3354019900000003</v>
          </cell>
          <cell r="AN345">
            <v>7.4690130989999997</v>
          </cell>
          <cell r="AO345">
            <v>7.6015944510000004</v>
          </cell>
        </row>
        <row r="347">
          <cell r="E347" t="str">
            <v>CF_toe_cbio_0</v>
          </cell>
          <cell r="F347">
            <v>8.1755841480000004</v>
          </cell>
          <cell r="G347">
            <v>8.1066908150000003</v>
          </cell>
          <cell r="H347">
            <v>8.032334037</v>
          </cell>
          <cell r="I347">
            <v>7.9425797060000001</v>
          </cell>
          <cell r="J347">
            <v>7.897323482</v>
          </cell>
          <cell r="K347">
            <v>7.875895345</v>
          </cell>
          <cell r="L347">
            <v>7.8650944259999997</v>
          </cell>
          <cell r="M347">
            <v>7.8583929750000001</v>
          </cell>
          <cell r="N347">
            <v>7.8546416480000003</v>
          </cell>
          <cell r="O347">
            <v>7.8525251669999996</v>
          </cell>
          <cell r="P347">
            <v>7.853261399</v>
          </cell>
          <cell r="Q347">
            <v>7.8443784169999997</v>
          </cell>
          <cell r="R347">
            <v>7.8276189309999999</v>
          </cell>
          <cell r="S347">
            <v>7.8048194410000002</v>
          </cell>
          <cell r="T347">
            <v>7.7781423070000004</v>
          </cell>
          <cell r="U347">
            <v>7.7497147020000003</v>
          </cell>
          <cell r="V347">
            <v>7.7220422490000002</v>
          </cell>
          <cell r="W347">
            <v>7.6974264510000001</v>
          </cell>
          <cell r="X347">
            <v>7.6775310479999996</v>
          </cell>
          <cell r="Y347">
            <v>7.6634305329999997</v>
          </cell>
          <cell r="Z347">
            <v>7.6533569320000003</v>
          </cell>
          <cell r="AA347">
            <v>7.6518079529999996</v>
          </cell>
          <cell r="AB347">
            <v>7.6585469929999999</v>
          </cell>
          <cell r="AC347">
            <v>7.6735411339999997</v>
          </cell>
          <cell r="AD347">
            <v>7.6966043790000001</v>
          </cell>
          <cell r="AE347">
            <v>7.7204676579999996</v>
          </cell>
          <cell r="AF347">
            <v>7.7526580909999998</v>
          </cell>
          <cell r="AG347">
            <v>7.7929563970000002</v>
          </cell>
          <cell r="AH347">
            <v>7.8410217390000003</v>
          </cell>
          <cell r="AI347">
            <v>7.8957584440000002</v>
          </cell>
          <cell r="AJ347">
            <v>7.9556729769999999</v>
          </cell>
          <cell r="AK347">
            <v>8.0193188939999995</v>
          </cell>
          <cell r="AL347">
            <v>8.0853592949999999</v>
          </cell>
          <cell r="AM347">
            <v>8.1526403649999999</v>
          </cell>
          <cell r="AN347">
            <v>8.2201104679999997</v>
          </cell>
          <cell r="AO347">
            <v>8.2867839740000004</v>
          </cell>
        </row>
        <row r="350">
          <cell r="E350" t="str">
            <v>CF_toe_cote_0</v>
          </cell>
          <cell r="F350">
            <v>8.7010457809999995</v>
          </cell>
          <cell r="G350">
            <v>8.8969758040000002</v>
          </cell>
          <cell r="H350">
            <v>9.1151022889999993</v>
          </cell>
          <cell r="I350">
            <v>9.3398726770000007</v>
          </cell>
          <cell r="J350">
            <v>9.5803604700000005</v>
          </cell>
          <cell r="K350">
            <v>9.8372199719999998</v>
          </cell>
          <cell r="L350">
            <v>10.09969903</v>
          </cell>
          <cell r="M350">
            <v>10.35967488</v>
          </cell>
          <cell r="N350">
            <v>10.61469675</v>
          </cell>
          <cell r="O350">
            <v>10.86518905</v>
          </cell>
          <cell r="P350">
            <v>11.09985249</v>
          </cell>
          <cell r="Q350">
            <v>11.273007489999999</v>
          </cell>
          <cell r="R350">
            <v>11.401327739999999</v>
          </cell>
          <cell r="S350">
            <v>11.50007718</v>
          </cell>
          <cell r="T350">
            <v>11.583912489999999</v>
          </cell>
          <cell r="U350">
            <v>11.664774550000001</v>
          </cell>
          <cell r="V350">
            <v>11.759470370000001</v>
          </cell>
          <cell r="W350">
            <v>11.880798240000001</v>
          </cell>
          <cell r="X350">
            <v>12.0352111</v>
          </cell>
          <cell r="Y350">
            <v>12.22440566</v>
          </cell>
          <cell r="Z350">
            <v>12.44745283</v>
          </cell>
          <cell r="AA350">
            <v>12.7062407</v>
          </cell>
          <cell r="AB350">
            <v>13.00173899</v>
          </cell>
          <cell r="AC350">
            <v>13.333975519999999</v>
          </cell>
          <cell r="AD350">
            <v>13.701198639999999</v>
          </cell>
          <cell r="AE350">
            <v>14.09767196</v>
          </cell>
          <cell r="AF350">
            <v>14.52675414</v>
          </cell>
          <cell r="AG350">
            <v>14.989990410000001</v>
          </cell>
          <cell r="AH350">
            <v>15.48681466</v>
          </cell>
          <cell r="AI350">
            <v>16.010955979999999</v>
          </cell>
          <cell r="AJ350">
            <v>16.55386682</v>
          </cell>
          <cell r="AK350">
            <v>17.108533449999999</v>
          </cell>
          <cell r="AL350">
            <v>17.66995404</v>
          </cell>
          <cell r="AM350">
            <v>18.233969800000001</v>
          </cell>
          <cell r="AN350">
            <v>18.796726379999999</v>
          </cell>
          <cell r="AO350">
            <v>19.35444833</v>
          </cell>
        </row>
        <row r="353">
          <cell r="F353">
            <v>64.30144018</v>
          </cell>
          <cell r="G353">
            <v>63.915394069999998</v>
          </cell>
          <cell r="H353">
            <v>63.397739559999998</v>
          </cell>
          <cell r="I353">
            <v>62.86999677</v>
          </cell>
          <cell r="J353">
            <v>62.559494999999998</v>
          </cell>
          <cell r="K353">
            <v>62.398900349999998</v>
          </cell>
          <cell r="L353">
            <v>62.19124274</v>
          </cell>
          <cell r="M353">
            <v>61.478688329999997</v>
          </cell>
          <cell r="N353">
            <v>60.835593699999997</v>
          </cell>
          <cell r="O353">
            <v>60.30276825</v>
          </cell>
          <cell r="P353">
            <v>59.91097242</v>
          </cell>
          <cell r="Q353">
            <v>59.685797180000002</v>
          </cell>
          <cell r="R353">
            <v>59.572162650000003</v>
          </cell>
          <cell r="S353">
            <v>59.525158820000001</v>
          </cell>
          <cell r="T353">
            <v>59.511710649999998</v>
          </cell>
          <cell r="U353">
            <v>59.509961240000003</v>
          </cell>
          <cell r="V353">
            <v>59.53492121</v>
          </cell>
          <cell r="W353">
            <v>59.569461369999999</v>
          </cell>
          <cell r="X353">
            <v>59.608297210000003</v>
          </cell>
          <cell r="Y353">
            <v>59.651321369999998</v>
          </cell>
          <cell r="Z353">
            <v>59.683413989999998</v>
          </cell>
          <cell r="AA353">
            <v>59.733974869999997</v>
          </cell>
          <cell r="AB353">
            <v>59.797650570000002</v>
          </cell>
          <cell r="AC353">
            <v>59.87374543</v>
          </cell>
          <cell r="AD353">
            <v>59.963996719999997</v>
          </cell>
          <cell r="AE353">
            <v>60.023064599999998</v>
          </cell>
          <cell r="AF353">
            <v>60.104192099999999</v>
          </cell>
          <cell r="AG353">
            <v>60.20917051</v>
          </cell>
          <cell r="AH353">
            <v>60.341537520000003</v>
          </cell>
          <cell r="AI353">
            <v>60.505791850000001</v>
          </cell>
          <cell r="AJ353">
            <v>60.706275570000003</v>
          </cell>
          <cell r="AK353">
            <v>60.946465349999997</v>
          </cell>
          <cell r="AL353">
            <v>61.228955990000003</v>
          </cell>
          <cell r="AM353">
            <v>61.557126840000002</v>
          </cell>
          <cell r="AN353">
            <v>61.93540789</v>
          </cell>
          <cell r="AO353">
            <v>62.369895849999999</v>
          </cell>
        </row>
        <row r="354">
          <cell r="F354">
            <v>42.52087745</v>
          </cell>
          <cell r="G354">
            <v>42.424721729999995</v>
          </cell>
          <cell r="H354">
            <v>42.034677689999995</v>
          </cell>
          <cell r="I354">
            <v>41.524637009999999</v>
          </cell>
          <cell r="J354">
            <v>41.139725240000004</v>
          </cell>
          <cell r="K354">
            <v>40.83831953</v>
          </cell>
          <cell r="L354">
            <v>40.454306209999999</v>
          </cell>
          <cell r="M354">
            <v>39.611298040000001</v>
          </cell>
          <cell r="N354">
            <v>38.842410460000004</v>
          </cell>
          <cell r="O354">
            <v>38.168255100000003</v>
          </cell>
          <cell r="P354">
            <v>37.613382969999996</v>
          </cell>
          <cell r="Q354">
            <v>37.192228630000002</v>
          </cell>
          <cell r="R354">
            <v>36.864428320000002</v>
          </cell>
          <cell r="S354">
            <v>36.60049686</v>
          </cell>
          <cell r="T354">
            <v>36.37787745</v>
          </cell>
          <cell r="U354">
            <v>36.180685700000005</v>
          </cell>
          <cell r="V354">
            <v>36.031914289999996</v>
          </cell>
          <cell r="W354">
            <v>35.909539880000004</v>
          </cell>
          <cell r="X354">
            <v>35.804223960000002</v>
          </cell>
          <cell r="Y354">
            <v>35.712950280000001</v>
          </cell>
          <cell r="Z354">
            <v>35.620586859999996</v>
          </cell>
          <cell r="AA354">
            <v>35.55089847</v>
          </cell>
          <cell r="AB354">
            <v>35.495800119999998</v>
          </cell>
          <cell r="AC354">
            <v>35.451424590000002</v>
          </cell>
          <cell r="AD354">
            <v>35.416732200000006</v>
          </cell>
          <cell r="AE354">
            <v>35.350747990000002</v>
          </cell>
          <cell r="AF354">
            <v>35.299856119999994</v>
          </cell>
          <cell r="AG354">
            <v>35.263654939999995</v>
          </cell>
          <cell r="AH354">
            <v>35.242536719999997</v>
          </cell>
          <cell r="AI354">
            <v>35.237950259999998</v>
          </cell>
          <cell r="AJ354">
            <v>35.252427149999995</v>
          </cell>
          <cell r="AK354">
            <v>35.289140490000001</v>
          </cell>
          <cell r="AL354">
            <v>35.351387159999994</v>
          </cell>
          <cell r="AM354">
            <v>35.443511430000001</v>
          </cell>
          <cell r="AN354">
            <v>35.571160679999998</v>
          </cell>
          <cell r="AO354">
            <v>35.742005939999999</v>
          </cell>
        </row>
        <row r="362">
          <cell r="F362">
            <v>21.78056273</v>
          </cell>
          <cell r="G362">
            <v>21.49067234</v>
          </cell>
          <cell r="H362">
            <v>21.363061870000003</v>
          </cell>
          <cell r="I362">
            <v>21.345359769999998</v>
          </cell>
          <cell r="J362">
            <v>21.419769760000001</v>
          </cell>
          <cell r="K362">
            <v>21.560580820000002</v>
          </cell>
          <cell r="L362">
            <v>21.736936530000001</v>
          </cell>
          <cell r="M362">
            <v>21.867390289999999</v>
          </cell>
          <cell r="N362">
            <v>21.99318323</v>
          </cell>
          <cell r="O362">
            <v>22.134513139999999</v>
          </cell>
          <cell r="P362">
            <v>22.29758945</v>
          </cell>
          <cell r="Q362">
            <v>22.493568549999999</v>
          </cell>
          <cell r="R362">
            <v>22.707734329999997</v>
          </cell>
          <cell r="S362">
            <v>22.924661960000002</v>
          </cell>
          <cell r="T362">
            <v>23.133833210000002</v>
          </cell>
          <cell r="U362">
            <v>23.329275539999998</v>
          </cell>
          <cell r="V362">
            <v>23.503006920000001</v>
          </cell>
          <cell r="W362">
            <v>23.659921489999999</v>
          </cell>
          <cell r="X362">
            <v>23.804073249999998</v>
          </cell>
          <cell r="Y362">
            <v>23.93837109</v>
          </cell>
          <cell r="Z362">
            <v>24.062827120000001</v>
          </cell>
          <cell r="AA362">
            <v>24.18307639</v>
          </cell>
          <cell r="AB362">
            <v>24.30185045</v>
          </cell>
          <cell r="AC362">
            <v>24.422320840000001</v>
          </cell>
          <cell r="AD362">
            <v>24.547264519999999</v>
          </cell>
          <cell r="AE362">
            <v>24.67231662</v>
          </cell>
          <cell r="AF362">
            <v>24.804335980000001</v>
          </cell>
          <cell r="AG362">
            <v>24.945515579999999</v>
          </cell>
          <cell r="AH362">
            <v>25.09900081</v>
          </cell>
          <cell r="AI362">
            <v>25.26784159</v>
          </cell>
          <cell r="AJ362">
            <v>25.453848420000003</v>
          </cell>
          <cell r="AK362">
            <v>25.65732487</v>
          </cell>
          <cell r="AL362">
            <v>25.877568829999998</v>
          </cell>
          <cell r="AM362">
            <v>26.113615410000001</v>
          </cell>
          <cell r="AN362">
            <v>26.364247210000002</v>
          </cell>
          <cell r="AO362">
            <v>26.627889920000001</v>
          </cell>
        </row>
        <row r="366">
          <cell r="F366">
            <v>26.32744194</v>
          </cell>
          <cell r="G366">
            <v>26.790760129999999</v>
          </cell>
          <cell r="H366">
            <v>27.31135789</v>
          </cell>
          <cell r="I366">
            <v>27.863346190000001</v>
          </cell>
          <cell r="J366">
            <v>28.45938932</v>
          </cell>
          <cell r="K366">
            <v>29.098285950000001</v>
          </cell>
          <cell r="L366">
            <v>29.75405992</v>
          </cell>
          <cell r="M366">
            <v>30.2476479</v>
          </cell>
          <cell r="N366">
            <v>30.702726779999999</v>
          </cell>
          <cell r="O366">
            <v>31.28569229</v>
          </cell>
          <cell r="P366">
            <v>31.88073911</v>
          </cell>
          <cell r="Q366">
            <v>32.378628820000003</v>
          </cell>
          <cell r="R366">
            <v>32.783556490000002</v>
          </cell>
          <cell r="S366">
            <v>33.119936029999998</v>
          </cell>
          <cell r="T366">
            <v>33.421389900000001</v>
          </cell>
          <cell r="U366">
            <v>33.710779760000001</v>
          </cell>
          <cell r="V366">
            <v>34.001202120000002</v>
          </cell>
          <cell r="W366">
            <v>34.313606270000001</v>
          </cell>
          <cell r="X366">
            <v>34.666018999999999</v>
          </cell>
          <cell r="Y366">
            <v>35.070089289999999</v>
          </cell>
          <cell r="Z366">
            <v>35.527701499999999</v>
          </cell>
          <cell r="AA366">
            <v>36.058275600000002</v>
          </cell>
          <cell r="AB366">
            <v>36.670159140000003</v>
          </cell>
          <cell r="AC366">
            <v>37.368593779999998</v>
          </cell>
          <cell r="AD366">
            <v>38.154751050000002</v>
          </cell>
          <cell r="AE366">
            <v>39.007466880000003</v>
          </cell>
          <cell r="AF366">
            <v>39.954617980000002</v>
          </cell>
          <cell r="AG366">
            <v>41.007558179999997</v>
          </cell>
          <cell r="AH366">
            <v>42.171183730000003</v>
          </cell>
          <cell r="AI366">
            <v>43.439758410000003</v>
          </cell>
          <cell r="AJ366">
            <v>44.802653540000001</v>
          </cell>
          <cell r="AK366">
            <v>46.253275520000003</v>
          </cell>
          <cell r="AL366">
            <v>47.790274320000002</v>
          </cell>
          <cell r="AM366">
            <v>49.413272589999998</v>
          </cell>
          <cell r="AN366">
            <v>51.123972270000003</v>
          </cell>
          <cell r="AO366">
            <v>52.927701380000002</v>
          </cell>
        </row>
        <row r="378">
          <cell r="F378">
            <v>4.8754571579999997</v>
          </cell>
          <cell r="G378">
            <v>4.929970215</v>
          </cell>
          <cell r="H378">
            <v>4.9965410290000003</v>
          </cell>
          <cell r="I378">
            <v>5.071356615</v>
          </cell>
          <cell r="J378">
            <v>5.1670653059999996</v>
          </cell>
          <cell r="K378">
            <v>5.2818388360000004</v>
          </cell>
          <cell r="L378">
            <v>5.4060120349999998</v>
          </cell>
          <cell r="M378">
            <v>5.4620133170000003</v>
          </cell>
          <cell r="N378">
            <v>5.4978872729999999</v>
          </cell>
          <cell r="O378">
            <v>5.5492284160000001</v>
          </cell>
          <cell r="P378">
            <v>5.601884944</v>
          </cell>
          <cell r="Q378">
            <v>5.6470757049999998</v>
          </cell>
          <cell r="R378">
            <v>5.6841359049999998</v>
          </cell>
          <cell r="S378">
            <v>5.7149207899999999</v>
          </cell>
          <cell r="T378">
            <v>5.7430537399999997</v>
          </cell>
          <cell r="U378">
            <v>5.7711457089999998</v>
          </cell>
          <cell r="V378">
            <v>5.7990842799999998</v>
          </cell>
          <cell r="W378">
            <v>5.8301038070000004</v>
          </cell>
          <cell r="X378">
            <v>5.8677454039999999</v>
          </cell>
          <cell r="Y378">
            <v>5.9148300569999996</v>
          </cell>
          <cell r="Z378">
            <v>5.9726872889999996</v>
          </cell>
          <cell r="AA378">
            <v>6.0449321429999996</v>
          </cell>
          <cell r="AB378">
            <v>6.1340517200000004</v>
          </cell>
          <cell r="AC378">
            <v>6.2419019039999997</v>
          </cell>
          <cell r="AD378">
            <v>6.3697437680000002</v>
          </cell>
          <cell r="AE378">
            <v>6.5154521169999997</v>
          </cell>
          <cell r="AF378">
            <v>6.6821551259999996</v>
          </cell>
          <cell r="AG378">
            <v>6.8737586210000003</v>
          </cell>
          <cell r="AH378">
            <v>7.0925303179999997</v>
          </cell>
          <cell r="AI378">
            <v>7.3390664289999998</v>
          </cell>
          <cell r="AJ378">
            <v>7.6131898150000001</v>
          </cell>
          <cell r="AK378">
            <v>7.9152102040000001</v>
          </cell>
          <cell r="AL378">
            <v>8.246334719</v>
          </cell>
          <cell r="AM378">
            <v>8.6085360929999997</v>
          </cell>
          <cell r="AN378">
            <v>9.005009051</v>
          </cell>
          <cell r="AO378">
            <v>9.4408292950000003</v>
          </cell>
        </row>
        <row r="390">
          <cell r="F390">
            <v>43.906102959999998</v>
          </cell>
          <cell r="G390">
            <v>44.522886389999996</v>
          </cell>
          <cell r="H390">
            <v>45.220709990000003</v>
          </cell>
          <cell r="I390">
            <v>45.906374810000003</v>
          </cell>
          <cell r="J390">
            <v>46.778420070000003</v>
          </cell>
          <cell r="K390">
            <v>47.822546809999999</v>
          </cell>
          <cell r="L390">
            <v>48.892880839999997</v>
          </cell>
          <cell r="M390">
            <v>49.039731019999998</v>
          </cell>
          <cell r="N390">
            <v>48.983378399999999</v>
          </cell>
          <cell r="O390">
            <v>49.186534979999998</v>
          </cell>
          <cell r="P390">
            <v>49.392307940000002</v>
          </cell>
          <cell r="Q390">
            <v>49.469221619999999</v>
          </cell>
          <cell r="R390">
            <v>49.429473139999999</v>
          </cell>
          <cell r="S390">
            <v>49.326290559999997</v>
          </cell>
          <cell r="T390">
            <v>49.228390140000002</v>
          </cell>
          <cell r="U390">
            <v>49.175596779999999</v>
          </cell>
          <cell r="V390">
            <v>49.18783956</v>
          </cell>
          <cell r="W390">
            <v>49.29004484</v>
          </cell>
          <cell r="X390">
            <v>49.507437869999997</v>
          </cell>
          <cell r="Y390">
            <v>49.85495306</v>
          </cell>
          <cell r="Z390">
            <v>50.338914430000003</v>
          </cell>
          <cell r="AA390">
            <v>50.979462339999998</v>
          </cell>
          <cell r="AB390">
            <v>51.79105929</v>
          </cell>
          <cell r="AC390">
            <v>52.780888969999999</v>
          </cell>
          <cell r="AD390">
            <v>53.949424479999998</v>
          </cell>
          <cell r="AE390">
            <v>55.279960690000003</v>
          </cell>
          <cell r="AF390">
            <v>56.7941097</v>
          </cell>
          <cell r="AG390">
            <v>58.521301610000002</v>
          </cell>
          <cell r="AH390">
            <v>60.47053184</v>
          </cell>
          <cell r="AI390">
            <v>62.630017160000001</v>
          </cell>
          <cell r="AJ390">
            <v>64.982340170000001</v>
          </cell>
          <cell r="AK390">
            <v>67.522704160000004</v>
          </cell>
          <cell r="AL390">
            <v>70.261189700000003</v>
          </cell>
          <cell r="AM390">
            <v>73.215884360000004</v>
          </cell>
          <cell r="AN390">
            <v>76.419698960000005</v>
          </cell>
          <cell r="AO390">
            <v>79.931752990000007</v>
          </cell>
        </row>
        <row r="402">
          <cell r="F402">
            <v>22.283835750000001</v>
          </cell>
          <cell r="G402">
            <v>22.39401393</v>
          </cell>
          <cell r="H402">
            <v>22.53571488</v>
          </cell>
          <cell r="I402">
            <v>22.67360377</v>
          </cell>
          <cell r="J402">
            <v>22.93948662</v>
          </cell>
          <cell r="K402">
            <v>23.31614957</v>
          </cell>
          <cell r="L402">
            <v>23.71652885</v>
          </cell>
          <cell r="M402">
            <v>23.701352020000002</v>
          </cell>
          <cell r="N402">
            <v>23.620589070000001</v>
          </cell>
          <cell r="O402">
            <v>23.609236729999999</v>
          </cell>
          <cell r="P402">
            <v>23.645982849999999</v>
          </cell>
          <cell r="Q402">
            <v>23.692341129999999</v>
          </cell>
          <cell r="R402">
            <v>23.732680370000001</v>
          </cell>
          <cell r="S402">
            <v>23.762454949999999</v>
          </cell>
          <cell r="T402">
            <v>23.788299729999999</v>
          </cell>
          <cell r="U402">
            <v>23.817595390000001</v>
          </cell>
          <cell r="V402">
            <v>23.852260919999999</v>
          </cell>
          <cell r="W402">
            <v>23.902181410000001</v>
          </cell>
          <cell r="X402">
            <v>23.978574989999998</v>
          </cell>
          <cell r="Y402">
            <v>24.09228075</v>
          </cell>
          <cell r="Z402">
            <v>24.245120119999999</v>
          </cell>
          <cell r="AA402">
            <v>24.460919109999999</v>
          </cell>
          <cell r="AB402">
            <v>24.74586626</v>
          </cell>
          <cell r="AC402">
            <v>25.106903580000001</v>
          </cell>
          <cell r="AD402">
            <v>25.549880569999999</v>
          </cell>
          <cell r="AE402">
            <v>26.055634099999999</v>
          </cell>
          <cell r="AF402">
            <v>26.66100303</v>
          </cell>
          <cell r="AG402">
            <v>27.372707250000001</v>
          </cell>
          <cell r="AH402">
            <v>28.197270700000001</v>
          </cell>
          <cell r="AI402">
            <v>29.136702809999999</v>
          </cell>
          <cell r="AJ402">
            <v>30.19134605</v>
          </cell>
          <cell r="AK402">
            <v>31.364777480000001</v>
          </cell>
          <cell r="AL402">
            <v>32.665448269999999</v>
          </cell>
          <cell r="AM402">
            <v>34.106131019999999</v>
          </cell>
          <cell r="AN402">
            <v>35.707990350000003</v>
          </cell>
          <cell r="AO402">
            <v>37.506647260000001</v>
          </cell>
        </row>
        <row r="414">
          <cell r="F414">
            <v>64.30144018</v>
          </cell>
          <cell r="G414">
            <v>63.915394169999999</v>
          </cell>
          <cell r="H414">
            <v>63.397739719999997</v>
          </cell>
          <cell r="I414">
            <v>62.869996999999998</v>
          </cell>
          <cell r="J414">
            <v>62.559495249999998</v>
          </cell>
          <cell r="K414">
            <v>62.398900599999997</v>
          </cell>
          <cell r="L414">
            <v>62.191242989999999</v>
          </cell>
          <cell r="M414">
            <v>61.970150259999997</v>
          </cell>
          <cell r="N414">
            <v>61.762053479999999</v>
          </cell>
          <cell r="O414">
            <v>61.577001899999999</v>
          </cell>
          <cell r="P414">
            <v>61.44439826</v>
          </cell>
          <cell r="Q414">
            <v>61.318140980000003</v>
          </cell>
          <cell r="R414">
            <v>61.198702509999997</v>
          </cell>
          <cell r="S414">
            <v>61.081690979999998</v>
          </cell>
          <cell r="T414">
            <v>60.961203060000003</v>
          </cell>
          <cell r="U414">
            <v>60.832167699999999</v>
          </cell>
          <cell r="V414">
            <v>60.777658459999998</v>
          </cell>
          <cell r="W414">
            <v>60.761390859999999</v>
          </cell>
          <cell r="X414">
            <v>60.760009619999998</v>
          </cell>
          <cell r="Y414">
            <v>60.760456920000003</v>
          </cell>
          <cell r="Z414">
            <v>60.739147109999998</v>
          </cell>
          <cell r="AA414">
            <v>60.722147460000002</v>
          </cell>
          <cell r="AB414">
            <v>60.706010130000003</v>
          </cell>
          <cell r="AC414">
            <v>60.6911542</v>
          </cell>
          <cell r="AD414">
            <v>60.679698100000003</v>
          </cell>
          <cell r="AE414">
            <v>60.626183660000002</v>
          </cell>
          <cell r="AF414">
            <v>60.584919229999997</v>
          </cell>
          <cell r="AG414">
            <v>60.558066169999996</v>
          </cell>
          <cell r="AH414">
            <v>60.548583069999999</v>
          </cell>
          <cell r="AI414">
            <v>60.559790579999998</v>
          </cell>
          <cell r="AJ414">
            <v>60.593959140000003</v>
          </cell>
          <cell r="AK414">
            <v>60.651763299999999</v>
          </cell>
          <cell r="AL414">
            <v>60.731072580000003</v>
          </cell>
          <cell r="AM414">
            <v>60.829091429999998</v>
          </cell>
          <cell r="AN414">
            <v>60.94264338</v>
          </cell>
          <cell r="AO414">
            <v>61.06810625</v>
          </cell>
        </row>
        <row r="415">
          <cell r="F415">
            <v>42.52087745</v>
          </cell>
          <cell r="G415">
            <v>42.424721820000002</v>
          </cell>
          <cell r="H415">
            <v>42.034677850000001</v>
          </cell>
          <cell r="I415">
            <v>41.524637240000004</v>
          </cell>
          <cell r="J415">
            <v>41.139725490000004</v>
          </cell>
          <cell r="K415">
            <v>40.83831979</v>
          </cell>
          <cell r="L415">
            <v>40.454306459999998</v>
          </cell>
          <cell r="M415">
            <v>40.03662413</v>
          </cell>
          <cell r="N415">
            <v>39.617483</v>
          </cell>
          <cell r="O415">
            <v>39.209630179999998</v>
          </cell>
          <cell r="P415">
            <v>38.842140130000004</v>
          </cell>
          <cell r="Q415">
            <v>38.480224</v>
          </cell>
          <cell r="R415">
            <v>38.130809899999996</v>
          </cell>
          <cell r="S415">
            <v>37.794980979999998</v>
          </cell>
          <cell r="T415">
            <v>37.470907170000004</v>
          </cell>
          <cell r="U415">
            <v>37.155776639999999</v>
          </cell>
          <cell r="V415">
            <v>36.922228079999996</v>
          </cell>
          <cell r="W415">
            <v>36.730550110000003</v>
          </cell>
          <cell r="X415">
            <v>36.557461050000001</v>
          </cell>
          <cell r="Y415">
            <v>36.390440359999999</v>
          </cell>
          <cell r="Z415">
            <v>36.208236419999999</v>
          </cell>
          <cell r="AA415">
            <v>36.032606689999994</v>
          </cell>
          <cell r="AB415">
            <v>35.858053409999997</v>
          </cell>
          <cell r="AC415">
            <v>35.682418900000002</v>
          </cell>
          <cell r="AD415">
            <v>35.505506179999998</v>
          </cell>
          <cell r="AE415">
            <v>35.286560130000005</v>
          </cell>
          <cell r="AF415">
            <v>35.072594549999998</v>
          </cell>
          <cell r="AG415">
            <v>34.863022600000001</v>
          </cell>
          <cell r="AH415">
            <v>34.65797792</v>
          </cell>
          <cell r="AI415">
            <v>34.458332779999999</v>
          </cell>
          <cell r="AJ415">
            <v>34.265161509999999</v>
          </cell>
          <cell r="AK415">
            <v>34.079327649999996</v>
          </cell>
          <cell r="AL415">
            <v>33.900041639999998</v>
          </cell>
          <cell r="AM415">
            <v>33.726749689999998</v>
          </cell>
          <cell r="AN415">
            <v>33.559186220000001</v>
          </cell>
          <cell r="AO415">
            <v>33.397128459999998</v>
          </cell>
        </row>
        <row r="423">
          <cell r="F423">
            <v>21.78056273</v>
          </cell>
          <cell r="G423">
            <v>21.49067234</v>
          </cell>
          <cell r="H423">
            <v>21.363061870000003</v>
          </cell>
          <cell r="I423">
            <v>21.345359760000001</v>
          </cell>
          <cell r="J423">
            <v>21.419769760000001</v>
          </cell>
          <cell r="K423">
            <v>21.560580820000002</v>
          </cell>
          <cell r="L423">
            <v>21.736936530000001</v>
          </cell>
          <cell r="M423">
            <v>21.93352612</v>
          </cell>
          <cell r="N423">
            <v>22.144570479999999</v>
          </cell>
          <cell r="O423">
            <v>22.367371719999998</v>
          </cell>
          <cell r="P423">
            <v>22.602258129999999</v>
          </cell>
          <cell r="Q423">
            <v>22.837916979999999</v>
          </cell>
          <cell r="R423">
            <v>23.067892609999998</v>
          </cell>
          <cell r="S423">
            <v>23.286709999999999</v>
          </cell>
          <cell r="T423">
            <v>23.490295879999998</v>
          </cell>
          <cell r="U423">
            <v>23.67639106</v>
          </cell>
          <cell r="V423">
            <v>23.855430379999998</v>
          </cell>
          <cell r="W423">
            <v>24.030840749999999</v>
          </cell>
          <cell r="X423">
            <v>24.202548579999998</v>
          </cell>
          <cell r="Y423">
            <v>24.37001656</v>
          </cell>
          <cell r="Z423">
            <v>24.5309107</v>
          </cell>
          <cell r="AA423">
            <v>24.689540770000001</v>
          </cell>
          <cell r="AB423">
            <v>24.847956719999999</v>
          </cell>
          <cell r="AC423">
            <v>25.008735290000001</v>
          </cell>
          <cell r="AD423">
            <v>25.174191920000002</v>
          </cell>
          <cell r="AE423">
            <v>25.339623530000001</v>
          </cell>
          <cell r="AF423">
            <v>25.512324679999999</v>
          </cell>
          <cell r="AG423">
            <v>25.695043569999999</v>
          </cell>
          <cell r="AH423">
            <v>25.890605140000002</v>
          </cell>
          <cell r="AI423">
            <v>26.101457800000002</v>
          </cell>
          <cell r="AJ423">
            <v>26.32879763</v>
          </cell>
          <cell r="AK423">
            <v>26.572435649999999</v>
          </cell>
          <cell r="AL423">
            <v>26.831030940000002</v>
          </cell>
          <cell r="AM423">
            <v>27.10234174</v>
          </cell>
          <cell r="AN423">
            <v>27.383457159999999</v>
          </cell>
          <cell r="AO423">
            <v>27.670977789999998</v>
          </cell>
        </row>
        <row r="427">
          <cell r="F427">
            <v>26.32744194</v>
          </cell>
          <cell r="G427">
            <v>26.790760129999999</v>
          </cell>
          <cell r="H427">
            <v>27.31135789</v>
          </cell>
          <cell r="I427">
            <v>27.863346190000001</v>
          </cell>
          <cell r="J427">
            <v>28.45938932</v>
          </cell>
          <cell r="K427">
            <v>29.098285950000001</v>
          </cell>
          <cell r="L427">
            <v>29.75405993</v>
          </cell>
          <cell r="M427">
            <v>30.415795809999999</v>
          </cell>
          <cell r="N427">
            <v>31.07944062</v>
          </cell>
          <cell r="O427">
            <v>31.744756089999999</v>
          </cell>
          <cell r="P427">
            <v>32.396535309999997</v>
          </cell>
          <cell r="Q427">
            <v>32.937502019999997</v>
          </cell>
          <cell r="R427">
            <v>33.387908850000002</v>
          </cell>
          <cell r="S427">
            <v>33.770476629999997</v>
          </cell>
          <cell r="T427">
            <v>34.110189640000002</v>
          </cell>
          <cell r="U427">
            <v>34.430094789999998</v>
          </cell>
          <cell r="V427">
            <v>34.763509480000003</v>
          </cell>
          <cell r="W427">
            <v>35.134420380000002</v>
          </cell>
          <cell r="X427">
            <v>35.55802748</v>
          </cell>
          <cell r="Y427">
            <v>36.041829960000001</v>
          </cell>
          <cell r="Z427">
            <v>36.58338809</v>
          </cell>
          <cell r="AA427">
            <v>37.197821769999997</v>
          </cell>
          <cell r="AB427">
            <v>37.889435560000003</v>
          </cell>
          <cell r="AC427">
            <v>38.661015120000002</v>
          </cell>
          <cell r="AD427">
            <v>39.511514849999998</v>
          </cell>
          <cell r="AE427">
            <v>40.416896340000001</v>
          </cell>
          <cell r="AF427">
            <v>41.398417989999999</v>
          </cell>
          <cell r="AG427">
            <v>42.45915677</v>
          </cell>
          <cell r="AH427">
            <v>43.598918339999997</v>
          </cell>
          <cell r="AI427">
            <v>44.806927999999999</v>
          </cell>
          <cell r="AJ427">
            <v>46.06681554</v>
          </cell>
          <cell r="AK427">
            <v>47.363546110000001</v>
          </cell>
          <cell r="AL427">
            <v>48.684948560000002</v>
          </cell>
          <cell r="AM427">
            <v>50.020127789999997</v>
          </cell>
          <cell r="AN427">
            <v>51.358716659999999</v>
          </cell>
          <cell r="AO427">
            <v>52.690568839999997</v>
          </cell>
        </row>
        <row r="439">
          <cell r="F439">
            <v>4.8754571579999997</v>
          </cell>
          <cell r="G439">
            <v>4.929970215</v>
          </cell>
          <cell r="H439">
            <v>4.9965410300000004</v>
          </cell>
          <cell r="I439">
            <v>5.0713566160000001</v>
          </cell>
          <cell r="J439">
            <v>5.1670653079999997</v>
          </cell>
          <cell r="K439">
            <v>5.2818388389999997</v>
          </cell>
          <cell r="L439">
            <v>5.4060120380000001</v>
          </cell>
          <cell r="M439">
            <v>5.533944687</v>
          </cell>
          <cell r="N439">
            <v>5.6634320000000002</v>
          </cell>
          <cell r="O439">
            <v>5.7935867720000003</v>
          </cell>
          <cell r="P439">
            <v>5.9210811730000001</v>
          </cell>
          <cell r="Q439">
            <v>6.0281199259999996</v>
          </cell>
          <cell r="R439">
            <v>6.1157675810000001</v>
          </cell>
          <cell r="S439">
            <v>6.1867168990000003</v>
          </cell>
          <cell r="T439">
            <v>6.2449528440000002</v>
          </cell>
          <cell r="U439">
            <v>6.2948319870000002</v>
          </cell>
          <cell r="V439">
            <v>6.3449862389999998</v>
          </cell>
          <cell r="W439">
            <v>6.4013109359999998</v>
          </cell>
          <cell r="X439">
            <v>6.4676007560000004</v>
          </cell>
          <cell r="Y439">
            <v>6.545955953</v>
          </cell>
          <cell r="Z439">
            <v>6.6365864219999997</v>
          </cell>
          <cell r="AA439">
            <v>6.7421585300000002</v>
          </cell>
          <cell r="AB439">
            <v>6.8641993469999996</v>
          </cell>
          <cell r="AC439">
            <v>7.0037166019999999</v>
          </cell>
          <cell r="AD439">
            <v>7.1610263310000004</v>
          </cell>
          <cell r="AE439">
            <v>7.3326496199999998</v>
          </cell>
          <cell r="AF439">
            <v>7.5215482930000004</v>
          </cell>
          <cell r="AG439">
            <v>7.7291298929999996</v>
          </cell>
          <cell r="AH439">
            <v>7.9558166559999997</v>
          </cell>
          <cell r="AI439">
            <v>8.1999461740000008</v>
          </cell>
          <cell r="AJ439">
            <v>8.4585541800000001</v>
          </cell>
          <cell r="AK439">
            <v>8.7285413199999997</v>
          </cell>
          <cell r="AL439">
            <v>9.0070261219999992</v>
          </cell>
          <cell r="AM439">
            <v>9.2911705480000002</v>
          </cell>
          <cell r="AN439">
            <v>9.5781120259999994</v>
          </cell>
          <cell r="AO439">
            <v>9.8649512389999998</v>
          </cell>
        </row>
        <row r="451">
          <cell r="F451">
            <v>43.906102990000001</v>
          </cell>
          <cell r="G451">
            <v>44.522886460000002</v>
          </cell>
          <cell r="H451">
            <v>45.220710109999999</v>
          </cell>
          <cell r="I451">
            <v>45.906374980000002</v>
          </cell>
          <cell r="J451">
            <v>46.778420279999999</v>
          </cell>
          <cell r="K451">
            <v>47.822547049999997</v>
          </cell>
          <cell r="L451">
            <v>48.892881099999997</v>
          </cell>
          <cell r="M451">
            <v>49.952073380000002</v>
          </cell>
          <cell r="N451">
            <v>50.995079259999997</v>
          </cell>
          <cell r="O451">
            <v>52.024044480000001</v>
          </cell>
          <cell r="P451">
            <v>52.991148250000002</v>
          </cell>
          <cell r="Q451">
            <v>53.69296336</v>
          </cell>
          <cell r="R451">
            <v>54.183460519999997</v>
          </cell>
          <cell r="S451">
            <v>54.520982760000003</v>
          </cell>
          <cell r="T451">
            <v>54.768768600000001</v>
          </cell>
          <cell r="U451">
            <v>54.98334775</v>
          </cell>
          <cell r="V451">
            <v>55.287783320000003</v>
          </cell>
          <cell r="W451">
            <v>55.723884679999998</v>
          </cell>
          <cell r="X451">
            <v>56.315486819999997</v>
          </cell>
          <cell r="Y451">
            <v>57.071577169999998</v>
          </cell>
          <cell r="Z451">
            <v>57.990686240000002</v>
          </cell>
          <cell r="AA451">
            <v>59.085359330000003</v>
          </cell>
          <cell r="AB451">
            <v>60.363450120000003</v>
          </cell>
          <cell r="AC451">
            <v>61.828708159999998</v>
          </cell>
          <cell r="AD451">
            <v>63.477797150000001</v>
          </cell>
          <cell r="AE451">
            <v>65.286927800000001</v>
          </cell>
          <cell r="AF451">
            <v>67.273321960000004</v>
          </cell>
          <cell r="AG451">
            <v>69.445170200000007</v>
          </cell>
          <cell r="AH451">
            <v>71.800848520000002</v>
          </cell>
          <cell r="AI451">
            <v>74.313204819999996</v>
          </cell>
          <cell r="AJ451">
            <v>76.943247400000004</v>
          </cell>
          <cell r="AK451">
            <v>79.655916160000004</v>
          </cell>
          <cell r="AL451">
            <v>82.422936620000002</v>
          </cell>
          <cell r="AM451">
            <v>85.218747230000005</v>
          </cell>
          <cell r="AN451">
            <v>88.018577039999997</v>
          </cell>
          <cell r="AO451">
            <v>90.797721390000007</v>
          </cell>
        </row>
        <row r="463">
          <cell r="F463">
            <v>22.283835799999999</v>
          </cell>
          <cell r="G463">
            <v>22.39401402</v>
          </cell>
          <cell r="H463">
            <v>22.535715020000001</v>
          </cell>
          <cell r="I463">
            <v>22.673603960000001</v>
          </cell>
          <cell r="J463">
            <v>22.939486850000002</v>
          </cell>
          <cell r="K463">
            <v>23.316149830000001</v>
          </cell>
          <cell r="L463">
            <v>23.716529120000001</v>
          </cell>
          <cell r="M463">
            <v>24.12674105</v>
          </cell>
          <cell r="N463">
            <v>24.54340779</v>
          </cell>
          <cell r="O463">
            <v>24.963728239999998</v>
          </cell>
          <cell r="P463">
            <v>25.38619778</v>
          </cell>
          <cell r="Q463">
            <v>25.738056669999999</v>
          </cell>
          <cell r="R463">
            <v>26.019811399999998</v>
          </cell>
          <cell r="S463">
            <v>26.236720949999999</v>
          </cell>
          <cell r="T463">
            <v>26.401549299999999</v>
          </cell>
          <cell r="U463">
            <v>26.530885779999998</v>
          </cell>
          <cell r="V463">
            <v>26.678983970000001</v>
          </cell>
          <cell r="W463">
            <v>26.85795147</v>
          </cell>
          <cell r="X463">
            <v>27.078387580000001</v>
          </cell>
          <cell r="Y463">
            <v>27.348688240000001</v>
          </cell>
          <cell r="Z463">
            <v>27.66624565</v>
          </cell>
          <cell r="AA463">
            <v>28.052725379999998</v>
          </cell>
          <cell r="AB463">
            <v>28.510323960000001</v>
          </cell>
          <cell r="AC463">
            <v>29.04344674</v>
          </cell>
          <cell r="AD463">
            <v>29.655180519999998</v>
          </cell>
          <cell r="AE463">
            <v>30.319165420000001</v>
          </cell>
          <cell r="AF463">
            <v>31.068429569999999</v>
          </cell>
          <cell r="AG463">
            <v>31.90057582</v>
          </cell>
          <cell r="AH463">
            <v>32.81480002</v>
          </cell>
          <cell r="AI463">
            <v>33.803637289999998</v>
          </cell>
          <cell r="AJ463">
            <v>34.854815680000002</v>
          </cell>
          <cell r="AK463">
            <v>35.954718640000003</v>
          </cell>
          <cell r="AL463">
            <v>37.089979919999998</v>
          </cell>
          <cell r="AM463">
            <v>38.247486449999997</v>
          </cell>
          <cell r="AN463">
            <v>39.414364689999999</v>
          </cell>
          <cell r="AO463">
            <v>40.578010650000003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4.3753489720188554E-8</v>
          </cell>
          <cell r="I1365">
            <v>0</v>
          </cell>
          <cell r="J1365">
            <v>0</v>
          </cell>
          <cell r="K1365">
            <v>4.0852699001447945E-8</v>
          </cell>
          <cell r="L1365">
            <v>0</v>
          </cell>
          <cell r="M1365">
            <v>-0.22447293389831202</v>
          </cell>
          <cell r="N1365">
            <v>-0.44998565847391703</v>
          </cell>
          <cell r="O1365">
            <v>-0.31155871233280452</v>
          </cell>
          <cell r="P1365">
            <v>-0.15348970215804947</v>
          </cell>
          <cell r="Q1365">
            <v>-2.127201360531128E-2</v>
          </cell>
          <cell r="R1365">
            <v>7.7440684455987174E-2</v>
          </cell>
          <cell r="S1365">
            <v>0.15697890314945173</v>
          </cell>
          <cell r="T1365">
            <v>0.23854084144154797</v>
          </cell>
          <cell r="U1365">
            <v>0.32121706620609203</v>
          </cell>
          <cell r="V1365">
            <v>0.37191657197921391</v>
          </cell>
          <cell r="W1365">
            <v>0.39674835781082773</v>
          </cell>
          <cell r="X1365">
            <v>0.40013283374020769</v>
          </cell>
          <cell r="Y1365">
            <v>0.38867068285952655</v>
          </cell>
          <cell r="Z1365">
            <v>0.36784433506447112</v>
          </cell>
          <cell r="AA1365">
            <v>0.34161791969982147</v>
          </cell>
          <cell r="AB1365">
            <v>0.31364512028309033</v>
          </cell>
          <cell r="AC1365">
            <v>0.28765467706639569</v>
          </cell>
          <cell r="AD1365">
            <v>0.26738408621846954</v>
          </cell>
          <cell r="AE1365">
            <v>0.25498225743192382</v>
          </cell>
          <cell r="AF1365">
            <v>0.25504352392853313</v>
          </cell>
          <cell r="AG1365">
            <v>0.26709399191231498</v>
          </cell>
          <cell r="AH1365">
            <v>0.29441473050619837</v>
          </cell>
          <cell r="AI1365">
            <v>0.34084422852052043</v>
          </cell>
          <cell r="AJ1365">
            <v>0.40915831826036086</v>
          </cell>
          <cell r="AK1365">
            <v>0.50069184493486407</v>
          </cell>
          <cell r="AL1365">
            <v>0.61634880712060358</v>
          </cell>
          <cell r="AM1365">
            <v>0.75743647553847548</v>
          </cell>
          <cell r="AN1365">
            <v>0.92546767978465283</v>
          </cell>
          <cell r="AO1365">
            <v>1.1216513993627775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-6.0996874218233188E-9</v>
          </cell>
          <cell r="I1366">
            <v>0</v>
          </cell>
          <cell r="J1366">
            <v>-5.8156368609729725E-9</v>
          </cell>
          <cell r="K1366">
            <v>0</v>
          </cell>
          <cell r="L1366">
            <v>0</v>
          </cell>
          <cell r="M1366">
            <v>-0.28740829915229194</v>
          </cell>
          <cell r="N1366">
            <v>-0.56948268299276128</v>
          </cell>
          <cell r="O1366">
            <v>-0.40032441510007288</v>
          </cell>
          <cell r="P1366">
            <v>-0.22826104255397883</v>
          </cell>
          <cell r="Q1366">
            <v>-0.10469901168774776</v>
          </cell>
          <cell r="R1366">
            <v>-3.449960558767895E-2</v>
          </cell>
          <cell r="S1366">
            <v>7.3745540138281385E-3</v>
          </cell>
          <cell r="T1366">
            <v>5.1666434918451465E-2</v>
          </cell>
          <cell r="U1366">
            <v>9.8723351166984941E-2</v>
          </cell>
          <cell r="V1366">
            <v>0.11032945646207715</v>
          </cell>
          <cell r="W1366">
            <v>9.5361458199305638E-2</v>
          </cell>
          <cell r="X1366">
            <v>5.8116383947348638E-2</v>
          </cell>
          <cell r="Y1366">
            <v>5.7072916017197883E-3</v>
          </cell>
          <cell r="Z1366">
            <v>-5.5763347753612358E-2</v>
          </cell>
          <cell r="AA1366">
            <v>-0.12120999125722065</v>
          </cell>
          <cell r="AB1366">
            <v>-0.18634427603819725</v>
          </cell>
          <cell r="AC1366">
            <v>-0.24710711826314569</v>
          </cell>
          <cell r="AD1366">
            <v>-0.29945990570229286</v>
          </cell>
          <cell r="AE1366">
            <v>-0.34146914164152609</v>
          </cell>
          <cell r="AF1366">
            <v>-0.36696541474323663</v>
          </cell>
          <cell r="AG1366">
            <v>-0.37670872437211012</v>
          </cell>
          <cell r="AH1366">
            <v>-0.36820101648253889</v>
          </cell>
          <cell r="AI1366">
            <v>-0.33837725408010222</v>
          </cell>
          <cell r="AJ1366">
            <v>-0.28531709336648836</v>
          </cell>
          <cell r="AK1366">
            <v>-0.20848650629790022</v>
          </cell>
          <cell r="AL1366">
            <v>-0.10806122046174149</v>
          </cell>
          <cell r="AM1366">
            <v>1.5424775696493143E-2</v>
          </cell>
          <cell r="AN1366">
            <v>0.16123403623435895</v>
          </cell>
          <cell r="AO1366">
            <v>0.32777482307573269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3.9901400149330416E-8</v>
          </cell>
          <cell r="M1367">
            <v>-2.2776848299618485E-2</v>
          </cell>
          <cell r="N1367">
            <v>-6.7440811530857084E-2</v>
          </cell>
          <cell r="O1367">
            <v>-3.5360785306948819E-2</v>
          </cell>
          <cell r="P1367">
            <v>8.3143089630283884E-2</v>
          </cell>
          <cell r="Q1367">
            <v>0.26037011455561931</v>
          </cell>
          <cell r="R1367">
            <v>0.48110809371676688</v>
          </cell>
          <cell r="S1367">
            <v>0.71459053804091788</v>
          </cell>
          <cell r="T1367">
            <v>0.94181908153168448</v>
          </cell>
          <cell r="U1367">
            <v>1.1538055376055112</v>
          </cell>
          <cell r="V1367">
            <v>1.3398583508013979</v>
          </cell>
          <cell r="W1367">
            <v>1.4906113512949781</v>
          </cell>
          <cell r="X1367">
            <v>1.6122076211418941</v>
          </cell>
          <cell r="Y1367">
            <v>1.7107913280858102</v>
          </cell>
          <cell r="Z1367">
            <v>1.7900381258181397</v>
          </cell>
          <cell r="AA1367">
            <v>1.8491638879083436</v>
          </cell>
          <cell r="AB1367">
            <v>1.8889391280539722</v>
          </cell>
          <cell r="AC1367">
            <v>1.9121387089655513</v>
          </cell>
          <cell r="AD1367">
            <v>1.9214367992704338</v>
          </cell>
          <cell r="AE1367">
            <v>1.9190792096066116</v>
          </cell>
          <cell r="AF1367">
            <v>1.9003822258065022</v>
          </cell>
          <cell r="AG1367">
            <v>1.8640613377059752</v>
          </cell>
          <cell r="AH1367">
            <v>1.8160709013147029</v>
          </cell>
          <cell r="AI1367">
            <v>1.7623604809879825</v>
          </cell>
          <cell r="AJ1367">
            <v>1.7069717835259062</v>
          </cell>
          <cell r="AK1367">
            <v>1.6505999161249816</v>
          </cell>
          <cell r="AL1367">
            <v>1.593550125388566</v>
          </cell>
          <cell r="AM1367">
            <v>1.5393928642582082</v>
          </cell>
          <cell r="AN1367">
            <v>1.492009215723302</v>
          </cell>
          <cell r="AO1367">
            <v>1.4543132248357626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8.7506974268332731E-10</v>
          </cell>
          <cell r="I1368">
            <v>1.7121225867987333E-9</v>
          </cell>
          <cell r="J1368">
            <v>2.0916140495153317E-9</v>
          </cell>
          <cell r="K1368">
            <v>2.0426353510590547E-9</v>
          </cell>
          <cell r="L1368">
            <v>2.7930985678692885E-9</v>
          </cell>
          <cell r="M1368">
            <v>-6.6196187633177819E-2</v>
          </cell>
          <cell r="N1368">
            <v>-0.11385530883051768</v>
          </cell>
          <cell r="O1368">
            <v>-0.13011759335138726</v>
          </cell>
          <cell r="P1368">
            <v>-0.12610183164749289</v>
          </cell>
          <cell r="Q1368">
            <v>-9.2540770919934692E-2</v>
          </cell>
          <cell r="R1368">
            <v>-5.365916301948067E-2</v>
          </cell>
          <cell r="S1368">
            <v>-2.1661275485749198E-2</v>
          </cell>
          <cell r="T1368">
            <v>1.2851791146669426E-3</v>
          </cell>
          <cell r="U1368">
            <v>1.6818704243373193E-2</v>
          </cell>
          <cell r="V1368">
            <v>1.3365620596801259E-2</v>
          </cell>
          <cell r="W1368">
            <v>2.8993871904507062E-3</v>
          </cell>
          <cell r="X1368">
            <v>-7.1725745690467335E-3</v>
          </cell>
          <cell r="Y1368">
            <v>-1.4285607732509264E-2</v>
          </cell>
          <cell r="Z1368">
            <v>-1.83906555445001E-2</v>
          </cell>
          <cell r="AA1368">
            <v>-2.0165839896301833E-2</v>
          </cell>
          <cell r="AB1368">
            <v>-2.0516148788793501E-2</v>
          </cell>
          <cell r="AC1368">
            <v>-1.9880532250457616E-2</v>
          </cell>
          <cell r="AD1368">
            <v>-1.8541289802198584E-2</v>
          </cell>
          <cell r="AE1368">
            <v>-1.6973800870439943E-2</v>
          </cell>
          <cell r="AF1368">
            <v>-1.5455018303294569E-2</v>
          </cell>
          <cell r="AG1368">
            <v>-1.4321239100941626E-2</v>
          </cell>
          <cell r="AH1368">
            <v>-1.3035109485534957E-2</v>
          </cell>
          <cell r="AI1368">
            <v>-1.1152096030258492E-2</v>
          </cell>
          <cell r="AJ1368">
            <v>-8.5123986282383424E-3</v>
          </cell>
          <cell r="AK1368">
            <v>-5.1880418284482987E-3</v>
          </cell>
          <cell r="AL1368">
            <v>-1.165730708408291E-3</v>
          </cell>
          <cell r="AM1368">
            <v>3.9291660092922696E-3</v>
          </cell>
          <cell r="AN1368">
            <v>1.0480051016419531E-2</v>
          </cell>
          <cell r="AO1368">
            <v>1.8692375236659429E-2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4.5496879916593708E-9</v>
          </cell>
          <cell r="G1370">
            <v>0</v>
          </cell>
          <cell r="H1370">
            <v>0</v>
          </cell>
          <cell r="I1370">
            <v>4.2803067784301251E-9</v>
          </cell>
          <cell r="J1370">
            <v>4.1832280990306635E-9</v>
          </cell>
          <cell r="K1370">
            <v>4.0852683241777045E-9</v>
          </cell>
          <cell r="L1370">
            <v>3.9901428020138379E-9</v>
          </cell>
          <cell r="M1370">
            <v>-5.3308995832319517E-2</v>
          </cell>
          <cell r="N1370">
            <v>-0.12179525511426306</v>
          </cell>
          <cell r="O1370">
            <v>-0.13584928284208264</v>
          </cell>
          <cell r="P1370">
            <v>-0.12044009292598806</v>
          </cell>
          <cell r="Q1370">
            <v>-8.9609888503138307E-2</v>
          </cell>
          <cell r="R1370">
            <v>-5.3161376050509912E-2</v>
          </cell>
          <cell r="S1370">
            <v>-1.305280483649276E-2</v>
          </cell>
          <cell r="T1370">
            <v>3.3856945115273394E-2</v>
          </cell>
          <cell r="U1370">
            <v>8.9184926202934237E-2</v>
          </cell>
          <cell r="V1370">
            <v>0.14397483936877029</v>
          </cell>
          <cell r="W1370">
            <v>0.1977596419546894</v>
          </cell>
          <cell r="X1370">
            <v>0.25214769072746124</v>
          </cell>
          <cell r="Y1370">
            <v>0.30946047005988941</v>
          </cell>
          <cell r="Z1370">
            <v>0.37203607899229862</v>
          </cell>
          <cell r="AA1370">
            <v>0.44136488320890227</v>
          </cell>
          <cell r="AB1370">
            <v>0.51885553516658789</v>
          </cell>
          <cell r="AC1370">
            <v>0.60596865656939269</v>
          </cell>
          <cell r="AD1370">
            <v>0.70413999942954175</v>
          </cell>
          <cell r="AE1370">
            <v>0.81492718744803017</v>
          </cell>
          <cell r="AF1370">
            <v>0.93856322943363291</v>
          </cell>
          <cell r="AG1370">
            <v>1.07416754605697</v>
          </cell>
          <cell r="AH1370">
            <v>1.2221215406605022</v>
          </cell>
          <cell r="AI1370">
            <v>1.3836300561132733</v>
          </cell>
          <cell r="AJ1370">
            <v>1.5602439360220033</v>
          </cell>
          <cell r="AK1370">
            <v>1.7533078173605479</v>
          </cell>
          <cell r="AL1370">
            <v>1.9643424748128218</v>
          </cell>
          <cell r="AM1370">
            <v>2.1959151746567249</v>
          </cell>
          <cell r="AN1370">
            <v>2.4516325073169818</v>
          </cell>
          <cell r="AO1370">
            <v>2.7362314956100002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-4.5496906399262041E-9</v>
          </cell>
          <cell r="G1372">
            <v>-4.465808454817137E-9</v>
          </cell>
          <cell r="H1372">
            <v>-4.3753499868102769E-9</v>
          </cell>
          <cell r="I1372">
            <v>-1.2840922826756713E-8</v>
          </cell>
          <cell r="J1372">
            <v>-8.3664610679795506E-9</v>
          </cell>
          <cell r="K1372">
            <v>-1.2255814484294733E-8</v>
          </cell>
          <cell r="L1372">
            <v>-1.5960566562920693E-8</v>
          </cell>
          <cell r="M1372">
            <v>-0.1483870819715073</v>
          </cell>
          <cell r="N1372">
            <v>-0.2607495804072737</v>
          </cell>
          <cell r="O1372">
            <v>-0.14034861071074589</v>
          </cell>
          <cell r="P1372">
            <v>-0.11619272066462744</v>
          </cell>
          <cell r="Q1372">
            <v>-0.19203223965779753</v>
          </cell>
          <cell r="R1372">
            <v>-0.35050602971386563</v>
          </cell>
          <cell r="S1372">
            <v>-0.54455884037025049</v>
          </cell>
          <cell r="T1372">
            <v>-0.73713520213110983</v>
          </cell>
          <cell r="U1372">
            <v>-0.92177343095124376</v>
          </cell>
          <cell r="V1372">
            <v>-1.1119166313323621</v>
          </cell>
          <cell r="W1372">
            <v>-1.2916226354388531</v>
          </cell>
          <cell r="X1372">
            <v>-1.464222455845007</v>
          </cell>
          <cell r="Y1372">
            <v>-1.6315810745965416</v>
          </cell>
          <cell r="Z1372">
            <v>-1.7942298543676136</v>
          </cell>
          <cell r="AA1372">
            <v>-1.9489108272699345</v>
          </cell>
          <cell r="AB1372">
            <v>-2.0941495281433724</v>
          </cell>
          <cell r="AC1372">
            <v>-2.2304526855716267</v>
          </cell>
          <cell r="AD1372">
            <v>-2.3581927294804577</v>
          </cell>
          <cell r="AE1372">
            <v>-2.4790241728708828</v>
          </cell>
          <cell r="AF1372">
            <v>-2.5839019150737408</v>
          </cell>
          <cell r="AG1372">
            <v>-2.6711348971324442</v>
          </cell>
          <cell r="AH1372">
            <v>-2.743777729491951</v>
          </cell>
          <cell r="AI1372">
            <v>-2.8051463085807438</v>
          </cell>
          <cell r="AJ1372">
            <v>-2.8580574012875561</v>
          </cell>
          <cell r="AK1372">
            <v>-2.9032159123318411</v>
          </cell>
          <cell r="AL1372">
            <v>-2.9415437699283506</v>
          </cell>
          <cell r="AM1372">
            <v>-2.9778715859199996</v>
          </cell>
          <cell r="AN1372">
            <v>-3.018174065213004</v>
          </cell>
          <cell r="AO1372">
            <v>-3.0688933210829799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3.9502383082048242E-8</v>
          </cell>
          <cell r="M1373">
            <v>-2.1514561834243925E-2</v>
          </cell>
          <cell r="N1373">
            <v>-6.3607375601562016E-2</v>
          </cell>
          <cell r="O1373">
            <v>-2.9778372462072555E-2</v>
          </cell>
          <cell r="P1373">
            <v>8.9145461153685837E-2</v>
          </cell>
          <cell r="Q1373">
            <v>0.26554736022362851</v>
          </cell>
          <cell r="R1373">
            <v>0.48416793803067354</v>
          </cell>
          <cell r="S1373">
            <v>0.71475821648921245</v>
          </cell>
          <cell r="T1373">
            <v>0.93878510438770502</v>
          </cell>
          <cell r="U1373">
            <v>1.1475583561964549</v>
          </cell>
          <cell r="V1373">
            <v>1.330756103131236</v>
          </cell>
          <cell r="W1373">
            <v>1.479352041947174</v>
          </cell>
          <cell r="X1373">
            <v>1.5993719221879577</v>
          </cell>
          <cell r="Y1373">
            <v>1.6967483288998824</v>
          </cell>
          <cell r="Z1373">
            <v>1.7749944634143917</v>
          </cell>
          <cell r="AA1373">
            <v>1.8332906312216475</v>
          </cell>
          <cell r="AB1373">
            <v>1.8723980014765096</v>
          </cell>
          <cell r="AC1373">
            <v>1.8950699083000855</v>
          </cell>
          <cell r="AD1373">
            <v>1.9039656089880417</v>
          </cell>
          <cell r="AE1373">
            <v>1.9013271763280715</v>
          </cell>
          <cell r="AF1373">
            <v>1.882610346747688</v>
          </cell>
          <cell r="AG1373">
            <v>1.8466449889519039</v>
          </cell>
          <cell r="AH1373">
            <v>1.79935162179432</v>
          </cell>
          <cell r="AI1373">
            <v>1.7466032553501376</v>
          </cell>
          <cell r="AJ1373">
            <v>1.6923777117684728</v>
          </cell>
          <cell r="AK1373">
            <v>1.6373667539390253</v>
          </cell>
          <cell r="AL1373">
            <v>1.5818912494972908</v>
          </cell>
          <cell r="AM1373">
            <v>1.5294782605866022</v>
          </cell>
          <cell r="AN1373">
            <v>1.4839449853129676</v>
          </cell>
          <cell r="AO1373">
            <v>1.4481511017070379</v>
          </cell>
        </row>
        <row r="1374">
          <cell r="E1374" t="str">
            <v>100*((I_2+CH_ccon_2-(I_0+CH_ccon_0))/GDP_0)</v>
          </cell>
          <cell r="F1374">
            <v>4.5496879916593708E-9</v>
          </cell>
          <cell r="G1374">
            <v>0</v>
          </cell>
          <cell r="H1374">
            <v>0</v>
          </cell>
          <cell r="I1374">
            <v>4.2803067784301251E-9</v>
          </cell>
          <cell r="J1374">
            <v>4.1832256640715517E-9</v>
          </cell>
          <cell r="K1374">
            <v>4.0852683241777045E-9</v>
          </cell>
          <cell r="L1374">
            <v>4.3891552241613579E-9</v>
          </cell>
          <cell r="M1374">
            <v>-5.4571282297689538E-2</v>
          </cell>
          <cell r="N1374">
            <v>-0.12562869104356256</v>
          </cell>
          <cell r="O1374">
            <v>-0.14143169568696323</v>
          </cell>
          <cell r="P1374">
            <v>-0.12644246444938578</v>
          </cell>
          <cell r="Q1374">
            <v>-9.4787134171147522E-2</v>
          </cell>
          <cell r="R1374">
            <v>-5.6221220364412551E-2</v>
          </cell>
          <cell r="S1374">
            <v>-1.3220483284783383E-2</v>
          </cell>
          <cell r="T1374">
            <v>3.68909222592489E-2</v>
          </cell>
          <cell r="U1374">
            <v>9.5432107611986561E-2</v>
          </cell>
          <cell r="V1374">
            <v>0.15307708703892822</v>
          </cell>
          <cell r="W1374">
            <v>0.20901895130250098</v>
          </cell>
          <cell r="X1374">
            <v>0.2649833896813974</v>
          </cell>
          <cell r="Y1374">
            <v>0.32350346924581369</v>
          </cell>
          <cell r="Z1374">
            <v>0.38707974139604306</v>
          </cell>
          <cell r="AA1374">
            <v>0.45723813989559148</v>
          </cell>
          <cell r="AB1374">
            <v>0.53539666174405365</v>
          </cell>
          <cell r="AC1374">
            <v>0.62303745723485826</v>
          </cell>
          <cell r="AD1374">
            <v>0.7216111897119305</v>
          </cell>
          <cell r="AE1374">
            <v>0.83267922072656742</v>
          </cell>
          <cell r="AF1374">
            <v>0.95633510849244363</v>
          </cell>
          <cell r="AG1374">
            <v>1.0915838948110417</v>
          </cell>
          <cell r="AH1374">
            <v>1.2388408201808878</v>
          </cell>
          <cell r="AI1374">
            <v>1.3993872817511182</v>
          </cell>
          <cell r="AJ1374">
            <v>1.5748380077794395</v>
          </cell>
          <cell r="AK1374">
            <v>1.7665409795465097</v>
          </cell>
          <cell r="AL1374">
            <v>1.9760013507040917</v>
          </cell>
          <cell r="AM1374">
            <v>2.2058297783283365</v>
          </cell>
          <cell r="AN1374">
            <v>2.4596967377273216</v>
          </cell>
          <cell r="AO1374">
            <v>2.7423936187387299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4.5496879916593708E-9</v>
          </cell>
          <cell r="G1375">
            <v>0</v>
          </cell>
          <cell r="H1375">
            <v>0</v>
          </cell>
          <cell r="I1375">
            <v>3.8522753531472109E-9</v>
          </cell>
          <cell r="J1375">
            <v>4.1832280990306635E-9</v>
          </cell>
          <cell r="K1375">
            <v>3.6767405405837726E-9</v>
          </cell>
          <cell r="L1375">
            <v>3.5911303798663179E-9</v>
          </cell>
          <cell r="M1375">
            <v>-5.0138869509523121E-2</v>
          </cell>
          <cell r="N1375">
            <v>-0.1152368439506006</v>
          </cell>
          <cell r="O1375">
            <v>-0.12689500302939632</v>
          </cell>
          <cell r="P1375">
            <v>-0.10981807216599654</v>
          </cell>
          <cell r="Q1375">
            <v>-7.8481767687152579E-2</v>
          </cell>
          <cell r="R1375">
            <v>-4.2390614684439887E-2</v>
          </cell>
          <cell r="S1375">
            <v>-3.2734863899870938E-3</v>
          </cell>
          <cell r="T1375">
            <v>4.2121158398430107E-2</v>
          </cell>
          <cell r="U1375">
            <v>9.5478828390517897E-2</v>
          </cell>
          <cell r="V1375">
            <v>0.14840351636876126</v>
          </cell>
          <cell r="W1375">
            <v>0.20041178152260439</v>
          </cell>
          <cell r="X1375">
            <v>0.25297377346620298</v>
          </cell>
          <cell r="Y1375">
            <v>0.30827394320158097</v>
          </cell>
          <cell r="Z1375">
            <v>0.3685551408479501</v>
          </cell>
          <cell r="AA1375">
            <v>0.43529457991870996</v>
          </cell>
          <cell r="AB1375">
            <v>0.50991416430577119</v>
          </cell>
          <cell r="AC1375">
            <v>0.59387303653000056</v>
          </cell>
          <cell r="AD1375">
            <v>0.68862070212838633</v>
          </cell>
          <cell r="AE1375">
            <v>0.79576800050716423</v>
          </cell>
          <cell r="AF1375">
            <v>0.91572622780098833</v>
          </cell>
          <cell r="AG1375">
            <v>1.0478237545334201</v>
          </cell>
          <cell r="AH1375">
            <v>1.1925120311759649</v>
          </cell>
          <cell r="AI1375">
            <v>1.351024798617195</v>
          </cell>
          <cell r="AJ1375">
            <v>1.5249341976553055</v>
          </cell>
          <cell r="AK1375">
            <v>1.7156457739902586</v>
          </cell>
          <cell r="AL1375">
            <v>1.9247439026790798</v>
          </cell>
          <cell r="AM1375">
            <v>2.1547903971624844</v>
          </cell>
          <cell r="AN1375">
            <v>2.4093581363485859</v>
          </cell>
          <cell r="AO1375">
            <v>2.6931442408526811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3.9901401891255918E-10</v>
          </cell>
          <cell r="M1376">
            <v>-1.2622864653712993E-3</v>
          </cell>
          <cell r="N1376">
            <v>-3.8334359292985353E-3</v>
          </cell>
          <cell r="O1376">
            <v>-5.5824128448778891E-3</v>
          </cell>
          <cell r="P1376">
            <v>-6.002371523398109E-3</v>
          </cell>
          <cell r="Q1376">
            <v>-5.1772456680105007E-3</v>
          </cell>
          <cell r="R1376">
            <v>-3.0598443139013671E-3</v>
          </cell>
          <cell r="S1376">
            <v>-1.6767844828937301E-4</v>
          </cell>
          <cell r="T1376">
            <v>3.0339771439782085E-3</v>
          </cell>
          <cell r="U1376">
            <v>6.2471814090520831E-3</v>
          </cell>
          <cell r="V1376">
            <v>9.1022476701590072E-3</v>
          </cell>
          <cell r="W1376">
            <v>1.1259309347809686E-2</v>
          </cell>
          <cell r="X1376">
            <v>1.2835698953934995E-2</v>
          </cell>
          <cell r="Y1376">
            <v>1.404299918592542E-2</v>
          </cell>
          <cell r="Z1376">
            <v>1.5043662403745543E-2</v>
          </cell>
          <cell r="AA1376">
            <v>1.5873256686690613E-2</v>
          </cell>
          <cell r="AB1376">
            <v>1.6541126577465922E-2</v>
          </cell>
          <cell r="AC1376">
            <v>1.7068800665465449E-2</v>
          </cell>
          <cell r="AD1376">
            <v>1.7471190282390733E-2</v>
          </cell>
          <cell r="AE1376">
            <v>1.7752033278537714E-2</v>
          </cell>
          <cell r="AF1376">
            <v>1.777187905881213E-2</v>
          </cell>
          <cell r="AG1376">
            <v>1.7416348754071751E-2</v>
          </cell>
          <cell r="AH1376">
            <v>1.6719279520386137E-2</v>
          </cell>
          <cell r="AI1376">
            <v>1.5757225637843219E-2</v>
          </cell>
          <cell r="AJ1376">
            <v>1.4594071757435757E-2</v>
          </cell>
          <cell r="AK1376">
            <v>1.3233162185959083E-2</v>
          </cell>
          <cell r="AL1376">
            <v>1.1658875891274529E-2</v>
          </cell>
          <cell r="AM1376">
            <v>9.9146036716085215E-3</v>
          </cell>
          <cell r="AN1376">
            <v>8.0642304103373721E-3</v>
          </cell>
          <cell r="AO1376">
            <v>6.1621231287282202E-3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4.2803080241632936E-10</v>
          </cell>
          <cell r="J1377">
            <v>0</v>
          </cell>
          <cell r="K1377">
            <v>4.0852718910883115E-10</v>
          </cell>
          <cell r="L1377">
            <v>3.99013873752101E-10</v>
          </cell>
          <cell r="M1377">
            <v>-3.1701263227966753E-3</v>
          </cell>
          <cell r="N1377">
            <v>-6.5584111636613693E-3</v>
          </cell>
          <cell r="O1377">
            <v>-8.9542798126866028E-3</v>
          </cell>
          <cell r="P1377">
            <v>-1.0622020759991262E-2</v>
          </cell>
          <cell r="Q1377">
            <v>-1.1128120815987021E-2</v>
          </cell>
          <cell r="R1377">
            <v>-1.0770761366070537E-2</v>
          </cell>
          <cell r="S1377">
            <v>-9.7793184465046652E-3</v>
          </cell>
          <cell r="T1377">
            <v>-8.264213283157941E-3</v>
          </cell>
          <cell r="U1377">
            <v>-6.2939021875846419E-3</v>
          </cell>
          <cell r="V1377">
            <v>-4.4286769999904918E-3</v>
          </cell>
          <cell r="W1377">
            <v>-2.6521395679130933E-3</v>
          </cell>
          <cell r="X1377">
            <v>-8.2608273874244624E-4</v>
          </cell>
          <cell r="Y1377">
            <v>1.1865268583091432E-3</v>
          </cell>
          <cell r="Z1377">
            <v>3.480938144347398E-3</v>
          </cell>
          <cell r="AA1377">
            <v>6.0703032901914308E-3</v>
          </cell>
          <cell r="AB1377">
            <v>8.9413708608177458E-3</v>
          </cell>
          <cell r="AC1377">
            <v>1.2095620039391849E-2</v>
          </cell>
          <cell r="AD1377">
            <v>1.5519297301153865E-2</v>
          </cell>
          <cell r="AE1377">
            <v>1.9159186940866425E-2</v>
          </cell>
          <cell r="AF1377">
            <v>2.2837001632643114E-2</v>
          </cell>
          <cell r="AG1377">
            <v>2.6343791523550306E-2</v>
          </cell>
          <cell r="AH1377">
            <v>2.9609509484537121E-2</v>
          </cell>
          <cell r="AI1377">
            <v>3.2605257496078975E-2</v>
          </cell>
          <cell r="AJ1377">
            <v>3.5309738366695986E-2</v>
          </cell>
          <cell r="AK1377">
            <v>3.7662043370288806E-2</v>
          </cell>
          <cell r="AL1377">
            <v>3.9598572133741565E-2</v>
          </cell>
          <cell r="AM1377">
            <v>4.1124777494241385E-2</v>
          </cell>
          <cell r="AN1377">
            <v>4.2274370968395591E-2</v>
          </cell>
          <cell r="AO1377">
            <v>4.3087254757314564E-2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7.2944672524499765E-8</v>
          </cell>
          <cell r="M1378">
            <v>-4.1600217243353832E-2</v>
          </cell>
          <cell r="N1378">
            <v>-0.12307243695606207</v>
          </cell>
          <cell r="O1378">
            <v>-6.447606739375944E-2</v>
          </cell>
          <cell r="P1378">
            <v>0.15140744043671273</v>
          </cell>
          <cell r="Q1378">
            <v>0.47270801276513286</v>
          </cell>
          <cell r="R1378">
            <v>0.8706333508144759</v>
          </cell>
          <cell r="S1378">
            <v>1.2895235273721717</v>
          </cell>
          <cell r="T1378">
            <v>1.6963451110024952</v>
          </cell>
          <cell r="U1378">
            <v>2.0765962805554317</v>
          </cell>
          <cell r="V1378">
            <v>2.4118835347498147</v>
          </cell>
          <cell r="W1378">
            <v>2.6863160539130959</v>
          </cell>
          <cell r="X1378">
            <v>2.9115847352047641</v>
          </cell>
          <cell r="Y1378">
            <v>3.0988634012617311</v>
          </cell>
          <cell r="Z1378">
            <v>3.2545556928747832</v>
          </cell>
          <cell r="AA1378">
            <v>3.3771129681860579</v>
          </cell>
          <cell r="AB1378">
            <v>3.4667005233605552</v>
          </cell>
          <cell r="AC1378">
            <v>3.5274860302820343</v>
          </cell>
          <cell r="AD1378">
            <v>3.5633808471680961</v>
          </cell>
          <cell r="AE1378">
            <v>3.5776194723213139</v>
          </cell>
          <cell r="AF1378">
            <v>3.5618983313596253</v>
          </cell>
          <cell r="AG1378">
            <v>3.5120373337519828</v>
          </cell>
          <cell r="AH1378">
            <v>3.4382843933229212</v>
          </cell>
          <cell r="AI1378">
            <v>3.3508068964925863</v>
          </cell>
          <cell r="AJ1378">
            <v>3.2566977186068824</v>
          </cell>
          <cell r="AK1378">
            <v>3.1573322933132753</v>
          </cell>
          <cell r="AL1378">
            <v>3.0537218058320548</v>
          </cell>
          <cell r="AM1378">
            <v>2.9532738644789225</v>
          </cell>
          <cell r="AN1378">
            <v>2.8640289208657466</v>
          </cell>
          <cell r="AO1378">
            <v>2.7921242116006439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2.81560552650717E-8</v>
          </cell>
          <cell r="I1379">
            <v>5.2940007932988919E-8</v>
          </cell>
          <cell r="J1379">
            <v>6.2804783595993285E-8</v>
          </cell>
          <cell r="K1379">
            <v>6.0253491085404676E-8</v>
          </cell>
          <cell r="L1379">
            <v>8.1958906328338799E-8</v>
          </cell>
          <cell r="M1379">
            <v>-1.9492631218791967</v>
          </cell>
          <cell r="N1379">
            <v>-3.3792898352549283</v>
          </cell>
          <cell r="O1379">
            <v>-3.8995607457527837</v>
          </cell>
          <cell r="P1379">
            <v>-3.8155370123864718</v>
          </cell>
          <cell r="Q1379">
            <v>-2.8258678268280879</v>
          </cell>
          <cell r="R1379">
            <v>-1.6548512490505263</v>
          </cell>
          <cell r="S1379">
            <v>-0.67535943953922484</v>
          </cell>
          <cell r="T1379">
            <v>4.0556777026523605E-2</v>
          </cell>
          <cell r="U1379">
            <v>0.53779630637968978</v>
          </cell>
          <cell r="V1379">
            <v>0.43223781977812514</v>
          </cell>
          <cell r="W1379">
            <v>9.4715645956866545E-2</v>
          </cell>
          <cell r="X1379">
            <v>-0.23671408770448155</v>
          </cell>
          <cell r="Y1379">
            <v>-0.47670692239073498</v>
          </cell>
          <cell r="Z1379">
            <v>-0.62134100230506473</v>
          </cell>
          <cell r="AA1379">
            <v>-0.69021355602225665</v>
          </cell>
          <cell r="AB1379">
            <v>-0.71163117495337547</v>
          </cell>
          <cell r="AC1379">
            <v>-0.6989599683102643</v>
          </cell>
          <cell r="AD1379">
            <v>-0.66075833920694604</v>
          </cell>
          <cell r="AE1379">
            <v>-0.61359880658696797</v>
          </cell>
          <cell r="AF1379">
            <v>-0.56650264735524924</v>
          </cell>
          <cell r="AG1379">
            <v>-0.53196843346962064</v>
          </cell>
          <cell r="AH1379">
            <v>-0.49036646145175222</v>
          </cell>
          <cell r="AI1379">
            <v>-0.42455677667453395</v>
          </cell>
          <cell r="AJ1379">
            <v>-0.32772159836176318</v>
          </cell>
          <cell r="AK1379">
            <v>-0.20190200027527805</v>
          </cell>
          <cell r="AL1379">
            <v>-4.5852448078265162E-2</v>
          </cell>
          <cell r="AM1379">
            <v>0.15622513413202643</v>
          </cell>
          <cell r="AN1379">
            <v>0.42135377038257094</v>
          </cell>
          <cell r="AO1379">
            <v>0.76030549992567309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2.115336794616951E-8</v>
          </cell>
          <cell r="G1381">
            <v>0</v>
          </cell>
          <cell r="H1381">
            <v>0</v>
          </cell>
          <cell r="I1381">
            <v>1.9885448843126596E-8</v>
          </cell>
          <cell r="J1381">
            <v>1.9385315574993456E-8</v>
          </cell>
          <cell r="K1381">
            <v>1.8870549567395756E-8</v>
          </cell>
          <cell r="L1381">
            <v>1.8357271258651053E-8</v>
          </cell>
          <cell r="M1381">
            <v>-0.2441670501066473</v>
          </cell>
          <cell r="N1381">
            <v>-0.55514595357987195</v>
          </cell>
          <cell r="O1381">
            <v>-0.61594876442270241</v>
          </cell>
          <cell r="P1381">
            <v>-0.54302085380317777</v>
          </cell>
          <cell r="Q1381">
            <v>-0.40117146917701962</v>
          </cell>
          <cell r="R1381">
            <v>-0.23625040886765536</v>
          </cell>
          <cell r="S1381">
            <v>-5.7570291521569228E-2</v>
          </cell>
          <cell r="T1381">
            <v>0.14818277048194162</v>
          </cell>
          <cell r="U1381">
            <v>0.38730045395478641</v>
          </cell>
          <cell r="V1381">
            <v>0.620341240068778</v>
          </cell>
          <cell r="W1381">
            <v>0.84535153812106412</v>
          </cell>
          <cell r="X1381">
            <v>1.0692484108862477</v>
          </cell>
          <cell r="Y1381">
            <v>1.3017727085730124</v>
          </cell>
          <cell r="Z1381">
            <v>1.5522317225519222</v>
          </cell>
          <cell r="AA1381">
            <v>1.8271245789449608</v>
          </cell>
          <cell r="AB1381">
            <v>2.1316289415888923</v>
          </cell>
          <cell r="AC1381">
            <v>2.4712904348701548</v>
          </cell>
          <cell r="AD1381">
            <v>2.8514337062215844</v>
          </cell>
          <cell r="AE1381">
            <v>3.276203724654736</v>
          </cell>
          <cell r="AF1381">
            <v>3.7487301046082777</v>
          </cell>
          <cell r="AG1381">
            <v>4.264356555666593</v>
          </cell>
          <cell r="AH1381">
            <v>4.8242314614114878</v>
          </cell>
          <cell r="AI1381">
            <v>5.4323255102281642</v>
          </cell>
          <cell r="AJ1381">
            <v>6.0937489714626647</v>
          </cell>
          <cell r="AK1381">
            <v>6.8127493566709774</v>
          </cell>
          <cell r="AL1381">
            <v>7.594126770571763</v>
          </cell>
          <cell r="AM1381">
            <v>8.4464603809242043</v>
          </cell>
          <cell r="AN1381">
            <v>9.3820049699481203</v>
          </cell>
          <cell r="AO1381">
            <v>10.416973200501257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2.3083135403112465E-8</v>
          </cell>
          <cell r="G1382">
            <v>0</v>
          </cell>
          <cell r="H1382">
            <v>0</v>
          </cell>
          <cell r="I1382">
            <v>1.950430927877278E-8</v>
          </cell>
          <cell r="J1382">
            <v>2.1112089854113947E-8</v>
          </cell>
          <cell r="K1382">
            <v>1.8482460006907786E-8</v>
          </cell>
          <cell r="L1382">
            <v>1.7964763010525076E-8</v>
          </cell>
          <cell r="M1382">
            <v>-0.24949021111032588</v>
          </cell>
          <cell r="N1382">
            <v>-0.57013328090516069</v>
          </cell>
          <cell r="O1382">
            <v>-0.62395457512318675</v>
          </cell>
          <cell r="P1382">
            <v>-0.53652289447638779</v>
          </cell>
          <cell r="Q1382">
            <v>-0.38045378754455461</v>
          </cell>
          <cell r="R1382">
            <v>-0.20387043860213838</v>
          </cell>
          <cell r="S1382">
            <v>-1.5617738787387925E-2</v>
          </cell>
          <cell r="T1382">
            <v>0.1993480883032861</v>
          </cell>
          <cell r="U1382">
            <v>0.44823408277052668</v>
          </cell>
          <cell r="V1382">
            <v>0.69107554105034552</v>
          </cell>
          <cell r="W1382">
            <v>0.92567466694639666</v>
          </cell>
          <cell r="X1382">
            <v>1.1588390677113036</v>
          </cell>
          <cell r="Y1382">
            <v>1.4004317996705096</v>
          </cell>
          <cell r="Z1382">
            <v>1.659984352154753</v>
          </cell>
          <cell r="AA1382">
            <v>1.9444780605250678</v>
          </cell>
          <cell r="AB1382">
            <v>2.2594593142533981</v>
          </cell>
          <cell r="AC1382">
            <v>2.6107883118068775</v>
          </cell>
          <cell r="AD1382">
            <v>3.0041407520102092</v>
          </cell>
          <cell r="AE1382">
            <v>3.4438342024288415</v>
          </cell>
          <cell r="AF1382">
            <v>3.9340853283397426</v>
          </cell>
          <cell r="AG1382">
            <v>4.4705626835945367</v>
          </cell>
          <cell r="AH1382">
            <v>5.0545820534604768</v>
          </cell>
          <cell r="AI1382">
            <v>5.6903750022020194</v>
          </cell>
          <cell r="AJ1382">
            <v>6.3834093493841504</v>
          </cell>
          <cell r="AK1382">
            <v>7.1384120297184328</v>
          </cell>
          <cell r="AL1382">
            <v>7.9607188370859783</v>
          </cell>
          <cell r="AM1382">
            <v>8.8594293744505883</v>
          </cell>
          <cell r="AN1382">
            <v>9.8474591590433924</v>
          </cell>
          <cell r="AO1382">
            <v>10.941924691109062</v>
          </cell>
        </row>
        <row r="1383">
          <cell r="E1383" t="str">
            <v>100*(X_2/X_0-1)</v>
          </cell>
          <cell r="F1383">
            <v>0</v>
          </cell>
          <cell r="G1383">
            <v>-1.527286075386769E-8</v>
          </cell>
          <cell r="H1383">
            <v>-1.4742240761478342E-8</v>
          </cell>
          <cell r="I1383">
            <v>-2.8493274406571345E-8</v>
          </cell>
          <cell r="J1383">
            <v>-1.3778578278333953E-8</v>
          </cell>
          <cell r="K1383">
            <v>-4.0001657541921531E-8</v>
          </cell>
          <cell r="L1383">
            <v>-3.8736247542914271E-8</v>
          </cell>
          <cell r="M1383">
            <v>-0.98361377133245886</v>
          </cell>
          <cell r="N1383">
            <v>-1.8334771526851923</v>
          </cell>
          <cell r="O1383">
            <v>-1.4464220106498393</v>
          </cell>
          <cell r="P1383">
            <v>-1.2276742975768973</v>
          </cell>
          <cell r="Q1383">
            <v>-1.2497075318590678</v>
          </cell>
          <cell r="R1383">
            <v>-1.5157875280070288</v>
          </cell>
          <cell r="S1383">
            <v>-1.8919316011749454</v>
          </cell>
          <cell r="T1383">
            <v>-2.2441292293815862</v>
          </cell>
          <cell r="U1383">
            <v>-2.5528537259647988</v>
          </cell>
          <cell r="V1383">
            <v>-2.9325273700513854</v>
          </cell>
          <cell r="W1383">
            <v>-3.3171586782141604</v>
          </cell>
          <cell r="X1383">
            <v>-3.6994432063344518</v>
          </cell>
          <cell r="Y1383">
            <v>-4.0741449467722068</v>
          </cell>
          <cell r="Z1383">
            <v>-4.4357955805785938</v>
          </cell>
          <cell r="AA1383">
            <v>-4.775705871735858</v>
          </cell>
          <cell r="AB1383">
            <v>-5.0873671301697954</v>
          </cell>
          <cell r="AC1383">
            <v>-5.3701040286462387</v>
          </cell>
          <cell r="AD1383">
            <v>-5.6237328897929206</v>
          </cell>
          <cell r="AE1383">
            <v>-5.8478458148005448</v>
          </cell>
          <cell r="AF1383">
            <v>-6.0201017664467944</v>
          </cell>
          <cell r="AG1383">
            <v>-6.1391479976017793</v>
          </cell>
          <cell r="AH1383">
            <v>-6.2100816754083077</v>
          </cell>
          <cell r="AI1383">
            <v>-6.2394687955418799</v>
          </cell>
          <cell r="AJ1383">
            <v>-6.2331344333598215</v>
          </cell>
          <cell r="AK1383">
            <v>-6.1915165358468638</v>
          </cell>
          <cell r="AL1383">
            <v>-6.1138726119061797</v>
          </cell>
          <cell r="AM1383">
            <v>-6.0061475315051354</v>
          </cell>
          <cell r="AN1383">
            <v>-5.8754977221271325</v>
          </cell>
          <cell r="AO1383">
            <v>-5.7288747945000047</v>
          </cell>
        </row>
        <row r="1384">
          <cell r="E1384" t="str">
            <v>100*(M_2/M_0-1)</v>
          </cell>
          <cell r="F1384">
            <v>1.526376802729601E-8</v>
          </cell>
          <cell r="G1384">
            <v>0</v>
          </cell>
          <cell r="H1384">
            <v>0</v>
          </cell>
          <cell r="I1384">
            <v>1.4261414271743433E-8</v>
          </cell>
          <cell r="J1384">
            <v>1.3878698190694649E-8</v>
          </cell>
          <cell r="K1384">
            <v>0</v>
          </cell>
          <cell r="L1384">
            <v>1.3118683916957252E-8</v>
          </cell>
          <cell r="M1384">
            <v>-0.51709290460385526</v>
          </cell>
          <cell r="N1384">
            <v>-1.0246739807016292</v>
          </cell>
          <cell r="O1384">
            <v>-1.0262390114843867</v>
          </cell>
          <cell r="P1384">
            <v>-0.88145854538866919</v>
          </cell>
          <cell r="Q1384">
            <v>-0.65456393121223755</v>
          </cell>
          <cell r="R1384">
            <v>-0.408492995560783</v>
          </cell>
          <cell r="S1384">
            <v>-0.15706132628523495</v>
          </cell>
          <cell r="T1384">
            <v>0.11515026290043195</v>
          </cell>
          <cell r="U1384">
            <v>0.40438552332826561</v>
          </cell>
          <cell r="V1384">
            <v>0.63878144482008015</v>
          </cell>
          <cell r="W1384">
            <v>0.83118798382058046</v>
          </cell>
          <cell r="X1384">
            <v>0.99736521207123285</v>
          </cell>
          <cell r="Y1384">
            <v>1.1470598145132183</v>
          </cell>
          <cell r="Z1384">
            <v>1.2842717352117061</v>
          </cell>
          <cell r="AA1384">
            <v>1.4095680586688308</v>
          </cell>
          <cell r="AB1384">
            <v>1.5228568135379206</v>
          </cell>
          <cell r="AC1384">
            <v>1.626616275690651</v>
          </cell>
          <cell r="AD1384">
            <v>1.7235966427776805</v>
          </cell>
          <cell r="AE1384">
            <v>1.8140549882287083</v>
          </cell>
          <cell r="AF1384">
            <v>1.9012874270223135</v>
          </cell>
          <cell r="AG1384">
            <v>1.9806146648939871</v>
          </cell>
          <cell r="AH1384">
            <v>2.059079974671163</v>
          </cell>
          <cell r="AI1384">
            <v>2.1452220003090661</v>
          </cell>
          <cell r="AJ1384">
            <v>2.2463876351993761</v>
          </cell>
          <cell r="AK1384">
            <v>2.3669623485825131</v>
          </cell>
          <cell r="AL1384">
            <v>2.5115800096775054</v>
          </cell>
          <cell r="AM1384">
            <v>2.6888626738295063</v>
          </cell>
          <cell r="AN1384">
            <v>2.9089298497154914</v>
          </cell>
          <cell r="AO1384">
            <v>3.1830377928319997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7.3295058911071465E-8</v>
          </cell>
          <cell r="M1385">
            <v>-3.9881631992999544E-2</v>
          </cell>
          <cell r="N1385">
            <v>-0.11780819042818136</v>
          </cell>
          <cell r="O1385">
            <v>-5.5106018071071627E-2</v>
          </cell>
          <cell r="P1385">
            <v>0.16475326809706203</v>
          </cell>
          <cell r="Q1385">
            <v>0.48927454596869868</v>
          </cell>
          <cell r="R1385">
            <v>0.88919434194456581</v>
          </cell>
          <cell r="S1385">
            <v>1.3090116882573666</v>
          </cell>
          <cell r="T1385">
            <v>1.7160691627922331</v>
          </cell>
          <cell r="U1385">
            <v>2.0961871013613909</v>
          </cell>
          <cell r="V1385">
            <v>2.431359693755164</v>
          </cell>
          <cell r="W1385">
            <v>2.7060626871176829</v>
          </cell>
          <cell r="X1385">
            <v>2.9319286356142449</v>
          </cell>
          <cell r="Y1385">
            <v>3.119894085888042</v>
          </cell>
          <cell r="Z1385">
            <v>3.2761454563259962</v>
          </cell>
          <cell r="AA1385">
            <v>3.3990279109548549</v>
          </cell>
          <cell r="AB1385">
            <v>3.4886902505645745</v>
          </cell>
          <cell r="AC1385">
            <v>3.5493233896393583</v>
          </cell>
          <cell r="AD1385">
            <v>3.5848752516965954</v>
          </cell>
          <cell r="AE1385">
            <v>3.5986321334816607</v>
          </cell>
          <cell r="AF1385">
            <v>3.5824242899633152</v>
          </cell>
          <cell r="AG1385">
            <v>3.5322536820172168</v>
          </cell>
          <cell r="AH1385">
            <v>3.4584839353584806</v>
          </cell>
          <cell r="AI1385">
            <v>3.3713153382781025</v>
          </cell>
          <cell r="AJ1385">
            <v>3.2778428712705976</v>
          </cell>
          <cell r="AK1385">
            <v>3.1794641195623807</v>
          </cell>
          <cell r="AL1385">
            <v>3.0772368124015514</v>
          </cell>
          <cell r="AM1385">
            <v>2.9785926683079555</v>
          </cell>
          <cell r="AN1385">
            <v>2.8915627980121261</v>
          </cell>
          <cell r="AO1385">
            <v>2.8222640653047248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2.0381429877147639E-8</v>
          </cell>
          <cell r="G1386">
            <v>0</v>
          </cell>
          <cell r="H1386">
            <v>0</v>
          </cell>
          <cell r="I1386">
            <v>1.916740099972003E-8</v>
          </cell>
          <cell r="J1386">
            <v>1.8687518199556052E-8</v>
          </cell>
          <cell r="K1386">
            <v>1.8193357931295395E-8</v>
          </cell>
          <cell r="L1386">
            <v>1.9471069201415503E-8</v>
          </cell>
          <cell r="M1386">
            <v>-0.24105293482533652</v>
          </cell>
          <cell r="N1386">
            <v>-0.55234372956445288</v>
          </cell>
          <cell r="O1386">
            <v>-0.61868008459033952</v>
          </cell>
          <cell r="P1386">
            <v>-0.55011680031608057</v>
          </cell>
          <cell r="Q1386">
            <v>-0.40955558578091855</v>
          </cell>
          <cell r="R1386">
            <v>-0.24117374384191592</v>
          </cell>
          <cell r="S1386">
            <v>-5.6293291806153167E-2</v>
          </cell>
          <cell r="T1386">
            <v>0.15590106322693753</v>
          </cell>
          <cell r="U1386">
            <v>0.40022472477545534</v>
          </cell>
          <cell r="V1386">
            <v>0.63706893597825776</v>
          </cell>
          <cell r="W1386">
            <v>0.86318796818347643</v>
          </cell>
          <cell r="X1386">
            <v>1.0858296132056022</v>
          </cell>
          <cell r="Y1386">
            <v>1.3153494681671374</v>
          </cell>
          <cell r="Z1386">
            <v>1.5614688968238033</v>
          </cell>
          <cell r="AA1386">
            <v>1.8306893202005847</v>
          </cell>
          <cell r="AB1386">
            <v>2.1281045013727296</v>
          </cell>
          <cell r="AC1386">
            <v>2.4592212224438414</v>
          </cell>
          <cell r="AD1386">
            <v>2.829303070860667</v>
          </cell>
          <cell r="AE1386">
            <v>3.2424389209910753</v>
          </cell>
          <cell r="AF1386">
            <v>3.7011863932401745</v>
          </cell>
          <cell r="AG1386">
            <v>4.2006160120107161</v>
          </cell>
          <cell r="AH1386">
            <v>4.7419924054302065</v>
          </cell>
          <cell r="AI1386">
            <v>5.3294466684147723</v>
          </cell>
          <cell r="AJ1386">
            <v>5.9681525189549278</v>
          </cell>
          <cell r="AK1386">
            <v>6.6622211466671466</v>
          </cell>
          <cell r="AL1386">
            <v>7.4162410073250529</v>
          </cell>
          <cell r="AM1386">
            <v>8.2387040522055255</v>
          </cell>
          <cell r="AN1386">
            <v>9.1417593370998862</v>
          </cell>
          <cell r="AO1386">
            <v>10.141375080072468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4.9511728050788406E-8</v>
          </cell>
          <cell r="M1387">
            <v>-0.15666729461765172</v>
          </cell>
          <cell r="N1387">
            <v>-0.47600433059287184</v>
          </cell>
          <cell r="O1387">
            <v>-0.69351789906517691</v>
          </cell>
          <cell r="P1387">
            <v>-0.74562348576279192</v>
          </cell>
          <cell r="Q1387">
            <v>-0.64166502502142064</v>
          </cell>
          <cell r="R1387">
            <v>-0.37805238376699135</v>
          </cell>
          <cell r="S1387">
            <v>-2.0645146508568857E-2</v>
          </cell>
          <cell r="T1387">
            <v>0.3722963289835679</v>
          </cell>
          <cell r="U1387">
            <v>0.76436093299943053</v>
          </cell>
          <cell r="V1387">
            <v>1.1108902264057363</v>
          </cell>
          <cell r="W1387">
            <v>1.3714292016427487</v>
          </cell>
          <cell r="X1387">
            <v>1.5615137837726278</v>
          </cell>
          <cell r="Y1387">
            <v>1.7078684826941082</v>
          </cell>
          <cell r="Z1387">
            <v>1.8309225207528979</v>
          </cell>
          <cell r="AA1387">
            <v>1.9356990206118363</v>
          </cell>
          <cell r="AB1387">
            <v>2.0231759762047163</v>
          </cell>
          <cell r="AC1387">
            <v>2.0958414684596693</v>
          </cell>
          <cell r="AD1387">
            <v>2.1551664225299527</v>
          </cell>
          <cell r="AE1387">
            <v>2.2010809468525405</v>
          </cell>
          <cell r="AF1387">
            <v>2.2165571174370235</v>
          </cell>
          <cell r="AG1387">
            <v>2.1856739968383554</v>
          </cell>
          <cell r="AH1387">
            <v>2.1112279999657924</v>
          </cell>
          <cell r="AI1387">
            <v>2.0013280496060437</v>
          </cell>
          <cell r="AJ1387">
            <v>1.8630224340652424</v>
          </cell>
          <cell r="AK1387">
            <v>1.6963207794027158</v>
          </cell>
          <cell r="AL1387">
            <v>1.4992581929841098</v>
          </cell>
          <cell r="AM1387">
            <v>1.2777578626000929</v>
          </cell>
          <cell r="AN1387">
            <v>1.0406234970917083</v>
          </cell>
          <cell r="AO1387">
            <v>0.79553818007858101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2.4129054310151332E-8</v>
          </cell>
          <cell r="J1388">
            <v>0</v>
          </cell>
          <cell r="K1388">
            <v>2.3267765492107628E-8</v>
          </cell>
          <cell r="L1388">
            <v>2.2850898950821374E-8</v>
          </cell>
          <cell r="M1388">
            <v>-0.1825611376618852</v>
          </cell>
          <cell r="N1388">
            <v>-0.37974482628592154</v>
          </cell>
          <cell r="O1388">
            <v>-0.52118208171481051</v>
          </cell>
          <cell r="P1388">
            <v>-0.62074759198397222</v>
          </cell>
          <cell r="Q1388">
            <v>-0.65130377127313732</v>
          </cell>
          <cell r="R1388">
            <v>-0.63015945719095967</v>
          </cell>
          <cell r="S1388">
            <v>-0.57096836698539155</v>
          </cell>
          <cell r="T1388">
            <v>-0.48085592444840897</v>
          </cell>
          <cell r="U1388">
            <v>-0.36460721125660678</v>
          </cell>
          <cell r="V1388">
            <v>-0.25530055107113592</v>
          </cell>
          <cell r="W1388">
            <v>-0.15212210091400946</v>
          </cell>
          <cell r="X1388">
            <v>-4.7155211043059531E-2</v>
          </cell>
          <cell r="Y1388">
            <v>6.7437097226452636E-2</v>
          </cell>
          <cell r="Z1388">
            <v>0.19716531954758754</v>
          </cell>
          <cell r="AA1388">
            <v>0.34294254705720117</v>
          </cell>
          <cell r="AB1388">
            <v>0.50435663327426106</v>
          </cell>
          <cell r="AC1388">
            <v>0.6820398587241927</v>
          </cell>
          <cell r="AD1388">
            <v>0.87587638126129796</v>
          </cell>
          <cell r="AE1388">
            <v>1.0842196104549284</v>
          </cell>
          <cell r="AF1388">
            <v>1.2974786875366684</v>
          </cell>
          <cell r="AG1388">
            <v>1.5043766468862296</v>
          </cell>
          <cell r="AH1388">
            <v>1.7014164315375835</v>
          </cell>
          <cell r="AI1388">
            <v>1.8868480342568272</v>
          </cell>
          <cell r="AJ1388">
            <v>2.0588969481817099</v>
          </cell>
          <cell r="AK1388">
            <v>2.2132154994139563</v>
          </cell>
          <cell r="AL1388">
            <v>2.3450746877827111</v>
          </cell>
          <cell r="AM1388">
            <v>2.4536690735230904</v>
          </cell>
          <cell r="AN1388">
            <v>2.5398835956130128</v>
          </cell>
          <cell r="AO1388">
            <v>2.6050754611690818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6.8074101911008711E-8</v>
          </cell>
          <cell r="I1389">
            <v>1.3032042112115505E-7</v>
          </cell>
          <cell r="J1389">
            <v>1.2472698429633056E-7</v>
          </cell>
          <cell r="K1389">
            <v>5.9600391288938681E-8</v>
          </cell>
          <cell r="L1389">
            <v>1.1385086207127415E-7</v>
          </cell>
          <cell r="M1389">
            <v>0.82423602634911219</v>
          </cell>
          <cell r="N1389">
            <v>1.4969734583282213</v>
          </cell>
          <cell r="O1389">
            <v>2.5271261760267283</v>
          </cell>
          <cell r="P1389">
            <v>3.8496272470884829</v>
          </cell>
          <cell r="Q1389">
            <v>5.097354926315667</v>
          </cell>
          <cell r="R1389">
            <v>6.3723535072485404</v>
          </cell>
          <cell r="S1389">
            <v>7.6076288976465678</v>
          </cell>
          <cell r="T1389">
            <v>8.7778679024871806</v>
          </cell>
          <cell r="U1389">
            <v>9.8671816551245897</v>
          </cell>
          <cell r="V1389">
            <v>10.989225343150766</v>
          </cell>
          <cell r="W1389">
            <v>12.043169420796707</v>
          </cell>
          <cell r="X1389">
            <v>13.023228127373576</v>
          </cell>
          <cell r="Y1389">
            <v>13.915903098206606</v>
          </cell>
          <cell r="Z1389">
            <v>14.707336389856707</v>
          </cell>
          <cell r="AA1389">
            <v>15.383371371298683</v>
          </cell>
          <cell r="AB1389">
            <v>15.938081245852032</v>
          </cell>
          <cell r="AC1389">
            <v>16.365341076965123</v>
          </cell>
          <cell r="AD1389">
            <v>16.660185222600088</v>
          </cell>
          <cell r="AE1389">
            <v>16.821567135153682</v>
          </cell>
          <cell r="AF1389">
            <v>16.854613401601636</v>
          </cell>
          <cell r="AG1389">
            <v>16.779102499619469</v>
          </cell>
          <cell r="AH1389">
            <v>16.611959878602644</v>
          </cell>
          <cell r="AI1389">
            <v>16.367879622713531</v>
          </cell>
          <cell r="AJ1389">
            <v>16.060613306347136</v>
          </cell>
          <cell r="AK1389">
            <v>15.707073244859359</v>
          </cell>
          <cell r="AL1389">
            <v>15.328076143696489</v>
          </cell>
          <cell r="AM1389">
            <v>14.943476146160318</v>
          </cell>
          <cell r="AN1389">
            <v>14.570280825714388</v>
          </cell>
          <cell r="AO1389">
            <v>14.222567082061488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-2.790581099532119E-8</v>
          </cell>
          <cell r="I1390">
            <v>3.6354741439481586E-8</v>
          </cell>
          <cell r="J1390">
            <v>1.2472698429633056E-7</v>
          </cell>
          <cell r="K1390">
            <v>-3.0596081224132377E-8</v>
          </cell>
          <cell r="L1390">
            <v>2.5627366895264458E-8</v>
          </cell>
          <cell r="M1390">
            <v>-6.2497795197091754E-2</v>
          </cell>
          <cell r="N1390">
            <v>-0.16108813934925248</v>
          </cell>
          <cell r="O1390">
            <v>-2.8100554357690655E-2</v>
          </cell>
          <cell r="P1390">
            <v>0.25986333652052718</v>
          </cell>
          <cell r="Q1390">
            <v>0.62290823154815822</v>
          </cell>
          <cell r="R1390">
            <v>1.0524158917454951</v>
          </cell>
          <cell r="S1390">
            <v>1.4816682394223291</v>
          </cell>
          <cell r="T1390">
            <v>1.8929613575701119</v>
          </cell>
          <cell r="U1390">
            <v>2.2812901228964613</v>
          </cell>
          <cell r="V1390">
            <v>2.6270742901398414</v>
          </cell>
          <cell r="W1390">
            <v>2.910709138661316</v>
          </cell>
          <cell r="X1390">
            <v>3.1575316669164568</v>
          </cell>
          <cell r="Y1390">
            <v>3.3746304036166741</v>
          </cell>
          <cell r="Z1390">
            <v>3.5626683430975525</v>
          </cell>
          <cell r="AA1390">
            <v>3.7130889602141401</v>
          </cell>
          <cell r="AB1390">
            <v>3.8259360858813327</v>
          </cell>
          <cell r="AC1390">
            <v>3.9066219605521155</v>
          </cell>
          <cell r="AD1390">
            <v>3.9580316884227251</v>
          </cell>
          <cell r="AE1390">
            <v>3.98268512617026</v>
          </cell>
          <cell r="AF1390">
            <v>3.9652444970914349</v>
          </cell>
          <cell r="AG1390">
            <v>3.9052398702048343</v>
          </cell>
          <cell r="AH1390">
            <v>3.8220988677955194</v>
          </cell>
          <cell r="AI1390">
            <v>3.7260281094622076</v>
          </cell>
          <cell r="AJ1390">
            <v>3.6227949914007453</v>
          </cell>
          <cell r="AK1390">
            <v>3.5112877352494678</v>
          </cell>
          <cell r="AL1390">
            <v>3.3935447998040704</v>
          </cell>
          <cell r="AM1390">
            <v>3.2817456681564448</v>
          </cell>
          <cell r="AN1390">
            <v>3.1847660332875005</v>
          </cell>
          <cell r="AO1390">
            <v>3.108053443387071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6.8074101911008711E-8</v>
          </cell>
          <cell r="I1391">
            <v>9.4650287607578321E-8</v>
          </cell>
          <cell r="J1391">
            <v>1.2472698429633056E-7</v>
          </cell>
          <cell r="K1391">
            <v>5.9600391288938681E-8</v>
          </cell>
          <cell r="L1391">
            <v>1.1385086207127415E-7</v>
          </cell>
          <cell r="M1391">
            <v>0.89848044056516363</v>
          </cell>
          <cell r="N1391">
            <v>1.6940419675658069</v>
          </cell>
          <cell r="O1391">
            <v>2.6782426462938824</v>
          </cell>
          <cell r="P1391">
            <v>3.8407196797033638</v>
          </cell>
          <cell r="Q1391">
            <v>4.9028717447366477</v>
          </cell>
          <cell r="R1391">
            <v>6.0187127671018859</v>
          </cell>
          <cell r="S1391">
            <v>7.135292522855452</v>
          </cell>
          <cell r="T1391">
            <v>8.2161922898307491</v>
          </cell>
          <cell r="U1391">
            <v>9.2345132625889725</v>
          </cell>
          <cell r="V1391">
            <v>10.304822409640257</v>
          </cell>
          <cell r="W1391">
            <v>11.327365238658981</v>
          </cell>
          <cell r="X1391">
            <v>12.29646140530094</v>
          </cell>
          <cell r="Y1391">
            <v>13.196134115488523</v>
          </cell>
          <cell r="Z1391">
            <v>14.008342381520155</v>
          </cell>
          <cell r="AA1391">
            <v>14.713990663540889</v>
          </cell>
          <cell r="AB1391">
            <v>15.301805300799611</v>
          </cell>
          <cell r="AC1391">
            <v>15.760511312486013</v>
          </cell>
          <cell r="AD1391">
            <v>16.080101138106272</v>
          </cell>
          <cell r="AE1391">
            <v>16.255068407912088</v>
          </cell>
          <cell r="AF1391">
            <v>16.284662699554374</v>
          </cell>
          <cell r="AG1391">
            <v>16.183106225914699</v>
          </cell>
          <cell r="AH1391">
            <v>15.962213996776175</v>
          </cell>
          <cell r="AI1391">
            <v>15.631576343946117</v>
          </cell>
          <cell r="AJ1391">
            <v>15.200146408208923</v>
          </cell>
          <cell r="AK1391">
            <v>14.680295311312429</v>
          </cell>
          <cell r="AL1391">
            <v>14.088317937272542</v>
          </cell>
          <cell r="AM1391">
            <v>13.439649002732846</v>
          </cell>
          <cell r="AN1391">
            <v>12.746486546669411</v>
          </cell>
          <cell r="AO1391">
            <v>12.017180071222988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0</v>
          </cell>
          <cell r="H1392">
            <v>-2.790581099532119E-8</v>
          </cell>
          <cell r="I1392">
            <v>6.8460792590485653E-10</v>
          </cell>
          <cell r="J1392">
            <v>1.2472698429633056E-7</v>
          </cell>
          <cell r="K1392">
            <v>-3.0596081224132377E-8</v>
          </cell>
          <cell r="L1392">
            <v>2.5627366895264458E-8</v>
          </cell>
          <cell r="M1392">
            <v>1.1746619018959681E-2</v>
          </cell>
          <cell r="N1392">
            <v>3.5980369888333197E-2</v>
          </cell>
          <cell r="O1392">
            <v>0.12301591590946348</v>
          </cell>
          <cell r="P1392">
            <v>0.25095576913540807</v>
          </cell>
          <cell r="Q1392">
            <v>0.42842504996913888</v>
          </cell>
          <cell r="R1392">
            <v>0.69877515159884052</v>
          </cell>
          <cell r="S1392">
            <v>1.0093318646312133</v>
          </cell>
          <cell r="T1392">
            <v>1.3312857449136803</v>
          </cell>
          <cell r="U1392">
            <v>1.6486217303608441</v>
          </cell>
          <cell r="V1392">
            <v>1.942671356629333</v>
          </cell>
          <cell r="W1392">
            <v>2.1949049565235903</v>
          </cell>
          <cell r="X1392">
            <v>2.4307649448438209</v>
          </cell>
          <cell r="Y1392">
            <v>2.654861420898591</v>
          </cell>
          <cell r="Z1392">
            <v>2.8636743347610008</v>
          </cell>
          <cell r="AA1392">
            <v>3.0437082524563461</v>
          </cell>
          <cell r="AB1392">
            <v>3.1896601408289111</v>
          </cell>
          <cell r="AC1392">
            <v>3.3017921960730057</v>
          </cell>
          <cell r="AD1392">
            <v>3.3779476039289094</v>
          </cell>
          <cell r="AE1392">
            <v>3.4161863989286658</v>
          </cell>
          <cell r="AF1392">
            <v>3.3952937950441733</v>
          </cell>
          <cell r="AG1392">
            <v>3.3092435965000639</v>
          </cell>
          <cell r="AH1392">
            <v>3.1723529859690505</v>
          </cell>
          <cell r="AI1392">
            <v>2.9897248306947937</v>
          </cell>
          <cell r="AJ1392">
            <v>2.762328093262532</v>
          </cell>
          <cell r="AK1392">
            <v>2.4845098017025382</v>
          </cell>
          <cell r="AL1392">
            <v>2.1537865933801239</v>
          </cell>
          <cell r="AM1392">
            <v>1.7779185247289728</v>
          </cell>
          <cell r="AN1392">
            <v>1.3609717542425237</v>
          </cell>
          <cell r="AO1392">
            <v>0.90266643254857115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-2.790581099532119E-8</v>
          </cell>
          <cell r="I1394">
            <v>3.6354741439481586E-8</v>
          </cell>
          <cell r="J1394">
            <v>1.2472698429633056E-7</v>
          </cell>
          <cell r="K1394">
            <v>-3.0596081224132377E-8</v>
          </cell>
          <cell r="L1394">
            <v>2.5627366895264458E-8</v>
          </cell>
          <cell r="M1394">
            <v>-6.2497795197091754E-2</v>
          </cell>
          <cell r="N1394">
            <v>-0.16108813934925248</v>
          </cell>
          <cell r="O1394">
            <v>-2.8100554357690655E-2</v>
          </cell>
          <cell r="P1394">
            <v>0.25986333652052718</v>
          </cell>
          <cell r="Q1394">
            <v>0.62290823154815822</v>
          </cell>
          <cell r="R1394">
            <v>1.0524158917454951</v>
          </cell>
          <cell r="S1394">
            <v>1.4816682394223291</v>
          </cell>
          <cell r="T1394">
            <v>1.8929613575701119</v>
          </cell>
          <cell r="U1394">
            <v>2.2812901228964613</v>
          </cell>
          <cell r="V1394">
            <v>2.6270742901398414</v>
          </cell>
          <cell r="W1394">
            <v>2.910709138661316</v>
          </cell>
          <cell r="X1394">
            <v>3.1575316669164568</v>
          </cell>
          <cell r="Y1394">
            <v>3.3746304036166741</v>
          </cell>
          <cell r="Z1394">
            <v>3.5626683430975525</v>
          </cell>
          <cell r="AA1394">
            <v>3.7130889602141401</v>
          </cell>
          <cell r="AB1394">
            <v>3.8259360858813327</v>
          </cell>
          <cell r="AC1394">
            <v>3.9066219605521155</v>
          </cell>
          <cell r="AD1394">
            <v>3.9580316884227251</v>
          </cell>
          <cell r="AE1394">
            <v>3.98268512617026</v>
          </cell>
          <cell r="AF1394">
            <v>3.9652444970914349</v>
          </cell>
          <cell r="AG1394">
            <v>3.9052398702048343</v>
          </cell>
          <cell r="AH1394">
            <v>3.8220988677955194</v>
          </cell>
          <cell r="AI1394">
            <v>3.7260281094622076</v>
          </cell>
          <cell r="AJ1394">
            <v>3.6227949914007453</v>
          </cell>
          <cell r="AK1394">
            <v>3.5112877352494678</v>
          </cell>
          <cell r="AL1394">
            <v>3.3935447998040704</v>
          </cell>
          <cell r="AM1394">
            <v>3.2817456681564448</v>
          </cell>
          <cell r="AN1394">
            <v>3.1847660332875005</v>
          </cell>
          <cell r="AO1394">
            <v>3.108053443387071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9.3908525400365761E-8</v>
          </cell>
          <cell r="J1395">
            <v>9.1857965678343589E-8</v>
          </cell>
          <cell r="K1395">
            <v>8.9802476566092082E-8</v>
          </cell>
          <cell r="L1395">
            <v>8.7669094206432874E-8</v>
          </cell>
          <cell r="M1395">
            <v>0.46780580723972953</v>
          </cell>
          <cell r="N1395">
            <v>1.0597431722044748</v>
          </cell>
          <cell r="O1395">
            <v>1.8247694325038699</v>
          </cell>
          <cell r="P1395">
            <v>2.7728301942142819</v>
          </cell>
          <cell r="Q1395">
            <v>3.7319217710146013</v>
          </cell>
          <cell r="R1395">
            <v>4.6755112273260124</v>
          </cell>
          <cell r="S1395">
            <v>5.5887036074951935</v>
          </cell>
          <cell r="T1395">
            <v>6.4605670606306287</v>
          </cell>
          <cell r="U1395">
            <v>7.2792314172263728</v>
          </cell>
          <cell r="V1395">
            <v>8.118160218261238</v>
          </cell>
          <cell r="W1395">
            <v>8.9576960438016542</v>
          </cell>
          <cell r="X1395">
            <v>9.7708880251298424</v>
          </cell>
          <cell r="Y1395">
            <v>10.535182934274623</v>
          </cell>
          <cell r="Z1395">
            <v>11.233610051789</v>
          </cell>
          <cell r="AA1395">
            <v>11.856862977192417</v>
          </cell>
          <cell r="AB1395">
            <v>12.398524278858014</v>
          </cell>
          <cell r="AC1395">
            <v>12.849155021893012</v>
          </cell>
          <cell r="AD1395">
            <v>13.200766305946555</v>
          </cell>
          <cell r="AE1395">
            <v>13.448953211483516</v>
          </cell>
          <cell r="AF1395">
            <v>13.606866405139041</v>
          </cell>
          <cell r="AG1395">
            <v>13.694488323493626</v>
          </cell>
          <cell r="AH1395">
            <v>13.717675449880741</v>
          </cell>
          <cell r="AI1395">
            <v>13.682324171354377</v>
          </cell>
          <cell r="AJ1395">
            <v>13.596538031216898</v>
          </cell>
          <cell r="AK1395">
            <v>13.475912586111672</v>
          </cell>
          <cell r="AL1395">
            <v>13.338940280772714</v>
          </cell>
          <cell r="AM1395">
            <v>13.19728206407056</v>
          </cell>
          <cell r="AN1395">
            <v>13.060766506567534</v>
          </cell>
          <cell r="AO1395">
            <v>12.939408027521914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9.4013086204824958E-8</v>
          </cell>
          <cell r="J1396">
            <v>0</v>
          </cell>
          <cell r="K1396">
            <v>9.0121909934737232E-8</v>
          </cell>
          <cell r="L1396">
            <v>8.810017160243433E-8</v>
          </cell>
          <cell r="M1396">
            <v>0.60847428212724708</v>
          </cell>
          <cell r="N1396">
            <v>1.34718193237513</v>
          </cell>
          <cell r="O1396">
            <v>2.2674597278275588</v>
          </cell>
          <cell r="P1396">
            <v>3.3608004912576872</v>
          </cell>
          <cell r="Q1396">
            <v>4.3906773512022435</v>
          </cell>
          <cell r="R1396">
            <v>5.3237813855359084</v>
          </cell>
          <cell r="S1396">
            <v>6.1675227075783656</v>
          </cell>
          <cell r="T1396">
            <v>6.9298787340863255</v>
          </cell>
          <cell r="U1396">
            <v>7.6137884622464735</v>
          </cell>
          <cell r="V1396">
            <v>8.330481046472805</v>
          </cell>
          <cell r="W1396">
            <v>9.0669369406960687</v>
          </cell>
          <cell r="X1396">
            <v>9.7877638823214763</v>
          </cell>
          <cell r="Y1396">
            <v>10.466171047107764</v>
          </cell>
          <cell r="Z1396">
            <v>11.08276243233739</v>
          </cell>
          <cell r="AA1396">
            <v>11.630124872217774</v>
          </cell>
          <cell r="AB1396">
            <v>12.101945087592947</v>
          </cell>
          <cell r="AC1396">
            <v>12.485405771765045</v>
          </cell>
          <cell r="AD1396">
            <v>12.770764594621875</v>
          </cell>
          <cell r="AE1396">
            <v>12.952594221749859</v>
          </cell>
          <cell r="AF1396">
            <v>13.054152378276541</v>
          </cell>
          <cell r="AG1396">
            <v>13.10128663092982</v>
          </cell>
          <cell r="AH1396">
            <v>13.091877813240549</v>
          </cell>
          <cell r="AI1396">
            <v>13.027385528401613</v>
          </cell>
          <cell r="AJ1396">
            <v>12.912522822690931</v>
          </cell>
          <cell r="AK1396">
            <v>12.763858917345349</v>
          </cell>
          <cell r="AL1396">
            <v>12.600232538847012</v>
          </cell>
          <cell r="AM1396">
            <v>12.427914966392306</v>
          </cell>
          <cell r="AN1396">
            <v>12.252206959978707</v>
          </cell>
          <cell r="AO1396">
            <v>12.078775656429741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0.58288705763378523</v>
          </cell>
          <cell r="N1397">
            <v>1.1514904975058027</v>
          </cell>
          <cell r="O1397">
            <v>1.7824388273166569</v>
          </cell>
          <cell r="P1397">
            <v>2.4660196399849399</v>
          </cell>
          <cell r="Q1397">
            <v>2.9946463934319434</v>
          </cell>
          <cell r="R1397">
            <v>3.2843100510610013</v>
          </cell>
          <cell r="S1397">
            <v>3.4355553731089561</v>
          </cell>
          <cell r="T1397">
            <v>3.4908845898437235</v>
          </cell>
          <cell r="U1397">
            <v>3.4708511341192683</v>
          </cell>
          <cell r="V1397">
            <v>3.5173073113394127</v>
          </cell>
          <cell r="W1397">
            <v>3.6238829615089951</v>
          </cell>
          <cell r="X1397">
            <v>3.732501412855771</v>
          </cell>
          <cell r="Y1397">
            <v>3.8268433090953069</v>
          </cell>
          <cell r="Z1397">
            <v>3.9014783631379668</v>
          </cell>
          <cell r="AA1397">
            <v>3.9723502557097667</v>
          </cell>
          <cell r="AB1397">
            <v>4.0390660909130016</v>
          </cell>
          <cell r="AC1397">
            <v>4.0756659350135838</v>
          </cell>
          <cell r="AD1397">
            <v>4.0725981273293188</v>
          </cell>
          <cell r="AE1397">
            <v>4.027480722558896</v>
          </cell>
          <cell r="AF1397">
            <v>4.0108490016006693</v>
          </cell>
          <cell r="AG1397">
            <v>4.0561365341716504</v>
          </cell>
          <cell r="AH1397">
            <v>4.1054493008038317</v>
          </cell>
          <cell r="AI1397">
            <v>4.1447534671614106</v>
          </cell>
          <cell r="AJ1397">
            <v>4.1715415539568479</v>
          </cell>
          <cell r="AK1397">
            <v>4.2152238089508742</v>
          </cell>
          <cell r="AL1397">
            <v>4.2965009003401278</v>
          </cell>
          <cell r="AM1397">
            <v>4.3935278763692631</v>
          </cell>
          <cell r="AN1397">
            <v>4.498696204096353</v>
          </cell>
          <cell r="AO1397">
            <v>4.6096538770526774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2.280455824177352E-8</v>
          </cell>
          <cell r="I1398">
            <v>4.4162162815553074E-8</v>
          </cell>
          <cell r="J1398">
            <v>4.2712522407839515E-8</v>
          </cell>
          <cell r="K1398">
            <v>6.1919180893710291E-8</v>
          </cell>
          <cell r="L1398">
            <v>5.9793148210474101E-8</v>
          </cell>
          <cell r="M1398">
            <v>-1.1687744687838286E-2</v>
          </cell>
          <cell r="N1398">
            <v>0.21068215298394311</v>
          </cell>
          <cell r="O1398">
            <v>0.6718725510644008</v>
          </cell>
          <cell r="P1398">
            <v>1.3567773264093308</v>
          </cell>
          <cell r="Q1398">
            <v>2.2427387019442024</v>
          </cell>
          <cell r="R1398">
            <v>3.2266545835094362</v>
          </cell>
          <cell r="S1398">
            <v>4.2438705649888275</v>
          </cell>
          <cell r="T1398">
            <v>5.2559743598501907</v>
          </cell>
          <cell r="U1398">
            <v>6.2380139674746538</v>
          </cell>
          <cell r="V1398">
            <v>7.1687352212144839</v>
          </cell>
          <cell r="W1398">
            <v>8.071733642977863</v>
          </cell>
          <cell r="X1398">
            <v>8.9524482241476466</v>
          </cell>
          <cell r="Y1398">
            <v>9.803416290565913</v>
          </cell>
          <cell r="Z1398">
            <v>10.611447397093276</v>
          </cell>
          <cell r="AA1398">
            <v>11.36191973933769</v>
          </cell>
          <cell r="AB1398">
            <v>12.043000461465049</v>
          </cell>
          <cell r="AC1398">
            <v>12.645437278444692</v>
          </cell>
          <cell r="AD1398">
            <v>13.160509924712871</v>
          </cell>
          <cell r="AE1398">
            <v>13.580752689211085</v>
          </cell>
          <cell r="AF1398">
            <v>13.901384192251776</v>
          </cell>
          <cell r="AG1398">
            <v>14.126297931198838</v>
          </cell>
          <cell r="AH1398">
            <v>14.267207065871235</v>
          </cell>
          <cell r="AI1398">
            <v>14.335244456677287</v>
          </cell>
          <cell r="AJ1398">
            <v>14.341226023727227</v>
          </cell>
          <cell r="AK1398">
            <v>14.296834944512614</v>
          </cell>
          <cell r="AL1398">
            <v>14.217506307789396</v>
          </cell>
          <cell r="AM1398">
            <v>14.122166881736709</v>
          </cell>
          <cell r="AN1398">
            <v>14.029368389219776</v>
          </cell>
          <cell r="AO1398">
            <v>13.956990516612699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0</v>
          </cell>
          <cell r="H1399">
            <v>-7.3175343562326134E-8</v>
          </cell>
          <cell r="I1399">
            <v>-4.9803505763890143E-8</v>
          </cell>
          <cell r="J1399">
            <v>4.2712522407839515E-8</v>
          </cell>
          <cell r="K1399">
            <v>-2.8277280517130521E-8</v>
          </cell>
          <cell r="L1399">
            <v>-2.8430335863305345E-8</v>
          </cell>
          <cell r="M1399">
            <v>-0.89052498004664749</v>
          </cell>
          <cell r="N1399">
            <v>-1.4237724209435476</v>
          </cell>
          <cell r="O1399">
            <v>-1.8364292482832889</v>
          </cell>
          <cell r="P1399">
            <v>-2.1556054380878931</v>
          </cell>
          <cell r="Q1399">
            <v>-2.1361280805281324</v>
          </cell>
          <cell r="R1399">
            <v>-1.9875467830560822</v>
          </cell>
          <cell r="S1399">
            <v>-1.7734492875844277</v>
          </cell>
          <cell r="T1399">
            <v>-1.5240058093537567</v>
          </cell>
          <cell r="U1399">
            <v>-1.2528385883661453</v>
          </cell>
          <cell r="V1399">
            <v>-1.1013216517016367</v>
          </cell>
          <cell r="W1399">
            <v>-0.97196254571304541</v>
          </cell>
          <cell r="X1399">
            <v>-0.83124056528250945</v>
          </cell>
          <cell r="Y1399">
            <v>-0.66749403732904167</v>
          </cell>
          <cell r="Z1399">
            <v>-0.47975369312501792</v>
          </cell>
          <cell r="AA1399">
            <v>-0.2761367349387478</v>
          </cell>
          <cell r="AB1399">
            <v>-6.1674583433402042E-2</v>
          </cell>
          <cell r="AC1399">
            <v>0.16603262379184525</v>
          </cell>
          <cell r="AD1399">
            <v>0.40669710042096074</v>
          </cell>
          <cell r="AE1399">
            <v>0.65746014761880467</v>
          </cell>
          <cell r="AF1399">
            <v>0.89646642333307547</v>
          </cell>
          <cell r="AG1399">
            <v>1.1095884136579803</v>
          </cell>
          <cell r="AH1399">
            <v>1.3098216823962172</v>
          </cell>
          <cell r="AI1399">
            <v>1.5033426037273312</v>
          </cell>
          <cell r="AJ1399">
            <v>1.6928536477373246</v>
          </cell>
          <cell r="AK1399">
            <v>1.8726634207866688</v>
          </cell>
          <cell r="AL1399">
            <v>2.0395627126745142</v>
          </cell>
          <cell r="AM1399">
            <v>2.2034732877595165</v>
          </cell>
          <cell r="AN1399">
            <v>2.3736063003523045</v>
          </cell>
          <cell r="AO1399">
            <v>2.558150852535368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1.847824115941421E-8</v>
          </cell>
          <cell r="H1400">
            <v>1.790589898575945E-8</v>
          </cell>
          <cell r="I1400">
            <v>3.4675617932578007E-8</v>
          </cell>
          <cell r="J1400">
            <v>5.0306026011526228E-8</v>
          </cell>
          <cell r="K1400">
            <v>4.8618198356109588E-8</v>
          </cell>
          <cell r="L1400">
            <v>6.2598504158017931E-8</v>
          </cell>
          <cell r="M1400">
            <v>-1.1687721284181496E-2</v>
          </cell>
          <cell r="N1400">
            <v>0.21068214885608949</v>
          </cell>
          <cell r="O1400">
            <v>0.6718725426988259</v>
          </cell>
          <cell r="P1400">
            <v>1.3567773187215693</v>
          </cell>
          <cell r="Q1400">
            <v>2.2427387152304412</v>
          </cell>
          <cell r="R1400">
            <v>3.2266545829446436</v>
          </cell>
          <cell r="S1400">
            <v>4.2438705827598122</v>
          </cell>
          <cell r="T1400">
            <v>5.255974370904104</v>
          </cell>
          <cell r="U1400">
            <v>6.238013960676847</v>
          </cell>
          <cell r="V1400">
            <v>7.1687352144990335</v>
          </cell>
          <cell r="W1400">
            <v>8.0717336502606365</v>
          </cell>
          <cell r="X1400">
            <v>8.9524481745496765</v>
          </cell>
          <cell r="Y1400">
            <v>9.8034162671311709</v>
          </cell>
          <cell r="Z1400">
            <v>10.611447416190533</v>
          </cell>
          <cell r="AA1400">
            <v>11.361919732495052</v>
          </cell>
          <cell r="AB1400">
            <v>12.043000496284151</v>
          </cell>
          <cell r="AC1400">
            <v>12.645437193526998</v>
          </cell>
          <cell r="AD1400">
            <v>13.160509918005637</v>
          </cell>
          <cell r="AE1400">
            <v>13.580752744673941</v>
          </cell>
          <cell r="AF1400">
            <v>13.901384208680302</v>
          </cell>
          <cell r="AG1400">
            <v>14.126297906842611</v>
          </cell>
          <cell r="AH1400">
            <v>14.267207039808882</v>
          </cell>
          <cell r="AI1400">
            <v>14.33524438630851</v>
          </cell>
          <cell r="AJ1400">
            <v>14.341225981456351</v>
          </cell>
          <cell r="AK1400">
            <v>14.296834888523557</v>
          </cell>
          <cell r="AL1400">
            <v>14.217506271573853</v>
          </cell>
          <cell r="AM1400">
            <v>14.122166938988311</v>
          </cell>
          <cell r="AN1400">
            <v>14.029368393000086</v>
          </cell>
          <cell r="AO1400">
            <v>13.956990586413308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1.8478263363874703E-8</v>
          </cell>
          <cell r="H1401">
            <v>1.790589898575945E-8</v>
          </cell>
          <cell r="I1401">
            <v>3.4675617932578007E-8</v>
          </cell>
          <cell r="J1401">
            <v>-4.1399517147766574E-8</v>
          </cell>
          <cell r="K1401">
            <v>4.8618198356109588E-8</v>
          </cell>
          <cell r="L1401">
            <v>-2.4670820941707916E-8</v>
          </cell>
          <cell r="M1401">
            <v>8.4899298881513374E-2</v>
          </cell>
          <cell r="N1401">
            <v>4.9955932149181592E-3</v>
          </cell>
          <cell r="O1401">
            <v>-5.4731111565031743E-2</v>
          </cell>
          <cell r="P1401">
            <v>-0.11698743728544292</v>
          </cell>
          <cell r="Q1401">
            <v>-0.20226375710251654</v>
          </cell>
          <cell r="R1401">
            <v>-0.21785769272651967</v>
          </cell>
          <cell r="S1401">
            <v>-0.19310059047723538</v>
          </cell>
          <cell r="T1401">
            <v>-0.14710592483976326</v>
          </cell>
          <cell r="U1401">
            <v>-8.8186714113380749E-2</v>
          </cell>
          <cell r="V1401">
            <v>-3.230532618558879E-3</v>
          </cell>
          <cell r="W1401">
            <v>5.6434317313280857E-2</v>
          </cell>
          <cell r="X1401">
            <v>0.11481557479258164</v>
          </cell>
          <cell r="Y1401">
            <v>0.18587778748888617</v>
          </cell>
          <cell r="Z1401">
            <v>0.27412726883491167</v>
          </cell>
          <cell r="AA1401">
            <v>0.37744678003230892</v>
          </cell>
          <cell r="AB1401">
            <v>0.49152505746468123</v>
          </cell>
          <cell r="AC1401">
            <v>0.61396879165787066</v>
          </cell>
          <cell r="AD1401">
            <v>0.74336000724724016</v>
          </cell>
          <cell r="AE1401">
            <v>0.87732586742579333</v>
          </cell>
          <cell r="AF1401">
            <v>1.0066033349485082</v>
          </cell>
          <cell r="AG1401">
            <v>1.1185277330962418</v>
          </cell>
          <cell r="AH1401">
            <v>1.2090479700470835</v>
          </cell>
          <cell r="AI1401">
            <v>1.2793130610048609</v>
          </cell>
          <cell r="AJ1401">
            <v>1.328804389666649</v>
          </cell>
          <cell r="AK1401">
            <v>1.3540095341225022</v>
          </cell>
          <cell r="AL1401">
            <v>1.3502113789325199</v>
          </cell>
          <cell r="AM1401">
            <v>1.3166556361856818</v>
          </cell>
          <cell r="AN1401">
            <v>1.2555190396176696</v>
          </cell>
          <cell r="AO1401">
            <v>1.1679773106693769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3.5670133513576729E-8</v>
          </cell>
          <cell r="J1402">
            <v>0</v>
          </cell>
          <cell r="K1402">
            <v>0</v>
          </cell>
          <cell r="L1402">
            <v>0</v>
          </cell>
          <cell r="M1402">
            <v>-7.4244414216051435E-2</v>
          </cell>
          <cell r="N1402">
            <v>-0.19706850923758568</v>
          </cell>
          <cell r="O1402">
            <v>-0.15111647026715413</v>
          </cell>
          <cell r="P1402">
            <v>8.9075673851191084E-3</v>
          </cell>
          <cell r="Q1402">
            <v>0.19448318157901934</v>
          </cell>
          <cell r="R1402">
            <v>0.35364074014665459</v>
          </cell>
          <cell r="S1402">
            <v>0.47233637479111579</v>
          </cell>
          <cell r="T1402">
            <v>0.56167561265643151</v>
          </cell>
          <cell r="U1402">
            <v>0.63266839253561802</v>
          </cell>
          <cell r="V1402">
            <v>0.6844029335105084</v>
          </cell>
          <cell r="W1402">
            <v>0.71580418213772479</v>
          </cell>
          <cell r="X1402">
            <v>0.72676672207263593</v>
          </cell>
          <cell r="Y1402">
            <v>0.71976898271808309</v>
          </cell>
          <cell r="Z1402">
            <v>0.6989940083365509</v>
          </cell>
          <cell r="AA1402">
            <v>0.66938070775779401</v>
          </cell>
          <cell r="AB1402">
            <v>0.63627594505242246</v>
          </cell>
          <cell r="AC1402">
            <v>0.60482976447910897</v>
          </cell>
          <cell r="AD1402">
            <v>0.58008408449381488</v>
          </cell>
          <cell r="AE1402">
            <v>0.56649872724159334</v>
          </cell>
          <cell r="AF1402">
            <v>0.56995070204726161</v>
          </cell>
          <cell r="AG1402">
            <v>0.5959962737047686</v>
          </cell>
          <cell r="AH1402">
            <v>0.64974588182646897</v>
          </cell>
          <cell r="AI1402">
            <v>0.73630327876741397</v>
          </cell>
          <cell r="AJ1402">
            <v>0.86046689813821242</v>
          </cell>
          <cell r="AK1402">
            <v>1.0267779335469296</v>
          </cell>
          <cell r="AL1402">
            <v>1.2397582064239465</v>
          </cell>
          <cell r="AM1402">
            <v>1.5038271434274719</v>
          </cell>
          <cell r="AN1402">
            <v>1.8237942790449768</v>
          </cell>
          <cell r="AO1402">
            <v>2.2053870108384999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9.9999997473787516E-6</v>
          </cell>
          <cell r="J1403">
            <v>0</v>
          </cell>
          <cell r="K1403">
            <v>0</v>
          </cell>
          <cell r="L1403">
            <v>0</v>
          </cell>
          <cell r="M1403">
            <v>-21.909859999999753</v>
          </cell>
          <cell r="N1403">
            <v>-58.911630000002333</v>
          </cell>
          <cell r="O1403">
            <v>-45.746649999997317</v>
          </cell>
          <cell r="P1403">
            <v>2.7297400000024936</v>
          </cell>
          <cell r="Q1403">
            <v>60.210960000000341</v>
          </cell>
          <cell r="R1403">
            <v>110.34299000000101</v>
          </cell>
          <cell r="S1403">
            <v>148.19375999999829</v>
          </cell>
          <cell r="T1403">
            <v>176.86534000000029</v>
          </cell>
          <cell r="U1403">
            <v>199.67509000000064</v>
          </cell>
          <cell r="V1403">
            <v>216.3415700000005</v>
          </cell>
          <cell r="W1403">
            <v>226.59832000000097</v>
          </cell>
          <cell r="X1403">
            <v>230.49439999999959</v>
          </cell>
          <cell r="Y1403">
            <v>228.86407999999938</v>
          </cell>
          <cell r="Z1403">
            <v>222.99228999999832</v>
          </cell>
          <cell r="AA1403">
            <v>214.49406999999701</v>
          </cell>
          <cell r="AB1403">
            <v>205.04956999999922</v>
          </cell>
          <cell r="AC1403">
            <v>196.28395000000091</v>
          </cell>
          <cell r="AD1403">
            <v>189.81549999999697</v>
          </cell>
          <cell r="AE1403">
            <v>187.01436000000103</v>
          </cell>
          <cell r="AF1403">
            <v>189.99564999999711</v>
          </cell>
          <cell r="AG1403">
            <v>200.80764000000636</v>
          </cell>
          <cell r="AH1403">
            <v>221.46003000000201</v>
          </cell>
          <cell r="AI1403">
            <v>254.06223999999929</v>
          </cell>
          <cell r="AJ1403">
            <v>300.71218000000226</v>
          </cell>
          <cell r="AK1403">
            <v>363.49678999999742</v>
          </cell>
          <cell r="AL1403">
            <v>444.55228999999963</v>
          </cell>
          <cell r="AM1403">
            <v>546.00316000000021</v>
          </cell>
          <cell r="AN1403">
            <v>670.1050499999983</v>
          </cell>
          <cell r="AO1403">
            <v>819.41080000000511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-1.000000082740371E-8</v>
          </cell>
          <cell r="G1404">
            <v>0</v>
          </cell>
          <cell r="H1404">
            <v>0</v>
          </cell>
          <cell r="I1404">
            <v>-1.000000082740371E-8</v>
          </cell>
          <cell r="J1404">
            <v>-1.000000082740371E-8</v>
          </cell>
          <cell r="K1404">
            <v>-9.9999994396249292E-9</v>
          </cell>
          <cell r="L1404">
            <v>-9.9999994396249292E-9</v>
          </cell>
          <cell r="M1404">
            <v>5.6025099999999772E-2</v>
          </cell>
          <cell r="N1404">
            <v>0.14540725999999948</v>
          </cell>
          <cell r="O1404">
            <v>0.10219995999999898</v>
          </cell>
          <cell r="P1404">
            <v>-2.1338190000000368E-2</v>
          </cell>
          <cell r="Q1404">
            <v>-0.15551956000000033</v>
          </cell>
          <cell r="R1404">
            <v>-0.2640421599999998</v>
          </cell>
          <cell r="S1404">
            <v>-0.34029302000000011</v>
          </cell>
          <cell r="T1404">
            <v>-0.39550077999999933</v>
          </cell>
          <cell r="U1404">
            <v>-0.43875081000000066</v>
          </cell>
          <cell r="V1404">
            <v>-0.46908970999999938</v>
          </cell>
          <cell r="W1404">
            <v>-0.48579740999999954</v>
          </cell>
          <cell r="X1404">
            <v>-0.48901642000000051</v>
          </cell>
          <cell r="Y1404">
            <v>-0.48079604999999997</v>
          </cell>
          <cell r="Z1404">
            <v>-0.46453055000000021</v>
          </cell>
          <cell r="AA1404">
            <v>-0.44304103000000067</v>
          </cell>
          <cell r="AB1404">
            <v>-0.42041272000000046</v>
          </cell>
          <cell r="AC1404">
            <v>-0.40004683000000041</v>
          </cell>
          <cell r="AD1404">
            <v>-0.38527317999999949</v>
          </cell>
          <cell r="AE1404">
            <v>-0.3796323800000001</v>
          </cell>
          <cell r="AF1404">
            <v>-0.38616563999999964</v>
          </cell>
          <cell r="AG1404">
            <v>-0.40941285000000022</v>
          </cell>
          <cell r="AH1404">
            <v>-0.45312934999999988</v>
          </cell>
          <cell r="AI1404">
            <v>-0.52118243000000009</v>
          </cell>
          <cell r="AJ1404">
            <v>-0.61727628999999962</v>
          </cell>
          <cell r="AK1404">
            <v>-0.74497445000000007</v>
          </cell>
          <cell r="AL1404">
            <v>-0.90785754000000007</v>
          </cell>
          <cell r="AM1404">
            <v>-1.1093954179999999</v>
          </cell>
          <cell r="AN1404">
            <v>-1.3533000637999999</v>
          </cell>
          <cell r="AO1404">
            <v>-1.6438860360000001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-4.5425347511285352E-10</v>
          </cell>
          <cell r="G1405">
            <v>1.5277783378675469E-9</v>
          </cell>
          <cell r="H1405">
            <v>3.705614244273181E-9</v>
          </cell>
          <cell r="I1405">
            <v>6.3964429239393716E-9</v>
          </cell>
          <cell r="J1405">
            <v>6.177247255378937E-9</v>
          </cell>
          <cell r="K1405">
            <v>5.2366697783634564E-9</v>
          </cell>
          <cell r="L1405">
            <v>5.290926724521583E-9</v>
          </cell>
          <cell r="M1405">
            <v>-0.14458754993870865</v>
          </cell>
          <cell r="N1405">
            <v>-0.21264982727664111</v>
          </cell>
          <cell r="O1405">
            <v>-2.0577471119586493E-2</v>
          </cell>
          <cell r="P1405">
            <v>0.1073480035090571</v>
          </cell>
          <cell r="Q1405">
            <v>0.16102024914720695</v>
          </cell>
          <cell r="R1405">
            <v>0.16752458955973937</v>
          </cell>
          <cell r="S1405">
            <v>0.14932864533756807</v>
          </cell>
          <cell r="T1405">
            <v>0.13509332001232152</v>
          </cell>
          <cell r="U1405">
            <v>0.12786382115970302</v>
          </cell>
          <cell r="V1405">
            <v>0.10233000535629228</v>
          </cell>
          <cell r="W1405">
            <v>7.6489346143043813E-2</v>
          </cell>
          <cell r="X1405">
            <v>5.3081383510758529E-2</v>
          </cell>
          <cell r="Y1405">
            <v>2.8235641591550092E-2</v>
          </cell>
          <cell r="Z1405">
            <v>-1.6274011049928483E-3</v>
          </cell>
          <cell r="AA1405">
            <v>-3.895238274737936E-2</v>
          </cell>
          <cell r="AB1405">
            <v>-8.3536915486639995E-2</v>
          </cell>
          <cell r="AC1405">
            <v>-0.13266702829456828</v>
          </cell>
          <cell r="AD1405">
            <v>-0.18636296132072475</v>
          </cell>
          <cell r="AE1405">
            <v>-0.24693181093224242</v>
          </cell>
          <cell r="AF1405">
            <v>-0.31746972140139562</v>
          </cell>
          <cell r="AG1405">
            <v>-0.3984543938754449</v>
          </cell>
          <cell r="AH1405">
            <v>-0.47999203088118436</v>
          </cell>
          <cell r="AI1405">
            <v>-0.5614750102852083</v>
          </cell>
          <cell r="AJ1405">
            <v>-0.64344325589257012</v>
          </cell>
          <cell r="AK1405">
            <v>-0.72923293414836954</v>
          </cell>
          <cell r="AL1405">
            <v>-0.81989822940629409</v>
          </cell>
          <cell r="AM1405">
            <v>-0.91309144148297228</v>
          </cell>
          <cell r="AN1405">
            <v>-1.0108174979761846</v>
          </cell>
          <cell r="AO1405">
            <v>-1.1164506106369099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1.8170137269790665E-9</v>
          </cell>
          <cell r="G1406">
            <v>0</v>
          </cell>
          <cell r="H1406">
            <v>-2.2134689914299344E-9</v>
          </cell>
          <cell r="I1406">
            <v>-3.5979991555579183E-9</v>
          </cell>
          <cell r="J1406">
            <v>-5.6408813384201117E-9</v>
          </cell>
          <cell r="K1406">
            <v>-6.936526873724258E-9</v>
          </cell>
          <cell r="L1406">
            <v>-6.934822854853806E-9</v>
          </cell>
          <cell r="M1406">
            <v>-5.4183684650658398E-2</v>
          </cell>
          <cell r="N1406">
            <v>-0.1183829254141882</v>
          </cell>
          <cell r="O1406">
            <v>-0.19115592971082565</v>
          </cell>
          <cell r="P1406">
            <v>-0.26299818694435501</v>
          </cell>
          <cell r="Q1406">
            <v>-0.32375303207949174</v>
          </cell>
          <cell r="R1406">
            <v>-0.37794062139374573</v>
          </cell>
          <cell r="S1406">
            <v>-0.42729598391981394</v>
          </cell>
          <cell r="T1406">
            <v>-0.47369150163130858</v>
          </cell>
          <cell r="U1406">
            <v>-0.51818579798518527</v>
          </cell>
          <cell r="V1406">
            <v>-0.54700474833643919</v>
          </cell>
          <cell r="W1406">
            <v>-0.57824049231352848</v>
          </cell>
          <cell r="X1406">
            <v>-0.61067621484043388</v>
          </cell>
          <cell r="Y1406">
            <v>-0.64319047811421715</v>
          </cell>
          <cell r="Z1406">
            <v>-0.67508862518857471</v>
          </cell>
          <cell r="AA1406">
            <v>-0.70535479659231703</v>
          </cell>
          <cell r="AB1406">
            <v>-0.73374751114095271</v>
          </cell>
          <cell r="AC1406">
            <v>-0.76014026675902868</v>
          </cell>
          <cell r="AD1406">
            <v>-0.78438352726566274</v>
          </cell>
          <cell r="AE1406">
            <v>-0.80668188445902278</v>
          </cell>
          <cell r="AF1406">
            <v>-0.82706942994555011</v>
          </cell>
          <cell r="AG1406">
            <v>-0.84407244863373043</v>
          </cell>
          <cell r="AH1406">
            <v>-0.85793934852499421</v>
          </cell>
          <cell r="AI1406">
            <v>-0.86836013080213836</v>
          </cell>
          <cell r="AJ1406">
            <v>-0.87511257994183134</v>
          </cell>
          <cell r="AK1406">
            <v>-0.87784110817341954</v>
          </cell>
          <cell r="AL1406">
            <v>-0.87629166351572108</v>
          </cell>
          <cell r="AM1406">
            <v>-0.87042781337067432</v>
          </cell>
          <cell r="AN1406">
            <v>-0.85993414808690916</v>
          </cell>
          <cell r="AO1406">
            <v>-0.84423294271203519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1.362760251866213E-9</v>
          </cell>
          <cell r="G1407">
            <v>8.7301615589452375E-10</v>
          </cell>
          <cell r="H1407">
            <v>-1.0238052593203317E-9</v>
          </cell>
          <cell r="I1407">
            <v>-2.8424193174950846E-9</v>
          </cell>
          <cell r="J1407">
            <v>-5.9509031383186972E-9</v>
          </cell>
          <cell r="K1407">
            <v>-8.6347835132061235E-9</v>
          </cell>
          <cell r="L1407">
            <v>-1.1565545396385879E-8</v>
          </cell>
          <cell r="M1407">
            <v>0.15081163574244377</v>
          </cell>
          <cell r="N1407">
            <v>0.24070380305672781</v>
          </cell>
          <cell r="O1407">
            <v>0.19173424294680538</v>
          </cell>
          <cell r="P1407">
            <v>6.2823048806116139E-2</v>
          </cell>
          <cell r="Q1407">
            <v>-0.12334952320336295</v>
          </cell>
          <cell r="R1407">
            <v>-0.30134653919472454</v>
          </cell>
          <cell r="S1407">
            <v>-0.45488630897692961</v>
          </cell>
          <cell r="T1407">
            <v>-0.58654884490532899</v>
          </cell>
          <cell r="U1407">
            <v>-0.70079908316194595</v>
          </cell>
          <cell r="V1407">
            <v>-0.78021984876531358</v>
          </cell>
          <cell r="W1407">
            <v>-0.84271936327825692</v>
          </cell>
          <cell r="X1407">
            <v>-0.89197815797076585</v>
          </cell>
          <cell r="Y1407">
            <v>-0.92870005070082584</v>
          </cell>
          <cell r="Z1407">
            <v>-0.9520958632269837</v>
          </cell>
          <cell r="AA1407">
            <v>-0.96320118697581569</v>
          </cell>
          <cell r="AB1407">
            <v>-0.96213099192872864</v>
          </cell>
          <cell r="AC1407">
            <v>-0.95141714877081673</v>
          </cell>
          <cell r="AD1407">
            <v>-0.93348984334410201</v>
          </cell>
          <cell r="AE1407">
            <v>-0.90824790950562384</v>
          </cell>
          <cell r="AF1407">
            <v>-0.8800145877064971</v>
          </cell>
          <cell r="AG1407">
            <v>-0.84923814371848239</v>
          </cell>
          <cell r="AH1407">
            <v>-0.82108739453881918</v>
          </cell>
          <cell r="AI1407">
            <v>-0.79951175685760711</v>
          </cell>
          <cell r="AJ1407">
            <v>-0.78723989448685472</v>
          </cell>
          <cell r="AK1407">
            <v>-0.785778981527957</v>
          </cell>
          <cell r="AL1407">
            <v>-0.79712986814265285</v>
          </cell>
          <cell r="AM1407">
            <v>-0.82485416884040674</v>
          </cell>
          <cell r="AN1407">
            <v>-0.87244970723433235</v>
          </cell>
          <cell r="AO1407">
            <v>-0.94326963667754482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1.8170135535067189E-9</v>
          </cell>
          <cell r="G1408">
            <v>8.2936536111022363E-9</v>
          </cell>
          <cell r="H1408">
            <v>7.3069401224090669E-9</v>
          </cell>
          <cell r="I1408">
            <v>7.995553871764649E-9</v>
          </cell>
          <cell r="J1408">
            <v>6.0046858110784918E-9</v>
          </cell>
          <cell r="K1408">
            <v>5.6663814265722756E-10</v>
          </cell>
          <cell r="L1408">
            <v>-3.5069466102800873E-9</v>
          </cell>
          <cell r="M1408">
            <v>0.14234069288992435</v>
          </cell>
          <cell r="N1408">
            <v>0.55309614433996845</v>
          </cell>
          <cell r="O1408">
            <v>0.58744117925255235</v>
          </cell>
          <cell r="P1408">
            <v>0.50780814002587615</v>
          </cell>
          <cell r="Q1408">
            <v>0.35215654177055344</v>
          </cell>
          <cell r="R1408">
            <v>0.11238243775892401</v>
          </cell>
          <cell r="S1408">
            <v>-0.11407750279164436</v>
          </cell>
          <cell r="T1408">
            <v>-0.32161025017074379</v>
          </cell>
          <cell r="U1408">
            <v>-0.51092905929183419</v>
          </cell>
          <cell r="V1408">
            <v>-0.66260410885282328</v>
          </cell>
          <cell r="W1408">
            <v>-0.77645148406346043</v>
          </cell>
          <cell r="X1408">
            <v>-0.87578782998916149</v>
          </cell>
          <cell r="Y1408">
            <v>-0.96101651469999161</v>
          </cell>
          <cell r="Z1408">
            <v>-1.0289652696723828</v>
          </cell>
          <cell r="AA1408">
            <v>-1.0788368744767149</v>
          </cell>
          <cell r="AB1408">
            <v>-1.1092816141472825</v>
          </cell>
          <cell r="AC1408">
            <v>-1.122683767868158</v>
          </cell>
          <cell r="AD1408">
            <v>-1.1211528774670174</v>
          </cell>
          <cell r="AE1408">
            <v>-1.1047480678498971</v>
          </cell>
          <cell r="AF1408">
            <v>-1.0781463661807711</v>
          </cell>
          <cell r="AG1408">
            <v>-1.0449726853594883</v>
          </cell>
          <cell r="AH1408">
            <v>-1.0136709720874229</v>
          </cell>
          <cell r="AI1408">
            <v>-0.98613458723415537</v>
          </cell>
          <cell r="AJ1408">
            <v>-0.96425695294592717</v>
          </cell>
          <cell r="AK1408">
            <v>-0.94970745257588329</v>
          </cell>
          <cell r="AL1408">
            <v>-0.94765279161711646</v>
          </cell>
          <cell r="AM1408">
            <v>-0.96481349266794725</v>
          </cell>
          <cell r="AN1408">
            <v>-1.0037191931356091</v>
          </cell>
          <cell r="AO1408">
            <v>-1.0679186182071088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-4.0799363887344953E-8</v>
          </cell>
          <cell r="I1409">
            <v>0</v>
          </cell>
          <cell r="J1409">
            <v>-4.2371861574963532E-8</v>
          </cell>
          <cell r="K1409">
            <v>-7.3853023696557329E-8</v>
          </cell>
          <cell r="L1409">
            <v>-3.5552805144334343E-8</v>
          </cell>
          <cell r="M1409">
            <v>-0.22095639015670132</v>
          </cell>
          <cell r="N1409">
            <v>-7.6098786261136198E-3</v>
          </cell>
          <cell r="O1409">
            <v>-9.9636891456467147E-2</v>
          </cell>
          <cell r="P1409">
            <v>-0.33065484032096526</v>
          </cell>
          <cell r="Q1409">
            <v>-0.59234694115843922</v>
          </cell>
          <cell r="R1409">
            <v>-1.000952252175874</v>
          </cell>
          <cell r="S1409">
            <v>-1.5350062607905279</v>
          </cell>
          <cell r="T1409">
            <v>-2.1798618731424133</v>
          </cell>
          <cell r="U1409">
            <v>-2.9159730302459996</v>
          </cell>
          <cell r="V1409">
            <v>-3.7244802963348618</v>
          </cell>
          <cell r="W1409">
            <v>-4.562147834691527</v>
          </cell>
          <cell r="X1409">
            <v>-5.4178810115437068</v>
          </cell>
          <cell r="Y1409">
            <v>-6.2834316896212803</v>
          </cell>
          <cell r="Z1409">
            <v>-7.1507893566788647</v>
          </cell>
          <cell r="AA1409">
            <v>-8.005416073039525</v>
          </cell>
          <cell r="AB1409">
            <v>-8.8359257205961459</v>
          </cell>
          <cell r="AC1409">
            <v>-9.6316033431778614</v>
          </cell>
          <cell r="AD1409">
            <v>-10.384184194116392</v>
          </cell>
          <cell r="AE1409">
            <v>-11.094239750583689</v>
          </cell>
          <cell r="AF1409">
            <v>-11.74238237402227</v>
          </cell>
          <cell r="AG1409">
            <v>-12.323449556342897</v>
          </cell>
          <cell r="AH1409">
            <v>-12.837403675505033</v>
          </cell>
          <cell r="AI1409">
            <v>-13.289570869781375</v>
          </cell>
          <cell r="AJ1409">
            <v>-13.688127137140549</v>
          </cell>
          <cell r="AK1409">
            <v>-14.040173666519406</v>
          </cell>
          <cell r="AL1409">
            <v>-14.353345164146358</v>
          </cell>
          <cell r="AM1409">
            <v>-14.6404922437968</v>
          </cell>
          <cell r="AN1409">
            <v>-14.916405065980854</v>
          </cell>
          <cell r="AO1409">
            <v>-15.196895883739959</v>
          </cell>
        </row>
        <row r="1410">
          <cell r="C1410" t="str">
            <v>PIB</v>
          </cell>
          <cell r="E1410" t="str">
            <v>GDP_2</v>
          </cell>
          <cell r="F1410">
            <v>2197953.023</v>
          </cell>
          <cell r="G1410">
            <v>2239237.62</v>
          </cell>
          <cell r="H1410">
            <v>2285532.89</v>
          </cell>
          <cell r="I1410">
            <v>2336281.2510000002</v>
          </cell>
          <cell r="J1410">
            <v>2390498.4950000001</v>
          </cell>
          <cell r="K1410">
            <v>2447818.3229999999</v>
          </cell>
          <cell r="L1410">
            <v>2506177.5460000001</v>
          </cell>
          <cell r="M1410">
            <v>2560034.4559999998</v>
          </cell>
          <cell r="N1410">
            <v>2614797.8650000002</v>
          </cell>
          <cell r="O1410">
            <v>2680355.7259999998</v>
          </cell>
          <cell r="P1410">
            <v>2747783.3769999999</v>
          </cell>
          <cell r="Q1410">
            <v>2807674.6150000002</v>
          </cell>
          <cell r="R1410">
            <v>2862305.8139999998</v>
          </cell>
          <cell r="S1410">
            <v>2912875.983</v>
          </cell>
          <cell r="T1410">
            <v>2961134.55</v>
          </cell>
          <cell r="U1410">
            <v>3008233.5929999999</v>
          </cell>
          <cell r="V1410">
            <v>3055135.3429999999</v>
          </cell>
          <cell r="W1410">
            <v>3103322.7710000002</v>
          </cell>
          <cell r="X1410">
            <v>3153816.2519999999</v>
          </cell>
          <cell r="Y1410">
            <v>3207334.003</v>
          </cell>
          <cell r="Z1410">
            <v>3263286.7719999999</v>
          </cell>
          <cell r="AA1410">
            <v>3324292.048</v>
          </cell>
          <cell r="AB1410">
            <v>3390329.6469999999</v>
          </cell>
          <cell r="AC1410">
            <v>3461867.6239999998</v>
          </cell>
          <cell r="AD1410">
            <v>3539069.1979999999</v>
          </cell>
          <cell r="AE1410">
            <v>3618424.1949999998</v>
          </cell>
          <cell r="AF1410">
            <v>3704493.7459999998</v>
          </cell>
          <cell r="AG1410">
            <v>3796694.5989999999</v>
          </cell>
          <cell r="AH1410">
            <v>3895372.3420000002</v>
          </cell>
          <cell r="AI1410">
            <v>4000248.736</v>
          </cell>
          <cell r="AJ1410">
            <v>4110687.247</v>
          </cell>
          <cell r="AK1410">
            <v>4226060.7</v>
          </cell>
          <cell r="AL1410">
            <v>4345826.4510000004</v>
          </cell>
          <cell r="AM1410">
            <v>4469458.7359999996</v>
          </cell>
          <cell r="AN1410">
            <v>4596424.8509999998</v>
          </cell>
          <cell r="AO1410">
            <v>4726154.3150000004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3.6392977520449676E-8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-3.3242086860951758E-8</v>
          </cell>
          <cell r="V1411">
            <v>-3.2731761745452559E-8</v>
          </cell>
          <cell r="W1411">
            <v>-3.2223534951469901E-8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-2.6338686787141796E-8</v>
          </cell>
          <cell r="AH1411">
            <v>-2.5671487158263062E-8</v>
          </cell>
          <cell r="AI1411">
            <v>-2.49984477562748E-8</v>
          </cell>
          <cell r="AJ1411">
            <v>0</v>
          </cell>
          <cell r="AK1411">
            <v>0</v>
          </cell>
          <cell r="AL1411">
            <v>2.3010571226222964E-8</v>
          </cell>
          <cell r="AM1411">
            <v>2.2374080366205362E-8</v>
          </cell>
          <cell r="AN1411">
            <v>0</v>
          </cell>
          <cell r="AO1411">
            <v>2.1158830243450666E-8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1178854.173</v>
          </cell>
          <cell r="G1412">
            <v>1219274.3770000001</v>
          </cell>
          <cell r="H1412">
            <v>1258347.952</v>
          </cell>
          <cell r="I1412">
            <v>1300071.439</v>
          </cell>
          <cell r="J1412">
            <v>1343834.0220000001</v>
          </cell>
          <cell r="K1412">
            <v>1386708.5390000001</v>
          </cell>
          <cell r="L1412">
            <v>1430498.07</v>
          </cell>
          <cell r="M1412">
            <v>1484297.53</v>
          </cell>
          <cell r="N1412">
            <v>1551624.2509999999</v>
          </cell>
          <cell r="O1412">
            <v>1616062.5360000001</v>
          </cell>
          <cell r="P1412">
            <v>1686012.469</v>
          </cell>
          <cell r="Q1412">
            <v>1753257.1170000001</v>
          </cell>
          <cell r="R1412">
            <v>1816777.6170000001</v>
          </cell>
          <cell r="S1412">
            <v>1878308.9990000001</v>
          </cell>
          <cell r="T1412">
            <v>1937543.5279999999</v>
          </cell>
          <cell r="U1412">
            <v>1994351.7709999999</v>
          </cell>
          <cell r="V1412">
            <v>2049224.2120000001</v>
          </cell>
          <cell r="W1412">
            <v>2102144.8420000002</v>
          </cell>
          <cell r="X1412">
            <v>2152579.0559999999</v>
          </cell>
          <cell r="Y1412">
            <v>2200718.514</v>
          </cell>
          <cell r="Z1412">
            <v>2244073.4470000002</v>
          </cell>
          <cell r="AA1412">
            <v>2288414.4219999998</v>
          </cell>
          <cell r="AB1412">
            <v>2331167.7510000002</v>
          </cell>
          <cell r="AC1412">
            <v>2372433.9980000001</v>
          </cell>
          <cell r="AD1412">
            <v>2412432.6809999999</v>
          </cell>
          <cell r="AE1412">
            <v>2442841.6239999998</v>
          </cell>
          <cell r="AF1412">
            <v>2477135.3139999998</v>
          </cell>
          <cell r="AG1412">
            <v>2510761.2710000002</v>
          </cell>
          <cell r="AH1412">
            <v>2543281.8489999999</v>
          </cell>
          <cell r="AI1412">
            <v>2574419.929</v>
          </cell>
          <cell r="AJ1412">
            <v>2603899.395</v>
          </cell>
          <cell r="AK1412">
            <v>2631424.8829999999</v>
          </cell>
          <cell r="AL1412">
            <v>2656380.503</v>
          </cell>
          <cell r="AM1412">
            <v>2677830.4369999999</v>
          </cell>
          <cell r="AN1412">
            <v>2695136.469</v>
          </cell>
          <cell r="AO1412">
            <v>2707561.3110000002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1011152.647</v>
          </cell>
          <cell r="G1413">
            <v>1048701.716</v>
          </cell>
          <cell r="H1413">
            <v>1091835.375</v>
          </cell>
          <cell r="I1413">
            <v>1140626.7150000001</v>
          </cell>
          <cell r="J1413">
            <v>1194178.183</v>
          </cell>
          <cell r="K1413">
            <v>1252286.885</v>
          </cell>
          <cell r="L1413">
            <v>1314942.818</v>
          </cell>
          <cell r="M1413">
            <v>1384992.324</v>
          </cell>
          <cell r="N1413">
            <v>1462270.2579999999</v>
          </cell>
          <cell r="O1413">
            <v>1551503.4650000001</v>
          </cell>
          <cell r="P1413">
            <v>1652114.835</v>
          </cell>
          <cell r="Q1413">
            <v>1756723.5970000001</v>
          </cell>
          <cell r="R1413">
            <v>1861719.122</v>
          </cell>
          <cell r="S1413">
            <v>1964330.956</v>
          </cell>
          <cell r="T1413">
            <v>2063174.5160000001</v>
          </cell>
          <cell r="U1413">
            <v>2157630.6430000002</v>
          </cell>
          <cell r="V1413">
            <v>2247649.4559999998</v>
          </cell>
          <cell r="W1413">
            <v>2334053.0419999999</v>
          </cell>
          <cell r="X1413">
            <v>2417606.8840000001</v>
          </cell>
          <cell r="Y1413">
            <v>2499182.44</v>
          </cell>
          <cell r="Z1413">
            <v>2578910.665</v>
          </cell>
          <cell r="AA1413">
            <v>2659374.139</v>
          </cell>
          <cell r="AB1413">
            <v>2741701.8739999998</v>
          </cell>
          <cell r="AC1413">
            <v>2827422.3969999999</v>
          </cell>
          <cell r="AD1413">
            <v>2917989.088</v>
          </cell>
          <cell r="AE1413">
            <v>3012092.787</v>
          </cell>
          <cell r="AF1413">
            <v>3114455.9240000001</v>
          </cell>
          <cell r="AG1413">
            <v>3226826.0010000002</v>
          </cell>
          <cell r="AH1413">
            <v>3351472.1030000001</v>
          </cell>
          <cell r="AI1413">
            <v>3490047.5580000002</v>
          </cell>
          <cell r="AJ1413">
            <v>3643558.9789999998</v>
          </cell>
          <cell r="AK1413">
            <v>3812718.9270000001</v>
          </cell>
          <cell r="AL1413">
            <v>3998135.7390000001</v>
          </cell>
          <cell r="AM1413">
            <v>4200190.6490000002</v>
          </cell>
          <cell r="AN1413">
            <v>4419065.7470000004</v>
          </cell>
          <cell r="AO1413">
            <v>4654736.1459999997</v>
          </cell>
        </row>
        <row r="1414">
          <cell r="C1414" t="str">
            <v>Solde public</v>
          </cell>
          <cell r="E1414" t="str">
            <v>Bal_G_tot_VAL_2</v>
          </cell>
          <cell r="F1414">
            <v>-65724.458450000006</v>
          </cell>
          <cell r="G1414">
            <v>-65309.370430000003</v>
          </cell>
          <cell r="H1414">
            <v>-57983.81768</v>
          </cell>
          <cell r="I1414">
            <v>-48016.774440000001</v>
          </cell>
          <cell r="J1414">
            <v>-35827.05042</v>
          </cell>
          <cell r="K1414">
            <v>-18801.512340000001</v>
          </cell>
          <cell r="L1414">
            <v>1004.965129</v>
          </cell>
          <cell r="M1414">
            <v>17204.763210000001</v>
          </cell>
          <cell r="N1414">
            <v>26295.737209999999</v>
          </cell>
          <cell r="O1414">
            <v>49775.872730000003</v>
          </cell>
          <cell r="P1414">
            <v>77948.516130000004</v>
          </cell>
          <cell r="Q1414">
            <v>111415.2037</v>
          </cell>
          <cell r="R1414">
            <v>147319.4693</v>
          </cell>
          <cell r="S1414">
            <v>181033.94839999999</v>
          </cell>
          <cell r="T1414">
            <v>211591.2807</v>
          </cell>
          <cell r="U1414">
            <v>238659.60140000001</v>
          </cell>
          <cell r="V1414">
            <v>261872.99230000001</v>
          </cell>
          <cell r="W1414">
            <v>282262.29889999999</v>
          </cell>
          <cell r="X1414">
            <v>301268.81160000002</v>
          </cell>
          <cell r="Y1414">
            <v>319641.4693</v>
          </cell>
          <cell r="Z1414">
            <v>340032.68900000001</v>
          </cell>
          <cell r="AA1414">
            <v>359153.5528</v>
          </cell>
          <cell r="AB1414">
            <v>380770.28159999999</v>
          </cell>
          <cell r="AC1414">
            <v>406186.04239999998</v>
          </cell>
          <cell r="AD1414">
            <v>436444.7499</v>
          </cell>
          <cell r="AE1414">
            <v>478317.26819999999</v>
          </cell>
          <cell r="AF1414">
            <v>522470.85029999999</v>
          </cell>
          <cell r="AG1414">
            <v>575091.42790000001</v>
          </cell>
          <cell r="AH1414">
            <v>638462.38150000002</v>
          </cell>
          <cell r="AI1414">
            <v>713976.63769999996</v>
          </cell>
          <cell r="AJ1414">
            <v>802309.76029999997</v>
          </cell>
          <cell r="AK1414">
            <v>903828.73199999996</v>
          </cell>
          <cell r="AL1414">
            <v>1019098.488</v>
          </cell>
          <cell r="AM1414">
            <v>1148748.5390000001</v>
          </cell>
          <cell r="AN1414">
            <v>1292880.1780000001</v>
          </cell>
          <cell r="AO1414">
            <v>1451481.726</v>
          </cell>
        </row>
        <row r="1415">
          <cell r="C1415" t="str">
            <v>Dette publique</v>
          </cell>
          <cell r="E1415" t="str">
            <v>DEBT_G_VAL_2</v>
          </cell>
          <cell r="F1415">
            <v>2105265.8119999999</v>
          </cell>
          <cell r="G1415">
            <v>2170575.182</v>
          </cell>
          <cell r="H1415">
            <v>2228559</v>
          </cell>
          <cell r="I1415">
            <v>2276575.7740000002</v>
          </cell>
          <cell r="J1415">
            <v>2312402.8250000002</v>
          </cell>
          <cell r="K1415">
            <v>2331204.3369999998</v>
          </cell>
          <cell r="L1415">
            <v>2330199.372</v>
          </cell>
          <cell r="M1415">
            <v>2312994.6090000002</v>
          </cell>
          <cell r="N1415">
            <v>2286698.872</v>
          </cell>
          <cell r="O1415">
            <v>2236922.9989999998</v>
          </cell>
          <cell r="P1415">
            <v>2158974.483</v>
          </cell>
          <cell r="Q1415">
            <v>2047559.2790000001</v>
          </cell>
          <cell r="R1415">
            <v>1900239.81</v>
          </cell>
          <cell r="S1415">
            <v>1719205.861</v>
          </cell>
          <cell r="T1415">
            <v>1507614.581</v>
          </cell>
          <cell r="U1415">
            <v>1268954.9790000001</v>
          </cell>
          <cell r="V1415">
            <v>1007081.987</v>
          </cell>
          <cell r="W1415">
            <v>724819.68799999997</v>
          </cell>
          <cell r="X1415">
            <v>423550.87650000001</v>
          </cell>
          <cell r="Y1415">
            <v>103909.4071</v>
          </cell>
          <cell r="Z1415">
            <v>-236123.2819</v>
          </cell>
          <cell r="AA1415">
            <v>-595276.83459999994</v>
          </cell>
          <cell r="AB1415">
            <v>-976047.11620000005</v>
          </cell>
          <cell r="AC1415">
            <v>-1382233.159</v>
          </cell>
          <cell r="AD1415">
            <v>-1818677.9080000001</v>
          </cell>
          <cell r="AE1415">
            <v>-2296995.1770000001</v>
          </cell>
          <cell r="AF1415">
            <v>-2819466.0269999998</v>
          </cell>
          <cell r="AG1415">
            <v>-3394557.4550000001</v>
          </cell>
          <cell r="AH1415">
            <v>-4033019.8360000001</v>
          </cell>
          <cell r="AI1415">
            <v>-4746996.4740000004</v>
          </cell>
          <cell r="AJ1415">
            <v>-5549306.2340000002</v>
          </cell>
          <cell r="AK1415">
            <v>-6453134.966</v>
          </cell>
          <cell r="AL1415">
            <v>-7472233.4539999999</v>
          </cell>
          <cell r="AM1415">
            <v>-8620981.9940000009</v>
          </cell>
          <cell r="AN1415">
            <v>-9913862.1710000001</v>
          </cell>
          <cell r="AO1415">
            <v>-11365343.9</v>
          </cell>
        </row>
        <row r="1434">
          <cell r="F1434">
            <v>27379.147679999998</v>
          </cell>
          <cell r="G1434">
            <v>27521.377069999999</v>
          </cell>
          <cell r="H1434">
            <v>27744.535469999999</v>
          </cell>
          <cell r="I1434">
            <v>28034.663069999999</v>
          </cell>
          <cell r="J1434">
            <v>28371.42038</v>
          </cell>
          <cell r="K1434">
            <v>28741.539410000001</v>
          </cell>
          <cell r="L1434">
            <v>29124.39703</v>
          </cell>
          <cell r="M1434">
            <v>29488.539150000001</v>
          </cell>
          <cell r="N1434">
            <v>29835.073069999999</v>
          </cell>
          <cell r="O1434">
            <v>30226.698120000001</v>
          </cell>
          <cell r="P1434">
            <v>30647.909080000001</v>
          </cell>
          <cell r="Q1434">
            <v>31019.679800000002</v>
          </cell>
          <cell r="R1434">
            <v>31312.34476</v>
          </cell>
          <cell r="S1434">
            <v>31522.817419999999</v>
          </cell>
          <cell r="T1434">
            <v>31665.741839999999</v>
          </cell>
          <cell r="U1434">
            <v>31760.456750000001</v>
          </cell>
          <cell r="V1434">
            <v>31826.60497</v>
          </cell>
          <cell r="W1434">
            <v>31883.066060000001</v>
          </cell>
          <cell r="X1434">
            <v>31945.540369999999</v>
          </cell>
          <cell r="Y1434">
            <v>32025.744119999999</v>
          </cell>
          <cell r="Z1434">
            <v>32124.88091</v>
          </cell>
          <cell r="AA1434">
            <v>32258.152859999998</v>
          </cell>
          <cell r="AB1434">
            <v>32431.565689999999</v>
          </cell>
          <cell r="AC1434">
            <v>32649.04364</v>
          </cell>
          <cell r="AD1434">
            <v>32911.882019999997</v>
          </cell>
          <cell r="AE1434">
            <v>33199.332130000003</v>
          </cell>
          <cell r="AF1434">
            <v>33525.448929999999</v>
          </cell>
          <cell r="AG1434">
            <v>33893.575340000003</v>
          </cell>
          <cell r="AH1434">
            <v>34305.559090000002</v>
          </cell>
          <cell r="AI1434">
            <v>34759.170030000001</v>
          </cell>
          <cell r="AJ1434">
            <v>35248.271540000002</v>
          </cell>
          <cell r="AK1434">
            <v>35765.191559999999</v>
          </cell>
          <cell r="AL1434">
            <v>36302.535539999997</v>
          </cell>
          <cell r="AM1434">
            <v>36853.57763</v>
          </cell>
          <cell r="AN1434">
            <v>37412.464520000001</v>
          </cell>
          <cell r="AO1434">
            <v>37974.377070000002</v>
          </cell>
        </row>
        <row r="1435">
          <cell r="F1435">
            <v>760.78110530000004</v>
          </cell>
          <cell r="G1435">
            <v>763.93580229999998</v>
          </cell>
          <cell r="H1435">
            <v>769.20196410000005</v>
          </cell>
          <cell r="I1435">
            <v>776.6902341</v>
          </cell>
          <cell r="J1435">
            <v>786.00634179999997</v>
          </cell>
          <cell r="K1435">
            <v>796.80099329999996</v>
          </cell>
          <cell r="L1435">
            <v>808.47248119999995</v>
          </cell>
          <cell r="M1435">
            <v>819.15814980000005</v>
          </cell>
          <cell r="N1435">
            <v>828.94714009999996</v>
          </cell>
          <cell r="O1435">
            <v>840.23768789999997</v>
          </cell>
          <cell r="P1435">
            <v>852.06197529999997</v>
          </cell>
          <cell r="Q1435">
            <v>861.81472210000004</v>
          </cell>
          <cell r="R1435">
            <v>868.53083070000002</v>
          </cell>
          <cell r="S1435">
            <v>872.23726199999999</v>
          </cell>
          <cell r="T1435">
            <v>873.55739289999997</v>
          </cell>
          <cell r="U1435">
            <v>873.21884590000002</v>
          </cell>
          <cell r="V1435">
            <v>872.03935000000001</v>
          </cell>
          <cell r="W1435">
            <v>870.62559080000005</v>
          </cell>
          <cell r="X1435">
            <v>869.47942790000002</v>
          </cell>
          <cell r="Y1435">
            <v>868.97501420000003</v>
          </cell>
          <cell r="Z1435">
            <v>869.2761534</v>
          </cell>
          <cell r="AA1435">
            <v>870.68235960000004</v>
          </cell>
          <cell r="AB1435">
            <v>873.42253040000003</v>
          </cell>
          <cell r="AC1435">
            <v>877.63830859999996</v>
          </cell>
          <cell r="AD1435">
            <v>883.36353829999996</v>
          </cell>
          <cell r="AE1435">
            <v>890.25585779999994</v>
          </cell>
          <cell r="AF1435">
            <v>898.29816370000003</v>
          </cell>
          <cell r="AG1435">
            <v>907.63329490000001</v>
          </cell>
          <cell r="AH1435">
            <v>918.34320639999999</v>
          </cell>
          <cell r="AI1435">
            <v>930.34014209999998</v>
          </cell>
          <cell r="AJ1435">
            <v>943.37906220000002</v>
          </cell>
          <cell r="AK1435">
            <v>957.15092900000002</v>
          </cell>
          <cell r="AL1435">
            <v>971.34900630000004</v>
          </cell>
          <cell r="AM1435">
            <v>985.68022150000002</v>
          </cell>
          <cell r="AN1435">
            <v>999.86850530000004</v>
          </cell>
          <cell r="AO1435">
            <v>1013.655187</v>
          </cell>
        </row>
        <row r="1438">
          <cell r="F1438">
            <v>4368.3707029999996</v>
          </cell>
          <cell r="G1438">
            <v>4397.8110210000004</v>
          </cell>
          <cell r="H1438">
            <v>4444.1906630000003</v>
          </cell>
          <cell r="I1438">
            <v>4503.8279169999996</v>
          </cell>
          <cell r="J1438">
            <v>4572.4158269999998</v>
          </cell>
          <cell r="K1438">
            <v>4647.4741210000002</v>
          </cell>
          <cell r="L1438">
            <v>4726.3223660000003</v>
          </cell>
          <cell r="M1438">
            <v>4800.672536</v>
          </cell>
          <cell r="N1438">
            <v>4872.2059149999995</v>
          </cell>
          <cell r="O1438">
            <v>4955.8657050000002</v>
          </cell>
          <cell r="P1438">
            <v>5045.4125709999998</v>
          </cell>
          <cell r="Q1438">
            <v>5125.0093360000001</v>
          </cell>
          <cell r="R1438">
            <v>5188.2821670000003</v>
          </cell>
          <cell r="S1438">
            <v>5235.2913630000003</v>
          </cell>
          <cell r="T1438">
            <v>5270.1327179999998</v>
          </cell>
          <cell r="U1438">
            <v>5297.5603149999997</v>
          </cell>
          <cell r="V1438">
            <v>5321.6948510000002</v>
          </cell>
          <cell r="W1438">
            <v>5346.5093040000002</v>
          </cell>
          <cell r="X1438">
            <v>5375.1856850000004</v>
          </cell>
          <cell r="Y1438">
            <v>5409.9832239999996</v>
          </cell>
          <cell r="Z1438">
            <v>5451.9331439999996</v>
          </cell>
          <cell r="AA1438">
            <v>5502.7027779999999</v>
          </cell>
          <cell r="AB1438">
            <v>5563.5934880000004</v>
          </cell>
          <cell r="AC1438">
            <v>5635.4202249999998</v>
          </cell>
          <cell r="AD1438">
            <v>5718.4120839999996</v>
          </cell>
          <cell r="AE1438">
            <v>5810.7955060000004</v>
          </cell>
          <cell r="AF1438">
            <v>5913.0214999999998</v>
          </cell>
          <cell r="AG1438">
            <v>6025.8219220000001</v>
          </cell>
          <cell r="AH1438">
            <v>6149.5188159999998</v>
          </cell>
          <cell r="AI1438">
            <v>6283.4563369999996</v>
          </cell>
          <cell r="AJ1438">
            <v>6426.1821950000003</v>
          </cell>
          <cell r="AK1438">
            <v>6576.1098739999998</v>
          </cell>
          <cell r="AL1438">
            <v>6731.8951280000001</v>
          </cell>
          <cell r="AM1438">
            <v>6892.382861</v>
          </cell>
          <cell r="AN1438">
            <v>7056.6386839999996</v>
          </cell>
          <cell r="AO1438">
            <v>7224.000352</v>
          </cell>
        </row>
        <row r="1450">
          <cell r="F1450">
            <v>868.27520900000002</v>
          </cell>
          <cell r="G1450">
            <v>872.68702059999998</v>
          </cell>
          <cell r="H1450">
            <v>879.36434329999997</v>
          </cell>
          <cell r="I1450">
            <v>887.65135829999997</v>
          </cell>
          <cell r="J1450">
            <v>897.12032899999997</v>
          </cell>
          <cell r="K1450">
            <v>907.50722389999999</v>
          </cell>
          <cell r="L1450">
            <v>918.23195599999997</v>
          </cell>
          <cell r="M1450">
            <v>926.61190780000004</v>
          </cell>
          <cell r="N1450">
            <v>933.16504499999996</v>
          </cell>
          <cell r="O1450">
            <v>940.96154420000005</v>
          </cell>
          <cell r="P1450">
            <v>949.13349270000003</v>
          </cell>
          <cell r="Q1450">
            <v>955.24574729999995</v>
          </cell>
          <cell r="R1450">
            <v>958.47573920000002</v>
          </cell>
          <cell r="S1450">
            <v>958.95708979999995</v>
          </cell>
          <cell r="T1450">
            <v>957.41359629999999</v>
          </cell>
          <cell r="U1450">
            <v>954.6266832</v>
          </cell>
          <cell r="V1450">
            <v>951.23446049999995</v>
          </cell>
          <cell r="W1450">
            <v>947.85923600000001</v>
          </cell>
          <cell r="X1450">
            <v>945.04267319999997</v>
          </cell>
          <cell r="Y1450">
            <v>943.17453269999999</v>
          </cell>
          <cell r="Z1450">
            <v>942.39058299999999</v>
          </cell>
          <cell r="AA1450">
            <v>943.03040229999999</v>
          </cell>
          <cell r="AB1450">
            <v>945.28894200000002</v>
          </cell>
          <cell r="AC1450">
            <v>949.26630320000004</v>
          </cell>
          <cell r="AD1450">
            <v>954.95442920000005</v>
          </cell>
          <cell r="AE1450">
            <v>961.91514830000006</v>
          </cell>
          <cell r="AF1450">
            <v>970.34473349999996</v>
          </cell>
          <cell r="AG1450">
            <v>980.36533069999996</v>
          </cell>
          <cell r="AH1450">
            <v>992.01787049999996</v>
          </cell>
          <cell r="AI1450">
            <v>1005.158398</v>
          </cell>
          <cell r="AJ1450">
            <v>1019.491908</v>
          </cell>
          <cell r="AK1450">
            <v>1034.6986509999999</v>
          </cell>
          <cell r="AL1450">
            <v>1050.5061880000001</v>
          </cell>
          <cell r="AM1450">
            <v>1066.675391</v>
          </cell>
          <cell r="AN1450">
            <v>1082.99683</v>
          </cell>
          <cell r="AO1450">
            <v>1099.2913269999999</v>
          </cell>
        </row>
        <row r="1455">
          <cell r="F1455">
            <v>21276.68795</v>
          </cell>
          <cell r="G1455">
            <v>21381.63334</v>
          </cell>
          <cell r="H1455">
            <v>21546.214650000002</v>
          </cell>
          <cell r="I1455">
            <v>21760.64086</v>
          </cell>
          <cell r="J1455">
            <v>22009.7729</v>
          </cell>
          <cell r="K1455">
            <v>22283.397929999999</v>
          </cell>
          <cell r="L1455">
            <v>22564.730780000002</v>
          </cell>
          <cell r="M1455">
            <v>22833.05588</v>
          </cell>
          <cell r="N1455">
            <v>23087.9611</v>
          </cell>
          <cell r="O1455">
            <v>23372.018909999999</v>
          </cell>
          <cell r="P1455">
            <v>23678.264520000001</v>
          </cell>
          <cell r="Q1455">
            <v>23949.21703</v>
          </cell>
          <cell r="R1455">
            <v>24163.652040000001</v>
          </cell>
          <cell r="S1455">
            <v>24318.297269999999</v>
          </cell>
          <cell r="T1455">
            <v>24422.247579999999</v>
          </cell>
          <cell r="U1455">
            <v>24488.43218</v>
          </cell>
          <cell r="V1455">
            <v>24530.779170000002</v>
          </cell>
          <cell r="W1455">
            <v>24562.811799999999</v>
          </cell>
          <cell r="X1455">
            <v>24595.886310000002</v>
          </cell>
          <cell r="Y1455">
            <v>24638.59765</v>
          </cell>
          <cell r="Z1455">
            <v>24690.749189999999</v>
          </cell>
          <cell r="AA1455">
            <v>24765.125489999999</v>
          </cell>
          <cell r="AB1455">
            <v>24865.900389999999</v>
          </cell>
          <cell r="AC1455">
            <v>24995.840100000001</v>
          </cell>
          <cell r="AD1455">
            <v>25155.88838</v>
          </cell>
          <cell r="AE1455">
            <v>25327.814979999999</v>
          </cell>
          <cell r="AF1455">
            <v>25524.865320000001</v>
          </cell>
          <cell r="AG1455">
            <v>25749.199499999999</v>
          </cell>
          <cell r="AH1455">
            <v>26002.023679999998</v>
          </cell>
          <cell r="AI1455">
            <v>26281.804909999999</v>
          </cell>
          <cell r="AJ1455">
            <v>26584.205809999999</v>
          </cell>
          <cell r="AK1455">
            <v>26903.535609999999</v>
          </cell>
          <cell r="AL1455">
            <v>27234.012930000001</v>
          </cell>
          <cell r="AM1455">
            <v>27570.196189999999</v>
          </cell>
          <cell r="AN1455">
            <v>27907.125380000001</v>
          </cell>
          <cell r="AO1455">
            <v>28240.384480000001</v>
          </cell>
        </row>
        <row r="1458">
          <cell r="F1458">
            <v>17.971260969999999</v>
          </cell>
          <cell r="G1458">
            <v>17.930402579999999</v>
          </cell>
          <cell r="H1458">
            <v>17.8686495</v>
          </cell>
          <cell r="I1458">
            <v>17.80489064</v>
          </cell>
          <cell r="J1458">
            <v>17.77493084</v>
          </cell>
          <cell r="K1458">
            <v>17.790698949999999</v>
          </cell>
          <cell r="L1458">
            <v>17.837693089999998</v>
          </cell>
          <cell r="M1458">
            <v>18.565520100000001</v>
          </cell>
          <cell r="N1458">
            <v>19.668839550000001</v>
          </cell>
          <cell r="O1458">
            <v>21.037378830000002</v>
          </cell>
          <cell r="P1458">
            <v>22.55768604</v>
          </cell>
          <cell r="Q1458">
            <v>24.136584410000001</v>
          </cell>
          <cell r="R1458">
            <v>25.71455752</v>
          </cell>
          <cell r="S1458">
            <v>27.262787029999998</v>
          </cell>
          <cell r="T1458">
            <v>28.776138249999999</v>
          </cell>
          <cell r="U1458">
            <v>30.26080572</v>
          </cell>
          <cell r="V1458">
            <v>31.717636710000001</v>
          </cell>
          <cell r="W1458">
            <v>33.162263289999999</v>
          </cell>
          <cell r="X1458">
            <v>34.612388459999998</v>
          </cell>
          <cell r="Y1458">
            <v>36.084231150000001</v>
          </cell>
          <cell r="Z1458">
            <v>37.589849940000001</v>
          </cell>
          <cell r="AA1458">
            <v>39.143432529999998</v>
          </cell>
          <cell r="AB1458">
            <v>40.758029049999998</v>
          </cell>
          <cell r="AC1458">
            <v>42.444910909999997</v>
          </cell>
          <cell r="AD1458">
            <v>44.213198810000002</v>
          </cell>
          <cell r="AE1458">
            <v>46.064405059999999</v>
          </cell>
          <cell r="AF1458">
            <v>48.012026409999997</v>
          </cell>
          <cell r="AG1458">
            <v>50.071268609999997</v>
          </cell>
          <cell r="AH1458">
            <v>52.257393669999999</v>
          </cell>
          <cell r="AI1458">
            <v>54.582157330000001</v>
          </cell>
          <cell r="AJ1458">
            <v>57.054206280000002</v>
          </cell>
          <cell r="AK1458">
            <v>59.683314299999999</v>
          </cell>
          <cell r="AL1458">
            <v>62.483946779999997</v>
          </cell>
          <cell r="AM1458">
            <v>65.476297389999999</v>
          </cell>
          <cell r="AN1458">
            <v>68.689389550000001</v>
          </cell>
          <cell r="AO1458">
            <v>72.167362929999996</v>
          </cell>
        </row>
        <row r="1460">
          <cell r="F1460">
            <v>6.6796781279999999</v>
          </cell>
          <cell r="G1460">
            <v>6.6547604170000003</v>
          </cell>
          <cell r="H1460">
            <v>6.6151538380000003</v>
          </cell>
          <cell r="I1460">
            <v>6.5738545540000004</v>
          </cell>
          <cell r="J1460">
            <v>6.5452438849999997</v>
          </cell>
          <cell r="K1460">
            <v>6.5346272550000002</v>
          </cell>
          <cell r="L1460">
            <v>6.53960133</v>
          </cell>
          <cell r="M1460">
            <v>7.3438118689999996</v>
          </cell>
          <cell r="N1460">
            <v>8.5863787089999999</v>
          </cell>
          <cell r="O1460">
            <v>10.094142420000001</v>
          </cell>
          <cell r="P1460">
            <v>11.749064949999999</v>
          </cell>
          <cell r="Q1460">
            <v>13.46955707</v>
          </cell>
          <cell r="R1460">
            <v>15.2030546</v>
          </cell>
          <cell r="S1460">
            <v>16.921247860000001</v>
          </cell>
          <cell r="T1460">
            <v>18.614435230000002</v>
          </cell>
          <cell r="U1460">
            <v>20.283908709999999</v>
          </cell>
          <cell r="V1460">
            <v>21.931381720000001</v>
          </cell>
          <cell r="W1460">
            <v>23.566160780000001</v>
          </cell>
          <cell r="X1460">
            <v>25.201192509999998</v>
          </cell>
          <cell r="Y1460">
            <v>26.849817590000001</v>
          </cell>
          <cell r="Z1460">
            <v>28.523161229999999</v>
          </cell>
          <cell r="AA1460">
            <v>30.233735729999999</v>
          </cell>
          <cell r="AB1460">
            <v>31.993594680000001</v>
          </cell>
          <cell r="AC1460">
            <v>33.813798380000001</v>
          </cell>
          <cell r="AD1460">
            <v>35.704092500000002</v>
          </cell>
          <cell r="AE1460">
            <v>37.668748479999998</v>
          </cell>
          <cell r="AF1460">
            <v>39.719236029999998</v>
          </cell>
          <cell r="AG1460">
            <v>41.870415000000001</v>
          </cell>
          <cell r="AH1460">
            <v>44.137675989999998</v>
          </cell>
          <cell r="AI1460">
            <v>46.53443601</v>
          </cell>
          <cell r="AJ1460">
            <v>49.072128630000002</v>
          </cell>
          <cell r="AK1460">
            <v>51.76320845</v>
          </cell>
          <cell r="AL1460">
            <v>54.624085700000002</v>
          </cell>
          <cell r="AM1460">
            <v>57.676360070000001</v>
          </cell>
          <cell r="AN1460">
            <v>60.949972600000002</v>
          </cell>
          <cell r="AO1460">
            <v>64.489462279999998</v>
          </cell>
        </row>
        <row r="1462">
          <cell r="F1462">
            <v>0.71851927429999995</v>
          </cell>
          <cell r="G1462">
            <v>0.71629644410000004</v>
          </cell>
          <cell r="H1462">
            <v>0.71365455200000005</v>
          </cell>
          <cell r="I1462">
            <v>0.71055633100000004</v>
          </cell>
          <cell r="J1462">
            <v>0.70907312460000005</v>
          </cell>
          <cell r="K1462">
            <v>0.70965147080000002</v>
          </cell>
          <cell r="L1462">
            <v>0.71009341550000005</v>
          </cell>
          <cell r="M1462">
            <v>0.76512317760000004</v>
          </cell>
          <cell r="N1462">
            <v>0.84532181289999997</v>
          </cell>
          <cell r="O1462">
            <v>0.93837622629999995</v>
          </cell>
          <cell r="P1462">
            <v>1.0358166339999999</v>
          </cell>
          <cell r="Q1462">
            <v>1.131843218</v>
          </cell>
          <cell r="R1462">
            <v>1.22275011</v>
          </cell>
          <cell r="S1462">
            <v>1.306963176</v>
          </cell>
          <cell r="T1462">
            <v>1.3846050320000001</v>
          </cell>
          <cell r="U1462">
            <v>1.456600058</v>
          </cell>
          <cell r="V1462">
            <v>1.525036772</v>
          </cell>
          <cell r="W1462">
            <v>1.5915171020000001</v>
          </cell>
          <cell r="X1462">
            <v>1.657312396</v>
          </cell>
          <cell r="Y1462">
            <v>1.7234163979999999</v>
          </cell>
          <cell r="Z1462">
            <v>1.7904399950000001</v>
          </cell>
          <cell r="AA1462">
            <v>1.8593457849999999</v>
          </cell>
          <cell r="AB1462">
            <v>1.9309081299999999</v>
          </cell>
          <cell r="AC1462">
            <v>2.005747688</v>
          </cell>
          <cell r="AD1462">
            <v>2.084319668</v>
          </cell>
          <cell r="AE1462">
            <v>2.166302344</v>
          </cell>
          <cell r="AF1462">
            <v>2.2525496340000002</v>
          </cell>
          <cell r="AG1462">
            <v>2.344090483</v>
          </cell>
          <cell r="AH1462">
            <v>2.441764284</v>
          </cell>
          <cell r="AI1462">
            <v>2.5459522200000002</v>
          </cell>
          <cell r="AJ1462">
            <v>2.6566494390000002</v>
          </cell>
          <cell r="AK1462">
            <v>2.7738297759999999</v>
          </cell>
          <cell r="AL1462">
            <v>2.8976970799999999</v>
          </cell>
          <cell r="AM1462">
            <v>3.0286830760000001</v>
          </cell>
          <cell r="AN1462">
            <v>3.167524609</v>
          </cell>
          <cell r="AO1462">
            <v>3.3153877839999999</v>
          </cell>
        </row>
        <row r="1463">
          <cell r="F1463">
            <v>87.061451860000005</v>
          </cell>
          <cell r="G1463">
            <v>87.379484140000002</v>
          </cell>
          <cell r="H1463">
            <v>87.695193380000006</v>
          </cell>
          <cell r="I1463">
            <v>88.047810749999996</v>
          </cell>
          <cell r="J1463">
            <v>88.330049860000003</v>
          </cell>
          <cell r="K1463">
            <v>88.568438209999997</v>
          </cell>
          <cell r="L1463">
            <v>88.801750900000002</v>
          </cell>
          <cell r="M1463">
            <v>90.475149000000002</v>
          </cell>
          <cell r="N1463">
            <v>93.125030969999997</v>
          </cell>
          <cell r="O1463">
            <v>96.576899760000003</v>
          </cell>
          <cell r="P1463">
            <v>100.4788334</v>
          </cell>
          <cell r="Q1463">
            <v>104.2563803</v>
          </cell>
          <cell r="R1463">
            <v>107.68942300000001</v>
          </cell>
          <cell r="S1463">
            <v>110.77165170000001</v>
          </cell>
          <cell r="T1463">
            <v>113.61442</v>
          </cell>
          <cell r="U1463">
            <v>116.3579198</v>
          </cell>
          <cell r="V1463">
            <v>119.13949940000001</v>
          </cell>
          <cell r="W1463">
            <v>122.0978623</v>
          </cell>
          <cell r="X1463">
            <v>125.33388859999999</v>
          </cell>
          <cell r="Y1463">
            <v>128.92946710000001</v>
          </cell>
          <cell r="Z1463">
            <v>132.94199380000001</v>
          </cell>
          <cell r="AA1463">
            <v>137.46839510000001</v>
          </cell>
          <cell r="AB1463">
            <v>142.60230999999999</v>
          </cell>
          <cell r="AC1463">
            <v>148.4337932</v>
          </cell>
          <cell r="AD1463">
            <v>155.05038669999999</v>
          </cell>
          <cell r="AE1463">
            <v>162.48623459999999</v>
          </cell>
          <cell r="AF1463">
            <v>170.9071873</v>
          </cell>
          <cell r="AG1463">
            <v>180.48402060000001</v>
          </cell>
          <cell r="AH1463">
            <v>191.39812570000001</v>
          </cell>
          <cell r="AI1463">
            <v>203.82807969999999</v>
          </cell>
          <cell r="AJ1463">
            <v>217.95835589999999</v>
          </cell>
          <cell r="AK1463">
            <v>234.01318319999999</v>
          </cell>
          <cell r="AL1463">
            <v>252.28835029999999</v>
          </cell>
          <cell r="AM1463">
            <v>273.1666725</v>
          </cell>
          <cell r="AN1463">
            <v>297.14573799999999</v>
          </cell>
          <cell r="AO1463">
            <v>324.87836019999997</v>
          </cell>
        </row>
        <row r="1473">
          <cell r="F1473">
            <v>27379.147679999998</v>
          </cell>
          <cell r="G1473">
            <v>27521.377069999999</v>
          </cell>
          <cell r="H1473">
            <v>27744.535469999999</v>
          </cell>
          <cell r="I1473">
            <v>28034.663059999999</v>
          </cell>
          <cell r="J1473">
            <v>28371.42038</v>
          </cell>
          <cell r="K1473">
            <v>28741.539410000001</v>
          </cell>
          <cell r="L1473">
            <v>29124.39703</v>
          </cell>
          <cell r="M1473">
            <v>29510.44901</v>
          </cell>
          <cell r="N1473">
            <v>29893.984700000001</v>
          </cell>
          <cell r="O1473">
            <v>30272.444769999998</v>
          </cell>
          <cell r="P1473">
            <v>30645.179339999999</v>
          </cell>
          <cell r="Q1473">
            <v>30959.468840000001</v>
          </cell>
          <cell r="R1473">
            <v>31202.001769999999</v>
          </cell>
          <cell r="S1473">
            <v>31374.623660000001</v>
          </cell>
          <cell r="T1473">
            <v>31488.876499999998</v>
          </cell>
          <cell r="U1473">
            <v>31560.781660000001</v>
          </cell>
          <cell r="V1473">
            <v>31610.2634</v>
          </cell>
          <cell r="W1473">
            <v>31656.46774</v>
          </cell>
          <cell r="X1473">
            <v>31715.045969999999</v>
          </cell>
          <cell r="Y1473">
            <v>31796.88004</v>
          </cell>
          <cell r="Z1473">
            <v>31901.888620000002</v>
          </cell>
          <cell r="AA1473">
            <v>32043.658790000001</v>
          </cell>
          <cell r="AB1473">
            <v>32226.51612</v>
          </cell>
          <cell r="AC1473">
            <v>32452.759689999999</v>
          </cell>
          <cell r="AD1473">
            <v>32722.06652</v>
          </cell>
          <cell r="AE1473">
            <v>33012.317770000001</v>
          </cell>
          <cell r="AF1473">
            <v>33335.453280000002</v>
          </cell>
          <cell r="AG1473">
            <v>33692.767699999997</v>
          </cell>
          <cell r="AH1473">
            <v>34084.09906</v>
          </cell>
          <cell r="AI1473">
            <v>34505.107790000002</v>
          </cell>
          <cell r="AJ1473">
            <v>34947.559359999999</v>
          </cell>
          <cell r="AK1473">
            <v>35401.694770000002</v>
          </cell>
          <cell r="AL1473">
            <v>35857.983249999997</v>
          </cell>
          <cell r="AM1473">
            <v>36307.57447</v>
          </cell>
          <cell r="AN1473">
            <v>36742.359470000003</v>
          </cell>
          <cell r="AO1473">
            <v>37154.966269999997</v>
          </cell>
        </row>
        <row r="1474">
          <cell r="F1474">
            <v>760.78110530000004</v>
          </cell>
          <cell r="G1474">
            <v>763.93580229999998</v>
          </cell>
          <cell r="H1474">
            <v>769.20196399999998</v>
          </cell>
          <cell r="I1474">
            <v>776.6902341</v>
          </cell>
          <cell r="J1474">
            <v>786.00634170000001</v>
          </cell>
          <cell r="K1474">
            <v>796.80099329999996</v>
          </cell>
          <cell r="L1474">
            <v>808.47248109999998</v>
          </cell>
          <cell r="M1474">
            <v>820.54339930000003</v>
          </cell>
          <cell r="N1474">
            <v>832.67013810000003</v>
          </cell>
          <cell r="O1474">
            <v>844.6462477</v>
          </cell>
          <cell r="P1474">
            <v>856.08910590000005</v>
          </cell>
          <cell r="Q1474">
            <v>865.23915509999995</v>
          </cell>
          <cell r="R1474">
            <v>871.58620610000003</v>
          </cell>
          <cell r="S1474">
            <v>875.22369939999999</v>
          </cell>
          <cell r="T1474">
            <v>876.61804519999998</v>
          </cell>
          <cell r="U1474">
            <v>876.39953479999997</v>
          </cell>
          <cell r="V1474">
            <v>875.33506220000004</v>
          </cell>
          <cell r="W1474">
            <v>874.16581340000005</v>
          </cell>
          <cell r="X1474">
            <v>873.49537889999999</v>
          </cell>
          <cell r="Y1474">
            <v>873.7338919</v>
          </cell>
          <cell r="Z1474">
            <v>875.03432559999999</v>
          </cell>
          <cell r="AA1474">
            <v>877.65749029999995</v>
          </cell>
          <cell r="AB1474">
            <v>881.78149719999999</v>
          </cell>
          <cell r="AC1474">
            <v>887.49544990000004</v>
          </cell>
          <cell r="AD1474">
            <v>894.78053490000002</v>
          </cell>
          <cell r="AE1474">
            <v>903.24991769999997</v>
          </cell>
          <cell r="AF1474">
            <v>912.92342399999995</v>
          </cell>
          <cell r="AG1474">
            <v>923.84808050000004</v>
          </cell>
          <cell r="AH1474">
            <v>936.02189339999995</v>
          </cell>
          <cell r="AI1474">
            <v>949.28001410000002</v>
          </cell>
          <cell r="AJ1474">
            <v>963.30979609999997</v>
          </cell>
          <cell r="AK1474">
            <v>977.74595109999996</v>
          </cell>
          <cell r="AL1474">
            <v>992.23570859999995</v>
          </cell>
          <cell r="AM1474">
            <v>1006.452805</v>
          </cell>
          <cell r="AN1474">
            <v>1020.098785</v>
          </cell>
          <cell r="AO1474">
            <v>1032.902979</v>
          </cell>
        </row>
        <row r="1477">
          <cell r="F1477">
            <v>4368.3707029999996</v>
          </cell>
          <cell r="G1477">
            <v>4397.8110210000004</v>
          </cell>
          <cell r="H1477">
            <v>4444.190662</v>
          </cell>
          <cell r="I1477">
            <v>4503.8279160000002</v>
          </cell>
          <cell r="J1477">
            <v>4572.4158269999998</v>
          </cell>
          <cell r="K1477">
            <v>4647.4741199999999</v>
          </cell>
          <cell r="L1477">
            <v>4726.322365</v>
          </cell>
          <cell r="M1477">
            <v>4807.1251430000002</v>
          </cell>
          <cell r="N1477">
            <v>4888.7331469999999</v>
          </cell>
          <cell r="O1477">
            <v>4970.6131960000002</v>
          </cell>
          <cell r="P1477">
            <v>5050.8657499999999</v>
          </cell>
          <cell r="Q1477">
            <v>5119.6215560000001</v>
          </cell>
          <cell r="R1477">
            <v>5174.2857670000003</v>
          </cell>
          <cell r="S1477">
            <v>5215.6812129999998</v>
          </cell>
          <cell r="T1477">
            <v>5246.6830650000002</v>
          </cell>
          <cell r="U1477">
            <v>5270.9220299999997</v>
          </cell>
          <cell r="V1477">
            <v>5292.3394209999997</v>
          </cell>
          <cell r="W1477">
            <v>5314.7737180000004</v>
          </cell>
          <cell r="X1477">
            <v>5341.3989330000004</v>
          </cell>
          <cell r="Y1477">
            <v>5374.3820910000004</v>
          </cell>
          <cell r="Z1477">
            <v>5414.5422019999996</v>
          </cell>
          <cell r="AA1477">
            <v>5463.1812870000003</v>
          </cell>
          <cell r="AB1477">
            <v>5521.1744829999998</v>
          </cell>
          <cell r="AC1477">
            <v>5588.937261</v>
          </cell>
          <cell r="AD1477">
            <v>5666.2928590000001</v>
          </cell>
          <cell r="AE1477">
            <v>5751.0871980000002</v>
          </cell>
          <cell r="AF1477">
            <v>5843.1902</v>
          </cell>
          <cell r="AG1477">
            <v>5942.6004000000003</v>
          </cell>
          <cell r="AH1477">
            <v>6049.0764440000003</v>
          </cell>
          <cell r="AI1477">
            <v>6161.439284</v>
          </cell>
          <cell r="AJ1477">
            <v>6277.701881</v>
          </cell>
          <cell r="AK1477">
            <v>6395.6591820000003</v>
          </cell>
          <cell r="AL1477">
            <v>6513.27646</v>
          </cell>
          <cell r="AM1477">
            <v>6628.7491140000002</v>
          </cell>
          <cell r="AN1477">
            <v>6740.4740009999996</v>
          </cell>
          <cell r="AO1477">
            <v>6847.0137480000003</v>
          </cell>
        </row>
        <row r="1489">
          <cell r="F1489">
            <v>868.27520900000002</v>
          </cell>
          <cell r="G1489">
            <v>872.68702050000002</v>
          </cell>
          <cell r="H1489">
            <v>879.36434320000001</v>
          </cell>
          <cell r="I1489">
            <v>887.65135829999997</v>
          </cell>
          <cell r="J1489">
            <v>897.12032899999997</v>
          </cell>
          <cell r="K1489">
            <v>907.50722380000002</v>
          </cell>
          <cell r="L1489">
            <v>918.2319559</v>
          </cell>
          <cell r="M1489">
            <v>928.89171969999995</v>
          </cell>
          <cell r="N1489">
            <v>939.2470892</v>
          </cell>
          <cell r="O1489">
            <v>949.19721660000005</v>
          </cell>
          <cell r="P1489">
            <v>958.4588086</v>
          </cell>
          <cell r="Q1489">
            <v>965.1655217</v>
          </cell>
          <cell r="R1489">
            <v>968.96195580000006</v>
          </cell>
          <cell r="S1489">
            <v>970.11912740000002</v>
          </cell>
          <cell r="T1489">
            <v>969.25027139999997</v>
          </cell>
          <cell r="U1489">
            <v>967.07425149999995</v>
          </cell>
          <cell r="V1489">
            <v>964.44304260000001</v>
          </cell>
          <cell r="W1489">
            <v>962.11236359999998</v>
          </cell>
          <cell r="X1489">
            <v>960.63921679999999</v>
          </cell>
          <cell r="Y1489">
            <v>960.35539089999997</v>
          </cell>
          <cell r="Z1489">
            <v>961.30658470000003</v>
          </cell>
          <cell r="AA1489">
            <v>963.73293799999999</v>
          </cell>
          <cell r="AB1489">
            <v>967.73488750000001</v>
          </cell>
          <cell r="AC1489">
            <v>973.3394763</v>
          </cell>
          <cell r="AD1489">
            <v>980.4795398</v>
          </cell>
          <cell r="AE1489">
            <v>988.66295920000005</v>
          </cell>
          <cell r="AF1489">
            <v>997.99778779999997</v>
          </cell>
          <cell r="AG1489">
            <v>1008.502489</v>
          </cell>
          <cell r="AH1489">
            <v>1020.137581</v>
          </cell>
          <cell r="AI1489">
            <v>1032.6908719999999</v>
          </cell>
          <cell r="AJ1489">
            <v>1045.8068350000001</v>
          </cell>
          <cell r="AK1489">
            <v>1059.097593</v>
          </cell>
          <cell r="AL1489">
            <v>1072.2130010000001</v>
          </cell>
          <cell r="AM1489">
            <v>1084.850261</v>
          </cell>
          <cell r="AN1489">
            <v>1096.7487570000001</v>
          </cell>
          <cell r="AO1489">
            <v>1107.6842389999999</v>
          </cell>
        </row>
        <row r="1494">
          <cell r="F1494">
            <v>21276.68795</v>
          </cell>
          <cell r="G1494">
            <v>21381.63334</v>
          </cell>
          <cell r="H1494">
            <v>21546.214650000002</v>
          </cell>
          <cell r="I1494">
            <v>21760.64085</v>
          </cell>
          <cell r="J1494">
            <v>22009.7729</v>
          </cell>
          <cell r="K1494">
            <v>22283.397929999999</v>
          </cell>
          <cell r="L1494">
            <v>22564.730780000002</v>
          </cell>
          <cell r="M1494">
            <v>22846.93507</v>
          </cell>
          <cell r="N1494">
            <v>23126.04796</v>
          </cell>
          <cell r="O1494">
            <v>23400.36865</v>
          </cell>
          <cell r="P1494">
            <v>23671.84388</v>
          </cell>
          <cell r="Q1494">
            <v>23901.42988</v>
          </cell>
          <cell r="R1494">
            <v>24079.330399999999</v>
          </cell>
          <cell r="S1494">
            <v>24206.189030000001</v>
          </cell>
          <cell r="T1494">
            <v>24289.537509999998</v>
          </cell>
          <cell r="U1494">
            <v>24340.346160000001</v>
          </cell>
          <cell r="V1494">
            <v>24372.912369999998</v>
          </cell>
          <cell r="W1494">
            <v>24400.97292</v>
          </cell>
          <cell r="X1494">
            <v>24435.783329999998</v>
          </cell>
          <cell r="Y1494">
            <v>24485.274789999999</v>
          </cell>
          <cell r="Z1494">
            <v>24548.33597</v>
          </cell>
          <cell r="AA1494">
            <v>24636.720010000001</v>
          </cell>
          <cell r="AB1494">
            <v>24753.584040000002</v>
          </cell>
          <cell r="AC1494">
            <v>24900.691149999999</v>
          </cell>
          <cell r="AD1494">
            <v>25077.98573</v>
          </cell>
          <cell r="AE1494">
            <v>25266.430110000001</v>
          </cell>
          <cell r="AF1494">
            <v>25477.954890000001</v>
          </cell>
          <cell r="AG1494">
            <v>25713.787799999998</v>
          </cell>
          <cell r="AH1494">
            <v>25974.055609999999</v>
          </cell>
          <cell r="AI1494">
            <v>26255.998759999999</v>
          </cell>
          <cell r="AJ1494">
            <v>26554.07645</v>
          </cell>
          <cell r="AK1494">
            <v>26861.530190000001</v>
          </cell>
          <cell r="AL1494">
            <v>27171.605510000001</v>
          </cell>
          <cell r="AM1494">
            <v>27477.91921</v>
          </cell>
          <cell r="AN1494">
            <v>27774.55298</v>
          </cell>
          <cell r="AO1494">
            <v>28056.091110000001</v>
          </cell>
        </row>
        <row r="1497">
          <cell r="F1497">
            <v>17.971260999999998</v>
          </cell>
          <cell r="G1497">
            <v>17.93040263</v>
          </cell>
          <cell r="H1497">
            <v>17.868649560000001</v>
          </cell>
          <cell r="I1497">
            <v>17.804890709999999</v>
          </cell>
          <cell r="J1497">
            <v>17.774930919999999</v>
          </cell>
          <cell r="K1497">
            <v>17.790699029999999</v>
          </cell>
          <cell r="L1497">
            <v>17.837693170000001</v>
          </cell>
          <cell r="M1497">
            <v>17.900000609999999</v>
          </cell>
          <cell r="N1497">
            <v>17.96695016</v>
          </cell>
          <cell r="O1497">
            <v>18.03253471</v>
          </cell>
          <cell r="P1497">
            <v>18.089848480000001</v>
          </cell>
          <cell r="Q1497">
            <v>18.114574220000002</v>
          </cell>
          <cell r="R1497">
            <v>18.100190749999999</v>
          </cell>
          <cell r="S1497">
            <v>18.049334479999999</v>
          </cell>
          <cell r="T1497">
            <v>17.96945079</v>
          </cell>
          <cell r="U1497">
            <v>17.869486519999999</v>
          </cell>
          <cell r="V1497">
            <v>17.76540601</v>
          </cell>
          <cell r="W1497">
            <v>17.66932383</v>
          </cell>
          <cell r="X1497">
            <v>17.588670109999999</v>
          </cell>
          <cell r="Y1497">
            <v>17.526769359999999</v>
          </cell>
          <cell r="Z1497">
            <v>17.483410410000001</v>
          </cell>
          <cell r="AA1497">
            <v>17.45948173</v>
          </cell>
          <cell r="AB1497">
            <v>17.455330620000002</v>
          </cell>
          <cell r="AC1497">
            <v>17.47089373</v>
          </cell>
          <cell r="AD1497">
            <v>17.50536791</v>
          </cell>
          <cell r="AE1497">
            <v>17.554587260000002</v>
          </cell>
          <cell r="AF1497">
            <v>17.619044679999998</v>
          </cell>
          <cell r="AG1497">
            <v>17.699503780000001</v>
          </cell>
          <cell r="AH1497">
            <v>17.796075309999999</v>
          </cell>
          <cell r="AI1497">
            <v>17.906602070000002</v>
          </cell>
          <cell r="AJ1497">
            <v>18.026913629999999</v>
          </cell>
          <cell r="AK1497">
            <v>18.15219943</v>
          </cell>
          <cell r="AL1497">
            <v>18.277898010000001</v>
          </cell>
          <cell r="AM1497">
            <v>18.39984463</v>
          </cell>
          <cell r="AN1497">
            <v>18.51421345</v>
          </cell>
          <cell r="AO1497">
            <v>18.617463919999999</v>
          </cell>
        </row>
        <row r="1499">
          <cell r="F1499">
            <v>6.6796781269999999</v>
          </cell>
          <cell r="G1499">
            <v>6.6547604160000002</v>
          </cell>
          <cell r="H1499">
            <v>6.6151538360000002</v>
          </cell>
          <cell r="I1499">
            <v>6.5738545520000002</v>
          </cell>
          <cell r="J1499">
            <v>6.5452438839999996</v>
          </cell>
          <cell r="K1499">
            <v>6.534627253</v>
          </cell>
          <cell r="L1499">
            <v>6.5396013279999998</v>
          </cell>
          <cell r="M1499">
            <v>6.554471371</v>
          </cell>
          <cell r="N1499">
            <v>6.5742776230000004</v>
          </cell>
          <cell r="O1499">
            <v>6.5956021270000003</v>
          </cell>
          <cell r="P1499">
            <v>6.615642104</v>
          </cell>
          <cell r="Q1499">
            <v>6.6280058300000002</v>
          </cell>
          <cell r="R1499">
            <v>6.6300799870000002</v>
          </cell>
          <cell r="S1499">
            <v>6.6215741530000001</v>
          </cell>
          <cell r="T1499">
            <v>6.6036168069999999</v>
          </cell>
          <cell r="U1499">
            <v>6.5780188539999997</v>
          </cell>
          <cell r="V1499">
            <v>6.5480019360000004</v>
          </cell>
          <cell r="W1499">
            <v>6.517105838</v>
          </cell>
          <cell r="X1499">
            <v>6.4879651599999999</v>
          </cell>
          <cell r="Y1499">
            <v>6.4620687500000003</v>
          </cell>
          <cell r="Z1499">
            <v>6.4397605259999997</v>
          </cell>
          <cell r="AA1499">
            <v>6.421555101</v>
          </cell>
          <cell r="AB1499">
            <v>6.4077703269999997</v>
          </cell>
          <cell r="AC1499">
            <v>6.3985977639999998</v>
          </cell>
          <cell r="AD1499">
            <v>6.3940427279999996</v>
          </cell>
          <cell r="AE1499">
            <v>6.3931084340000002</v>
          </cell>
          <cell r="AF1499">
            <v>6.395985831</v>
          </cell>
          <cell r="AG1499">
            <v>6.4029559469999997</v>
          </cell>
          <cell r="AH1499">
            <v>6.4141659840000003</v>
          </cell>
          <cell r="AI1499">
            <v>6.4292398579999999</v>
          </cell>
          <cell r="AJ1499">
            <v>6.4472797689999997</v>
          </cell>
          <cell r="AK1499">
            <v>6.4671331050000003</v>
          </cell>
          <cell r="AL1499">
            <v>6.4876000380000001</v>
          </cell>
          <cell r="AM1499">
            <v>6.5074873049999997</v>
          </cell>
          <cell r="AN1499">
            <v>6.5256199580000001</v>
          </cell>
          <cell r="AO1499">
            <v>6.5408588520000004</v>
          </cell>
        </row>
        <row r="1501">
          <cell r="F1501">
            <v>0.71851937040000002</v>
          </cell>
          <cell r="G1501">
            <v>0.71629658890000003</v>
          </cell>
          <cell r="H1501">
            <v>0.71365471940000003</v>
          </cell>
          <cell r="I1501">
            <v>0.71055650729999997</v>
          </cell>
          <cell r="J1501">
            <v>0.70907330329999996</v>
          </cell>
          <cell r="K1501">
            <v>0.709651649</v>
          </cell>
          <cell r="L1501">
            <v>0.71009359179999998</v>
          </cell>
          <cell r="M1501">
            <v>0.70965118829999996</v>
          </cell>
          <cell r="N1501">
            <v>0.70832583189999998</v>
          </cell>
          <cell r="O1501">
            <v>0.70634071480000005</v>
          </cell>
          <cell r="P1501">
            <v>0.70377082999999996</v>
          </cell>
          <cell r="Q1501">
            <v>0.69957715570000001</v>
          </cell>
          <cell r="R1501">
            <v>0.69358688369999999</v>
          </cell>
          <cell r="S1501">
            <v>0.68606466369999997</v>
          </cell>
          <cell r="T1501">
            <v>0.67748261730000003</v>
          </cell>
          <cell r="U1501">
            <v>0.668353423</v>
          </cell>
          <cell r="V1501">
            <v>0.66021487329999995</v>
          </cell>
          <cell r="W1501">
            <v>0.65356872170000002</v>
          </cell>
          <cell r="X1501">
            <v>0.64849800629999999</v>
          </cell>
          <cell r="Y1501">
            <v>0.64491451499999997</v>
          </cell>
          <cell r="Z1501">
            <v>0.64261303849999996</v>
          </cell>
          <cell r="AA1501">
            <v>0.64156322170000002</v>
          </cell>
          <cell r="AB1501">
            <v>0.64172200629999998</v>
          </cell>
          <cell r="AC1501">
            <v>0.64304206109999995</v>
          </cell>
          <cell r="AD1501">
            <v>0.64545260390000003</v>
          </cell>
          <cell r="AE1501">
            <v>0.64866879229999996</v>
          </cell>
          <cell r="AF1501">
            <v>0.65274666609999998</v>
          </cell>
          <cell r="AG1501">
            <v>0.65771822830000004</v>
          </cell>
          <cell r="AH1501">
            <v>0.66356774210000002</v>
          </cell>
          <cell r="AI1501">
            <v>0.67016237249999999</v>
          </cell>
          <cell r="AJ1501">
            <v>0.67726858479999996</v>
          </cell>
          <cell r="AK1501">
            <v>0.68462324009999997</v>
          </cell>
          <cell r="AL1501">
            <v>0.69197913339999995</v>
          </cell>
          <cell r="AM1501">
            <v>0.69911844310000004</v>
          </cell>
          <cell r="AN1501">
            <v>0.70585114630000001</v>
          </cell>
          <cell r="AO1501">
            <v>0.7120109792</v>
          </cell>
        </row>
        <row r="1502">
          <cell r="F1502">
            <v>87.061451849999997</v>
          </cell>
          <cell r="G1502">
            <v>87.379484140000002</v>
          </cell>
          <cell r="H1502">
            <v>87.695193369999998</v>
          </cell>
          <cell r="I1502">
            <v>88.047810740000003</v>
          </cell>
          <cell r="J1502">
            <v>88.330049860000003</v>
          </cell>
          <cell r="K1502">
            <v>88.568438209999997</v>
          </cell>
          <cell r="L1502">
            <v>88.801750909999996</v>
          </cell>
          <cell r="M1502">
            <v>89.053679259999996</v>
          </cell>
          <cell r="N1502">
            <v>89.319421030000001</v>
          </cell>
          <cell r="O1502">
            <v>89.586917529999994</v>
          </cell>
          <cell r="P1502">
            <v>89.831947159999999</v>
          </cell>
          <cell r="Q1502">
            <v>89.898155200000005</v>
          </cell>
          <cell r="R1502">
            <v>89.737252409999996</v>
          </cell>
          <cell r="S1502">
            <v>89.361256870000005</v>
          </cell>
          <cell r="T1502">
            <v>88.818150700000004</v>
          </cell>
          <cell r="U1502">
            <v>88.170192569999998</v>
          </cell>
          <cell r="V1502">
            <v>87.468102560000005</v>
          </cell>
          <cell r="W1502">
            <v>86.773605169999996</v>
          </cell>
          <cell r="X1502">
            <v>86.140444950000003</v>
          </cell>
          <cell r="Y1502">
            <v>85.607105079999997</v>
          </cell>
          <cell r="Z1502">
            <v>85.186128670000002</v>
          </cell>
          <cell r="AA1502">
            <v>84.907586699999996</v>
          </cell>
          <cell r="AB1502">
            <v>84.785881250000003</v>
          </cell>
          <cell r="AC1502">
            <v>84.825459629999997</v>
          </cell>
          <cell r="AD1502">
            <v>85.022484090000006</v>
          </cell>
          <cell r="AE1502">
            <v>85.332991149999998</v>
          </cell>
          <cell r="AF1502">
            <v>85.767937989999993</v>
          </cell>
          <cell r="AG1502">
            <v>86.329425259999994</v>
          </cell>
          <cell r="AH1502">
            <v>87.011464369999999</v>
          </cell>
          <cell r="AI1502">
            <v>87.792258989999993</v>
          </cell>
          <cell r="AJ1502">
            <v>88.637478869999995</v>
          </cell>
          <cell r="AK1502">
            <v>89.509659589999998</v>
          </cell>
          <cell r="AL1502">
            <v>90.374670780000002</v>
          </cell>
          <cell r="AM1502">
            <v>91.203234980000005</v>
          </cell>
          <cell r="AN1502">
            <v>91.970730860000003</v>
          </cell>
          <cell r="AO1502">
            <v>92.656728680000001</v>
          </cell>
        </row>
        <row r="1512">
          <cell r="F1512">
            <v>1966951.8470000001</v>
          </cell>
          <cell r="G1512">
            <v>2004519.7749999999</v>
          </cell>
          <cell r="H1512">
            <v>2046281.8149999999</v>
          </cell>
          <cell r="I1512">
            <v>2091846.4129999999</v>
          </cell>
          <cell r="J1512">
            <v>2140335.9550000001</v>
          </cell>
          <cell r="K1512">
            <v>2191475.6439999999</v>
          </cell>
          <cell r="L1512">
            <v>2243515.3629999999</v>
          </cell>
          <cell r="M1512">
            <v>2291277.0649999999</v>
          </cell>
          <cell r="N1512">
            <v>2339909.3930000002</v>
          </cell>
          <cell r="O1512">
            <v>2398526.4160000002</v>
          </cell>
          <cell r="P1512">
            <v>2458411.5430000001</v>
          </cell>
          <cell r="Q1512">
            <v>2510803.12</v>
          </cell>
          <cell r="R1512">
            <v>2558136.969</v>
          </cell>
          <cell r="S1512">
            <v>2601751.7560000001</v>
          </cell>
          <cell r="T1512">
            <v>2643421.5580000002</v>
          </cell>
          <cell r="U1512">
            <v>2684264.1189999999</v>
          </cell>
          <cell r="V1512">
            <v>2725119.5430000001</v>
          </cell>
          <cell r="W1512">
            <v>2767341.4649999999</v>
          </cell>
          <cell r="X1512">
            <v>2811831.574</v>
          </cell>
          <cell r="Y1512">
            <v>2859209.6609999998</v>
          </cell>
          <cell r="Z1512">
            <v>2908904.01</v>
          </cell>
          <cell r="AA1512">
            <v>2963315.5649999999</v>
          </cell>
          <cell r="AB1512">
            <v>3022343.372</v>
          </cell>
          <cell r="AC1512">
            <v>3086370.7289999998</v>
          </cell>
          <cell r="AD1512">
            <v>3155502.2940000002</v>
          </cell>
          <cell r="AE1512">
            <v>3226487.1349999998</v>
          </cell>
          <cell r="AF1512">
            <v>3303591.923</v>
          </cell>
          <cell r="AG1512">
            <v>3386167.3760000002</v>
          </cell>
          <cell r="AH1512">
            <v>3474451.8829999999</v>
          </cell>
          <cell r="AI1512">
            <v>3568090.0890000002</v>
          </cell>
          <cell r="AJ1512">
            <v>3666420.6170000001</v>
          </cell>
          <cell r="AK1512">
            <v>3768829.736</v>
          </cell>
          <cell r="AL1512">
            <v>3874796.2859999998</v>
          </cell>
          <cell r="AM1512">
            <v>3983798.344</v>
          </cell>
          <cell r="AN1512">
            <v>4095294.93</v>
          </cell>
          <cell r="AO1512">
            <v>4208691.6909999996</v>
          </cell>
        </row>
        <row r="1513">
          <cell r="F1513">
            <v>36098.159420000004</v>
          </cell>
          <cell r="G1513">
            <v>36619.228690000004</v>
          </cell>
          <cell r="H1513">
            <v>37231.917139999998</v>
          </cell>
          <cell r="I1513">
            <v>37935.002840000001</v>
          </cell>
          <cell r="J1513">
            <v>38725.811110000002</v>
          </cell>
          <cell r="K1513">
            <v>39587.897929999999</v>
          </cell>
          <cell r="L1513">
            <v>40485.681550000001</v>
          </cell>
          <cell r="M1513">
            <v>41209.178890000003</v>
          </cell>
          <cell r="N1513">
            <v>41957.948819999998</v>
          </cell>
          <cell r="O1513">
            <v>42929.23977</v>
          </cell>
          <cell r="P1513">
            <v>43889.089440000003</v>
          </cell>
          <cell r="Q1513">
            <v>44694.960480000002</v>
          </cell>
          <cell r="R1513">
            <v>45391.347880000001</v>
          </cell>
          <cell r="S1513">
            <v>46008.210890000002</v>
          </cell>
          <cell r="T1513">
            <v>46582.958339999997</v>
          </cell>
          <cell r="U1513">
            <v>47137.188370000003</v>
          </cell>
          <cell r="V1513">
            <v>47685.858240000001</v>
          </cell>
          <cell r="W1513">
            <v>48254.634550000002</v>
          </cell>
          <cell r="X1513">
            <v>48864.862430000001</v>
          </cell>
          <cell r="Y1513">
            <v>49530.115299999998</v>
          </cell>
          <cell r="Z1513">
            <v>50249.679109999997</v>
          </cell>
          <cell r="AA1513">
            <v>51051.657850000003</v>
          </cell>
          <cell r="AB1513">
            <v>51946.019939999998</v>
          </cell>
          <cell r="AC1513">
            <v>52939.977760000002</v>
          </cell>
          <cell r="AD1513">
            <v>54034.864500000003</v>
          </cell>
          <cell r="AE1513">
            <v>55195.003479999999</v>
          </cell>
          <cell r="AF1513">
            <v>56451.371279999999</v>
          </cell>
          <cell r="AG1513">
            <v>57820.120049999998</v>
          </cell>
          <cell r="AH1513">
            <v>59305.203020000001</v>
          </cell>
          <cell r="AI1513">
            <v>60897.762820000004</v>
          </cell>
          <cell r="AJ1513">
            <v>62582.46355</v>
          </cell>
          <cell r="AK1513">
            <v>64345.32344</v>
          </cell>
          <cell r="AL1513">
            <v>66174.341579999993</v>
          </cell>
          <cell r="AM1513">
            <v>68057.109960000002</v>
          </cell>
          <cell r="AN1513">
            <v>69980.186360000007</v>
          </cell>
          <cell r="AO1513">
            <v>71928.215119999993</v>
          </cell>
        </row>
        <row r="1516">
          <cell r="F1516">
            <v>331692.73849999998</v>
          </cell>
          <cell r="G1516">
            <v>339805.26160000003</v>
          </cell>
          <cell r="H1516">
            <v>348266.5699</v>
          </cell>
          <cell r="I1516">
            <v>357309.12079999998</v>
          </cell>
          <cell r="J1516">
            <v>366874.53639999998</v>
          </cell>
          <cell r="K1516">
            <v>376916.91729999997</v>
          </cell>
          <cell r="L1516">
            <v>387209.67959999997</v>
          </cell>
          <cell r="M1516">
            <v>395841.52399999998</v>
          </cell>
          <cell r="N1516">
            <v>405073.33549999999</v>
          </cell>
          <cell r="O1516">
            <v>417180.44559999998</v>
          </cell>
          <cell r="P1516">
            <v>428894.06790000002</v>
          </cell>
          <cell r="Q1516">
            <v>438758.34580000001</v>
          </cell>
          <cell r="R1516">
            <v>447538.6972</v>
          </cell>
          <cell r="S1516">
            <v>455714.60029999999</v>
          </cell>
          <cell r="T1516">
            <v>463809.48129999998</v>
          </cell>
          <cell r="U1516">
            <v>472077.9302</v>
          </cell>
          <cell r="V1516">
            <v>480597.68440000003</v>
          </cell>
          <cell r="W1516">
            <v>489726.6568</v>
          </cell>
          <cell r="X1516">
            <v>499644.48420000001</v>
          </cell>
          <cell r="Y1516">
            <v>510452.60720000003</v>
          </cell>
          <cell r="Z1516">
            <v>522150.90840000001</v>
          </cell>
          <cell r="AA1516">
            <v>534976.48869999999</v>
          </cell>
          <cell r="AB1516">
            <v>549027.3186</v>
          </cell>
          <cell r="AC1516">
            <v>564365.02419999999</v>
          </cell>
          <cell r="AD1516">
            <v>580988.79749999999</v>
          </cell>
          <cell r="AE1516">
            <v>598600.2182</v>
          </cell>
          <cell r="AF1516">
            <v>617554.63600000006</v>
          </cell>
          <cell r="AG1516">
            <v>637926.11829999997</v>
          </cell>
          <cell r="AH1516">
            <v>659740.35739999998</v>
          </cell>
          <cell r="AI1516">
            <v>682876.9301</v>
          </cell>
          <cell r="AJ1516">
            <v>707182.29099999997</v>
          </cell>
          <cell r="AK1516">
            <v>732567.58629999997</v>
          </cell>
          <cell r="AL1516">
            <v>758989.86849999998</v>
          </cell>
          <cell r="AM1516">
            <v>786404.00159999996</v>
          </cell>
          <cell r="AN1516">
            <v>814772.13430000003</v>
          </cell>
          <cell r="AO1516">
            <v>844057.48380000005</v>
          </cell>
        </row>
        <row r="1528">
          <cell r="F1528">
            <v>48475.559050000003</v>
          </cell>
          <cell r="G1528">
            <v>49503.378060000003</v>
          </cell>
          <cell r="H1528">
            <v>50549.6054</v>
          </cell>
          <cell r="I1528">
            <v>51650.052049999998</v>
          </cell>
          <cell r="J1528">
            <v>52824.77736</v>
          </cell>
          <cell r="K1528">
            <v>54072.425660000001</v>
          </cell>
          <cell r="L1528">
            <v>55349.26887</v>
          </cell>
          <cell r="M1528">
            <v>56344.421199999997</v>
          </cell>
          <cell r="N1528">
            <v>57361.221490000004</v>
          </cell>
          <cell r="O1528">
            <v>58728.365619999997</v>
          </cell>
          <cell r="P1528">
            <v>60046.254229999999</v>
          </cell>
          <cell r="Q1528">
            <v>61120.254930000003</v>
          </cell>
          <cell r="R1528">
            <v>62036.684150000001</v>
          </cell>
          <cell r="S1528">
            <v>62846.34951</v>
          </cell>
          <cell r="T1528">
            <v>63608.649989999998</v>
          </cell>
          <cell r="U1528">
            <v>64352.180549999997</v>
          </cell>
          <cell r="V1528">
            <v>65092.457240000003</v>
          </cell>
          <cell r="W1528">
            <v>65870.099270000006</v>
          </cell>
          <cell r="X1528">
            <v>66717.427880000003</v>
          </cell>
          <cell r="Y1528">
            <v>67654.180359999998</v>
          </cell>
          <cell r="Z1528">
            <v>68681.543990000006</v>
          </cell>
          <cell r="AA1528">
            <v>69845.932809999998</v>
          </cell>
          <cell r="AB1528">
            <v>71159.748000000007</v>
          </cell>
          <cell r="AC1528">
            <v>72630.574829999998</v>
          </cell>
          <cell r="AD1528">
            <v>74257.022159999993</v>
          </cell>
          <cell r="AE1528">
            <v>75987.748869999996</v>
          </cell>
          <cell r="AF1528">
            <v>77899.587280000007</v>
          </cell>
          <cell r="AG1528">
            <v>80005.768559999997</v>
          </cell>
          <cell r="AH1528">
            <v>82307.695869999996</v>
          </cell>
          <cell r="AI1528">
            <v>84785.152470000001</v>
          </cell>
          <cell r="AJ1528">
            <v>87412.021080000006</v>
          </cell>
          <cell r="AK1528">
            <v>90174.678599999999</v>
          </cell>
          <cell r="AL1528">
            <v>93066.66</v>
          </cell>
          <cell r="AM1528">
            <v>96074.630910000007</v>
          </cell>
          <cell r="AN1528">
            <v>99184.306169999996</v>
          </cell>
          <cell r="AO1528">
            <v>102379.91620000001</v>
          </cell>
        </row>
        <row r="1533">
          <cell r="F1533">
            <v>1512067.868</v>
          </cell>
          <cell r="G1533">
            <v>1539381.7420000001</v>
          </cell>
          <cell r="H1533">
            <v>1570466.9550000001</v>
          </cell>
          <cell r="I1533">
            <v>1604583.9669999999</v>
          </cell>
          <cell r="J1533">
            <v>1641000.7420000001</v>
          </cell>
          <cell r="K1533">
            <v>1679444.4779999999</v>
          </cell>
          <cell r="L1533">
            <v>1718456.2150000001</v>
          </cell>
          <cell r="M1533">
            <v>1755235.0179999999</v>
          </cell>
          <cell r="N1533">
            <v>1792435.179</v>
          </cell>
          <cell r="O1533">
            <v>1836091.12</v>
          </cell>
          <cell r="P1533">
            <v>1881562.713</v>
          </cell>
          <cell r="Q1533">
            <v>1922129.571</v>
          </cell>
          <cell r="R1533">
            <v>1959205.183</v>
          </cell>
          <cell r="S1533">
            <v>1993494.031</v>
          </cell>
          <cell r="T1533">
            <v>2026093.0549999999</v>
          </cell>
          <cell r="U1533">
            <v>2057787.844</v>
          </cell>
          <cell r="V1533">
            <v>2089289.4680000001</v>
          </cell>
          <cell r="W1533">
            <v>2121496.878</v>
          </cell>
          <cell r="X1533">
            <v>2155086.5819999999</v>
          </cell>
          <cell r="Y1533">
            <v>2190546.0260000001</v>
          </cell>
          <cell r="Z1533">
            <v>2227317.4130000002</v>
          </cell>
          <cell r="AA1533">
            <v>2267470.1719999998</v>
          </cell>
          <cell r="AB1533">
            <v>2310793.9610000001</v>
          </cell>
          <cell r="AC1533">
            <v>2357611.7080000001</v>
          </cell>
          <cell r="AD1533">
            <v>2408051.5380000002</v>
          </cell>
          <cell r="AE1533">
            <v>2459309.2220000001</v>
          </cell>
          <cell r="AF1533">
            <v>2515155.33</v>
          </cell>
          <cell r="AG1533">
            <v>2574885.2480000001</v>
          </cell>
          <cell r="AH1533">
            <v>2638755.787</v>
          </cell>
          <cell r="AI1533">
            <v>2706631.9849999999</v>
          </cell>
          <cell r="AJ1533">
            <v>2778130.4709999999</v>
          </cell>
          <cell r="AK1533">
            <v>2852843.7259999998</v>
          </cell>
          <cell r="AL1533">
            <v>2930417.89</v>
          </cell>
          <cell r="AM1533">
            <v>3010538.04</v>
          </cell>
          <cell r="AN1533">
            <v>3092900.8459999999</v>
          </cell>
          <cell r="AO1533">
            <v>3177200.4589999998</v>
          </cell>
        </row>
        <row r="1537">
          <cell r="F1537">
            <v>-2125.1515279999999</v>
          </cell>
          <cell r="G1537">
            <v>-2143.7357710000001</v>
          </cell>
          <cell r="H1537">
            <v>-2161.2752949999999</v>
          </cell>
          <cell r="I1537">
            <v>-2179.2791350000002</v>
          </cell>
          <cell r="J1537">
            <v>-2197.2599230000001</v>
          </cell>
          <cell r="K1537">
            <v>-2224.2675159999999</v>
          </cell>
          <cell r="L1537">
            <v>-2260.454307</v>
          </cell>
          <cell r="M1537">
            <v>-2323.6980269999999</v>
          </cell>
          <cell r="N1537">
            <v>-2295.4407569999998</v>
          </cell>
          <cell r="O1537">
            <v>-2257.5462360000001</v>
          </cell>
          <cell r="P1537">
            <v>-2237.7054010000002</v>
          </cell>
          <cell r="Q1537">
            <v>-2222.7069670000001</v>
          </cell>
          <cell r="R1537">
            <v>-2203.333083</v>
          </cell>
          <cell r="S1537">
            <v>-2178.911955</v>
          </cell>
          <cell r="T1537">
            <v>-2150.849056</v>
          </cell>
          <cell r="U1537">
            <v>-2121.646988</v>
          </cell>
          <cell r="V1537">
            <v>-2092.77252</v>
          </cell>
          <cell r="W1537">
            <v>-2059.2354129999999</v>
          </cell>
          <cell r="X1537">
            <v>-2025.5648160000001</v>
          </cell>
          <cell r="Y1537">
            <v>-1993.0921129999999</v>
          </cell>
          <cell r="Z1537">
            <v>-1962.18913</v>
          </cell>
          <cell r="AA1537">
            <v>-1932.4254060000001</v>
          </cell>
          <cell r="AB1537">
            <v>-1904.230127</v>
          </cell>
          <cell r="AC1537">
            <v>-1877.7597009999999</v>
          </cell>
          <cell r="AD1537">
            <v>-1852.9148479999999</v>
          </cell>
          <cell r="AE1537">
            <v>-1829.4862760000001</v>
          </cell>
          <cell r="AF1537">
            <v>-1805.602719</v>
          </cell>
          <cell r="AG1537">
            <v>-1783.5023719999999</v>
          </cell>
          <cell r="AH1537">
            <v>-1762.4445800000001</v>
          </cell>
          <cell r="AI1537">
            <v>-1742.2905969999999</v>
          </cell>
          <cell r="AJ1537">
            <v>-1722.192004</v>
          </cell>
          <cell r="AK1537">
            <v>-1700.9277520000001</v>
          </cell>
          <cell r="AL1537">
            <v>-1677.552717</v>
          </cell>
          <cell r="AM1537">
            <v>-1651.4880020000001</v>
          </cell>
          <cell r="AN1537">
            <v>-1622.194606</v>
          </cell>
          <cell r="AO1537">
            <v>-1589.130856</v>
          </cell>
        </row>
        <row r="1538">
          <cell r="F1538">
            <v>-612.37312850000001</v>
          </cell>
          <cell r="G1538">
            <v>-616.76235480000003</v>
          </cell>
          <cell r="H1538">
            <v>-618.83424530000002</v>
          </cell>
          <cell r="I1538">
            <v>-621.03984949999995</v>
          </cell>
          <cell r="J1538">
            <v>-624.74632229999997</v>
          </cell>
          <cell r="K1538">
            <v>-630.80689129999996</v>
          </cell>
          <cell r="L1538">
            <v>-638.79351329999997</v>
          </cell>
          <cell r="M1538">
            <v>-695.59306660000004</v>
          </cell>
          <cell r="N1538">
            <v>-864.36016710000001</v>
          </cell>
          <cell r="O1538">
            <v>-1047.60987</v>
          </cell>
          <cell r="P1538">
            <v>-1233.410349</v>
          </cell>
          <cell r="Q1538">
            <v>-1420.4620050000001</v>
          </cell>
          <cell r="R1538">
            <v>-1609.3600060000001</v>
          </cell>
          <cell r="S1538">
            <v>-1800.8251789999999</v>
          </cell>
          <cell r="T1538">
            <v>-1995.7485079999999</v>
          </cell>
          <cell r="U1538">
            <v>-2195.1283969999999</v>
          </cell>
          <cell r="V1538">
            <v>-2399.4589420000002</v>
          </cell>
          <cell r="W1538">
            <v>-2609.0641479999999</v>
          </cell>
          <cell r="X1538">
            <v>-2825.388046</v>
          </cell>
          <cell r="Y1538">
            <v>-3049.9671939999998</v>
          </cell>
          <cell r="Z1538">
            <v>-3284.1234340000001</v>
          </cell>
          <cell r="AA1538">
            <v>-3529.202295</v>
          </cell>
          <cell r="AB1538">
            <v>-3786.9643500000002</v>
          </cell>
          <cell r="AC1538">
            <v>-4059.1126220000001</v>
          </cell>
          <cell r="AD1538">
            <v>-4347.2943770000002</v>
          </cell>
          <cell r="AE1538">
            <v>-4652.7439029999996</v>
          </cell>
          <cell r="AF1538">
            <v>-4976.8843770000003</v>
          </cell>
          <cell r="AG1538">
            <v>-5322.7278269999997</v>
          </cell>
          <cell r="AH1538">
            <v>-5693.3849270000001</v>
          </cell>
          <cell r="AI1538">
            <v>-6091.7257600000003</v>
          </cell>
          <cell r="AJ1538">
            <v>-6520.3210520000002</v>
          </cell>
          <cell r="AK1538">
            <v>-6981.9112729999997</v>
          </cell>
          <cell r="AL1538">
            <v>-7480.0556939999997</v>
          </cell>
          <cell r="AM1538">
            <v>-8019.4224020000001</v>
          </cell>
          <cell r="AN1538">
            <v>-8606.0741450000005</v>
          </cell>
          <cell r="AO1538">
            <v>-9248.4477470000002</v>
          </cell>
        </row>
        <row r="1540">
          <cell r="F1540">
            <v>493.02654460000002</v>
          </cell>
          <cell r="G1540">
            <v>496.15176170000001</v>
          </cell>
          <cell r="H1540">
            <v>499.78199549999999</v>
          </cell>
          <cell r="I1540">
            <v>503.01619060000002</v>
          </cell>
          <cell r="J1540">
            <v>508.49156269999997</v>
          </cell>
          <cell r="K1540">
            <v>515.50555440000005</v>
          </cell>
          <cell r="L1540">
            <v>521.17843989999994</v>
          </cell>
          <cell r="M1540">
            <v>596.71830720000003</v>
          </cell>
          <cell r="N1540">
            <v>668.59630790000006</v>
          </cell>
          <cell r="O1540">
            <v>741.95754399999998</v>
          </cell>
          <cell r="P1540">
            <v>815.39713610000001</v>
          </cell>
          <cell r="Q1540">
            <v>888.10042339999995</v>
          </cell>
          <cell r="R1540">
            <v>959.32574320000003</v>
          </cell>
          <cell r="S1540">
            <v>1029.184945</v>
          </cell>
          <cell r="T1540">
            <v>1098.2965939999999</v>
          </cell>
          <cell r="U1540">
            <v>1167.1575170000001</v>
          </cell>
          <cell r="V1540">
            <v>1237.374427</v>
          </cell>
          <cell r="W1540">
            <v>1309.351977</v>
          </cell>
          <cell r="X1540">
            <v>1383.594587</v>
          </cell>
          <cell r="Y1540">
            <v>1460.5771440000001</v>
          </cell>
          <cell r="Z1540">
            <v>1540.516717</v>
          </cell>
          <cell r="AA1540">
            <v>1624.480474</v>
          </cell>
          <cell r="AB1540">
            <v>1713.046315</v>
          </cell>
          <cell r="AC1540">
            <v>1806.7773299999999</v>
          </cell>
          <cell r="AD1540">
            <v>1906.1456009999999</v>
          </cell>
          <cell r="AE1540">
            <v>2010.568939</v>
          </cell>
          <cell r="AF1540">
            <v>2121.9111720000001</v>
          </cell>
          <cell r="AG1540">
            <v>2241.3803119999998</v>
          </cell>
          <cell r="AH1540">
            <v>2369.8706940000002</v>
          </cell>
          <cell r="AI1540">
            <v>2507.7944859999998</v>
          </cell>
          <cell r="AJ1540">
            <v>2655.3716629999999</v>
          </cell>
          <cell r="AK1540">
            <v>2813.12327</v>
          </cell>
          <cell r="AL1540">
            <v>2981.9803219999999</v>
          </cell>
          <cell r="AM1540">
            <v>3163.115029</v>
          </cell>
          <cell r="AN1540">
            <v>3358.100915</v>
          </cell>
          <cell r="AO1540">
            <v>3569.0865600000002</v>
          </cell>
        </row>
        <row r="1541">
          <cell r="F1541">
            <v>40653.003360000002</v>
          </cell>
          <cell r="G1541">
            <v>41264.174930000001</v>
          </cell>
          <cell r="H1541">
            <v>41835.19298</v>
          </cell>
          <cell r="I1541">
            <v>42452.298560000003</v>
          </cell>
          <cell r="J1541">
            <v>43007.941270000003</v>
          </cell>
          <cell r="K1541">
            <v>43574.823700000001</v>
          </cell>
          <cell r="L1541">
            <v>44171.563860000002</v>
          </cell>
          <cell r="M1541">
            <v>44859.614399999999</v>
          </cell>
          <cell r="N1541">
            <v>45372.913619999999</v>
          </cell>
          <cell r="O1541">
            <v>45968.95998</v>
          </cell>
          <cell r="P1541">
            <v>46491.757519999999</v>
          </cell>
          <cell r="Q1541">
            <v>46679.629670000002</v>
          </cell>
          <cell r="R1541">
            <v>46650.934730000001</v>
          </cell>
          <cell r="S1541">
            <v>46479.485589999997</v>
          </cell>
          <cell r="T1541">
            <v>46223.763679999996</v>
          </cell>
          <cell r="U1541">
            <v>45914.104460000002</v>
          </cell>
          <cell r="V1541">
            <v>45571.537259999997</v>
          </cell>
          <cell r="W1541">
            <v>45221.528599999998</v>
          </cell>
          <cell r="X1541">
            <v>44861.454890000001</v>
          </cell>
          <cell r="Y1541">
            <v>44491.338049999998</v>
          </cell>
          <cell r="Z1541">
            <v>44098.43591</v>
          </cell>
          <cell r="AA1541">
            <v>43702.479619999998</v>
          </cell>
          <cell r="AB1541">
            <v>43294.172509999997</v>
          </cell>
          <cell r="AC1541">
            <v>42858.796280000002</v>
          </cell>
          <cell r="AD1541">
            <v>42374.874709999996</v>
          </cell>
          <cell r="AE1541">
            <v>41782.839010000003</v>
          </cell>
          <cell r="AF1541">
            <v>41113.292990000002</v>
          </cell>
          <cell r="AG1541">
            <v>40322.187960000003</v>
          </cell>
          <cell r="AH1541">
            <v>39361.576110000002</v>
          </cell>
          <cell r="AI1541">
            <v>38162.941599999998</v>
          </cell>
          <cell r="AJ1541">
            <v>36644.841999999997</v>
          </cell>
          <cell r="AK1541">
            <v>34718.570469999999</v>
          </cell>
          <cell r="AL1541">
            <v>32279.970880000001</v>
          </cell>
          <cell r="AM1541">
            <v>29195.880109999998</v>
          </cell>
          <cell r="AN1541">
            <v>25298.227849999999</v>
          </cell>
          <cell r="AO1541">
            <v>20372.219720000001</v>
          </cell>
        </row>
        <row r="1551">
          <cell r="F1551">
            <v>1966951.8470000001</v>
          </cell>
          <cell r="G1551">
            <v>2004519.7749999999</v>
          </cell>
          <cell r="H1551">
            <v>2046281.8149999999</v>
          </cell>
          <cell r="I1551">
            <v>2091846.4129999999</v>
          </cell>
          <cell r="J1551">
            <v>2140335.9550000001</v>
          </cell>
          <cell r="K1551">
            <v>2191475.6439999999</v>
          </cell>
          <cell r="L1551">
            <v>2243515.3629999999</v>
          </cell>
          <cell r="M1551">
            <v>2296706.7650000001</v>
          </cell>
          <cell r="N1551">
            <v>2350978.108</v>
          </cell>
          <cell r="O1551">
            <v>2406385.702</v>
          </cell>
          <cell r="P1551">
            <v>2462757.4789999998</v>
          </cell>
          <cell r="Q1551">
            <v>2512472.9410000001</v>
          </cell>
          <cell r="R1551">
            <v>2558165.1570000001</v>
          </cell>
          <cell r="S1551">
            <v>2600710.9169999999</v>
          </cell>
          <cell r="T1551">
            <v>2641241.8969999999</v>
          </cell>
          <cell r="U1551">
            <v>2680866.523</v>
          </cell>
          <cell r="V1551">
            <v>2721283.4019999998</v>
          </cell>
          <cell r="W1551">
            <v>2763689.7829999998</v>
          </cell>
          <cell r="X1551">
            <v>2808914.9890000001</v>
          </cell>
          <cell r="Y1551">
            <v>2857434.2579999999</v>
          </cell>
          <cell r="Z1551">
            <v>2908548.2239999999</v>
          </cell>
          <cell r="AA1551">
            <v>2964548.2850000001</v>
          </cell>
          <cell r="AB1551">
            <v>3025236.702</v>
          </cell>
          <cell r="AC1551">
            <v>3090896.6320000002</v>
          </cell>
          <cell r="AD1551">
            <v>3161522.9130000002</v>
          </cell>
          <cell r="AE1551">
            <v>3233795.29</v>
          </cell>
          <cell r="AF1551">
            <v>3311796.8629999999</v>
          </cell>
          <cell r="AG1551">
            <v>3394866.5529999998</v>
          </cell>
          <cell r="AH1551">
            <v>3483128.3390000002</v>
          </cell>
          <cell r="AI1551">
            <v>3576080.1009999998</v>
          </cell>
          <cell r="AJ1551">
            <v>3672934.1519999998</v>
          </cell>
          <cell r="AK1551">
            <v>3772986.074</v>
          </cell>
          <cell r="AL1551">
            <v>3875642.0559999999</v>
          </cell>
          <cell r="AM1551">
            <v>3980315.2119999998</v>
          </cell>
          <cell r="AN1551">
            <v>4086406.6340000001</v>
          </cell>
          <cell r="AO1551">
            <v>4193296.9780000001</v>
          </cell>
        </row>
        <row r="1552">
          <cell r="F1552">
            <v>36098.159420000004</v>
          </cell>
          <cell r="G1552">
            <v>36619.22868</v>
          </cell>
          <cell r="H1552">
            <v>37231.917139999998</v>
          </cell>
          <cell r="I1552">
            <v>37935.002840000001</v>
          </cell>
          <cell r="J1552">
            <v>38725.811110000002</v>
          </cell>
          <cell r="K1552">
            <v>39587.897929999999</v>
          </cell>
          <cell r="L1552">
            <v>40485.681550000001</v>
          </cell>
          <cell r="M1552">
            <v>41410.332450000002</v>
          </cell>
          <cell r="N1552">
            <v>42356.503649999999</v>
          </cell>
          <cell r="O1552">
            <v>43322.103819999997</v>
          </cell>
          <cell r="P1552">
            <v>44282.047160000002</v>
          </cell>
          <cell r="Q1552">
            <v>45091.602740000002</v>
          </cell>
          <cell r="R1552">
            <v>45802.384559999999</v>
          </cell>
          <cell r="S1552">
            <v>46434.887900000002</v>
          </cell>
          <cell r="T1552">
            <v>47014.469069999999</v>
          </cell>
          <cell r="U1552">
            <v>47565.688099999999</v>
          </cell>
          <cell r="V1552">
            <v>48125.383139999998</v>
          </cell>
          <cell r="W1552">
            <v>48720.429680000001</v>
          </cell>
          <cell r="X1552">
            <v>49369.689509999997</v>
          </cell>
          <cell r="Y1552">
            <v>50083.623269999996</v>
          </cell>
          <cell r="Z1552">
            <v>50858.858919999999</v>
          </cell>
          <cell r="AA1552">
            <v>51721.70523</v>
          </cell>
          <cell r="AB1552">
            <v>52680.091469999999</v>
          </cell>
          <cell r="AC1552">
            <v>53739.011810000004</v>
          </cell>
          <cell r="AD1552">
            <v>54897.311260000002</v>
          </cell>
          <cell r="AE1552">
            <v>56117.216639999999</v>
          </cell>
          <cell r="AF1552">
            <v>57435.687209999996</v>
          </cell>
          <cell r="AG1552">
            <v>58858.727160000002</v>
          </cell>
          <cell r="AH1552">
            <v>60387.775860000002</v>
          </cell>
          <cell r="AI1552">
            <v>62010.055930000002</v>
          </cell>
          <cell r="AJ1552">
            <v>63706.879580000001</v>
          </cell>
          <cell r="AK1552">
            <v>65462.082710000002</v>
          </cell>
          <cell r="AL1552">
            <v>67262.049920000005</v>
          </cell>
          <cell r="AM1552">
            <v>69093.161959999998</v>
          </cell>
          <cell r="AN1552">
            <v>70941.496929999994</v>
          </cell>
          <cell r="AO1552">
            <v>72792.786259999993</v>
          </cell>
        </row>
        <row r="1555">
          <cell r="F1555">
            <v>331692.73849999998</v>
          </cell>
          <cell r="G1555">
            <v>339805.26160000003</v>
          </cell>
          <cell r="H1555">
            <v>348266.5698</v>
          </cell>
          <cell r="I1555">
            <v>357309.12070000003</v>
          </cell>
          <cell r="J1555">
            <v>366874.53639999998</v>
          </cell>
          <cell r="K1555">
            <v>376916.91720000003</v>
          </cell>
          <cell r="L1555">
            <v>387209.67959999997</v>
          </cell>
          <cell r="M1555">
            <v>397748.3603</v>
          </cell>
          <cell r="N1555">
            <v>408550.07410000003</v>
          </cell>
          <cell r="O1555">
            <v>419648.51189999998</v>
          </cell>
          <cell r="P1555">
            <v>430708.28840000002</v>
          </cell>
          <cell r="Q1555">
            <v>440177.18589999998</v>
          </cell>
          <cell r="R1555">
            <v>448883.70919999998</v>
          </cell>
          <cell r="S1555">
            <v>457101.38870000001</v>
          </cell>
          <cell r="T1555">
            <v>465133.65210000001</v>
          </cell>
          <cell r="U1555">
            <v>473232.83750000002</v>
          </cell>
          <cell r="V1555">
            <v>481752.71059999999</v>
          </cell>
          <cell r="W1555">
            <v>490932.6495</v>
          </cell>
          <cell r="X1555">
            <v>500924.62089999998</v>
          </cell>
          <cell r="Y1555">
            <v>511791.18040000001</v>
          </cell>
          <cell r="Z1555">
            <v>523493.66230000003</v>
          </cell>
          <cell r="AA1555">
            <v>536227.28509999998</v>
          </cell>
          <cell r="AB1555">
            <v>550053.58929999999</v>
          </cell>
          <cell r="AC1555">
            <v>565000.85950000002</v>
          </cell>
          <cell r="AD1555">
            <v>581027.95669999998</v>
          </cell>
          <cell r="AE1555">
            <v>597803.09680000006</v>
          </cell>
          <cell r="AF1555">
            <v>615613.92150000005</v>
          </cell>
          <cell r="AG1555">
            <v>634500.92020000005</v>
          </cell>
          <cell r="AH1555">
            <v>654457.74509999994</v>
          </cell>
          <cell r="AI1555">
            <v>675314.45790000004</v>
          </cell>
          <cell r="AJ1555">
            <v>696864.74269999994</v>
          </cell>
          <cell r="AK1555">
            <v>718962.4791</v>
          </cell>
          <cell r="AL1555">
            <v>741506.7905</v>
          </cell>
          <cell r="AM1555">
            <v>764400.83700000006</v>
          </cell>
          <cell r="AN1555">
            <v>787545.38049999997</v>
          </cell>
          <cell r="AO1555">
            <v>810835.54119999998</v>
          </cell>
        </row>
        <row r="1567">
          <cell r="F1567">
            <v>48475.559050000003</v>
          </cell>
          <cell r="G1567">
            <v>49503.378060000003</v>
          </cell>
          <cell r="H1567">
            <v>50549.6054</v>
          </cell>
          <cell r="I1567">
            <v>51650.052049999998</v>
          </cell>
          <cell r="J1567">
            <v>52824.77736</v>
          </cell>
          <cell r="K1567">
            <v>54072.425660000001</v>
          </cell>
          <cell r="L1567">
            <v>55349.26887</v>
          </cell>
          <cell r="M1567">
            <v>56648.152589999998</v>
          </cell>
          <cell r="N1567">
            <v>57965.137690000003</v>
          </cell>
          <cell r="O1567">
            <v>59300.353730000003</v>
          </cell>
          <cell r="P1567">
            <v>60612.638330000002</v>
          </cell>
          <cell r="Q1567">
            <v>61679.58023</v>
          </cell>
          <cell r="R1567">
            <v>62610.427479999998</v>
          </cell>
          <cell r="S1567">
            <v>63439.861850000001</v>
          </cell>
          <cell r="T1567">
            <v>64208.902909999997</v>
          </cell>
          <cell r="U1567">
            <v>64954.256849999998</v>
          </cell>
          <cell r="V1567">
            <v>65730.594840000005</v>
          </cell>
          <cell r="W1567">
            <v>66574.425029999999</v>
          </cell>
          <cell r="X1567">
            <v>67509.084220000004</v>
          </cell>
          <cell r="Y1567">
            <v>68545.901809999996</v>
          </cell>
          <cell r="Z1567">
            <v>69678.29423</v>
          </cell>
          <cell r="AA1567">
            <v>70944.557190000007</v>
          </cell>
          <cell r="AB1567">
            <v>72350.296300000002</v>
          </cell>
          <cell r="AC1567">
            <v>73901.220149999994</v>
          </cell>
          <cell r="AD1567">
            <v>75593.911489999999</v>
          </cell>
          <cell r="AE1567">
            <v>77373.883040000001</v>
          </cell>
          <cell r="AF1567">
            <v>79302.096879999997</v>
          </cell>
          <cell r="AG1567">
            <v>81377.145669999998</v>
          </cell>
          <cell r="AH1567">
            <v>83597.840379999994</v>
          </cell>
          <cell r="AI1567">
            <v>85940.029620000001</v>
          </cell>
          <cell r="AJ1567">
            <v>88373.096139999994</v>
          </cell>
          <cell r="AK1567">
            <v>90873.01698</v>
          </cell>
          <cell r="AL1567">
            <v>93421.109190000003</v>
          </cell>
          <cell r="AM1567">
            <v>95999.247210000001</v>
          </cell>
          <cell r="AN1567">
            <v>98589.373879999999</v>
          </cell>
          <cell r="AO1567">
            <v>101173.34600000001</v>
          </cell>
        </row>
        <row r="1572">
          <cell r="F1572">
            <v>1512067.868</v>
          </cell>
          <cell r="G1572">
            <v>1539381.7420000001</v>
          </cell>
          <cell r="H1572">
            <v>1570466.9539999999</v>
          </cell>
          <cell r="I1572">
            <v>1604583.9669999999</v>
          </cell>
          <cell r="J1572">
            <v>1641000.7420000001</v>
          </cell>
          <cell r="K1572">
            <v>1679444.4779999999</v>
          </cell>
          <cell r="L1572">
            <v>1718456.2139999999</v>
          </cell>
          <cell r="M1572">
            <v>1758300.392</v>
          </cell>
          <cell r="N1572">
            <v>1798907.473</v>
          </cell>
          <cell r="O1572">
            <v>1840307.402</v>
          </cell>
          <cell r="P1572">
            <v>1882745.8019999999</v>
          </cell>
          <cell r="Q1572">
            <v>1920655.9709999999</v>
          </cell>
          <cell r="R1572">
            <v>1955639.1259999999</v>
          </cell>
          <cell r="S1572">
            <v>1988220.145</v>
          </cell>
          <cell r="T1572">
            <v>2019132.645</v>
          </cell>
          <cell r="U1572">
            <v>2049143.91</v>
          </cell>
          <cell r="V1572">
            <v>2079488.5789999999</v>
          </cell>
          <cell r="W1572">
            <v>2111030.8190000001</v>
          </cell>
          <cell r="X1572">
            <v>2144384.8739999998</v>
          </cell>
          <cell r="Y1572">
            <v>2179927.4109999998</v>
          </cell>
          <cell r="Z1572">
            <v>2217009.2889999999</v>
          </cell>
          <cell r="AA1572">
            <v>2257629.5240000002</v>
          </cell>
          <cell r="AB1572">
            <v>2301511.1310000001</v>
          </cell>
          <cell r="AC1572">
            <v>2348894.5189999999</v>
          </cell>
          <cell r="AD1572">
            <v>2399820.0720000002</v>
          </cell>
          <cell r="AE1572">
            <v>2451432.0989999999</v>
          </cell>
          <cell r="AF1572">
            <v>2507381.7710000002</v>
          </cell>
          <cell r="AG1572">
            <v>2566965.858</v>
          </cell>
          <cell r="AH1572">
            <v>2630318.6</v>
          </cell>
          <cell r="AI1572">
            <v>2697162.3229999999</v>
          </cell>
          <cell r="AJ1572">
            <v>2766987.267</v>
          </cell>
          <cell r="AK1572">
            <v>2839294.7149999999</v>
          </cell>
          <cell r="AL1572">
            <v>2913639.96</v>
          </cell>
          <cell r="AM1572">
            <v>2989579.2059999998</v>
          </cell>
          <cell r="AN1572">
            <v>3066658.33</v>
          </cell>
          <cell r="AO1572">
            <v>3144408.0279999999</v>
          </cell>
        </row>
        <row r="1575">
          <cell r="F1575">
            <v>-2035.48117</v>
          </cell>
          <cell r="G1575">
            <v>-2054.0097030000002</v>
          </cell>
          <cell r="H1575">
            <v>-2068.4245059999998</v>
          </cell>
          <cell r="I1575">
            <v>-2084.0289160000002</v>
          </cell>
          <cell r="J1575">
            <v>-2097.8535270000002</v>
          </cell>
          <cell r="K1575">
            <v>-2120.8980929999998</v>
          </cell>
          <cell r="L1575">
            <v>-2157.0452220000002</v>
          </cell>
          <cell r="M1575">
            <v>-2200.4664929999999</v>
          </cell>
          <cell r="N1575">
            <v>-2246.3636120000001</v>
          </cell>
          <cell r="O1575">
            <v>-2292.8867260000002</v>
          </cell>
          <cell r="P1575">
            <v>-2340.2468159999999</v>
          </cell>
          <cell r="Q1575">
            <v>-2390.3204970000002</v>
          </cell>
          <cell r="R1575">
            <v>-2431.6851649999999</v>
          </cell>
          <cell r="S1575">
            <v>-2465.7369600000002</v>
          </cell>
          <cell r="T1575">
            <v>-2494.527822</v>
          </cell>
          <cell r="U1575">
            <v>-2520.1430879999998</v>
          </cell>
          <cell r="V1575">
            <v>-2539.981542</v>
          </cell>
          <cell r="W1575">
            <v>-2559.306106</v>
          </cell>
          <cell r="X1575">
            <v>-2581.2860479999999</v>
          </cell>
          <cell r="Y1575">
            <v>-2607.242334</v>
          </cell>
          <cell r="Z1575">
            <v>-2637.5430900000001</v>
          </cell>
          <cell r="AA1575">
            <v>-2671.0960639999998</v>
          </cell>
          <cell r="AB1575">
            <v>-2708.4093339999999</v>
          </cell>
          <cell r="AC1575">
            <v>-2749.6659439999999</v>
          </cell>
          <cell r="AD1575">
            <v>-2795.041526</v>
          </cell>
          <cell r="AE1575">
            <v>-2845.098712</v>
          </cell>
          <cell r="AF1575">
            <v>-2897.3250750000002</v>
          </cell>
          <cell r="AG1575">
            <v>-2952.9701490000002</v>
          </cell>
          <cell r="AH1575">
            <v>-3012.7197550000001</v>
          </cell>
          <cell r="AI1575">
            <v>-3077.1177120000002</v>
          </cell>
          <cell r="AJ1575">
            <v>-3145.6704719999998</v>
          </cell>
          <cell r="AK1575">
            <v>-3217.2018200000002</v>
          </cell>
          <cell r="AL1575">
            <v>-3290.652325</v>
          </cell>
          <cell r="AM1575">
            <v>-3365.2795409999999</v>
          </cell>
          <cell r="AN1575">
            <v>-3440.4666999999999</v>
          </cell>
          <cell r="AO1575">
            <v>-3515.6231750000002</v>
          </cell>
        </row>
        <row r="1577">
          <cell r="F1577">
            <v>-612.37312850000001</v>
          </cell>
          <cell r="G1577">
            <v>-616.76235469999995</v>
          </cell>
          <cell r="H1577">
            <v>-618.83424520000005</v>
          </cell>
          <cell r="I1577">
            <v>-621.03984939999998</v>
          </cell>
          <cell r="J1577">
            <v>-624.74632210000004</v>
          </cell>
          <cell r="K1577">
            <v>-630.80689110000003</v>
          </cell>
          <cell r="L1577">
            <v>-638.79351310000004</v>
          </cell>
          <cell r="M1577">
            <v>-647.89819299999999</v>
          </cell>
          <cell r="N1577">
            <v>-657.47438609999995</v>
          </cell>
          <cell r="O1577">
            <v>-667.21653779999997</v>
          </cell>
          <cell r="P1577">
            <v>-676.94879900000001</v>
          </cell>
          <cell r="Q1577">
            <v>-686.19254660000001</v>
          </cell>
          <cell r="R1577">
            <v>-694.35568660000001</v>
          </cell>
          <cell r="S1577">
            <v>-701.51633219999997</v>
          </cell>
          <cell r="T1577">
            <v>-707.86169040000004</v>
          </cell>
          <cell r="U1577">
            <v>-713.60860730000002</v>
          </cell>
          <cell r="V1577">
            <v>-719.0588884</v>
          </cell>
          <cell r="W1577">
            <v>-724.64211260000002</v>
          </cell>
          <cell r="X1577">
            <v>-730.68662110000002</v>
          </cell>
          <cell r="Y1577">
            <v>-737.34203100000002</v>
          </cell>
          <cell r="Z1577">
            <v>-744.62491869999997</v>
          </cell>
          <cell r="AA1577">
            <v>-752.53478719999998</v>
          </cell>
          <cell r="AB1577">
            <v>-761.15063329999998</v>
          </cell>
          <cell r="AC1577">
            <v>-770.52033029999996</v>
          </cell>
          <cell r="AD1577">
            <v>-780.67612039999995</v>
          </cell>
          <cell r="AE1577">
            <v>-791.5561907</v>
          </cell>
          <cell r="AF1577">
            <v>-803.10165270000005</v>
          </cell>
          <cell r="AG1577">
            <v>-815.45282340000006</v>
          </cell>
          <cell r="AH1577">
            <v>-828.68046870000001</v>
          </cell>
          <cell r="AI1577">
            <v>-842.78355750000003</v>
          </cell>
          <cell r="AJ1577">
            <v>-857.66453030000002</v>
          </cell>
          <cell r="AK1577">
            <v>-873.17623819999994</v>
          </cell>
          <cell r="AL1577">
            <v>-889.16884400000004</v>
          </cell>
          <cell r="AM1577">
            <v>-905.49826470000005</v>
          </cell>
          <cell r="AN1577">
            <v>-922.01735480000002</v>
          </cell>
          <cell r="AO1577">
            <v>-938.57225010000002</v>
          </cell>
        </row>
        <row r="1579">
          <cell r="F1579">
            <v>493.02665569999999</v>
          </cell>
        </row>
        <row r="1580">
          <cell r="F1580">
            <v>40653.003349999999</v>
          </cell>
          <cell r="G1580">
            <v>41264.174919999998</v>
          </cell>
          <cell r="H1580">
            <v>41835.19298</v>
          </cell>
          <cell r="I1580">
            <v>42452.298560000003</v>
          </cell>
          <cell r="J1580">
            <v>43007.941270000003</v>
          </cell>
          <cell r="K1580">
            <v>43574.823700000001</v>
          </cell>
          <cell r="L1580">
            <v>44171.563869999998</v>
          </cell>
          <cell r="M1580">
            <v>44799.994420000003</v>
          </cell>
          <cell r="N1580">
            <v>45445.283199999998</v>
          </cell>
          <cell r="O1580">
            <v>46100.21774</v>
          </cell>
          <cell r="P1580">
            <v>46748.949710000001</v>
          </cell>
          <cell r="Q1580">
            <v>47258.921170000001</v>
          </cell>
          <cell r="R1580">
            <v>47661.194799999997</v>
          </cell>
          <cell r="S1580">
            <v>47980.369559999999</v>
          </cell>
          <cell r="T1580">
            <v>48246.755599999997</v>
          </cell>
          <cell r="U1580">
            <v>48489.97421</v>
          </cell>
          <cell r="V1580">
            <v>48726.116560000002</v>
          </cell>
          <cell r="W1580">
            <v>48990.765740000003</v>
          </cell>
          <cell r="X1580">
            <v>49308.00563</v>
          </cell>
          <cell r="Y1580">
            <v>49693.382949999999</v>
          </cell>
          <cell r="Z1580">
            <v>50145.662669999998</v>
          </cell>
          <cell r="AA1580">
            <v>50696.308839999998</v>
          </cell>
          <cell r="AB1580">
            <v>51350.003839999998</v>
          </cell>
          <cell r="AC1580">
            <v>52110.686809999999</v>
          </cell>
          <cell r="AD1580">
            <v>52978.702729999997</v>
          </cell>
          <cell r="AE1580">
            <v>53914.093000000001</v>
          </cell>
          <cell r="AF1580">
            <v>54960.711539999997</v>
          </cell>
          <cell r="AG1580">
            <v>56116.872139999999</v>
          </cell>
          <cell r="AH1580">
            <v>57379.09794</v>
          </cell>
          <cell r="AI1580">
            <v>58730.351889999998</v>
          </cell>
          <cell r="AJ1580">
            <v>60147.836799999997</v>
          </cell>
          <cell r="AK1580">
            <v>61610.981540000001</v>
          </cell>
          <cell r="AL1580">
            <v>63102.798940000001</v>
          </cell>
          <cell r="AM1580">
            <v>64608.03933</v>
          </cell>
          <cell r="AN1580">
            <v>66112.52003</v>
          </cell>
          <cell r="AO1580">
            <v>67602.899420000002</v>
          </cell>
        </row>
        <row r="1600">
          <cell r="F1600">
            <v>472737.7991</v>
          </cell>
          <cell r="G1600">
            <v>480958.18859999999</v>
          </cell>
          <cell r="H1600">
            <v>491180.94929999998</v>
          </cell>
          <cell r="I1600">
            <v>502880.29619999998</v>
          </cell>
          <cell r="J1600">
            <v>515854.59720000002</v>
          </cell>
          <cell r="K1600">
            <v>529926</v>
          </cell>
          <cell r="L1600">
            <v>544743.40720000002</v>
          </cell>
          <cell r="M1600">
            <v>558822.03799999994</v>
          </cell>
          <cell r="N1600">
            <v>573062.90930000006</v>
          </cell>
          <cell r="O1600">
            <v>589355.15689999994</v>
          </cell>
          <cell r="P1600">
            <v>607070.93299999996</v>
          </cell>
          <cell r="Q1600">
            <v>624768.74730000005</v>
          </cell>
          <cell r="R1600">
            <v>642060.94099999999</v>
          </cell>
          <cell r="S1600">
            <v>659016.21109999996</v>
          </cell>
          <cell r="T1600">
            <v>675953.05940000003</v>
          </cell>
          <cell r="U1600">
            <v>693171.96790000005</v>
          </cell>
          <cell r="V1600">
            <v>710820.5453</v>
          </cell>
          <cell r="W1600">
            <v>729228.28430000006</v>
          </cell>
          <cell r="X1600">
            <v>748682.21600000001</v>
          </cell>
          <cell r="Y1600">
            <v>769390.02029999997</v>
          </cell>
          <cell r="Z1600">
            <v>791368.24529999995</v>
          </cell>
          <cell r="AA1600">
            <v>814912.853</v>
          </cell>
          <cell r="AB1600">
            <v>840189.05619999999</v>
          </cell>
          <cell r="AC1600">
            <v>867344.36309999996</v>
          </cell>
          <cell r="AD1600">
            <v>896469.37159999995</v>
          </cell>
          <cell r="AE1600">
            <v>927174.94449999998</v>
          </cell>
          <cell r="AF1600">
            <v>959808.93259999994</v>
          </cell>
          <cell r="AG1600">
            <v>994492.74780000001</v>
          </cell>
          <cell r="AH1600">
            <v>1031383.495</v>
          </cell>
          <cell r="AI1600">
            <v>1070575.3359999999</v>
          </cell>
          <cell r="AJ1600">
            <v>1112087.2169999999</v>
          </cell>
          <cell r="AK1600">
            <v>1155914.0190000001</v>
          </cell>
          <cell r="AL1600">
            <v>1202075.527</v>
          </cell>
          <cell r="AM1600">
            <v>1250644.895</v>
          </cell>
          <cell r="AN1600">
            <v>1301742.2050000001</v>
          </cell>
          <cell r="AO1600">
            <v>1355535.429</v>
          </cell>
        </row>
        <row r="1601">
          <cell r="F1601">
            <v>4444.1839890000001</v>
          </cell>
          <cell r="G1601">
            <v>4518.9668529999999</v>
          </cell>
          <cell r="H1601">
            <v>4611.3491210000002</v>
          </cell>
          <cell r="I1601">
            <v>4721.5880379999999</v>
          </cell>
          <cell r="J1601">
            <v>4843.7096149999998</v>
          </cell>
          <cell r="K1601">
            <v>4976.3150729999998</v>
          </cell>
          <cell r="L1601">
            <v>5117.2177190000002</v>
          </cell>
          <cell r="M1601">
            <v>5267.5416740000001</v>
          </cell>
          <cell r="N1601">
            <v>5425.8365309999999</v>
          </cell>
          <cell r="O1601">
            <v>5610.7877410000001</v>
          </cell>
          <cell r="P1601">
            <v>5812.2133229999999</v>
          </cell>
          <cell r="Q1601">
            <v>6006.3583600000002</v>
          </cell>
          <cell r="R1601">
            <v>6189.3869599999998</v>
          </cell>
          <cell r="S1601">
            <v>6362.5072769999997</v>
          </cell>
          <cell r="T1601">
            <v>6529.2811959999999</v>
          </cell>
          <cell r="U1601">
            <v>6692.8311830000002</v>
          </cell>
          <cell r="V1601">
            <v>6858.8764330000004</v>
          </cell>
          <cell r="W1601">
            <v>7029.3567030000004</v>
          </cell>
          <cell r="X1601">
            <v>7206.3406510000004</v>
          </cell>
          <cell r="Y1601">
            <v>7391.3004209999999</v>
          </cell>
          <cell r="Z1601">
            <v>7584.0982610000001</v>
          </cell>
          <cell r="AA1601">
            <v>7786.5060169999997</v>
          </cell>
          <cell r="AB1601">
            <v>7999.7475100000001</v>
          </cell>
          <cell r="AC1601">
            <v>8224.5695730000007</v>
          </cell>
          <cell r="AD1601">
            <v>8460.7503500000003</v>
          </cell>
          <cell r="AE1601">
            <v>8703.8945480000002</v>
          </cell>
          <cell r="AF1601">
            <v>8953.326642</v>
          </cell>
          <cell r="AG1601">
            <v>9209.9146860000001</v>
          </cell>
          <cell r="AH1601">
            <v>9474.3792840000006</v>
          </cell>
          <cell r="AI1601">
            <v>9746.055128</v>
          </cell>
          <cell r="AJ1601">
            <v>10022.808349999999</v>
          </cell>
          <cell r="AK1601">
            <v>10301.698399999999</v>
          </cell>
          <cell r="AL1601">
            <v>10579.61622</v>
          </cell>
          <cell r="AM1601">
            <v>10853.571550000001</v>
          </cell>
          <cell r="AN1601">
            <v>11120.38415</v>
          </cell>
          <cell r="AO1601">
            <v>11376.485210000001</v>
          </cell>
        </row>
        <row r="1604">
          <cell r="F1604">
            <v>234875.91560000001</v>
          </cell>
          <cell r="G1604">
            <v>239167.95420000001</v>
          </cell>
          <cell r="H1604">
            <v>244575.1758</v>
          </cell>
          <cell r="I1604">
            <v>250785.99559999999</v>
          </cell>
          <cell r="J1604">
            <v>257679.87789999999</v>
          </cell>
          <cell r="K1604">
            <v>265175.04519999999</v>
          </cell>
          <cell r="L1604">
            <v>273129.94209999999</v>
          </cell>
          <cell r="M1604">
            <v>280692.45169999998</v>
          </cell>
          <cell r="N1604">
            <v>288340.75790000003</v>
          </cell>
          <cell r="O1604">
            <v>297148.83929999999</v>
          </cell>
          <cell r="P1604">
            <v>306725.62</v>
          </cell>
          <cell r="Q1604">
            <v>316357.27179999999</v>
          </cell>
          <cell r="R1604">
            <v>325856.01929999999</v>
          </cell>
          <cell r="S1604">
            <v>335288.00630000001</v>
          </cell>
          <cell r="T1604">
            <v>344857.91129999998</v>
          </cell>
          <cell r="U1604">
            <v>354751.22369999997</v>
          </cell>
          <cell r="V1604">
            <v>365029.51610000001</v>
          </cell>
          <cell r="W1604">
            <v>375877.67869999999</v>
          </cell>
          <cell r="X1604">
            <v>387457.79269999999</v>
          </cell>
          <cell r="Y1604">
            <v>399888.16409999999</v>
          </cell>
          <cell r="Z1604">
            <v>413211.97570000001</v>
          </cell>
          <cell r="AA1604">
            <v>427551.29509999999</v>
          </cell>
          <cell r="AB1604">
            <v>443009.89880000002</v>
          </cell>
          <cell r="AC1604">
            <v>459677.70909999998</v>
          </cell>
          <cell r="AD1604">
            <v>477613.56420000002</v>
          </cell>
          <cell r="AE1604">
            <v>496698.21759999997</v>
          </cell>
          <cell r="AF1604">
            <v>517045.00910000002</v>
          </cell>
          <cell r="AG1604">
            <v>538719.69010000001</v>
          </cell>
          <cell r="AH1604">
            <v>561803.21589999995</v>
          </cell>
          <cell r="AI1604">
            <v>586343.46219999995</v>
          </cell>
          <cell r="AJ1604">
            <v>612354.39260000002</v>
          </cell>
          <cell r="AK1604">
            <v>639844.30249999999</v>
          </cell>
          <cell r="AL1604">
            <v>668837.93409999995</v>
          </cell>
          <cell r="AM1604">
            <v>699389.18469999998</v>
          </cell>
          <cell r="AN1604">
            <v>731579.09409999999</v>
          </cell>
          <cell r="AO1604">
            <v>765515.14989999996</v>
          </cell>
        </row>
        <row r="1616">
          <cell r="F1616">
            <v>8012.3261389999998</v>
          </cell>
          <cell r="G1616">
            <v>8182.404845</v>
          </cell>
          <cell r="H1616">
            <v>8389.1357119999993</v>
          </cell>
          <cell r="I1616">
            <v>8615.9674319999995</v>
          </cell>
          <cell r="J1616">
            <v>8858.0237269999998</v>
          </cell>
          <cell r="K1616">
            <v>9114.4645610000007</v>
          </cell>
          <cell r="L1616">
            <v>9381.3259600000001</v>
          </cell>
          <cell r="M1616">
            <v>9629.6192179999998</v>
          </cell>
          <cell r="N1616">
            <v>9887.2296910000005</v>
          </cell>
          <cell r="O1616">
            <v>10214.296909999999</v>
          </cell>
          <cell r="P1616">
            <v>10577.49677</v>
          </cell>
          <cell r="Q1616">
            <v>10924.551160000001</v>
          </cell>
          <cell r="R1616">
            <v>11240.202450000001</v>
          </cell>
          <cell r="S1616">
            <v>11525.92519</v>
          </cell>
          <cell r="T1616">
            <v>11792.28809</v>
          </cell>
          <cell r="U1616">
            <v>12048.41142</v>
          </cell>
          <cell r="V1616">
            <v>12305.246880000001</v>
          </cell>
          <cell r="W1616">
            <v>12572.10972</v>
          </cell>
          <cell r="X1616">
            <v>12857.143770000001</v>
          </cell>
          <cell r="Y1616">
            <v>13165.3164</v>
          </cell>
          <cell r="Z1616">
            <v>13498.60058</v>
          </cell>
          <cell r="AA1616">
            <v>13862.016960000001</v>
          </cell>
          <cell r="AB1616">
            <v>14259.76238</v>
          </cell>
          <cell r="AC1616">
            <v>14693.541789999999</v>
          </cell>
          <cell r="AD1616">
            <v>15162.062840000001</v>
          </cell>
          <cell r="AE1616">
            <v>15658.601629999999</v>
          </cell>
          <cell r="AF1616">
            <v>16188.22334</v>
          </cell>
          <cell r="AG1616">
            <v>16758.368890000002</v>
          </cell>
          <cell r="AH1616">
            <v>17372.240000000002</v>
          </cell>
          <cell r="AI1616">
            <v>18026.6224</v>
          </cell>
          <cell r="AJ1616">
            <v>18714.433379999999</v>
          </cell>
          <cell r="AK1616">
            <v>19430.390800000001</v>
          </cell>
          <cell r="AL1616">
            <v>20172.38596</v>
          </cell>
          <cell r="AM1616">
            <v>20937.840660000002</v>
          </cell>
          <cell r="AN1616">
            <v>21723.231349999998</v>
          </cell>
          <cell r="AO1616">
            <v>22524.280900000002</v>
          </cell>
        </row>
        <row r="1621">
          <cell r="F1621">
            <v>219508.55739999999</v>
          </cell>
          <cell r="G1621">
            <v>223119.6391</v>
          </cell>
          <cell r="H1621">
            <v>227563.53709999999</v>
          </cell>
          <cell r="I1621">
            <v>232638.7175</v>
          </cell>
          <cell r="J1621">
            <v>238275.85810000001</v>
          </cell>
          <cell r="K1621">
            <v>244378.08420000001</v>
          </cell>
          <cell r="L1621">
            <v>250741.7703</v>
          </cell>
          <cell r="M1621">
            <v>256701.4828</v>
          </cell>
          <cell r="N1621">
            <v>262678.28210000001</v>
          </cell>
          <cell r="O1621">
            <v>269404.12219999998</v>
          </cell>
          <cell r="P1621">
            <v>276699.96970000002</v>
          </cell>
          <cell r="Q1621">
            <v>283939.9951</v>
          </cell>
          <cell r="R1621">
            <v>290947.3014</v>
          </cell>
          <cell r="S1621">
            <v>297717.41460000002</v>
          </cell>
          <cell r="T1621">
            <v>304342.52240000002</v>
          </cell>
          <cell r="U1621">
            <v>310918.59989999997</v>
          </cell>
          <cell r="V1621">
            <v>317510.90039999998</v>
          </cell>
          <cell r="W1621">
            <v>324244.64490000001</v>
          </cell>
          <cell r="X1621">
            <v>331228.09999999998</v>
          </cell>
          <cell r="Y1621">
            <v>338537.94679999998</v>
          </cell>
          <cell r="Z1621">
            <v>346140.24829999998</v>
          </cell>
          <cell r="AA1621">
            <v>354192.33049999998</v>
          </cell>
          <cell r="AB1621">
            <v>362739.9509</v>
          </cell>
          <cell r="AC1621">
            <v>371827.33039999998</v>
          </cell>
          <cell r="AD1621">
            <v>381475.98430000001</v>
          </cell>
          <cell r="AE1621">
            <v>391419.0637</v>
          </cell>
          <cell r="AF1621">
            <v>401864.56849999999</v>
          </cell>
          <cell r="AG1621">
            <v>412837.13549999997</v>
          </cell>
          <cell r="AH1621">
            <v>424383.42839999998</v>
          </cell>
          <cell r="AI1621">
            <v>436526.18290000001</v>
          </cell>
          <cell r="AJ1621">
            <v>449248.89649999997</v>
          </cell>
          <cell r="AK1621">
            <v>462508.38760000002</v>
          </cell>
          <cell r="AL1621">
            <v>476255.8651</v>
          </cell>
          <cell r="AM1621">
            <v>490453.59460000001</v>
          </cell>
          <cell r="AN1621">
            <v>505066.50020000001</v>
          </cell>
          <cell r="AO1621">
            <v>520056.39720000001</v>
          </cell>
        </row>
        <row r="1624">
          <cell r="F1624">
            <v>2246.653448</v>
          </cell>
          <cell r="G1624">
            <v>2266.6631910000001</v>
          </cell>
          <cell r="H1624">
            <v>2286.168561</v>
          </cell>
          <cell r="I1624">
            <v>2306.3424289999998</v>
          </cell>
          <cell r="J1624">
            <v>2331.6260790000001</v>
          </cell>
          <cell r="K1624">
            <v>2363.051692</v>
          </cell>
          <cell r="L1624">
            <v>2398.7646800000002</v>
          </cell>
          <cell r="M1624">
            <v>2422.466437</v>
          </cell>
          <cell r="N1624">
            <v>2442.5740599999999</v>
          </cell>
          <cell r="O1624">
            <v>2469.5824210000001</v>
          </cell>
          <cell r="P1624">
            <v>2500.8634010000001</v>
          </cell>
          <cell r="Q1624">
            <v>2532.9249610000002</v>
          </cell>
          <cell r="R1624">
            <v>2564.8893069999999</v>
          </cell>
          <cell r="S1624">
            <v>2597.3514449999998</v>
          </cell>
          <cell r="T1624">
            <v>2631.7135739999999</v>
          </cell>
          <cell r="U1624">
            <v>2669.0736609999999</v>
          </cell>
          <cell r="V1624">
            <v>2708.1683779999998</v>
          </cell>
          <cell r="W1624">
            <v>2750.6891059999998</v>
          </cell>
          <cell r="X1624">
            <v>2797.8641969999999</v>
          </cell>
          <cell r="Y1624">
            <v>2850.4851119999998</v>
          </cell>
          <cell r="Z1624">
            <v>2908.9385520000001</v>
          </cell>
          <cell r="AA1624">
            <v>2973.952996</v>
          </cell>
          <cell r="AB1624">
            <v>3046.1812089999999</v>
          </cell>
          <cell r="AC1624">
            <v>3126.1377130000001</v>
          </cell>
          <cell r="AD1624">
            <v>3214.1655390000001</v>
          </cell>
          <cell r="AE1624">
            <v>3309.979664</v>
          </cell>
          <cell r="AF1624">
            <v>3414.9170920000001</v>
          </cell>
          <cell r="AG1624">
            <v>3529.7818109999998</v>
          </cell>
          <cell r="AH1624">
            <v>3655.423773</v>
          </cell>
          <cell r="AI1624">
            <v>3792.339551</v>
          </cell>
          <cell r="AJ1624">
            <v>3940.7968259999998</v>
          </cell>
          <cell r="AK1624">
            <v>4101.2591080000002</v>
          </cell>
          <cell r="AL1624">
            <v>4274.6253370000004</v>
          </cell>
          <cell r="AM1624">
            <v>4462.2292379999999</v>
          </cell>
          <cell r="AN1624">
            <v>4666.0221359999996</v>
          </cell>
          <cell r="AO1624">
            <v>4888.9784650000001</v>
          </cell>
        </row>
        <row r="1629">
          <cell r="F1629">
            <v>3650.1624769999999</v>
          </cell>
          <cell r="G1629">
            <v>3702.5604589999998</v>
          </cell>
          <cell r="H1629">
            <v>3755.5830019999999</v>
          </cell>
          <cell r="I1629">
            <v>3811.6851830000001</v>
          </cell>
          <cell r="J1629">
            <v>3865.5017769999999</v>
          </cell>
          <cell r="K1629">
            <v>3919.0392270000002</v>
          </cell>
          <cell r="L1629">
            <v>3974.386508</v>
          </cell>
          <cell r="M1629">
            <v>4108.4761799999997</v>
          </cell>
          <cell r="N1629">
            <v>4288.2291020000002</v>
          </cell>
          <cell r="O1629">
            <v>4507.5284279999996</v>
          </cell>
          <cell r="P1629">
            <v>4754.7698559999999</v>
          </cell>
          <cell r="Q1629">
            <v>5007.6458620000003</v>
          </cell>
          <cell r="R1629">
            <v>5263.141662</v>
          </cell>
          <cell r="S1629">
            <v>5525.0063980000004</v>
          </cell>
          <cell r="T1629">
            <v>5799.342799</v>
          </cell>
          <cell r="U1629">
            <v>6091.8281020000004</v>
          </cell>
          <cell r="V1629">
            <v>6407.837047</v>
          </cell>
          <cell r="W1629">
            <v>6753.8051260000002</v>
          </cell>
          <cell r="X1629">
            <v>7134.9746960000002</v>
          </cell>
          <cell r="Y1629">
            <v>7556.8075079999999</v>
          </cell>
          <cell r="Z1629">
            <v>8024.3838130000004</v>
          </cell>
          <cell r="AA1629">
            <v>8546.7514859999992</v>
          </cell>
          <cell r="AB1629">
            <v>9133.515367</v>
          </cell>
          <cell r="AC1629">
            <v>9795.0745810000008</v>
          </cell>
          <cell r="AD1629">
            <v>10542.844289999999</v>
          </cell>
          <cell r="AE1629">
            <v>11385.187389999999</v>
          </cell>
          <cell r="AF1629">
            <v>12342.88789</v>
          </cell>
          <cell r="AG1629">
            <v>13437.85678</v>
          </cell>
          <cell r="AH1629">
            <v>14694.80805</v>
          </cell>
          <cell r="AI1629">
            <v>16140.67388</v>
          </cell>
          <cell r="AJ1629">
            <v>17805.889520000001</v>
          </cell>
          <cell r="AK1629">
            <v>19727.980729999999</v>
          </cell>
          <cell r="AL1629">
            <v>21955.100180000001</v>
          </cell>
          <cell r="AM1629">
            <v>24548.47452</v>
          </cell>
          <cell r="AN1629">
            <v>27586.973030000001</v>
          </cell>
          <cell r="AO1629">
            <v>31174.136999999999</v>
          </cell>
        </row>
        <row r="1639">
          <cell r="F1639">
            <v>472737.799</v>
          </cell>
          <cell r="G1639">
            <v>480958.18859999999</v>
          </cell>
          <cell r="H1639">
            <v>491180.94929999998</v>
          </cell>
          <cell r="I1639">
            <v>502880.29609999998</v>
          </cell>
          <cell r="J1639">
            <v>515854.59710000001</v>
          </cell>
          <cell r="K1639">
            <v>529925.99990000005</v>
          </cell>
          <cell r="L1639">
            <v>544743.40709999995</v>
          </cell>
          <cell r="M1639">
            <v>560189.83700000006</v>
          </cell>
          <cell r="N1639">
            <v>576262.00450000004</v>
          </cell>
          <cell r="O1639">
            <v>593007.78099999996</v>
          </cell>
          <cell r="P1639">
            <v>610385.45330000005</v>
          </cell>
          <cell r="Q1639">
            <v>627285.23670000001</v>
          </cell>
          <cell r="R1639">
            <v>643581.40469999996</v>
          </cell>
          <cell r="S1639">
            <v>659395.82720000006</v>
          </cell>
          <cell r="T1639">
            <v>674952.89549999998</v>
          </cell>
          <cell r="U1639">
            <v>690497.66729999997</v>
          </cell>
          <cell r="V1639">
            <v>706438.21770000004</v>
          </cell>
          <cell r="W1639">
            <v>723115.41700000002</v>
          </cell>
          <cell r="X1639">
            <v>740761.63399999996</v>
          </cell>
          <cell r="Y1639">
            <v>759503.01729999995</v>
          </cell>
          <cell r="Z1639">
            <v>779272.13600000006</v>
          </cell>
          <cell r="AA1639">
            <v>800290.5477</v>
          </cell>
          <cell r="AB1639">
            <v>822653.14370000002</v>
          </cell>
          <cell r="AC1639">
            <v>846426.701</v>
          </cell>
          <cell r="AD1639">
            <v>871615.82420000003</v>
          </cell>
          <cell r="AE1639">
            <v>897762.41870000004</v>
          </cell>
          <cell r="AF1639">
            <v>925128.36699999997</v>
          </cell>
          <cell r="AG1639">
            <v>953818.52500000002</v>
          </cell>
          <cell r="AH1639">
            <v>983917.05870000005</v>
          </cell>
          <cell r="AI1639">
            <v>1015414.704</v>
          </cell>
          <cell r="AJ1639">
            <v>1048211.82</v>
          </cell>
          <cell r="AK1639">
            <v>1082187.31</v>
          </cell>
          <cell r="AL1639">
            <v>1117231.547</v>
          </cell>
          <cell r="AM1639">
            <v>1153237.1740000001</v>
          </cell>
          <cell r="AN1639">
            <v>1190088.0819999999</v>
          </cell>
          <cell r="AO1639">
            <v>1227651.32</v>
          </cell>
        </row>
        <row r="1640">
          <cell r="F1640">
            <v>4444.1839890000001</v>
          </cell>
          <cell r="G1640">
            <v>4518.9668529999999</v>
          </cell>
          <cell r="H1640">
            <v>4611.3491210000002</v>
          </cell>
          <cell r="I1640">
            <v>4721.5880370000004</v>
          </cell>
          <cell r="J1640">
            <v>4843.7096140000003</v>
          </cell>
          <cell r="K1640">
            <v>4976.3150720000003</v>
          </cell>
          <cell r="L1640">
            <v>5117.2177179999999</v>
          </cell>
          <cell r="M1640">
            <v>5265.3361619999996</v>
          </cell>
          <cell r="N1640">
            <v>5419.9020909999999</v>
          </cell>
          <cell r="O1640">
            <v>5580.6595690000004</v>
          </cell>
          <cell r="P1640">
            <v>5745.5530440000002</v>
          </cell>
          <cell r="Q1640">
            <v>5902.08421</v>
          </cell>
          <cell r="R1640">
            <v>6048.4582760000003</v>
          </cell>
          <cell r="S1640">
            <v>6185.8382819999997</v>
          </cell>
          <cell r="T1640">
            <v>6316.6410640000004</v>
          </cell>
          <cell r="U1640">
            <v>6443.6732769999999</v>
          </cell>
          <cell r="V1640">
            <v>6570.1998970000004</v>
          </cell>
          <cell r="W1640">
            <v>6699.886692</v>
          </cell>
          <cell r="X1640">
            <v>6835.590373</v>
          </cell>
          <cell r="Y1640">
            <v>6979.1195310000003</v>
          </cell>
          <cell r="Z1640">
            <v>7130.6721319999997</v>
          </cell>
          <cell r="AA1640">
            <v>7292.3579120000004</v>
          </cell>
          <cell r="AB1640">
            <v>7465.7939999999999</v>
          </cell>
          <cell r="AC1640">
            <v>7652.021471</v>
          </cell>
          <cell r="AD1640">
            <v>7851.2190950000004</v>
          </cell>
          <cell r="AE1640">
            <v>8059.9591780000001</v>
          </cell>
          <cell r="AF1640">
            <v>8279.7371409999996</v>
          </cell>
          <cell r="AG1640">
            <v>8512.1208839999999</v>
          </cell>
          <cell r="AH1640">
            <v>8758.1803610000006</v>
          </cell>
          <cell r="AI1640">
            <v>9017.6781410000003</v>
          </cell>
          <cell r="AJ1640">
            <v>9289.1796109999996</v>
          </cell>
          <cell r="AK1640">
            <v>9570.929983</v>
          </cell>
          <cell r="AL1640">
            <v>9861.2568470000006</v>
          </cell>
          <cell r="AM1640">
            <v>10158.4835</v>
          </cell>
          <cell r="AN1640">
            <v>10460.84606</v>
          </cell>
          <cell r="AO1640">
            <v>10766.451290000001</v>
          </cell>
        </row>
        <row r="1643">
          <cell r="F1643">
            <v>234875.91560000001</v>
          </cell>
          <cell r="G1643">
            <v>239167.95420000001</v>
          </cell>
          <cell r="H1643">
            <v>244575.1758</v>
          </cell>
          <cell r="I1643">
            <v>250785.99559999999</v>
          </cell>
          <cell r="J1643">
            <v>257679.87789999999</v>
          </cell>
          <cell r="K1643">
            <v>265175.04519999999</v>
          </cell>
          <cell r="L1643">
            <v>273129.94199999998</v>
          </cell>
          <cell r="M1643">
            <v>281483.26309999998</v>
          </cell>
          <cell r="N1643">
            <v>290238.95880000002</v>
          </cell>
          <cell r="O1643">
            <v>299432.23790000001</v>
          </cell>
          <cell r="P1643">
            <v>309010.66609999997</v>
          </cell>
          <cell r="Q1643">
            <v>318427.00290000002</v>
          </cell>
          <cell r="R1643">
            <v>327619.04009999998</v>
          </cell>
          <cell r="S1643">
            <v>336663.05310000002</v>
          </cell>
          <cell r="T1643">
            <v>345692.3616</v>
          </cell>
          <cell r="U1643">
            <v>354846.7414</v>
          </cell>
          <cell r="V1643">
            <v>364335.43969999999</v>
          </cell>
          <cell r="W1643">
            <v>374343.40470000001</v>
          </cell>
          <cell r="X1643">
            <v>384999.09850000002</v>
          </cell>
          <cell r="Y1643">
            <v>396371.71059999999</v>
          </cell>
          <cell r="Z1643">
            <v>408450.62540000002</v>
          </cell>
          <cell r="AA1643">
            <v>421306.5736</v>
          </cell>
          <cell r="AB1643">
            <v>434993.59860000003</v>
          </cell>
          <cell r="AC1643">
            <v>449545.93849999999</v>
          </cell>
          <cell r="AD1643">
            <v>464961.4388</v>
          </cell>
          <cell r="AE1643">
            <v>481065.19270000001</v>
          </cell>
          <cell r="AF1643">
            <v>497898.43449999997</v>
          </cell>
          <cell r="AG1643">
            <v>515511.72610000003</v>
          </cell>
          <cell r="AH1643">
            <v>533943.66260000004</v>
          </cell>
          <cell r="AI1643">
            <v>553179.70620000002</v>
          </cell>
          <cell r="AJ1643">
            <v>573158.92830000003</v>
          </cell>
          <cell r="AK1643">
            <v>593813.87670000002</v>
          </cell>
          <cell r="AL1643">
            <v>615088.3835</v>
          </cell>
          <cell r="AM1643">
            <v>636930.90949999995</v>
          </cell>
          <cell r="AN1643">
            <v>659286.74620000005</v>
          </cell>
          <cell r="AO1643">
            <v>682092.03559999994</v>
          </cell>
        </row>
        <row r="1655">
          <cell r="F1655">
            <v>8012.3261389999998</v>
          </cell>
          <cell r="G1655">
            <v>8182.404845</v>
          </cell>
          <cell r="H1655">
            <v>8389.1357129999997</v>
          </cell>
          <cell r="I1655">
            <v>8615.9674329999998</v>
          </cell>
          <cell r="J1655">
            <v>8858.0237280000001</v>
          </cell>
          <cell r="K1655">
            <v>9114.4645619999992</v>
          </cell>
          <cell r="L1655">
            <v>9381.3259620000008</v>
          </cell>
          <cell r="M1655">
            <v>9656.7414759999992</v>
          </cell>
          <cell r="N1655">
            <v>9939.8415079999995</v>
          </cell>
          <cell r="O1655">
            <v>10230.630859999999</v>
          </cell>
          <cell r="P1655">
            <v>10521.80012</v>
          </cell>
          <cell r="Q1655">
            <v>10780.782090000001</v>
          </cell>
          <cell r="R1655">
            <v>11008.79729</v>
          </cell>
          <cell r="S1655">
            <v>11213.434670000001</v>
          </cell>
          <cell r="T1655">
            <v>11404.20018</v>
          </cell>
          <cell r="U1655">
            <v>11589.980600000001</v>
          </cell>
          <cell r="V1655">
            <v>11780.93663</v>
          </cell>
          <cell r="W1655">
            <v>11985.47156</v>
          </cell>
          <cell r="X1655">
            <v>12209.55098</v>
          </cell>
          <cell r="Y1655">
            <v>12456.33454</v>
          </cell>
          <cell r="Z1655">
            <v>12726.429980000001</v>
          </cell>
          <cell r="AA1655">
            <v>13023.04911</v>
          </cell>
          <cell r="AB1655">
            <v>13348.558919999999</v>
          </cell>
          <cell r="AC1655">
            <v>13704.34575</v>
          </cell>
          <cell r="AD1655">
            <v>14089.989879999999</v>
          </cell>
          <cell r="AE1655">
            <v>14500.296829999999</v>
          </cell>
          <cell r="AF1655">
            <v>14938.02137</v>
          </cell>
          <cell r="AG1655">
            <v>15405.45033</v>
          </cell>
          <cell r="AH1655">
            <v>15903.57173</v>
          </cell>
          <cell r="AI1655">
            <v>16429.465789999998</v>
          </cell>
          <cell r="AJ1655">
            <v>16977.54794</v>
          </cell>
          <cell r="AK1655">
            <v>17542.396339999999</v>
          </cell>
          <cell r="AL1655">
            <v>18119.745719999999</v>
          </cell>
          <cell r="AM1655">
            <v>18705.974419999999</v>
          </cell>
          <cell r="AN1655">
            <v>19297.672070000001</v>
          </cell>
          <cell r="AO1655">
            <v>19891.388139999999</v>
          </cell>
        </row>
        <row r="1660">
          <cell r="F1660">
            <v>219508.55739999999</v>
          </cell>
          <cell r="G1660">
            <v>223119.6391</v>
          </cell>
          <cell r="H1660">
            <v>227563.53709999999</v>
          </cell>
          <cell r="I1660">
            <v>232638.7175</v>
          </cell>
          <cell r="J1660">
            <v>238275.85800000001</v>
          </cell>
          <cell r="K1660">
            <v>244378.08410000001</v>
          </cell>
          <cell r="L1660">
            <v>250741.7702</v>
          </cell>
          <cell r="M1660">
            <v>257315.08189999999</v>
          </cell>
          <cell r="N1660">
            <v>264093.92450000002</v>
          </cell>
          <cell r="O1660">
            <v>271092.30129999999</v>
          </cell>
          <cell r="P1660">
            <v>278332.52020000003</v>
          </cell>
          <cell r="Q1660">
            <v>285310.0037</v>
          </cell>
          <cell r="R1660">
            <v>291964.3</v>
          </cell>
          <cell r="S1660">
            <v>298331.0159</v>
          </cell>
          <cell r="T1660">
            <v>304486.2966</v>
          </cell>
          <cell r="U1660">
            <v>310520.14289999998</v>
          </cell>
          <cell r="V1660">
            <v>316613.9204</v>
          </cell>
          <cell r="W1660">
            <v>322906.83630000002</v>
          </cell>
          <cell r="X1660">
            <v>329490.1862</v>
          </cell>
          <cell r="Y1660">
            <v>336413.29330000002</v>
          </cell>
          <cell r="Z1660">
            <v>343617.53100000002</v>
          </cell>
          <cell r="AA1660">
            <v>351245.57150000002</v>
          </cell>
          <cell r="AB1660">
            <v>359332.46620000002</v>
          </cell>
          <cell r="AC1660">
            <v>367907.04200000002</v>
          </cell>
          <cell r="AD1660">
            <v>376975.55</v>
          </cell>
          <cell r="AE1660">
            <v>386265.87329999998</v>
          </cell>
          <cell r="AF1660">
            <v>395991.95890000003</v>
          </cell>
          <cell r="AG1660">
            <v>406202.83270000003</v>
          </cell>
          <cell r="AH1660">
            <v>416941.38370000001</v>
          </cell>
          <cell r="AI1660">
            <v>428216.98739999998</v>
          </cell>
          <cell r="AJ1660">
            <v>440000.10960000003</v>
          </cell>
          <cell r="AK1660">
            <v>452246.77899999998</v>
          </cell>
          <cell r="AL1660">
            <v>464911.86050000001</v>
          </cell>
          <cell r="AM1660">
            <v>477947.1372</v>
          </cell>
          <cell r="AN1660">
            <v>491298.67910000001</v>
          </cell>
          <cell r="AO1660">
            <v>504905.07429999998</v>
          </cell>
        </row>
        <row r="1663">
          <cell r="F1663">
            <v>2246.6534470000001</v>
          </cell>
          <cell r="G1663">
            <v>2266.6631900000002</v>
          </cell>
          <cell r="H1663">
            <v>2286.1685590000002</v>
          </cell>
          <cell r="I1663">
            <v>2306.3424279999999</v>
          </cell>
          <cell r="J1663">
            <v>2331.6260779999998</v>
          </cell>
          <cell r="K1663">
            <v>2363.0516910000001</v>
          </cell>
          <cell r="L1663">
            <v>2398.7646789999999</v>
          </cell>
          <cell r="M1663">
            <v>2436.9217100000001</v>
          </cell>
          <cell r="N1663">
            <v>2476.5398150000001</v>
          </cell>
          <cell r="O1663">
            <v>2517.187711</v>
          </cell>
          <cell r="P1663">
            <v>2557.854186</v>
          </cell>
          <cell r="Q1663">
            <v>2594.1117770000001</v>
          </cell>
          <cell r="R1663">
            <v>2625.306822</v>
          </cell>
          <cell r="S1663">
            <v>2651.9911269999998</v>
          </cell>
          <cell r="T1663">
            <v>2675.1950320000001</v>
          </cell>
          <cell r="U1663">
            <v>2696.0371369999998</v>
          </cell>
          <cell r="V1663">
            <v>2716.713283</v>
          </cell>
          <cell r="W1663">
            <v>2739.011062</v>
          </cell>
          <cell r="X1663">
            <v>2764.0701720000002</v>
          </cell>
          <cell r="Y1663">
            <v>2792.488609</v>
          </cell>
          <cell r="Z1663">
            <v>2824.4138119999998</v>
          </cell>
          <cell r="AA1663">
            <v>2860.3417789999999</v>
          </cell>
          <cell r="AB1663">
            <v>2900.6903649999999</v>
          </cell>
          <cell r="AC1663">
            <v>2945.7985349999999</v>
          </cell>
          <cell r="AD1663">
            <v>2995.8421579999999</v>
          </cell>
          <cell r="AE1663">
            <v>3050.3386449999998</v>
          </cell>
          <cell r="AF1663">
            <v>3109.8179500000001</v>
          </cell>
          <cell r="AG1663">
            <v>3174.7874769999999</v>
          </cell>
          <cell r="AH1663">
            <v>3245.5668209999999</v>
          </cell>
          <cell r="AI1663">
            <v>3321.9461289999999</v>
          </cell>
          <cell r="AJ1663">
            <v>3403.2941000000001</v>
          </cell>
          <cell r="AK1663">
            <v>3488.874245</v>
          </cell>
          <cell r="AL1663">
            <v>3577.985349</v>
          </cell>
          <cell r="AM1663">
            <v>3669.9330930000001</v>
          </cell>
          <cell r="AN1663">
            <v>3763.9913459999998</v>
          </cell>
          <cell r="AO1663">
            <v>3859.3772920000001</v>
          </cell>
        </row>
        <row r="1668">
          <cell r="F1668">
            <v>3650.1624769999999</v>
          </cell>
          <cell r="G1668">
            <v>3702.5604579999999</v>
          </cell>
          <cell r="H1668">
            <v>3755.583001</v>
          </cell>
          <cell r="I1668">
            <v>3811.6851820000002</v>
          </cell>
          <cell r="J1668">
            <v>3865.5017769999999</v>
          </cell>
          <cell r="K1668">
            <v>3919.0392270000002</v>
          </cell>
          <cell r="L1668">
            <v>3974.386508</v>
          </cell>
          <cell r="M1668">
            <v>4032.4927050000001</v>
          </cell>
          <cell r="N1668">
            <v>4092.8377390000001</v>
          </cell>
          <cell r="O1668">
            <v>4154.7636990000001</v>
          </cell>
          <cell r="P1668">
            <v>4217.0596800000003</v>
          </cell>
          <cell r="Q1668">
            <v>4271.2520720000002</v>
          </cell>
          <cell r="R1668">
            <v>4315.5022639999997</v>
          </cell>
          <cell r="S1668">
            <v>4350.4941079999999</v>
          </cell>
          <cell r="T1668">
            <v>4378.2010149999996</v>
          </cell>
          <cell r="U1668">
            <v>4401.0919510000003</v>
          </cell>
          <cell r="V1668">
            <v>4421.0077890000002</v>
          </cell>
          <cell r="W1668">
            <v>4440.8067739999997</v>
          </cell>
          <cell r="X1668">
            <v>4463.1377990000001</v>
          </cell>
          <cell r="Y1668">
            <v>4490.0707819999998</v>
          </cell>
          <cell r="Z1668">
            <v>4522.4636890000002</v>
          </cell>
          <cell r="AA1668">
            <v>4562.653789</v>
          </cell>
          <cell r="AB1668">
            <v>4612.0355710000003</v>
          </cell>
          <cell r="AC1668">
            <v>4671.5546780000004</v>
          </cell>
          <cell r="AD1668">
            <v>4741.784224</v>
          </cell>
          <cell r="AE1668">
            <v>4820.7580420000004</v>
          </cell>
          <cell r="AF1668">
            <v>4910.3971019999999</v>
          </cell>
          <cell r="AG1668">
            <v>5011.6075179999998</v>
          </cell>
          <cell r="AH1668">
            <v>5124.6934359999996</v>
          </cell>
          <cell r="AI1668">
            <v>5248.9201510000003</v>
          </cell>
          <cell r="AJ1668">
            <v>5382.759978</v>
          </cell>
          <cell r="AK1668">
            <v>5524.4541429999999</v>
          </cell>
          <cell r="AL1668">
            <v>5672.3156070000005</v>
          </cell>
          <cell r="AM1668">
            <v>5824.7361289999999</v>
          </cell>
          <cell r="AN1668">
            <v>5980.1468869999999</v>
          </cell>
          <cell r="AO1668">
            <v>6136.9933430000001</v>
          </cell>
        </row>
        <row r="1702">
          <cell r="F1702">
            <v>1202789.014</v>
          </cell>
          <cell r="G1702">
            <v>1221919.855</v>
          </cell>
          <cell r="H1702">
            <v>1245840.5589999999</v>
          </cell>
          <cell r="I1702">
            <v>1273732.4820000001</v>
          </cell>
          <cell r="J1702">
            <v>1304435.2819999999</v>
          </cell>
          <cell r="K1702">
            <v>1337425.0160000001</v>
          </cell>
          <cell r="L1702">
            <v>1370901.808</v>
          </cell>
          <cell r="M1702">
            <v>1404232.7760000001</v>
          </cell>
          <cell r="N1702">
            <v>1437553.301</v>
          </cell>
          <cell r="O1702">
            <v>1473638.247</v>
          </cell>
          <cell r="P1702">
            <v>1513511.0619999999</v>
          </cell>
          <cell r="Q1702">
            <v>1554123.21</v>
          </cell>
          <cell r="R1702">
            <v>1594233.584</v>
          </cell>
          <cell r="S1702">
            <v>1632425.2279999999</v>
          </cell>
          <cell r="T1702">
            <v>1667946.1459999999</v>
          </cell>
          <cell r="U1702">
            <v>1700691.307</v>
          </cell>
          <cell r="V1702">
            <v>1731693.9739999999</v>
          </cell>
          <cell r="W1702">
            <v>1761275.0830000001</v>
          </cell>
          <cell r="X1702">
            <v>1790020.074</v>
          </cell>
          <cell r="Y1702">
            <v>1818477.659</v>
          </cell>
          <cell r="Z1702">
            <v>1846462.277</v>
          </cell>
          <cell r="AA1702">
            <v>1875306.6159999999</v>
          </cell>
          <cell r="AB1702">
            <v>1905391.1880000001</v>
          </cell>
          <cell r="AC1702">
            <v>1937192.331</v>
          </cell>
          <cell r="AD1702">
            <v>1971058.2180000001</v>
          </cell>
          <cell r="AE1702">
            <v>2005294.6470000001</v>
          </cell>
          <cell r="AF1702">
            <v>2041653.6969999999</v>
          </cell>
          <cell r="AG1702">
            <v>2080363.2239999999</v>
          </cell>
          <cell r="AH1702">
            <v>2121995.9010000001</v>
          </cell>
          <cell r="AI1702">
            <v>2167047.659</v>
          </cell>
          <cell r="AJ1702">
            <v>2215686.0989999999</v>
          </cell>
          <cell r="AK1702">
            <v>2267714.1439999999</v>
          </cell>
          <cell r="AL1702">
            <v>2322756.9330000002</v>
          </cell>
          <cell r="AM1702">
            <v>2380475.5830000001</v>
          </cell>
          <cell r="AN1702">
            <v>2440489.9890000001</v>
          </cell>
          <cell r="AO1702">
            <v>2502342.7999999998</v>
          </cell>
        </row>
        <row r="1731">
          <cell r="F1731">
            <v>1202789.014</v>
          </cell>
          <cell r="G1731">
            <v>1221919.855</v>
          </cell>
          <cell r="H1731">
            <v>1245840.5589999999</v>
          </cell>
          <cell r="I1731">
            <v>1273732.4820000001</v>
          </cell>
          <cell r="J1731">
            <v>1304435.2819999999</v>
          </cell>
          <cell r="K1731">
            <v>1337425.0160000001</v>
          </cell>
          <cell r="L1731">
            <v>1370901.807</v>
          </cell>
          <cell r="M1731">
            <v>1404817.183</v>
          </cell>
          <cell r="N1731">
            <v>1439324.713</v>
          </cell>
          <cell r="O1731">
            <v>1474589.004</v>
          </cell>
          <cell r="P1731">
            <v>1511222.9580000001</v>
          </cell>
          <cell r="Q1731">
            <v>1546811.3089999999</v>
          </cell>
          <cell r="R1731">
            <v>1580473.4550000001</v>
          </cell>
          <cell r="S1731">
            <v>1611642.716</v>
          </cell>
          <cell r="T1731">
            <v>1640123.983</v>
          </cell>
          <cell r="U1731">
            <v>1666093.2760000001</v>
          </cell>
          <cell r="V1731">
            <v>1690911.166</v>
          </cell>
          <cell r="W1731">
            <v>1715199.406</v>
          </cell>
          <cell r="X1731">
            <v>1739376.649</v>
          </cell>
          <cell r="Y1731">
            <v>1763819.308</v>
          </cell>
          <cell r="Z1731">
            <v>1788262.2849999999</v>
          </cell>
          <cell r="AA1731">
            <v>1814044.291</v>
          </cell>
          <cell r="AB1731">
            <v>1841550.159</v>
          </cell>
          <cell r="AC1731">
            <v>1871186.4890000001</v>
          </cell>
          <cell r="AD1731">
            <v>1903238.5789999999</v>
          </cell>
          <cell r="AE1731">
            <v>1936030.831</v>
          </cell>
          <cell r="AF1731">
            <v>1971433.2490000001</v>
          </cell>
          <cell r="AG1731">
            <v>2009779.034</v>
          </cell>
          <cell r="AH1731">
            <v>2051460.8430000001</v>
          </cell>
          <cell r="AI1731">
            <v>2096788.331</v>
          </cell>
          <cell r="AJ1731">
            <v>2145803.7570000002</v>
          </cell>
          <cell r="AK1731">
            <v>2198306.3089999999</v>
          </cell>
          <cell r="AL1731">
            <v>2253928.2349999999</v>
          </cell>
          <cell r="AM1731">
            <v>2312190.2719999999</v>
          </cell>
          <cell r="AN1731">
            <v>2372539.764</v>
          </cell>
          <cell r="AO1731">
            <v>2434372.1069999998</v>
          </cell>
        </row>
        <row r="1760">
          <cell r="F1760">
            <v>1.0019287059999999</v>
          </cell>
          <cell r="G1760">
            <v>1.0214944349999999</v>
          </cell>
          <cell r="H1760">
            <v>1.0418845859999999</v>
          </cell>
          <cell r="I1760">
            <v>1.0642182549999999</v>
          </cell>
          <cell r="J1760">
            <v>1.085968255</v>
          </cell>
          <cell r="K1760">
            <v>1.1086907619999999</v>
          </cell>
          <cell r="L1760">
            <v>1.1334850160000001</v>
          </cell>
          <cell r="M1760">
            <v>1.1704486569999999</v>
          </cell>
          <cell r="N1760">
            <v>1.208073808</v>
          </cell>
          <cell r="O1760">
            <v>1.2490552509999999</v>
          </cell>
          <cell r="P1760">
            <v>1.29335556</v>
          </cell>
          <cell r="Q1760">
            <v>1.3366006800000001</v>
          </cell>
          <cell r="R1760">
            <v>1.379255431</v>
          </cell>
          <cell r="S1760">
            <v>1.420592748</v>
          </cell>
          <cell r="T1760">
            <v>1.4600613389999999</v>
          </cell>
          <cell r="U1760">
            <v>1.4972442260000001</v>
          </cell>
          <cell r="V1760">
            <v>1.5327291249999999</v>
          </cell>
          <cell r="W1760">
            <v>1.5656335480000001</v>
          </cell>
          <cell r="X1760">
            <v>1.5958524039999999</v>
          </cell>
          <cell r="Y1760">
            <v>1.6235277459999999</v>
          </cell>
          <cell r="Z1760">
            <v>1.648975683</v>
          </cell>
          <cell r="AA1760">
            <v>1.672576286</v>
          </cell>
          <cell r="AB1760">
            <v>1.6947826800000001</v>
          </cell>
          <cell r="AC1760">
            <v>1.7160103120000001</v>
          </cell>
          <cell r="AD1760">
            <v>1.7367977699999999</v>
          </cell>
          <cell r="AE1760">
            <v>1.7578059150000001</v>
          </cell>
          <cell r="AF1760">
            <v>1.7798478499999999</v>
          </cell>
          <cell r="AG1760">
            <v>1.803700189</v>
          </cell>
          <cell r="AH1760">
            <v>1.8297199019999999</v>
          </cell>
          <cell r="AI1760">
            <v>1.858129312</v>
          </cell>
          <cell r="AJ1760">
            <v>1.889113912</v>
          </cell>
          <cell r="AK1760">
            <v>1.9229284449999999</v>
          </cell>
          <cell r="AL1760">
            <v>1.9597745470000001</v>
          </cell>
          <cell r="AM1760">
            <v>1.999605471</v>
          </cell>
          <cell r="AN1760">
            <v>2.0423190610000002</v>
          </cell>
          <cell r="AO1760">
            <v>2.0877639299999999</v>
          </cell>
        </row>
        <row r="1789">
          <cell r="F1789">
            <v>1.0019287059999999</v>
          </cell>
          <cell r="G1789">
            <v>1.0214944349999999</v>
          </cell>
          <cell r="H1789">
            <v>1.041884585</v>
          </cell>
          <cell r="I1789">
            <v>1.064218254</v>
          </cell>
          <cell r="J1789">
            <v>1.085968255</v>
          </cell>
          <cell r="K1789">
            <v>1.1086907610000001</v>
          </cell>
          <cell r="L1789">
            <v>1.133485015</v>
          </cell>
          <cell r="M1789">
            <v>1.160161116</v>
          </cell>
          <cell r="N1789">
            <v>1.1883699029999999</v>
          </cell>
          <cell r="O1789">
            <v>1.2179342689999999</v>
          </cell>
          <cell r="P1789">
            <v>1.248536063</v>
          </cell>
          <cell r="Q1789">
            <v>1.279356553</v>
          </cell>
          <cell r="R1789">
            <v>1.309586259</v>
          </cell>
          <cell r="S1789">
            <v>1.338591179</v>
          </cell>
          <cell r="T1789">
            <v>1.3660126450000001</v>
          </cell>
          <cell r="U1789">
            <v>1.391673392</v>
          </cell>
          <cell r="V1789">
            <v>1.4144506269999999</v>
          </cell>
          <cell r="W1789">
            <v>1.43461766</v>
          </cell>
          <cell r="X1789">
            <v>1.4525483889999999</v>
          </cell>
          <cell r="Y1789">
            <v>1.468707304</v>
          </cell>
          <cell r="Z1789">
            <v>1.48363004</v>
          </cell>
          <cell r="AA1789">
            <v>1.4977810119999999</v>
          </cell>
          <cell r="AB1789">
            <v>1.5116851769999999</v>
          </cell>
          <cell r="AC1789">
            <v>1.5259024160000001</v>
          </cell>
          <cell r="AD1789">
            <v>1.541051094</v>
          </cell>
          <cell r="AE1789">
            <v>1.5578016050000001</v>
          </cell>
          <cell r="AF1789">
            <v>1.5766301709999999</v>
          </cell>
          <cell r="AG1789">
            <v>1.5979786170000001</v>
          </cell>
          <cell r="AH1789">
            <v>1.6222379259999999</v>
          </cell>
          <cell r="AI1789">
            <v>1.649590527</v>
          </cell>
          <cell r="AJ1789">
            <v>1.6801410240000001</v>
          </cell>
          <cell r="AK1789">
            <v>1.7139043469999999</v>
          </cell>
          <cell r="AL1789">
            <v>1.7508221310000001</v>
          </cell>
          <cell r="AM1789">
            <v>1.7907706269999999</v>
          </cell>
          <cell r="AN1789">
            <v>1.8335589370000001</v>
          </cell>
          <cell r="AO1789">
            <v>1.8789299989999999</v>
          </cell>
        </row>
      </sheetData>
      <sheetData sheetId="7" refreshError="1"/>
      <sheetData sheetId="8">
        <row r="820">
          <cell r="B820">
            <v>348.01864060000003</v>
          </cell>
          <cell r="C820">
            <v>348.27357540000003</v>
          </cell>
          <cell r="D820">
            <v>348.62072999999998</v>
          </cell>
          <cell r="E820">
            <v>348.7386601</v>
          </cell>
          <cell r="F820">
            <v>350.85550749999999</v>
          </cell>
          <cell r="G820">
            <v>354.50504260000002</v>
          </cell>
          <cell r="H820">
            <v>358.46145790000003</v>
          </cell>
          <cell r="I820">
            <v>362.48714469999999</v>
          </cell>
          <cell r="J820">
            <v>366.5842945</v>
          </cell>
          <cell r="K820">
            <v>370.75574330000001</v>
          </cell>
          <cell r="L820">
            <v>374.92304869999998</v>
          </cell>
          <cell r="M820">
            <v>378.20078769999998</v>
          </cell>
          <cell r="N820">
            <v>380.71904380000001</v>
          </cell>
          <cell r="O820">
            <v>382.6324118</v>
          </cell>
          <cell r="P820">
            <v>384.12664999999998</v>
          </cell>
          <cell r="Q820">
            <v>385.38380210000003</v>
          </cell>
          <cell r="R820">
            <v>387.11022059999999</v>
          </cell>
          <cell r="S820">
            <v>389.3972842</v>
          </cell>
          <cell r="T820">
            <v>392.28981649999997</v>
          </cell>
          <cell r="U820">
            <v>395.79861360000001</v>
          </cell>
          <cell r="V820">
            <v>399.84686369999997</v>
          </cell>
          <cell r="W820">
            <v>404.58317779999999</v>
          </cell>
          <cell r="X820">
            <v>410.02920519999998</v>
          </cell>
          <cell r="Y820">
            <v>416.21124200000003</v>
          </cell>
          <cell r="Z820">
            <v>423.13482909999999</v>
          </cell>
          <cell r="AA820">
            <v>430.55117159999998</v>
          </cell>
          <cell r="AB820">
            <v>438.72702679999998</v>
          </cell>
          <cell r="AC820">
            <v>447.69797139999997</v>
          </cell>
          <cell r="AD820">
            <v>457.47711829999997</v>
          </cell>
          <cell r="AE820">
            <v>467.99003210000001</v>
          </cell>
          <cell r="AF820">
            <v>479.1104052</v>
          </cell>
          <cell r="AG820">
            <v>490.71201020000001</v>
          </cell>
          <cell r="AH820">
            <v>502.67883030000002</v>
          </cell>
          <cell r="AI820">
            <v>514.89836070000001</v>
          </cell>
          <cell r="AJ820">
            <v>527.25684109999997</v>
          </cell>
          <cell r="AK820">
            <v>539.63704710000002</v>
          </cell>
        </row>
        <row r="821">
          <cell r="B821">
            <v>213.27374040000001</v>
          </cell>
          <cell r="C821">
            <v>214.38114039999999</v>
          </cell>
          <cell r="D821">
            <v>215.68295420000001</v>
          </cell>
          <cell r="E821">
            <v>216.7083916</v>
          </cell>
          <cell r="F821">
            <v>219.07498440000001</v>
          </cell>
          <cell r="G821">
            <v>222.56135130000001</v>
          </cell>
          <cell r="H821">
            <v>226.3702098</v>
          </cell>
          <cell r="I821">
            <v>230.24088839999999</v>
          </cell>
          <cell r="J821">
            <v>234.13409050000001</v>
          </cell>
          <cell r="K821">
            <v>238.04041240000001</v>
          </cell>
          <cell r="L821">
            <v>241.84123270000001</v>
          </cell>
          <cell r="M821">
            <v>244.77473850000001</v>
          </cell>
          <cell r="N821">
            <v>246.9712681</v>
          </cell>
          <cell r="O821">
            <v>248.59159410000001</v>
          </cell>
          <cell r="P821">
            <v>249.82658799999999</v>
          </cell>
          <cell r="Q821">
            <v>250.86021059999999</v>
          </cell>
          <cell r="R821">
            <v>252.23079000000001</v>
          </cell>
          <cell r="S821">
            <v>254.08495619999999</v>
          </cell>
          <cell r="T821">
            <v>256.49997669999999</v>
          </cell>
          <cell r="U821">
            <v>259.50334070000002</v>
          </cell>
          <cell r="V821">
            <v>263.05916339999999</v>
          </cell>
          <cell r="W821">
            <v>267.26400849999999</v>
          </cell>
          <cell r="X821">
            <v>272.14339760000001</v>
          </cell>
          <cell r="Y821">
            <v>277.7187998</v>
          </cell>
          <cell r="Z821">
            <v>283.99049680000002</v>
          </cell>
          <cell r="AA821">
            <v>290.7990332</v>
          </cell>
          <cell r="AB821">
            <v>298.3077657</v>
          </cell>
          <cell r="AC821">
            <v>306.54832479999999</v>
          </cell>
          <cell r="AD821">
            <v>315.52694539999999</v>
          </cell>
          <cell r="AE821">
            <v>325.1658789</v>
          </cell>
          <cell r="AF821">
            <v>335.34073330000001</v>
          </cell>
          <cell r="AG821">
            <v>345.93089859999998</v>
          </cell>
          <cell r="AH821">
            <v>356.83138159999999</v>
          </cell>
          <cell r="AI821">
            <v>367.94189669999997</v>
          </cell>
          <cell r="AJ821">
            <v>379.16164880000002</v>
          </cell>
          <cell r="AK821">
            <v>390.38738039999998</v>
          </cell>
        </row>
        <row r="822">
          <cell r="B822">
            <v>2.7534944400000001E-2</v>
          </cell>
          <cell r="C822">
            <v>2.8000835200000001E-2</v>
          </cell>
          <cell r="D822">
            <v>2.8553549800000001E-2</v>
          </cell>
          <cell r="E822">
            <v>2.9188641099999999E-2</v>
          </cell>
          <cell r="F822">
            <v>2.9889935900000001E-2</v>
          </cell>
          <cell r="G822">
            <v>3.0651199899999999E-2</v>
          </cell>
          <cell r="H822">
            <v>3.14451704E-2</v>
          </cell>
          <cell r="I822">
            <v>3.2260738900000002E-2</v>
          </cell>
          <cell r="J822">
            <v>3.3091477199999997E-2</v>
          </cell>
          <cell r="K822">
            <v>3.3935055300000003E-2</v>
          </cell>
          <cell r="L822">
            <v>3.47716156E-2</v>
          </cell>
          <cell r="M822">
            <v>3.5492862799999997E-2</v>
          </cell>
          <cell r="N822">
            <v>3.6120966599999998E-2</v>
          </cell>
          <cell r="O822">
            <v>3.6673113E-2</v>
          </cell>
          <cell r="P822">
            <v>3.7171452799999997E-2</v>
          </cell>
          <cell r="Q822">
            <v>3.7638367300000003E-2</v>
          </cell>
          <cell r="R822">
            <v>3.81073252E-2</v>
          </cell>
          <cell r="S822">
            <v>3.8604198800000003E-2</v>
          </cell>
          <cell r="T822">
            <v>3.9147279399999999E-2</v>
          </cell>
          <cell r="U822">
            <v>3.9747095199999999E-2</v>
          </cell>
          <cell r="V822">
            <v>4.0403309700000001E-2</v>
          </cell>
          <cell r="W822">
            <v>4.1133915899999998E-2</v>
          </cell>
          <cell r="X822">
            <v>4.19473239E-2</v>
          </cell>
          <cell r="Y822">
            <v>4.28485885E-2</v>
          </cell>
          <cell r="Z822">
            <v>4.3837696400000001E-2</v>
          </cell>
          <cell r="AA822">
            <v>4.4888804300000001E-2</v>
          </cell>
          <cell r="AB822">
            <v>4.6023166800000001E-2</v>
          </cell>
          <cell r="AC822">
            <v>4.7247989499999997E-2</v>
          </cell>
          <cell r="AD822">
            <v>4.8565585299999998E-2</v>
          </cell>
          <cell r="AE822">
            <v>4.9966684099999999E-2</v>
          </cell>
          <cell r="AF822">
            <v>5.1435751600000003E-2</v>
          </cell>
          <cell r="AG822">
            <v>5.2957961999999997E-2</v>
          </cell>
          <cell r="AH822">
            <v>5.4520392500000001E-2</v>
          </cell>
          <cell r="AI822">
            <v>5.6110395600000001E-2</v>
          </cell>
          <cell r="AJ822">
            <v>5.7715204499999999E-2</v>
          </cell>
          <cell r="AK822">
            <v>5.9321839500000001E-2</v>
          </cell>
        </row>
        <row r="823">
          <cell r="B823">
            <v>15.22687925</v>
          </cell>
          <cell r="C823">
            <v>15.48376749</v>
          </cell>
          <cell r="D823">
            <v>15.78036777</v>
          </cell>
          <cell r="E823">
            <v>16.100835400000001</v>
          </cell>
          <cell r="F823">
            <v>16.44614322</v>
          </cell>
          <cell r="G823">
            <v>16.816682060000002</v>
          </cell>
          <cell r="H823">
            <v>17.201257630000001</v>
          </cell>
          <cell r="I823">
            <v>17.59798842</v>
          </cell>
          <cell r="J823">
            <v>18.005201660000001</v>
          </cell>
          <cell r="K823">
            <v>18.42275652</v>
          </cell>
          <cell r="L823">
            <v>18.850336859999999</v>
          </cell>
          <cell r="M823">
            <v>19.24000753</v>
          </cell>
          <cell r="N823">
            <v>19.600598789999999</v>
          </cell>
          <cell r="O823">
            <v>19.940889179999999</v>
          </cell>
          <cell r="P823">
            <v>20.271011980000001</v>
          </cell>
          <cell r="Q823">
            <v>20.600543250000001</v>
          </cell>
          <cell r="R823">
            <v>20.942529090000001</v>
          </cell>
          <cell r="S823">
            <v>21.307511900000002</v>
          </cell>
          <cell r="T823">
            <v>21.702628310000001</v>
          </cell>
          <cell r="U823">
            <v>22.131576599999999</v>
          </cell>
          <cell r="V823">
            <v>22.589399100000001</v>
          </cell>
          <cell r="W823">
            <v>23.089000739999999</v>
          </cell>
          <cell r="X823">
            <v>23.629631660000001</v>
          </cell>
          <cell r="Y823">
            <v>24.212119789999999</v>
          </cell>
          <cell r="Z823">
            <v>24.835835880000001</v>
          </cell>
          <cell r="AA823">
            <v>25.47821501</v>
          </cell>
          <cell r="AB823">
            <v>26.161509420000002</v>
          </cell>
          <cell r="AC823">
            <v>26.883453889999998</v>
          </cell>
          <cell r="AD823">
            <v>27.64400092</v>
          </cell>
          <cell r="AE823">
            <v>28.439528639999999</v>
          </cell>
          <cell r="AF823">
            <v>29.2641934</v>
          </cell>
          <cell r="AG823">
            <v>30.112541350000001</v>
          </cell>
          <cell r="AH823">
            <v>30.980201749999999</v>
          </cell>
          <cell r="AI823">
            <v>31.863303689999999</v>
          </cell>
          <cell r="AJ823">
            <v>32.758125</v>
          </cell>
          <cell r="AK823">
            <v>33.660890219999999</v>
          </cell>
        </row>
        <row r="824">
          <cell r="B824">
            <v>119.490486</v>
          </cell>
          <cell r="C824">
            <v>118.38066670000001</v>
          </cell>
          <cell r="D824">
            <v>117.1288546</v>
          </cell>
          <cell r="E824">
            <v>115.90024440000001</v>
          </cell>
          <cell r="F824">
            <v>115.30449</v>
          </cell>
          <cell r="G824">
            <v>115.096358</v>
          </cell>
          <cell r="H824">
            <v>114.8585453</v>
          </cell>
          <cell r="I824">
            <v>114.6160071</v>
          </cell>
          <cell r="J824">
            <v>114.4119108</v>
          </cell>
          <cell r="K824">
            <v>114.25863940000001</v>
          </cell>
          <cell r="L824">
            <v>114.1967075</v>
          </cell>
          <cell r="M824">
            <v>114.1505487</v>
          </cell>
          <cell r="N824">
            <v>114.1110559</v>
          </cell>
          <cell r="O824">
            <v>114.0632554</v>
          </cell>
          <cell r="P824">
            <v>113.99187860000001</v>
          </cell>
          <cell r="Q824">
            <v>113.8854099</v>
          </cell>
          <cell r="R824">
            <v>113.8987942</v>
          </cell>
          <cell r="S824">
            <v>113.966212</v>
          </cell>
          <cell r="T824">
            <v>114.0480642</v>
          </cell>
          <cell r="U824">
            <v>114.1239492</v>
          </cell>
          <cell r="V824">
            <v>114.1578978</v>
          </cell>
          <cell r="W824">
            <v>114.1890346</v>
          </cell>
          <cell r="X824">
            <v>114.2142286</v>
          </cell>
          <cell r="Y824">
            <v>114.2374738</v>
          </cell>
          <cell r="Z824">
            <v>114.2646587</v>
          </cell>
          <cell r="AA824">
            <v>114.22903460000001</v>
          </cell>
          <cell r="AB824">
            <v>114.2117286</v>
          </cell>
          <cell r="AC824">
            <v>114.21894469999999</v>
          </cell>
          <cell r="AD824">
            <v>114.2576064</v>
          </cell>
          <cell r="AE824">
            <v>114.334658</v>
          </cell>
          <cell r="AF824">
            <v>114.4540428</v>
          </cell>
          <cell r="AG824">
            <v>114.6156123</v>
          </cell>
          <cell r="AH824">
            <v>114.8127266</v>
          </cell>
          <cell r="AI824">
            <v>115.0370499</v>
          </cell>
          <cell r="AJ824">
            <v>115.2793521</v>
          </cell>
          <cell r="AK824">
            <v>115.52945459999999</v>
          </cell>
        </row>
        <row r="825">
          <cell r="B825">
            <v>348.01866319999999</v>
          </cell>
          <cell r="C825">
            <v>348.27359740000003</v>
          </cell>
          <cell r="D825">
            <v>348.62075160000001</v>
          </cell>
          <cell r="E825">
            <v>348.73868110000001</v>
          </cell>
          <cell r="F825">
            <v>350.85552819999998</v>
          </cell>
          <cell r="G825">
            <v>354.50506330000002</v>
          </cell>
          <cell r="H825">
            <v>358.46147860000002</v>
          </cell>
          <cell r="I825">
            <v>347.68760259999999</v>
          </cell>
          <cell r="J825">
            <v>336.63339930000001</v>
          </cell>
          <cell r="K825">
            <v>327.09314590000002</v>
          </cell>
          <cell r="L825">
            <v>318.3537498</v>
          </cell>
          <cell r="M825">
            <v>310.37766010000001</v>
          </cell>
          <cell r="N825">
            <v>302.68709050000001</v>
          </cell>
          <cell r="O825">
            <v>295.11684869999999</v>
          </cell>
          <cell r="P825">
            <v>287.6702391</v>
          </cell>
          <cell r="Q825">
            <v>280.34533640000001</v>
          </cell>
          <cell r="R825">
            <v>272.93632000000002</v>
          </cell>
          <cell r="S825">
            <v>265.6030427</v>
          </cell>
          <cell r="T825">
            <v>258.44423870000003</v>
          </cell>
          <cell r="U825">
            <v>251.50351219999999</v>
          </cell>
          <cell r="V825">
            <v>244.7461442</v>
          </cell>
          <cell r="W825">
            <v>238.25812089999999</v>
          </cell>
          <cell r="X825">
            <v>232.02297609999999</v>
          </cell>
          <cell r="Y825">
            <v>226.00584939999999</v>
          </cell>
          <cell r="Z825">
            <v>220.1520166</v>
          </cell>
          <cell r="AA825">
            <v>214.2771414</v>
          </cell>
          <cell r="AB825">
            <v>208.47805679999999</v>
          </cell>
          <cell r="AC825">
            <v>202.7268455</v>
          </cell>
          <cell r="AD825">
            <v>196.95326</v>
          </cell>
          <cell r="AE825">
            <v>191.03862179999999</v>
          </cell>
          <cell r="AF825">
            <v>184.84330080000001</v>
          </cell>
          <cell r="AG825">
            <v>178.2363651</v>
          </cell>
          <cell r="AH825">
            <v>171.09040529999999</v>
          </cell>
          <cell r="AI825">
            <v>163.25808960000001</v>
          </cell>
          <cell r="AJ825">
            <v>154.56461479999999</v>
          </cell>
          <cell r="AK825">
            <v>144.78760270000001</v>
          </cell>
        </row>
        <row r="826">
          <cell r="B826">
            <v>213.27375599999999</v>
          </cell>
          <cell r="C826">
            <v>214.38115569999999</v>
          </cell>
          <cell r="D826">
            <v>215.6829692</v>
          </cell>
          <cell r="E826">
            <v>216.70840630000001</v>
          </cell>
          <cell r="F826">
            <v>219.0749989</v>
          </cell>
          <cell r="G826">
            <v>222.5613659</v>
          </cell>
          <cell r="H826">
            <v>226.37022440000001</v>
          </cell>
          <cell r="I826">
            <v>220.03195550000001</v>
          </cell>
          <cell r="J826">
            <v>213.13531380000001</v>
          </cell>
          <cell r="K826">
            <v>207.37317390000001</v>
          </cell>
          <cell r="L826">
            <v>202.07173230000001</v>
          </cell>
          <cell r="M826">
            <v>197.09301840000001</v>
          </cell>
          <cell r="N826">
            <v>192.2046331</v>
          </cell>
          <cell r="O826">
            <v>187.3688799</v>
          </cell>
          <cell r="P826">
            <v>182.6488665</v>
          </cell>
          <cell r="Q826">
            <v>178.0686603</v>
          </cell>
          <cell r="R826">
            <v>173.46743549999999</v>
          </cell>
          <cell r="S826">
            <v>168.968853</v>
          </cell>
          <cell r="T826">
            <v>164.6463645</v>
          </cell>
          <cell r="U826">
            <v>160.52717229999999</v>
          </cell>
          <cell r="V826">
            <v>156.58833999999999</v>
          </cell>
          <cell r="W826">
            <v>152.8693044</v>
          </cell>
          <cell r="X826">
            <v>149.35664929999999</v>
          </cell>
          <cell r="Y826">
            <v>146.01342070000001</v>
          </cell>
          <cell r="Z826">
            <v>142.7823602</v>
          </cell>
          <cell r="AA826">
            <v>139.53493889999999</v>
          </cell>
          <cell r="AB826">
            <v>136.30372639999999</v>
          </cell>
          <cell r="AC826">
            <v>133.05833580000001</v>
          </cell>
          <cell r="AD826">
            <v>129.7270527</v>
          </cell>
          <cell r="AE826">
            <v>126.1933099</v>
          </cell>
          <cell r="AF826">
            <v>122.3224113</v>
          </cell>
          <cell r="AG826">
            <v>117.9885726</v>
          </cell>
          <cell r="AH826">
            <v>113.06889049999999</v>
          </cell>
          <cell r="AI826">
            <v>107.4205723</v>
          </cell>
          <cell r="AJ826">
            <v>100.87283100000001</v>
          </cell>
          <cell r="AK826">
            <v>93.206776430000005</v>
          </cell>
        </row>
        <row r="827">
          <cell r="B827">
            <v>2.7534944400000001E-2</v>
          </cell>
          <cell r="C827">
            <v>2.8000835200000001E-2</v>
          </cell>
          <cell r="D827">
            <v>2.8553549800000001E-2</v>
          </cell>
          <cell r="E827">
            <v>2.9188641099999999E-2</v>
          </cell>
          <cell r="F827">
            <v>2.9889935900000001E-2</v>
          </cell>
          <cell r="G827">
            <v>3.0651199899999999E-2</v>
          </cell>
          <cell r="H827">
            <v>3.14451704E-2</v>
          </cell>
          <cell r="I827">
            <v>3.21366311E-2</v>
          </cell>
          <cell r="J827">
            <v>3.2810415799999999E-2</v>
          </cell>
          <cell r="K827">
            <v>3.3627216600000003E-2</v>
          </cell>
          <cell r="L827">
            <v>3.4445354800000001E-2</v>
          </cell>
          <cell r="M827">
            <v>3.5138975000000003E-2</v>
          </cell>
          <cell r="N827">
            <v>3.5730968600000003E-2</v>
          </cell>
          <cell r="O827">
            <v>3.6247849899999997E-2</v>
          </cell>
          <cell r="P827">
            <v>3.6721780900000001E-2</v>
          </cell>
          <cell r="Q827">
            <v>3.71737366E-2</v>
          </cell>
          <cell r="R827">
            <v>3.7630187599999997E-2</v>
          </cell>
          <cell r="S827">
            <v>3.8103181799999997E-2</v>
          </cell>
          <cell r="T827">
            <v>3.8608974499999997E-2</v>
          </cell>
          <cell r="U827">
            <v>3.9159592700000002E-2</v>
          </cell>
          <cell r="V827">
            <v>3.9757050299999999E-2</v>
          </cell>
          <cell r="W827">
            <v>4.0421590200000003E-2</v>
          </cell>
          <cell r="X827">
            <v>4.1163823699999998E-2</v>
          </cell>
          <cell r="Y827">
            <v>4.1991037699999997E-2</v>
          </cell>
          <cell r="Z827">
            <v>4.2905605100000001E-2</v>
          </cell>
          <cell r="AA827">
            <v>4.3883629200000003E-2</v>
          </cell>
          <cell r="AB827">
            <v>4.4940157100000003E-2</v>
          </cell>
          <cell r="AC827">
            <v>4.6092150800000002E-2</v>
          </cell>
          <cell r="AD827">
            <v>4.73454398E-2</v>
          </cell>
          <cell r="AE827">
            <v>4.8694856600000003E-2</v>
          </cell>
          <cell r="AF827">
            <v>5.0128799799999998E-2</v>
          </cell>
          <cell r="AG827">
            <v>5.1635752299999997E-2</v>
          </cell>
          <cell r="AH827">
            <v>5.3205833100000002E-2</v>
          </cell>
          <cell r="AI827">
            <v>5.4829388799999997E-2</v>
          </cell>
          <cell r="AJ827">
            <v>5.6496634900000002E-2</v>
          </cell>
          <cell r="AK827">
            <v>5.8197339899999999E-2</v>
          </cell>
        </row>
        <row r="828">
          <cell r="B828">
            <v>15.22687925</v>
          </cell>
          <cell r="C828">
            <v>15.48376749</v>
          </cell>
          <cell r="D828">
            <v>15.78036777</v>
          </cell>
          <cell r="E828">
            <v>16.100835400000001</v>
          </cell>
          <cell r="F828">
            <v>16.446143209999999</v>
          </cell>
          <cell r="G828">
            <v>16.816682060000002</v>
          </cell>
          <cell r="H828">
            <v>17.20125762</v>
          </cell>
          <cell r="I828">
            <v>17.522128479999999</v>
          </cell>
          <cell r="J828">
            <v>17.818584950000002</v>
          </cell>
          <cell r="K828">
            <v>18.153539970000001</v>
          </cell>
          <cell r="L828">
            <v>18.499978630000001</v>
          </cell>
          <cell r="M828">
            <v>18.81428082</v>
          </cell>
          <cell r="N828">
            <v>19.104478969999999</v>
          </cell>
          <cell r="O828">
            <v>19.381177919999999</v>
          </cell>
          <cell r="P828">
            <v>19.65691339</v>
          </cell>
          <cell r="Q828">
            <v>19.9402291</v>
          </cell>
          <cell r="R828">
            <v>20.236775850000001</v>
          </cell>
          <cell r="S828">
            <v>20.548704820000001</v>
          </cell>
          <cell r="T828">
            <v>20.882198899999999</v>
          </cell>
          <cell r="U828">
            <v>21.24255552</v>
          </cell>
          <cell r="V828">
            <v>21.62724274</v>
          </cell>
          <cell r="W828">
            <v>22.051586069999999</v>
          </cell>
          <cell r="X828">
            <v>22.51696347</v>
          </cell>
          <cell r="Y828">
            <v>23.025872620000001</v>
          </cell>
          <cell r="Z828">
            <v>23.579419569999999</v>
          </cell>
          <cell r="AA828">
            <v>24.157064470000002</v>
          </cell>
          <cell r="AB828">
            <v>24.7799537</v>
          </cell>
          <cell r="AC828">
            <v>25.451048400000001</v>
          </cell>
          <cell r="AD828">
            <v>26.17222396</v>
          </cell>
          <cell r="AE828">
            <v>26.942241429999999</v>
          </cell>
          <cell r="AF828">
            <v>27.758239870000001</v>
          </cell>
          <cell r="AG828">
            <v>28.618353800000001</v>
          </cell>
          <cell r="AH828">
            <v>29.52221355</v>
          </cell>
          <cell r="AI828">
            <v>30.46992388</v>
          </cell>
          <cell r="AJ828">
            <v>31.462434500000001</v>
          </cell>
          <cell r="AK828">
            <v>32.50182341</v>
          </cell>
        </row>
        <row r="829">
          <cell r="B829">
            <v>119.49049309999999</v>
          </cell>
          <cell r="C829">
            <v>118.38067340000001</v>
          </cell>
          <cell r="D829">
            <v>117.12886109999999</v>
          </cell>
          <cell r="E829">
            <v>115.9002507</v>
          </cell>
          <cell r="F829">
            <v>115.3044962</v>
          </cell>
          <cell r="G829">
            <v>115.0963641</v>
          </cell>
          <cell r="H829">
            <v>114.8585514</v>
          </cell>
          <cell r="I829">
            <v>110.101382</v>
          </cell>
          <cell r="J829">
            <v>105.64669019999999</v>
          </cell>
          <cell r="K829">
            <v>101.53280479999999</v>
          </cell>
          <cell r="L829">
            <v>97.74759349</v>
          </cell>
          <cell r="M829">
            <v>94.435221949999999</v>
          </cell>
          <cell r="N829">
            <v>91.342247369999995</v>
          </cell>
          <cell r="O829">
            <v>88.330543019999993</v>
          </cell>
          <cell r="P829">
            <v>85.327737409999997</v>
          </cell>
          <cell r="Q829">
            <v>82.299273249999999</v>
          </cell>
          <cell r="R829">
            <v>79.194478430000004</v>
          </cell>
          <cell r="S829">
            <v>76.047381669999993</v>
          </cell>
          <cell r="T829">
            <v>72.877066299999996</v>
          </cell>
          <cell r="U829">
            <v>69.694624770000004</v>
          </cell>
          <cell r="V829">
            <v>66.490804330000003</v>
          </cell>
          <cell r="W829">
            <v>63.29680888</v>
          </cell>
          <cell r="X829">
            <v>60.108199579999997</v>
          </cell>
          <cell r="Y829">
            <v>56.924565020000003</v>
          </cell>
          <cell r="Z829">
            <v>53.747331250000002</v>
          </cell>
          <cell r="AA829">
            <v>50.541254469999998</v>
          </cell>
          <cell r="AB829">
            <v>47.349436490000002</v>
          </cell>
          <cell r="AC829">
            <v>44.171369140000003</v>
          </cell>
          <cell r="AD829">
            <v>41.006637949999998</v>
          </cell>
          <cell r="AE829">
            <v>37.854375580000003</v>
          </cell>
          <cell r="AF829">
            <v>34.712520830000003</v>
          </cell>
          <cell r="AG829">
            <v>31.577802899999998</v>
          </cell>
          <cell r="AH829">
            <v>28.446095440000001</v>
          </cell>
          <cell r="AI829">
            <v>25.31276407</v>
          </cell>
          <cell r="AJ829">
            <v>22.172852590000002</v>
          </cell>
          <cell r="AK829">
            <v>19.020805500000002</v>
          </cell>
        </row>
        <row r="830">
          <cell r="A830" t="str">
            <v>ems_ci_co2_sagr_2</v>
          </cell>
          <cell r="B830">
            <v>14.16949179</v>
          </cell>
          <cell r="C830">
            <v>14.303277019999999</v>
          </cell>
          <cell r="D830">
            <v>14.469113549999999</v>
          </cell>
          <cell r="E830">
            <v>14.64712892</v>
          </cell>
          <cell r="F830">
            <v>14.90196263</v>
          </cell>
          <cell r="G830">
            <v>15.223806379999999</v>
          </cell>
          <cell r="H830">
            <v>15.57622471</v>
          </cell>
          <cell r="I830">
            <v>15.11695505</v>
          </cell>
          <cell r="J830">
            <v>14.57966085</v>
          </cell>
          <cell r="K830">
            <v>14.076339920000001</v>
          </cell>
          <cell r="L830">
            <v>13.57547025</v>
          </cell>
          <cell r="M830">
            <v>13.083151539999999</v>
          </cell>
          <cell r="N830">
            <v>12.59139716</v>
          </cell>
          <cell r="O830">
            <v>12.09956201</v>
          </cell>
          <cell r="P830">
            <v>11.611657879999999</v>
          </cell>
          <cell r="Q830">
            <v>11.12980003</v>
          </cell>
          <cell r="R830">
            <v>10.644250039999999</v>
          </cell>
          <cell r="S830">
            <v>10.16313783</v>
          </cell>
          <cell r="T830">
            <v>9.6925401870000005</v>
          </cell>
          <cell r="U830">
            <v>9.2352793789999996</v>
          </cell>
          <cell r="V830">
            <v>8.7905977960000001</v>
          </cell>
          <cell r="W830">
            <v>8.3602204209999993</v>
          </cell>
          <cell r="X830">
            <v>7.9431510259999998</v>
          </cell>
          <cell r="Y830">
            <v>7.5367980970000001</v>
          </cell>
          <cell r="Z830">
            <v>7.1372452009999998</v>
          </cell>
          <cell r="AA830">
            <v>6.7366401590000002</v>
          </cell>
          <cell r="AB830">
            <v>6.3325855720000002</v>
          </cell>
          <cell r="AC830">
            <v>5.9223572339999997</v>
          </cell>
          <cell r="AD830">
            <v>5.5005123549999997</v>
          </cell>
          <cell r="AE830">
            <v>5.0594874049999996</v>
          </cell>
          <cell r="AF830">
            <v>4.5907560790000002</v>
          </cell>
          <cell r="AG830">
            <v>4.08571595</v>
          </cell>
          <cell r="AH830">
            <v>3.5355974699999999</v>
          </cell>
          <cell r="AI830">
            <v>2.930956202</v>
          </cell>
          <cell r="AJ830">
            <v>2.2612702900000001</v>
          </cell>
          <cell r="AK830">
            <v>1.5142658339999999</v>
          </cell>
        </row>
        <row r="832">
          <cell r="A832" t="str">
            <v>ems_ci_co2_sfor_2</v>
          </cell>
          <cell r="B832">
            <v>0.53965023619999997</v>
          </cell>
          <cell r="C832">
            <v>0.53166398940000004</v>
          </cell>
          <cell r="D832">
            <v>0.52242385229999999</v>
          </cell>
          <cell r="E832">
            <v>0.51187891299999999</v>
          </cell>
          <cell r="F832">
            <v>0.50562051159999999</v>
          </cell>
          <cell r="G832">
            <v>0.50252519780000005</v>
          </cell>
          <cell r="H832">
            <v>0.50107057769999996</v>
          </cell>
          <cell r="I832">
            <v>0.4692571512</v>
          </cell>
          <cell r="J832">
            <v>0.43699713559999998</v>
          </cell>
          <cell r="K832">
            <v>0.40806454190000002</v>
          </cell>
          <cell r="L832">
            <v>0.381741412</v>
          </cell>
          <cell r="M832">
            <v>0.3595381077</v>
          </cell>
          <cell r="N832">
            <v>0.33994197770000001</v>
          </cell>
          <cell r="O832">
            <v>0.32209191549999999</v>
          </cell>
          <cell r="P832">
            <v>0.30562157220000002</v>
          </cell>
          <cell r="Q832">
            <v>0.2902935519</v>
          </cell>
          <cell r="R832">
            <v>0.27456020819999999</v>
          </cell>
          <cell r="S832">
            <v>0.25926753650000001</v>
          </cell>
          <cell r="T832">
            <v>0.24472538360000001</v>
          </cell>
          <cell r="U832">
            <v>0.23101853650000001</v>
          </cell>
          <cell r="V832">
            <v>0.2180864461</v>
          </cell>
          <cell r="W832">
            <v>0.2059709509</v>
          </cell>
          <cell r="X832">
            <v>0.1946024385</v>
          </cell>
          <cell r="Y832">
            <v>0.1838900302</v>
          </cell>
          <cell r="Z832">
            <v>0.17373534639999999</v>
          </cell>
          <cell r="AA832">
            <v>0.1639333804</v>
          </cell>
          <cell r="AB832">
            <v>0.15461872939999999</v>
          </cell>
          <cell r="AC832">
            <v>0.14563408929999999</v>
          </cell>
          <cell r="AD832">
            <v>0.1368543656</v>
          </cell>
          <cell r="AE832">
            <v>0.1281317005</v>
          </cell>
          <cell r="AF832">
            <v>0.1193116188</v>
          </cell>
          <cell r="AG832">
            <v>0.1102484765</v>
          </cell>
          <cell r="AH832">
            <v>0.10079658380000001</v>
          </cell>
          <cell r="AI832">
            <v>9.0793162999999996E-2</v>
          </cell>
          <cell r="AJ832">
            <v>8.0049720500000004E-2</v>
          </cell>
          <cell r="AK832">
            <v>6.8336396600000002E-2</v>
          </cell>
        </row>
        <row r="834">
          <cell r="A834" t="str">
            <v>ems_ci_co2_sfoo_2</v>
          </cell>
          <cell r="B834">
            <v>8.6183733870000001</v>
          </cell>
          <cell r="C834">
            <v>8.6008852620000003</v>
          </cell>
          <cell r="D834">
            <v>8.5956643709999998</v>
          </cell>
          <cell r="E834">
            <v>8.5827595859999999</v>
          </cell>
          <cell r="F834">
            <v>8.6472023090000008</v>
          </cell>
          <cell r="G834">
            <v>8.773688795</v>
          </cell>
          <cell r="H834">
            <v>8.8883159549999995</v>
          </cell>
          <cell r="I834">
            <v>8.4812686480000004</v>
          </cell>
          <cell r="J834">
            <v>8.0340470160000006</v>
          </cell>
          <cell r="K834">
            <v>7.6209861429999997</v>
          </cell>
          <cell r="L834">
            <v>7.2386283039999997</v>
          </cell>
          <cell r="M834">
            <v>6.9064780060000004</v>
          </cell>
          <cell r="N834">
            <v>6.6059120340000002</v>
          </cell>
          <cell r="O834">
            <v>6.3258871430000001</v>
          </cell>
          <cell r="P834">
            <v>6.0615120830000002</v>
          </cell>
          <cell r="Q834">
            <v>5.8100275229999996</v>
          </cell>
          <cell r="R834">
            <v>5.5696533380000002</v>
          </cell>
          <cell r="S834">
            <v>5.3409205389999999</v>
          </cell>
          <cell r="T834">
            <v>5.1246112369999999</v>
          </cell>
          <cell r="U834">
            <v>4.9211382610000003</v>
          </cell>
          <cell r="V834">
            <v>4.7295585229999997</v>
          </cell>
          <cell r="W834">
            <v>4.551192189</v>
          </cell>
          <cell r="X834">
            <v>4.3856613449999999</v>
          </cell>
          <cell r="Y834">
            <v>4.2319286260000002</v>
          </cell>
          <cell r="Z834">
            <v>4.0884329890000002</v>
          </cell>
          <cell r="AA834">
            <v>3.950971563</v>
          </cell>
          <cell r="AB834">
            <v>3.8194435580000001</v>
          </cell>
          <cell r="AC834">
            <v>3.6931681620000001</v>
          </cell>
          <cell r="AD834">
            <v>3.5697156830000001</v>
          </cell>
          <cell r="AE834">
            <v>3.445433688</v>
          </cell>
          <cell r="AF834">
            <v>3.315954487</v>
          </cell>
          <cell r="AG834">
            <v>3.1767037359999999</v>
          </cell>
          <cell r="AH834">
            <v>3.022824049</v>
          </cell>
          <cell r="AI834">
            <v>2.8487738349999998</v>
          </cell>
          <cell r="AJ834">
            <v>2.648189812</v>
          </cell>
          <cell r="AK834">
            <v>2.413520031</v>
          </cell>
        </row>
        <row r="836">
          <cell r="A836" t="str">
            <v>ems_ci_co2_sveh_2</v>
          </cell>
          <cell r="B836">
            <v>1.1119214829999999</v>
          </cell>
          <cell r="C836">
            <v>1.1115926920000001</v>
          </cell>
          <cell r="D836">
            <v>1.106938567</v>
          </cell>
          <cell r="E836">
            <v>1.0942032349999999</v>
          </cell>
          <cell r="F836">
            <v>1.091256684</v>
          </cell>
          <cell r="G836">
            <v>1.0986779360000001</v>
          </cell>
          <cell r="H836">
            <v>1.100043745</v>
          </cell>
          <cell r="I836">
            <v>1.0063542809999999</v>
          </cell>
          <cell r="J836">
            <v>0.89754392969999996</v>
          </cell>
          <cell r="K836">
            <v>0.79583058839999998</v>
          </cell>
          <cell r="L836">
            <v>0.6980864376</v>
          </cell>
          <cell r="M836">
            <v>0.60862901830000005</v>
          </cell>
          <cell r="N836">
            <v>0.52759920689999995</v>
          </cell>
          <cell r="O836">
            <v>0.45548064179999997</v>
          </cell>
          <cell r="P836">
            <v>0.39262004360000002</v>
          </cell>
          <cell r="Q836">
            <v>0.33856978360000001</v>
          </cell>
          <cell r="R836">
            <v>0.29274001789999998</v>
          </cell>
          <cell r="S836">
            <v>0.2542153103</v>
          </cell>
          <cell r="T836">
            <v>0.22195416840000001</v>
          </cell>
          <cell r="U836">
            <v>0.19506812279999999</v>
          </cell>
          <cell r="V836">
            <v>0.1728104178</v>
          </cell>
          <cell r="W836">
            <v>0.15452787009999999</v>
          </cell>
          <cell r="X836">
            <v>0.1396172058</v>
          </cell>
          <cell r="Y836">
            <v>0.1274926633</v>
          </cell>
          <cell r="Z836">
            <v>0.1176442179</v>
          </cell>
          <cell r="AA836">
            <v>0.1096523606</v>
          </cell>
          <cell r="AB836">
            <v>0.1033052545</v>
          </cell>
          <cell r="AC836">
            <v>9.8262834300000004E-2</v>
          </cell>
          <cell r="AD836">
            <v>9.4126981499999998E-2</v>
          </cell>
          <cell r="AE836">
            <v>9.0424898399999995E-2</v>
          </cell>
          <cell r="AF836">
            <v>8.6671571599999997E-2</v>
          </cell>
          <cell r="AG836">
            <v>8.2407175499999999E-2</v>
          </cell>
          <cell r="AH836">
            <v>7.7144499399999997E-2</v>
          </cell>
          <cell r="AI836">
            <v>7.0283804199999994E-2</v>
          </cell>
          <cell r="AJ836">
            <v>6.1095319100000003E-2</v>
          </cell>
          <cell r="AK836">
            <v>4.8669369400000002E-2</v>
          </cell>
        </row>
        <row r="838">
          <cell r="A838" t="str">
            <v>ems_ci_co2_sgla_2</v>
          </cell>
          <cell r="B838">
            <v>7.7695963619999997</v>
          </cell>
          <cell r="C838">
            <v>7.8393669570000002</v>
          </cell>
          <cell r="D838">
            <v>7.9210981709999997</v>
          </cell>
          <cell r="E838">
            <v>7.996627277</v>
          </cell>
          <cell r="F838">
            <v>8.1131043340000009</v>
          </cell>
          <cell r="G838">
            <v>8.2664827590000005</v>
          </cell>
          <cell r="H838">
            <v>8.4273943439999996</v>
          </cell>
          <cell r="I838">
            <v>8.2645746029999998</v>
          </cell>
          <cell r="J838">
            <v>8.058399026</v>
          </cell>
          <cell r="K838">
            <v>7.871480719</v>
          </cell>
          <cell r="L838">
            <v>7.6943860749999997</v>
          </cell>
          <cell r="M838">
            <v>7.5377174030000003</v>
          </cell>
          <cell r="N838">
            <v>7.3948840029999996</v>
          </cell>
          <cell r="O838">
            <v>7.2632833650000004</v>
          </cell>
          <cell r="P838">
            <v>7.1434290029999996</v>
          </cell>
          <cell r="Q838">
            <v>7.0352533350000002</v>
          </cell>
          <cell r="R838">
            <v>6.9326925380000004</v>
          </cell>
          <cell r="S838">
            <v>6.8365599179999998</v>
          </cell>
          <cell r="T838">
            <v>6.7495326159999998</v>
          </cell>
          <cell r="U838">
            <v>6.6735107249999999</v>
          </cell>
          <cell r="V838">
            <v>6.6087421490000002</v>
          </cell>
          <cell r="W838">
            <v>6.5573870689999998</v>
          </cell>
          <cell r="X838">
            <v>6.520260382</v>
          </cell>
          <cell r="Y838">
            <v>6.4972484499999998</v>
          </cell>
          <cell r="Z838">
            <v>6.4875577980000001</v>
          </cell>
          <cell r="AA838">
            <v>6.4874189480000002</v>
          </cell>
          <cell r="AB838">
            <v>6.4972026209999996</v>
          </cell>
          <cell r="AC838">
            <v>6.5184090269999997</v>
          </cell>
          <cell r="AD838">
            <v>6.5501075550000003</v>
          </cell>
          <cell r="AE838">
            <v>6.589892259</v>
          </cell>
          <cell r="AF838">
            <v>6.6348044120000003</v>
          </cell>
          <cell r="AG838">
            <v>6.6823229700000004</v>
          </cell>
          <cell r="AH838">
            <v>6.7303252330000003</v>
          </cell>
          <cell r="AI838">
            <v>6.7764507910000003</v>
          </cell>
          <cell r="AJ838">
            <v>6.818246137</v>
          </cell>
          <cell r="AK838">
            <v>6.8531369020000001</v>
          </cell>
        </row>
        <row r="840">
          <cell r="A840" t="str">
            <v>ems_ci_co2_spap_2</v>
          </cell>
          <cell r="B840">
            <v>2.5336109609999999</v>
          </cell>
          <cell r="C840">
            <v>2.5595269639999998</v>
          </cell>
          <cell r="D840">
            <v>2.5887821799999999</v>
          </cell>
          <cell r="E840">
            <v>2.6135281670000001</v>
          </cell>
          <cell r="F840">
            <v>2.6534636250000001</v>
          </cell>
          <cell r="G840">
            <v>2.7051351299999999</v>
          </cell>
          <cell r="H840">
            <v>2.7526995639999998</v>
          </cell>
          <cell r="I840">
            <v>2.6705118470000002</v>
          </cell>
          <cell r="J840">
            <v>2.5794589619999999</v>
          </cell>
          <cell r="K840">
            <v>2.5056672459999998</v>
          </cell>
          <cell r="L840">
            <v>2.4359168169999998</v>
          </cell>
          <cell r="M840">
            <v>2.3694191579999999</v>
          </cell>
          <cell r="N840">
            <v>2.3039575540000001</v>
          </cell>
          <cell r="O840">
            <v>2.2401569389999998</v>
          </cell>
          <cell r="P840">
            <v>2.1797014419999998</v>
          </cell>
          <cell r="Q840">
            <v>2.123257438</v>
          </cell>
          <cell r="R840">
            <v>2.0690933280000001</v>
          </cell>
          <cell r="S840">
            <v>2.0186777130000002</v>
          </cell>
          <cell r="T840">
            <v>1.9726895170000001</v>
          </cell>
          <cell r="U840">
            <v>1.931272232</v>
          </cell>
          <cell r="V840">
            <v>1.894127117</v>
          </cell>
          <cell r="W840">
            <v>1.861568777</v>
          </cell>
          <cell r="X840">
            <v>1.8335346530000001</v>
          </cell>
          <cell r="Y840">
            <v>1.8096873449999999</v>
          </cell>
          <cell r="Z840">
            <v>1.789429253</v>
          </cell>
          <cell r="AA840">
            <v>1.77142472</v>
          </cell>
          <cell r="AB840">
            <v>1.755997284</v>
          </cell>
          <cell r="AC840">
            <v>1.7429809140000001</v>
          </cell>
          <cell r="AD840">
            <v>1.731763223</v>
          </cell>
          <cell r="AE840">
            <v>1.721145081</v>
          </cell>
          <cell r="AF840">
            <v>1.70973284</v>
          </cell>
          <cell r="AG840">
            <v>1.6963429940000001</v>
          </cell>
          <cell r="AH840">
            <v>1.679985179</v>
          </cell>
          <cell r="AI840">
            <v>1.659650139</v>
          </cell>
          <cell r="AJ840">
            <v>1.634299495</v>
          </cell>
          <cell r="AK840">
            <v>1.602839836</v>
          </cell>
        </row>
        <row r="842">
          <cell r="A842" t="str">
            <v>ems_ci_co2_sche_2</v>
          </cell>
          <cell r="B842">
            <v>13.59787135</v>
          </cell>
          <cell r="C842">
            <v>13.920883760000001</v>
          </cell>
          <cell r="D842">
            <v>14.27789125</v>
          </cell>
          <cell r="E842">
            <v>14.643234140000001</v>
          </cell>
          <cell r="F842">
            <v>15.03174583</v>
          </cell>
          <cell r="G842">
            <v>15.442791740000001</v>
          </cell>
          <cell r="H842">
            <v>15.84753486</v>
          </cell>
          <cell r="I842">
            <v>15.875357729999999</v>
          </cell>
          <cell r="J842">
            <v>15.85994339</v>
          </cell>
          <cell r="K842">
            <v>15.941653090000001</v>
          </cell>
          <cell r="L842">
            <v>15.99417197</v>
          </cell>
          <cell r="M842">
            <v>15.943363160000001</v>
          </cell>
          <cell r="N842">
            <v>15.81096438</v>
          </cell>
          <cell r="O842">
            <v>15.630999109999999</v>
          </cell>
          <cell r="P842">
            <v>15.43742934</v>
          </cell>
          <cell r="Q842">
            <v>15.24850094</v>
          </cell>
          <cell r="R842">
            <v>15.082026620000001</v>
          </cell>
          <cell r="S842">
            <v>14.94393013</v>
          </cell>
          <cell r="T842">
            <v>14.83961622</v>
          </cell>
          <cell r="U842">
            <v>14.769661429999999</v>
          </cell>
          <cell r="V842">
            <v>14.732075030000001</v>
          </cell>
          <cell r="W842">
            <v>14.728750700000001</v>
          </cell>
          <cell r="X842">
            <v>14.760130609999999</v>
          </cell>
          <cell r="Y842">
            <v>14.82441854</v>
          </cell>
          <cell r="Z842">
            <v>14.917389610000001</v>
          </cell>
          <cell r="AA842">
            <v>15.030941049999999</v>
          </cell>
          <cell r="AB842">
            <v>15.166893659999999</v>
          </cell>
          <cell r="AC842">
            <v>15.329460389999999</v>
          </cell>
          <cell r="AD842">
            <v>15.5160868</v>
          </cell>
          <cell r="AE842">
            <v>15.717286980000001</v>
          </cell>
          <cell r="AF842">
            <v>15.921676919999999</v>
          </cell>
          <cell r="AG842">
            <v>16.121088969999999</v>
          </cell>
          <cell r="AH842">
            <v>16.31029479</v>
          </cell>
          <cell r="AI842">
            <v>16.48403424</v>
          </cell>
          <cell r="AJ842">
            <v>16.63709635</v>
          </cell>
          <cell r="AK842">
            <v>16.764414680000002</v>
          </cell>
        </row>
        <row r="844">
          <cell r="A844" t="str">
            <v>ems_ci_co2_spla_2</v>
          </cell>
          <cell r="B844">
            <v>1.4824302970000001</v>
          </cell>
          <cell r="C844">
            <v>1.4894130809999999</v>
          </cell>
          <cell r="D844">
            <v>1.497062052</v>
          </cell>
          <cell r="E844">
            <v>1.499274335</v>
          </cell>
          <cell r="F844">
            <v>1.5133262139999999</v>
          </cell>
          <cell r="G844">
            <v>1.5371031369999999</v>
          </cell>
          <cell r="H844">
            <v>1.5632015880000001</v>
          </cell>
          <cell r="I844">
            <v>1.4799389279999999</v>
          </cell>
          <cell r="J844">
            <v>1.3912371589999999</v>
          </cell>
          <cell r="K844">
            <v>1.3151021039999999</v>
          </cell>
          <cell r="L844">
            <v>1.2429449239999999</v>
          </cell>
          <cell r="M844">
            <v>1.175200469</v>
          </cell>
          <cell r="N844">
            <v>1.1107939250000001</v>
          </cell>
          <cell r="O844">
            <v>1.0499106840000001</v>
          </cell>
          <cell r="P844">
            <v>0.99316531900000005</v>
          </cell>
          <cell r="Q844">
            <v>0.94049925209999996</v>
          </cell>
          <cell r="R844">
            <v>0.88992519469999998</v>
          </cell>
          <cell r="S844">
            <v>0.8421568451</v>
          </cell>
          <cell r="T844">
            <v>0.7974663528</v>
          </cell>
          <cell r="U844">
            <v>0.75577636069999998</v>
          </cell>
          <cell r="V844">
            <v>0.71682048460000003</v>
          </cell>
          <cell r="W844">
            <v>0.68039748</v>
          </cell>
          <cell r="X844">
            <v>0.64620162339999998</v>
          </cell>
          <cell r="Y844">
            <v>0.61377062829999995</v>
          </cell>
          <cell r="Z844">
            <v>0.58253408510000004</v>
          </cell>
          <cell r="AA844">
            <v>0.55179206920000001</v>
          </cell>
          <cell r="AB844">
            <v>0.52118987159999997</v>
          </cell>
          <cell r="AC844">
            <v>0.49026796649999999</v>
          </cell>
          <cell r="AD844">
            <v>0.45833658030000002</v>
          </cell>
          <cell r="AE844">
            <v>0.42449347139999999</v>
          </cell>
          <cell r="AF844">
            <v>0.38780200500000001</v>
          </cell>
          <cell r="AG844">
            <v>0.34740241490000001</v>
          </cell>
          <cell r="AH844">
            <v>0.30244918009999999</v>
          </cell>
          <cell r="AI844">
            <v>0.2519951553</v>
          </cell>
          <cell r="AJ844">
            <v>0.19492658409999999</v>
          </cell>
          <cell r="AK844">
            <v>0.12983903520000001</v>
          </cell>
        </row>
        <row r="846">
          <cell r="A846" t="str">
            <v>ems_ci_co2_smet_2</v>
          </cell>
          <cell r="B846">
            <v>19.467183070000001</v>
          </cell>
          <cell r="C846">
            <v>19.626559969999999</v>
          </cell>
          <cell r="D846">
            <v>19.80658708</v>
          </cell>
          <cell r="E846">
            <v>19.915275149999999</v>
          </cell>
          <cell r="F846">
            <v>20.164044969999999</v>
          </cell>
          <cell r="G846">
            <v>20.523415239999999</v>
          </cell>
          <cell r="H846">
            <v>20.905683920000001</v>
          </cell>
          <cell r="I846">
            <v>20.308585699999998</v>
          </cell>
          <cell r="J846">
            <v>19.593554919999999</v>
          </cell>
          <cell r="K846">
            <v>19.01187998</v>
          </cell>
          <cell r="L846">
            <v>18.459765220000001</v>
          </cell>
          <cell r="M846">
            <v>17.97026838</v>
          </cell>
          <cell r="N846">
            <v>17.517303080000001</v>
          </cell>
          <cell r="O846">
            <v>17.101727440000001</v>
          </cell>
          <cell r="P846">
            <v>16.735178900000001</v>
          </cell>
          <cell r="Q846">
            <v>16.420561410000001</v>
          </cell>
          <cell r="R846">
            <v>16.115544740000001</v>
          </cell>
          <cell r="S846">
            <v>15.839476080000001</v>
          </cell>
          <cell r="T846">
            <v>15.6038034</v>
          </cell>
          <cell r="U846">
            <v>15.41230382</v>
          </cell>
          <cell r="V846">
            <v>15.26492683</v>
          </cell>
          <cell r="W846">
            <v>15.16342418</v>
          </cell>
          <cell r="X846">
            <v>15.108624300000001</v>
          </cell>
          <cell r="Y846">
            <v>15.09871525</v>
          </cell>
          <cell r="Z846">
            <v>15.129648469999999</v>
          </cell>
          <cell r="AA846">
            <v>15.194225980000001</v>
          </cell>
          <cell r="AB846">
            <v>15.292821849999999</v>
          </cell>
          <cell r="AC846">
            <v>15.4283512</v>
          </cell>
          <cell r="AD846">
            <v>15.59776203</v>
          </cell>
          <cell r="AE846">
            <v>15.792340749999999</v>
          </cell>
          <cell r="AF846">
            <v>16.0019244</v>
          </cell>
          <cell r="AG846">
            <v>16.21924083</v>
          </cell>
          <cell r="AH846">
            <v>16.43960002</v>
          </cell>
          <cell r="AI846">
            <v>16.658281030000001</v>
          </cell>
          <cell r="AJ846">
            <v>16.87071662</v>
          </cell>
          <cell r="AK846">
            <v>17.072488700000001</v>
          </cell>
        </row>
        <row r="848">
          <cell r="A848" t="str">
            <v>ems_ci_co2_sigo_2</v>
          </cell>
          <cell r="B848">
            <v>1.2165118079999999</v>
          </cell>
          <cell r="C848">
            <v>1.238486464</v>
          </cell>
          <cell r="D848">
            <v>1.260094324</v>
          </cell>
          <cell r="E848">
            <v>1.277274695</v>
          </cell>
          <cell r="F848">
            <v>1.300914044</v>
          </cell>
          <cell r="G848">
            <v>1.3304254170000001</v>
          </cell>
          <cell r="H848">
            <v>1.3557324340000001</v>
          </cell>
          <cell r="I848">
            <v>1.2927102159999999</v>
          </cell>
          <cell r="J848">
            <v>1.223682631</v>
          </cell>
          <cell r="K848">
            <v>1.166105996</v>
          </cell>
          <cell r="L848">
            <v>1.109001481</v>
          </cell>
          <cell r="M848">
            <v>1.051435648</v>
          </cell>
          <cell r="N848">
            <v>0.9932164523</v>
          </cell>
          <cell r="O848">
            <v>0.9358322966</v>
          </cell>
          <cell r="P848">
            <v>0.88104697170000001</v>
          </cell>
          <cell r="Q848">
            <v>0.82951283340000004</v>
          </cell>
          <cell r="R848">
            <v>0.78151618450000004</v>
          </cell>
          <cell r="S848">
            <v>0.73757514960000004</v>
          </cell>
          <cell r="T848">
            <v>0.69757000449999995</v>
          </cell>
          <cell r="U848">
            <v>0.66111906949999999</v>
          </cell>
          <cell r="V848">
            <v>0.6278504936</v>
          </cell>
          <cell r="W848">
            <v>0.59746273120000004</v>
          </cell>
          <cell r="X848">
            <v>0.56966832219999997</v>
          </cell>
          <cell r="Y848">
            <v>0.54397743809999999</v>
          </cell>
          <cell r="Z848">
            <v>0.51979676090000004</v>
          </cell>
          <cell r="AA848">
            <v>0.49655465659999998</v>
          </cell>
          <cell r="AB848">
            <v>0.47383582909999999</v>
          </cell>
          <cell r="AC848">
            <v>0.4514848092</v>
          </cell>
          <cell r="AD848">
            <v>0.42878866729999998</v>
          </cell>
          <cell r="AE848">
            <v>0.4047208035</v>
          </cell>
          <cell r="AF848">
            <v>0.37821554569999999</v>
          </cell>
          <cell r="AG848">
            <v>0.34834812570000001</v>
          </cell>
          <cell r="AH848">
            <v>0.31422185349999998</v>
          </cell>
          <cell r="AI848">
            <v>0.27477368229999999</v>
          </cell>
          <cell r="AJ848">
            <v>0.22876952079999999</v>
          </cell>
          <cell r="AK848">
            <v>0.1747476097</v>
          </cell>
        </row>
        <row r="850">
          <cell r="A850" t="str">
            <v>ems_ci_co2_scgo_2</v>
          </cell>
          <cell r="B850">
            <v>2.2734885</v>
          </cell>
          <cell r="C850">
            <v>2.2896343639999999</v>
          </cell>
          <cell r="D850">
            <v>2.3089104489999999</v>
          </cell>
          <cell r="E850">
            <v>2.3253201040000002</v>
          </cell>
          <cell r="F850">
            <v>2.3563093639999999</v>
          </cell>
          <cell r="G850">
            <v>2.3999413299999999</v>
          </cell>
          <cell r="H850">
            <v>2.444530238</v>
          </cell>
          <cell r="I850">
            <v>2.362334218</v>
          </cell>
          <cell r="J850">
            <v>2.2648470070000002</v>
          </cell>
          <cell r="K850">
            <v>2.1759880169999999</v>
          </cell>
          <cell r="L850">
            <v>2.0890242780000001</v>
          </cell>
          <cell r="M850">
            <v>2.0072100100000001</v>
          </cell>
          <cell r="N850">
            <v>1.9283500849999999</v>
          </cell>
          <cell r="O850">
            <v>1.852314402</v>
          </cell>
          <cell r="P850">
            <v>1.780110793</v>
          </cell>
          <cell r="Q850">
            <v>1.7122198259999999</v>
          </cell>
          <cell r="R850">
            <v>1.6457541389999999</v>
          </cell>
          <cell r="S850">
            <v>1.5825782100000001</v>
          </cell>
          <cell r="T850">
            <v>1.523713672</v>
          </cell>
          <cell r="U850">
            <v>1.4696386189999999</v>
          </cell>
          <cell r="V850">
            <v>1.420356795</v>
          </cell>
          <cell r="W850">
            <v>1.3762214070000001</v>
          </cell>
          <cell r="X850">
            <v>1.337174705</v>
          </cell>
          <cell r="Y850">
            <v>1.3029060100000001</v>
          </cell>
          <cell r="Z850">
            <v>1.2729281189999999</v>
          </cell>
          <cell r="AA850">
            <v>1.2462090729999999</v>
          </cell>
          <cell r="AB850">
            <v>1.223121318</v>
          </cell>
          <cell r="AC850">
            <v>1.203152384</v>
          </cell>
          <cell r="AD850">
            <v>1.1855627580000001</v>
          </cell>
          <cell r="AE850">
            <v>1.169206282</v>
          </cell>
          <cell r="AF850">
            <v>1.1527868269999999</v>
          </cell>
          <cell r="AG850">
            <v>1.1351252489999999</v>
          </cell>
          <cell r="AH850">
            <v>1.1151263380000001</v>
          </cell>
          <cell r="AI850">
            <v>1.0916019669999999</v>
          </cell>
          <cell r="AJ850">
            <v>1.0632767679999999</v>
          </cell>
          <cell r="AK850">
            <v>1.028748467</v>
          </cell>
        </row>
        <row r="852">
          <cell r="A852" t="str">
            <v>ems_ci_co2_scon_2</v>
          </cell>
          <cell r="B852">
            <v>7.4270601950000001</v>
          </cell>
          <cell r="C852">
            <v>7.1022539379999996</v>
          </cell>
          <cell r="D852">
            <v>6.7602301950000001</v>
          </cell>
          <cell r="E852">
            <v>6.3688931679999996</v>
          </cell>
          <cell r="F852">
            <v>6.15851404</v>
          </cell>
          <cell r="G852">
            <v>6.0994773599999998</v>
          </cell>
          <cell r="H852">
            <v>6.126566822</v>
          </cell>
          <cell r="I852">
            <v>5.3633090699999997</v>
          </cell>
          <cell r="J852">
            <v>4.5524785919999999</v>
          </cell>
          <cell r="K852">
            <v>3.8371394799999998</v>
          </cell>
          <cell r="L852">
            <v>3.2465615579999998</v>
          </cell>
          <cell r="M852">
            <v>2.8257953969999998</v>
          </cell>
          <cell r="N852">
            <v>2.5139615860000002</v>
          </cell>
          <cell r="O852">
            <v>2.2703007469999998</v>
          </cell>
          <cell r="P852">
            <v>2.0716323239999999</v>
          </cell>
          <cell r="Q852">
            <v>1.904543654</v>
          </cell>
          <cell r="R852">
            <v>1.745377148</v>
          </cell>
          <cell r="S852">
            <v>1.5977715050000001</v>
          </cell>
          <cell r="T852">
            <v>1.464796572</v>
          </cell>
          <cell r="U852">
            <v>1.347731762</v>
          </cell>
          <cell r="V852">
            <v>1.246467631</v>
          </cell>
          <cell r="W852">
            <v>1.1605736870000001</v>
          </cell>
          <cell r="X852">
            <v>1.0889737079999999</v>
          </cell>
          <cell r="Y852">
            <v>1.030275448</v>
          </cell>
          <cell r="Z852">
            <v>0.98315510009999996</v>
          </cell>
          <cell r="AA852">
            <v>0.94603395869999996</v>
          </cell>
          <cell r="AB852">
            <v>0.91825434930000005</v>
          </cell>
          <cell r="AC852">
            <v>0.89878576889999995</v>
          </cell>
          <cell r="AD852">
            <v>0.88581095830000001</v>
          </cell>
          <cell r="AE852">
            <v>0.87682044079999999</v>
          </cell>
          <cell r="AF852">
            <v>0.86858674010000003</v>
          </cell>
          <cell r="AG852">
            <v>0.85688101210000001</v>
          </cell>
          <cell r="AH852">
            <v>0.83552494259999999</v>
          </cell>
          <cell r="AI852">
            <v>0.79465355589999997</v>
          </cell>
          <cell r="AJ852">
            <v>0.7180853572</v>
          </cell>
          <cell r="AK852">
            <v>0.57786927480000005</v>
          </cell>
        </row>
        <row r="854">
          <cell r="A854" t="str">
            <v>ems_ci_co2_srai_2</v>
          </cell>
          <cell r="B854">
            <v>1.7345464589999999</v>
          </cell>
          <cell r="C854">
            <v>1.7615824440000001</v>
          </cell>
          <cell r="D854">
            <v>1.7921825899999999</v>
          </cell>
          <cell r="E854">
            <v>1.8248628600000001</v>
          </cell>
          <cell r="F854">
            <v>1.860979347</v>
          </cell>
          <cell r="G854">
            <v>1.9001614229999999</v>
          </cell>
          <cell r="H854">
            <v>1.940142756</v>
          </cell>
          <cell r="I854">
            <v>1.9031125849999999</v>
          </cell>
          <cell r="J854">
            <v>1.8606683449999999</v>
          </cell>
          <cell r="K854">
            <v>1.8218961140000001</v>
          </cell>
          <cell r="L854">
            <v>1.7813736680000001</v>
          </cell>
          <cell r="M854">
            <v>1.734932278</v>
          </cell>
          <cell r="N854">
            <v>1.6832497289999999</v>
          </cell>
          <cell r="O854">
            <v>1.627774383</v>
          </cell>
          <cell r="P854">
            <v>1.5701549910000001</v>
          </cell>
          <cell r="Q854">
            <v>1.5114317820000001</v>
          </cell>
          <cell r="R854">
            <v>1.4519197429999999</v>
          </cell>
          <cell r="S854">
            <v>1.3924431310000001</v>
          </cell>
          <cell r="T854">
            <v>1.333503272</v>
          </cell>
          <cell r="U854">
            <v>1.2752439170000001</v>
          </cell>
          <cell r="V854">
            <v>1.2173624709999999</v>
          </cell>
          <cell r="W854">
            <v>1.1601543780000001</v>
          </cell>
          <cell r="X854">
            <v>1.1033843270000001</v>
          </cell>
          <cell r="Y854">
            <v>1.0467359540000001</v>
          </cell>
          <cell r="Z854">
            <v>0.98977096590000002</v>
          </cell>
          <cell r="AA854">
            <v>0.9314461356</v>
          </cell>
          <cell r="AB854">
            <v>0.87196450969999995</v>
          </cell>
          <cell r="AC854">
            <v>0.81089126410000001</v>
          </cell>
          <cell r="AD854">
            <v>0.74769722829999996</v>
          </cell>
          <cell r="AE854">
            <v>0.68168483339999997</v>
          </cell>
          <cell r="AF854">
            <v>0.61211613359999995</v>
          </cell>
          <cell r="AG854">
            <v>0.53832652049999996</v>
          </cell>
          <cell r="AH854">
            <v>0.4597282358</v>
          </cell>
          <cell r="AI854">
            <v>0.37577152330000002</v>
          </cell>
          <cell r="AJ854">
            <v>0.28592491069999998</v>
          </cell>
          <cell r="AK854">
            <v>0.18965551550000001</v>
          </cell>
        </row>
        <row r="856">
          <cell r="A856" t="str">
            <v>ems_ci_co2_sroa_2</v>
          </cell>
          <cell r="B856">
            <v>17.318265199999999</v>
          </cell>
          <cell r="C856">
            <v>17.59112958</v>
          </cell>
          <cell r="D856">
            <v>17.900316539999999</v>
          </cell>
          <cell r="E856">
            <v>18.230765170000002</v>
          </cell>
          <cell r="F856">
            <v>18.59461692</v>
          </cell>
          <cell r="G856">
            <v>18.987844240000001</v>
          </cell>
          <cell r="H856">
            <v>19.388456690000002</v>
          </cell>
          <cell r="I856">
            <v>19.024296400000001</v>
          </cell>
          <cell r="J856">
            <v>18.609322559999999</v>
          </cell>
          <cell r="K856">
            <v>18.233066050000001</v>
          </cell>
          <cell r="L856">
            <v>17.840199380000001</v>
          </cell>
          <cell r="M856">
            <v>17.387197929999999</v>
          </cell>
          <cell r="N856">
            <v>16.88063215</v>
          </cell>
          <cell r="O856">
            <v>16.33500883</v>
          </cell>
          <cell r="P856">
            <v>15.76684949</v>
          </cell>
          <cell r="Q856">
            <v>15.186564349999999</v>
          </cell>
          <cell r="R856">
            <v>14.597531630000001</v>
          </cell>
          <cell r="S856">
            <v>14.007841709999999</v>
          </cell>
          <cell r="T856">
            <v>13.42241372</v>
          </cell>
          <cell r="U856">
            <v>12.842616400000001</v>
          </cell>
          <cell r="V856">
            <v>12.265345719999999</v>
          </cell>
          <cell r="W856">
            <v>11.69356146</v>
          </cell>
          <cell r="X856">
            <v>11.124908570000001</v>
          </cell>
          <cell r="Y856">
            <v>10.55625201</v>
          </cell>
          <cell r="Z856">
            <v>9.9832392339999991</v>
          </cell>
          <cell r="AA856">
            <v>9.3954198689999995</v>
          </cell>
          <cell r="AB856">
            <v>8.7949370869999992</v>
          </cell>
          <cell r="AC856">
            <v>8.1775465319999991</v>
          </cell>
          <cell r="AD856">
            <v>7.5381373930000004</v>
          </cell>
          <cell r="AE856">
            <v>6.8699502219999999</v>
          </cell>
          <cell r="AF856">
            <v>6.1658361639999999</v>
          </cell>
          <cell r="AG856">
            <v>5.4193897680000003</v>
          </cell>
          <cell r="AH856">
            <v>4.6249976210000003</v>
          </cell>
          <cell r="AI856">
            <v>3.777464025</v>
          </cell>
          <cell r="AJ856">
            <v>2.8718076450000001</v>
          </cell>
          <cell r="AK856">
            <v>1.9030724720000001</v>
          </cell>
        </row>
        <row r="858">
          <cell r="A858" t="str">
            <v>ems_ci_co2_swat_2</v>
          </cell>
          <cell r="B858">
            <v>3.8248369960000002</v>
          </cell>
          <cell r="C858">
            <v>3.9509260799999999</v>
          </cell>
          <cell r="D858">
            <v>4.0834679679999999</v>
          </cell>
          <cell r="E858">
            <v>4.212785395</v>
          </cell>
          <cell r="F858">
            <v>4.3444067510000002</v>
          </cell>
          <cell r="G858">
            <v>4.480408605</v>
          </cell>
          <cell r="H858">
            <v>4.6179070969999998</v>
          </cell>
          <cell r="I858">
            <v>4.579808635</v>
          </cell>
          <cell r="J858">
            <v>4.5485739709999997</v>
          </cell>
          <cell r="K858">
            <v>4.5733315159999997</v>
          </cell>
          <cell r="L858">
            <v>4.5933838920000003</v>
          </cell>
          <cell r="M858">
            <v>4.5689772770000001</v>
          </cell>
          <cell r="N858">
            <v>4.499808303</v>
          </cell>
          <cell r="O858">
            <v>4.397774278</v>
          </cell>
          <cell r="P858">
            <v>4.277579566</v>
          </cell>
          <cell r="Q858">
            <v>4.1477671230000004</v>
          </cell>
          <cell r="R858">
            <v>4.0171511830000002</v>
          </cell>
          <cell r="S858">
            <v>3.8913020170000001</v>
          </cell>
          <cell r="T858">
            <v>3.772434982</v>
          </cell>
          <cell r="U858">
            <v>3.6597876989999998</v>
          </cell>
          <cell r="V858">
            <v>3.5521196119999998</v>
          </cell>
          <cell r="W858">
            <v>3.448556424</v>
          </cell>
          <cell r="X858">
            <v>3.3484869399999999</v>
          </cell>
          <cell r="Y858">
            <v>3.2494156759999999</v>
          </cell>
          <cell r="Z858">
            <v>3.14801551</v>
          </cell>
          <cell r="AA858">
            <v>3.0415991550000001</v>
          </cell>
          <cell r="AB858">
            <v>2.9303953269999998</v>
          </cell>
          <cell r="AC858">
            <v>2.8156217140000002</v>
          </cell>
          <cell r="AD858">
            <v>2.6944004530000001</v>
          </cell>
          <cell r="AE858">
            <v>2.5618085549999998</v>
          </cell>
          <cell r="AF858">
            <v>2.413159668</v>
          </cell>
          <cell r="AG858">
            <v>2.2457704270000001</v>
          </cell>
          <cell r="AH858">
            <v>2.057944269</v>
          </cell>
          <cell r="AI858">
            <v>1.8471651870000001</v>
          </cell>
          <cell r="AJ858">
            <v>1.6106098499999999</v>
          </cell>
          <cell r="AK858">
            <v>1.345327414</v>
          </cell>
        </row>
        <row r="860">
          <cell r="A860" t="str">
            <v>ems_ci_co2_sair_2</v>
          </cell>
          <cell r="B860">
            <v>19.2035819</v>
          </cell>
          <cell r="C860">
            <v>19.617989250000001</v>
          </cell>
          <cell r="D860">
            <v>20.084786260000001</v>
          </cell>
          <cell r="E860">
            <v>20.552097839999998</v>
          </cell>
          <cell r="F860">
            <v>21.077135479999999</v>
          </cell>
          <cell r="G860">
            <v>21.671541399999999</v>
          </cell>
          <cell r="H860">
            <v>22.320216909999999</v>
          </cell>
          <cell r="I860">
            <v>22.01737168</v>
          </cell>
          <cell r="J860">
            <v>21.617649920000002</v>
          </cell>
          <cell r="K860">
            <v>21.33729851</v>
          </cell>
          <cell r="L860">
            <v>21.055710390000002</v>
          </cell>
          <cell r="M860">
            <v>20.713916510000001</v>
          </cell>
          <cell r="N860">
            <v>20.316669610000002</v>
          </cell>
          <cell r="O860">
            <v>19.872936249999999</v>
          </cell>
          <cell r="P860">
            <v>19.397857640000002</v>
          </cell>
          <cell r="Q860">
            <v>18.89831289</v>
          </cell>
          <cell r="R860">
            <v>18.356993379999999</v>
          </cell>
          <cell r="S860">
            <v>17.792291519999999</v>
          </cell>
          <cell r="T860">
            <v>17.221301159999999</v>
          </cell>
          <cell r="U860">
            <v>16.65465056</v>
          </cell>
          <cell r="V860">
            <v>16.095494720000001</v>
          </cell>
          <cell r="W860">
            <v>15.551965750000001</v>
          </cell>
          <cell r="X860">
            <v>15.025772509999999</v>
          </cell>
          <cell r="Y860">
            <v>14.51264958</v>
          </cell>
          <cell r="Z860">
            <v>14.00419909</v>
          </cell>
          <cell r="AA860">
            <v>13.484235419999999</v>
          </cell>
          <cell r="AB860">
            <v>12.956281990000001</v>
          </cell>
          <cell r="AC860">
            <v>12.418012389999999</v>
          </cell>
          <cell r="AD860">
            <v>11.859997720000001</v>
          </cell>
          <cell r="AE860">
            <v>11.26672907</v>
          </cell>
          <cell r="AF860">
            <v>10.620904619999999</v>
          </cell>
          <cell r="AG860">
            <v>9.9075480589999998</v>
          </cell>
          <cell r="AH860">
            <v>9.1128357680000001</v>
          </cell>
          <cell r="AI860">
            <v>8.2206484240000002</v>
          </cell>
          <cell r="AJ860">
            <v>7.2124260810000003</v>
          </cell>
          <cell r="AK860">
            <v>6.066227714</v>
          </cell>
        </row>
        <row r="862">
          <cell r="A862" t="str">
            <v>ems_ci_co2_spri_2</v>
          </cell>
          <cell r="B862">
            <v>30.586880480000001</v>
          </cell>
          <cell r="C862">
            <v>30.295702940000002</v>
          </cell>
          <cell r="D862">
            <v>30.007811669999999</v>
          </cell>
          <cell r="E862">
            <v>29.595204890000002</v>
          </cell>
          <cell r="F862">
            <v>29.56543697</v>
          </cell>
          <cell r="G862">
            <v>29.826083220000001</v>
          </cell>
          <cell r="H862">
            <v>30.138004389999999</v>
          </cell>
          <cell r="I862">
            <v>27.99512</v>
          </cell>
          <cell r="J862">
            <v>25.782499730000001</v>
          </cell>
          <cell r="K862">
            <v>23.79733517</v>
          </cell>
          <cell r="L862">
            <v>22.029666049999999</v>
          </cell>
          <cell r="M862">
            <v>20.582219370000001</v>
          </cell>
          <cell r="N862">
            <v>19.33764656</v>
          </cell>
          <cell r="O862">
            <v>18.22923587</v>
          </cell>
          <cell r="P862">
            <v>17.22257239</v>
          </cell>
          <cell r="Q862">
            <v>16.29607781</v>
          </cell>
          <cell r="R862">
            <v>15.39806929</v>
          </cell>
          <cell r="S862">
            <v>14.54357036</v>
          </cell>
          <cell r="T862">
            <v>13.740339150000001</v>
          </cell>
          <cell r="U862">
            <v>12.990718469999999</v>
          </cell>
          <cell r="V862">
            <v>12.290901610000001</v>
          </cell>
          <cell r="W862">
            <v>11.64262325</v>
          </cell>
          <cell r="X862">
            <v>11.041274230000001</v>
          </cell>
          <cell r="Y862">
            <v>10.480612860000001</v>
          </cell>
          <cell r="Z862">
            <v>9.9531196780000002</v>
          </cell>
          <cell r="AA862">
            <v>9.4444774850000002</v>
          </cell>
          <cell r="AB862">
            <v>8.9538691910000008</v>
          </cell>
          <cell r="AC862">
            <v>8.4731636090000002</v>
          </cell>
          <cell r="AD862">
            <v>7.991459205</v>
          </cell>
          <cell r="AE862">
            <v>7.4947709079999996</v>
          </cell>
          <cell r="AF862">
            <v>6.9670284750000002</v>
          </cell>
          <cell r="AG862">
            <v>6.3908656989999999</v>
          </cell>
          <cell r="AH862">
            <v>5.7466586160000004</v>
          </cell>
          <cell r="AI862">
            <v>5.0104870379999999</v>
          </cell>
          <cell r="AJ862">
            <v>4.1520146970000003</v>
          </cell>
          <cell r="AK862">
            <v>3.130401972</v>
          </cell>
        </row>
        <row r="864">
          <cell r="A864" t="str">
            <v>ems_ci_co2_spub_2</v>
          </cell>
          <cell r="B864">
            <v>13.7942412</v>
          </cell>
          <cell r="C864">
            <v>13.412458859999999</v>
          </cell>
          <cell r="D864">
            <v>13.03889496</v>
          </cell>
          <cell r="E864">
            <v>12.60448463</v>
          </cell>
          <cell r="F864">
            <v>12.39260612</v>
          </cell>
          <cell r="G864">
            <v>12.33419896</v>
          </cell>
          <cell r="H864">
            <v>12.315647800000001</v>
          </cell>
          <cell r="I864">
            <v>11.23006133</v>
          </cell>
          <cell r="J864">
            <v>10.19575657</v>
          </cell>
          <cell r="K864">
            <v>9.2885109410000002</v>
          </cell>
          <cell r="L864">
            <v>8.5188618629999997</v>
          </cell>
          <cell r="M864">
            <v>7.9153009570000004</v>
          </cell>
          <cell r="N864">
            <v>7.4236809639999999</v>
          </cell>
          <cell r="O864">
            <v>7.0057800879999999</v>
          </cell>
          <cell r="P864">
            <v>6.6381585830000001</v>
          </cell>
          <cell r="Q864">
            <v>6.3061162079999997</v>
          </cell>
          <cell r="R864">
            <v>5.9872275549999996</v>
          </cell>
          <cell r="S864">
            <v>5.6831646349999998</v>
          </cell>
          <cell r="T864">
            <v>5.3945114570000001</v>
          </cell>
          <cell r="U864">
            <v>5.1209558480000004</v>
          </cell>
          <cell r="V864">
            <v>4.8579862269999996</v>
          </cell>
          <cell r="W864">
            <v>4.6113332299999996</v>
          </cell>
          <cell r="X864">
            <v>4.3765381049999998</v>
          </cell>
          <cell r="Y864">
            <v>4.1513528380000002</v>
          </cell>
          <cell r="Z864">
            <v>3.9336523859999999</v>
          </cell>
          <cell r="AA864">
            <v>3.7137608989999999</v>
          </cell>
          <cell r="AB864">
            <v>3.5006347330000001</v>
          </cell>
          <cell r="AC864">
            <v>3.2891072590000001</v>
          </cell>
          <cell r="AD864">
            <v>3.0757599299999998</v>
          </cell>
          <cell r="AE864">
            <v>2.8568864779999998</v>
          </cell>
          <cell r="AF864">
            <v>2.6283459219999998</v>
          </cell>
          <cell r="AG864">
            <v>2.3855492069999999</v>
          </cell>
          <cell r="AH864">
            <v>2.1231166520000002</v>
          </cell>
          <cell r="AI864">
            <v>1.8342852329999999</v>
          </cell>
          <cell r="AJ864">
            <v>1.5101599859999999</v>
          </cell>
          <cell r="AK864">
            <v>1.1380035690000001</v>
          </cell>
        </row>
        <row r="866">
          <cell r="A866" t="str">
            <v>ems_ci_co2_smin_2</v>
          </cell>
          <cell r="B866">
            <v>1.049167145</v>
          </cell>
          <cell r="C866">
            <v>1.0656250350000001</v>
          </cell>
          <cell r="D866">
            <v>1.084675469</v>
          </cell>
          <cell r="E866">
            <v>1.1049197180000001</v>
          </cell>
          <cell r="F866">
            <v>1.127433318</v>
          </cell>
          <cell r="G866">
            <v>1.152124639</v>
          </cell>
          <cell r="H866">
            <v>1.1777657530000001</v>
          </cell>
          <cell r="I866">
            <v>1.1513757</v>
          </cell>
          <cell r="J866">
            <v>1.1209331309999999</v>
          </cell>
          <cell r="K866">
            <v>1.093156019</v>
          </cell>
          <cell r="L866">
            <v>1.064892366</v>
          </cell>
          <cell r="M866">
            <v>1.033293901</v>
          </cell>
          <cell r="N866">
            <v>0.99837965839999998</v>
          </cell>
          <cell r="O866">
            <v>0.96114625840000001</v>
          </cell>
          <cell r="P866">
            <v>0.92281940780000005</v>
          </cell>
          <cell r="Q866">
            <v>0.88420455819999999</v>
          </cell>
          <cell r="R866">
            <v>0.84707820990000005</v>
          </cell>
          <cell r="S866">
            <v>0.81060464600000004</v>
          </cell>
          <cell r="T866">
            <v>0.77495893110000003</v>
          </cell>
          <cell r="U866">
            <v>0.74018354149999999</v>
          </cell>
          <cell r="V866">
            <v>0.70609908259999998</v>
          </cell>
          <cell r="W866">
            <v>0.67273680729999996</v>
          </cell>
          <cell r="X866">
            <v>0.6399485426</v>
          </cell>
          <cell r="Y866">
            <v>0.6074475157</v>
          </cell>
          <cell r="Z866">
            <v>0.57485619980000002</v>
          </cell>
          <cell r="AA866">
            <v>0.54155423329999997</v>
          </cell>
          <cell r="AB866">
            <v>0.50721396569999999</v>
          </cell>
          <cell r="AC866">
            <v>0.47190764149999997</v>
          </cell>
          <cell r="AD866">
            <v>0.4352816733</v>
          </cell>
          <cell r="AE866">
            <v>0.39683377739999998</v>
          </cell>
          <cell r="AF866">
            <v>0.35607185470000002</v>
          </cell>
          <cell r="AG866">
            <v>0.3126174666</v>
          </cell>
          <cell r="AH866">
            <v>0.26617918820000003</v>
          </cell>
          <cell r="AI866">
            <v>0.21649175109999999</v>
          </cell>
          <cell r="AJ866">
            <v>0.1633225109</v>
          </cell>
          <cell r="AK866">
            <v>0.1064690033</v>
          </cell>
        </row>
        <row r="868">
          <cell r="A868" t="str">
            <v>ems_ci_co2_soil_2</v>
          </cell>
          <cell r="B868">
            <v>16.59683708</v>
          </cell>
          <cell r="C868">
            <v>16.745783230000001</v>
          </cell>
          <cell r="D868">
            <v>16.89737397</v>
          </cell>
          <cell r="E868">
            <v>17.059216150000001</v>
          </cell>
          <cell r="F868">
            <v>17.270021400000001</v>
          </cell>
          <cell r="G868">
            <v>17.528374530000001</v>
          </cell>
          <cell r="H868">
            <v>17.815687440000001</v>
          </cell>
          <cell r="I868">
            <v>17.635487479999998</v>
          </cell>
          <cell r="J868">
            <v>17.405562830000001</v>
          </cell>
          <cell r="K868">
            <v>17.23303589</v>
          </cell>
          <cell r="L868">
            <v>17.063328859999999</v>
          </cell>
          <cell r="M868">
            <v>16.861618920000002</v>
          </cell>
          <cell r="N868">
            <v>16.627006229999999</v>
          </cell>
          <cell r="O868">
            <v>16.368082099999999</v>
          </cell>
          <cell r="P868">
            <v>16.09722215</v>
          </cell>
          <cell r="Q868">
            <v>15.821266100000001</v>
          </cell>
          <cell r="R868">
            <v>15.5230576</v>
          </cell>
          <cell r="S868">
            <v>15.222383669999999</v>
          </cell>
          <cell r="T868">
            <v>14.926272620000001</v>
          </cell>
          <cell r="U868">
            <v>14.637279489999999</v>
          </cell>
          <cell r="V868">
            <v>14.355181829999999</v>
          </cell>
          <cell r="W868">
            <v>14.082464610000001</v>
          </cell>
          <cell r="X868">
            <v>13.82005457</v>
          </cell>
          <cell r="Y868">
            <v>13.567343989999999</v>
          </cell>
          <cell r="Z868">
            <v>13.32225388</v>
          </cell>
          <cell r="AA868">
            <v>13.079217979999999</v>
          </cell>
          <cell r="AB868">
            <v>12.84564531</v>
          </cell>
          <cell r="AC868">
            <v>12.61821555</v>
          </cell>
          <cell r="AD868">
            <v>12.39489247</v>
          </cell>
          <cell r="AE868">
            <v>12.17048677</v>
          </cell>
          <cell r="AF868">
            <v>11.93843253</v>
          </cell>
          <cell r="AG868">
            <v>11.69327908</v>
          </cell>
          <cell r="AH868">
            <v>11.43086061</v>
          </cell>
          <cell r="AI868">
            <v>11.14712632</v>
          </cell>
          <cell r="AJ868">
            <v>10.83796995</v>
          </cell>
          <cell r="AK868">
            <v>10.499183479999999</v>
          </cell>
        </row>
        <row r="870">
          <cell r="A870" t="str">
            <v>ems_ci_co2_sbfu_2</v>
          </cell>
          <cell r="B870">
            <v>3.8672089619999999</v>
          </cell>
          <cell r="C870">
            <v>3.8854672899999998</v>
          </cell>
          <cell r="D870">
            <v>3.9007847830000002</v>
          </cell>
          <cell r="E870">
            <v>3.920265541</v>
          </cell>
          <cell r="F870">
            <v>3.9522552370000001</v>
          </cell>
          <cell r="G870">
            <v>3.9963599990000001</v>
          </cell>
          <cell r="H870">
            <v>4.0487040280000004</v>
          </cell>
          <cell r="I870">
            <v>4.7279757570000003</v>
          </cell>
          <cell r="J870">
            <v>5.4702199599999997</v>
          </cell>
          <cell r="K870">
            <v>6.1961980790000002</v>
          </cell>
          <cell r="L870">
            <v>6.8892658820000001</v>
          </cell>
          <cell r="M870">
            <v>7.5444825980000001</v>
          </cell>
          <cell r="N870">
            <v>8.1576685320000006</v>
          </cell>
          <cell r="O870">
            <v>8.7255897210000004</v>
          </cell>
          <cell r="P870">
            <v>9.2462923809999999</v>
          </cell>
          <cell r="Q870">
            <v>9.7176182749999995</v>
          </cell>
          <cell r="R870">
            <v>10.13357109</v>
          </cell>
          <cell r="S870">
            <v>10.49392175</v>
          </cell>
          <cell r="T870">
            <v>10.79886454</v>
          </cell>
          <cell r="U870">
            <v>11.047643000000001</v>
          </cell>
          <cell r="V870">
            <v>11.23787551</v>
          </cell>
          <cell r="W870">
            <v>11.36836164</v>
          </cell>
          <cell r="X870">
            <v>11.436709909999999</v>
          </cell>
          <cell r="Y870">
            <v>11.439299200000001</v>
          </cell>
          <cell r="Z870">
            <v>11.37120109</v>
          </cell>
          <cell r="AA870">
            <v>11.224289430000001</v>
          </cell>
          <cell r="AB870">
            <v>10.99400833</v>
          </cell>
          <cell r="AC870">
            <v>10.67421884</v>
          </cell>
          <cell r="AD870">
            <v>10.256346929999999</v>
          </cell>
          <cell r="AE870">
            <v>9.7290666290000001</v>
          </cell>
          <cell r="AF870">
            <v>9.0788867870000001</v>
          </cell>
          <cell r="AG870">
            <v>8.2909494000000006</v>
          </cell>
          <cell r="AH870">
            <v>7.3488314170000004</v>
          </cell>
          <cell r="AI870">
            <v>6.2336432100000003</v>
          </cell>
          <cell r="AJ870">
            <v>4.9233745610000001</v>
          </cell>
          <cell r="AK870">
            <v>3.3916721870000002</v>
          </cell>
        </row>
        <row r="872">
          <cell r="A872" t="str">
            <v>ems_ci_co2_seoi_2</v>
          </cell>
          <cell r="B872">
            <v>3.053084965</v>
          </cell>
          <cell r="C872">
            <v>3.0992006380000001</v>
          </cell>
          <cell r="D872">
            <v>3.1436804810000001</v>
          </cell>
          <cell r="E872">
            <v>3.1911797019999999</v>
          </cell>
          <cell r="F872">
            <v>3.2349556119999998</v>
          </cell>
          <cell r="G872">
            <v>3.2786572559999998</v>
          </cell>
          <cell r="H872">
            <v>3.3247558279999998</v>
          </cell>
          <cell r="I872">
            <v>3.259145518</v>
          </cell>
          <cell r="J872">
            <v>3.1967019990000001</v>
          </cell>
          <cell r="K872">
            <v>3.1394236019999999</v>
          </cell>
          <cell r="L872">
            <v>3.0749284280000002</v>
          </cell>
          <cell r="M872">
            <v>2.986500054</v>
          </cell>
          <cell r="N872">
            <v>2.8797909420000001</v>
          </cell>
          <cell r="O872">
            <v>2.7615785929999999</v>
          </cell>
          <cell r="P872">
            <v>2.6373386540000001</v>
          </cell>
          <cell r="Q872">
            <v>2.5103120319999999</v>
          </cell>
          <cell r="R872">
            <v>2.3824469060000002</v>
          </cell>
          <cell r="S872">
            <v>2.2555447339999999</v>
          </cell>
          <cell r="T872">
            <v>2.1299109170000001</v>
          </cell>
          <cell r="U872">
            <v>2.0056269549999999</v>
          </cell>
          <cell r="V872">
            <v>1.882356073</v>
          </cell>
          <cell r="W872">
            <v>1.7606278420000001</v>
          </cell>
          <cell r="X872">
            <v>1.640313425</v>
          </cell>
          <cell r="Y872">
            <v>1.521014037</v>
          </cell>
          <cell r="Z872">
            <v>1.4021996290000001</v>
          </cell>
          <cell r="AA872">
            <v>1.28272455</v>
          </cell>
          <cell r="AB872">
            <v>1.163309769</v>
          </cell>
          <cell r="AC872">
            <v>1.043769951</v>
          </cell>
          <cell r="AD872">
            <v>0.92388184579999999</v>
          </cell>
          <cell r="AE872">
            <v>0.80345559990000004</v>
          </cell>
          <cell r="AF872">
            <v>0.68264184839999997</v>
          </cell>
          <cell r="AG872">
            <v>0.56220534239999997</v>
          </cell>
          <cell r="AH872">
            <v>0.44361562399999999</v>
          </cell>
          <cell r="AI872">
            <v>0.32912894129999998</v>
          </cell>
          <cell r="AJ872">
            <v>0.22205672900000001</v>
          </cell>
          <cell r="AK872">
            <v>0.1271643522</v>
          </cell>
        </row>
        <row r="874">
          <cell r="A874" t="str">
            <v>ems_ci_co2_sega_2</v>
          </cell>
          <cell r="B874">
            <v>3.612477975</v>
          </cell>
          <cell r="C874">
            <v>3.6671961089999998</v>
          </cell>
          <cell r="D874">
            <v>3.7199880780000001</v>
          </cell>
          <cell r="E874">
            <v>3.776384754</v>
          </cell>
          <cell r="F874">
            <v>3.8283143669999999</v>
          </cell>
          <cell r="G874">
            <v>3.8801129150000002</v>
          </cell>
          <cell r="H874">
            <v>3.9347005560000001</v>
          </cell>
          <cell r="I874">
            <v>3.8439001030000002</v>
          </cell>
          <cell r="J874">
            <v>3.75583548</v>
          </cell>
          <cell r="K874">
            <v>3.6733195689999998</v>
          </cell>
          <cell r="L874">
            <v>3.5818791569999999</v>
          </cell>
          <cell r="M874">
            <v>3.4622175120000001</v>
          </cell>
          <cell r="N874">
            <v>3.3212580460000001</v>
          </cell>
          <cell r="O874">
            <v>3.1671191369999998</v>
          </cell>
          <cell r="P874">
            <v>3.0062936109999998</v>
          </cell>
          <cell r="Q874">
            <v>2.84261498</v>
          </cell>
          <cell r="R874">
            <v>2.6783838179999999</v>
          </cell>
          <cell r="S874">
            <v>2.5156803339999998</v>
          </cell>
          <cell r="T874">
            <v>2.354874111</v>
          </cell>
          <cell r="U874">
            <v>2.1960830869999999</v>
          </cell>
          <cell r="V874">
            <v>2.0389739599999999</v>
          </cell>
          <cell r="W874">
            <v>1.884164218</v>
          </cell>
          <cell r="X874">
            <v>1.7315561580000001</v>
          </cell>
          <cell r="Y874">
            <v>1.5807881770000001</v>
          </cell>
          <cell r="Z874">
            <v>1.431406771</v>
          </cell>
          <cell r="AA874">
            <v>1.282411113</v>
          </cell>
          <cell r="AB874">
            <v>1.1347751610000001</v>
          </cell>
          <cell r="AC874">
            <v>0.98862137220000001</v>
          </cell>
          <cell r="AD874">
            <v>0.84417016300000003</v>
          </cell>
          <cell r="AE874">
            <v>0.70187749970000002</v>
          </cell>
          <cell r="AF874">
            <v>0.56279805360000001</v>
          </cell>
          <cell r="AG874">
            <v>0.4288958491</v>
          </cell>
          <cell r="AH874">
            <v>0.30319474120000001</v>
          </cell>
          <cell r="AI874">
            <v>0.18996822920000001</v>
          </cell>
          <cell r="AJ874">
            <v>9.5139385000000007E-2</v>
          </cell>
          <cell r="AK874">
            <v>2.6817557299999999E-2</v>
          </cell>
        </row>
        <row r="876">
          <cell r="A876" t="str">
            <v>ems_ci_co2_seco_2</v>
          </cell>
          <cell r="B876">
            <v>7.4463073499999997</v>
          </cell>
          <cell r="C876">
            <v>7.5590964239999998</v>
          </cell>
          <cell r="D876">
            <v>7.6679151430000001</v>
          </cell>
          <cell r="E876">
            <v>7.7841641519999998</v>
          </cell>
          <cell r="F876">
            <v>7.8912053200000001</v>
          </cell>
          <cell r="G876">
            <v>7.9979763269999999</v>
          </cell>
          <cell r="H876">
            <v>8.1104964180000003</v>
          </cell>
          <cell r="I876">
            <v>8.1928642279999995</v>
          </cell>
          <cell r="J876">
            <v>8.2871383430000005</v>
          </cell>
          <cell r="K876">
            <v>8.4009902230000009</v>
          </cell>
          <cell r="L876">
            <v>8.5022847059999993</v>
          </cell>
          <cell r="M876">
            <v>8.5419301559999994</v>
          </cell>
          <cell r="N876">
            <v>8.5301264379999999</v>
          </cell>
          <cell r="O876">
            <v>8.4820178599999991</v>
          </cell>
          <cell r="P876">
            <v>8.4109061749999992</v>
          </cell>
          <cell r="Q876">
            <v>8.3247925249999994</v>
          </cell>
          <cell r="R876">
            <v>8.2285381280000003</v>
          </cell>
          <cell r="S876">
            <v>8.1272951239999998</v>
          </cell>
          <cell r="T876">
            <v>8.0215094039999997</v>
          </cell>
          <cell r="U876">
            <v>7.9108230539999997</v>
          </cell>
          <cell r="V876">
            <v>7.7930662980000003</v>
          </cell>
          <cell r="W876">
            <v>7.6693757280000003</v>
          </cell>
          <cell r="X876">
            <v>7.5380908299999998</v>
          </cell>
          <cell r="Y876">
            <v>7.3958208340000002</v>
          </cell>
          <cell r="Z876">
            <v>7.2376161520000002</v>
          </cell>
          <cell r="AA876">
            <v>7.0537790989999998</v>
          </cell>
          <cell r="AB876">
            <v>6.8427865969999999</v>
          </cell>
          <cell r="AC876">
            <v>6.596787355</v>
          </cell>
          <cell r="AD876">
            <v>6.3049201100000003</v>
          </cell>
          <cell r="AE876">
            <v>5.9524435579999997</v>
          </cell>
          <cell r="AF876">
            <v>5.5212611770000004</v>
          </cell>
          <cell r="AG876">
            <v>4.990421413</v>
          </cell>
          <cell r="AH876">
            <v>4.3350177140000001</v>
          </cell>
          <cell r="AI876">
            <v>3.523877336</v>
          </cell>
          <cell r="AJ876">
            <v>2.5169640860000002</v>
          </cell>
          <cell r="AK876">
            <v>1.2586058630000001</v>
          </cell>
        </row>
        <row r="878">
          <cell r="A878" t="str">
            <v>ems_ci_co2_sech_2</v>
          </cell>
          <cell r="B878">
            <v>9.6588429320000007</v>
          </cell>
          <cell r="C878">
            <v>9.7803146810000001</v>
          </cell>
          <cell r="D878">
            <v>9.8976927799999999</v>
          </cell>
          <cell r="E878">
            <v>10.015043179999999</v>
          </cell>
          <cell r="F878">
            <v>10.12265369</v>
          </cell>
          <cell r="G878">
            <v>10.232966340000001</v>
          </cell>
          <cell r="H878">
            <v>10.34060594</v>
          </cell>
          <cell r="I878">
            <v>10.362241579999999</v>
          </cell>
          <cell r="J878">
            <v>10.38284488</v>
          </cell>
          <cell r="K878">
            <v>10.41403223</v>
          </cell>
          <cell r="L878">
            <v>10.45003556</v>
          </cell>
          <cell r="M878">
            <v>10.45280532</v>
          </cell>
          <cell r="N878">
            <v>10.43672785</v>
          </cell>
          <cell r="O878">
            <v>10.41232909</v>
          </cell>
          <cell r="P878">
            <v>10.38670834</v>
          </cell>
          <cell r="Q878">
            <v>10.363567789999999</v>
          </cell>
          <cell r="R878">
            <v>10.347908500000001</v>
          </cell>
          <cell r="S878">
            <v>10.34163013</v>
          </cell>
          <cell r="T878">
            <v>10.34545979</v>
          </cell>
          <cell r="U878">
            <v>10.36102655</v>
          </cell>
          <cell r="V878">
            <v>10.38613632</v>
          </cell>
          <cell r="W878">
            <v>10.429941579999999</v>
          </cell>
          <cell r="X878">
            <v>10.49450614</v>
          </cell>
          <cell r="Y878">
            <v>10.58112502</v>
          </cell>
          <cell r="Z878">
            <v>10.69074949</v>
          </cell>
          <cell r="AA878">
            <v>10.81317561</v>
          </cell>
          <cell r="AB878">
            <v>10.963607769999999</v>
          </cell>
          <cell r="AC878">
            <v>11.14542797</v>
          </cell>
          <cell r="AD878">
            <v>11.360538650000001</v>
          </cell>
          <cell r="AE878">
            <v>11.60908779</v>
          </cell>
          <cell r="AF878">
            <v>11.890501540000001</v>
          </cell>
          <cell r="AG878">
            <v>12.20525393</v>
          </cell>
          <cell r="AH878">
            <v>12.555170240000001</v>
          </cell>
          <cell r="AI878">
            <v>12.9429911</v>
          </cell>
          <cell r="AJ878">
            <v>13.37260253</v>
          </cell>
          <cell r="AK878">
            <v>13.8495379</v>
          </cell>
        </row>
        <row r="880">
          <cell r="A880" t="str">
            <v>ems_ci_co2_seot_2</v>
          </cell>
          <cell r="B880">
            <v>1.3202878659999999</v>
          </cell>
          <cell r="C880">
            <v>1.3351386240000001</v>
          </cell>
          <cell r="D880">
            <v>1.3486024400000001</v>
          </cell>
          <cell r="E880">
            <v>1.3616346349999999</v>
          </cell>
          <cell r="F880">
            <v>1.3755138309999999</v>
          </cell>
          <cell r="G880">
            <v>1.391085613</v>
          </cell>
          <cell r="H880">
            <v>1.408134035</v>
          </cell>
          <cell r="I880">
            <v>1.4180370200000001</v>
          </cell>
          <cell r="J880">
            <v>1.4297554269999999</v>
          </cell>
          <cell r="K880">
            <v>1.4453421740000001</v>
          </cell>
          <cell r="L880">
            <v>1.4602233570000001</v>
          </cell>
          <cell r="M880">
            <v>1.469419311</v>
          </cell>
          <cell r="N880">
            <v>1.4737066809999999</v>
          </cell>
          <cell r="O880">
            <v>1.4749607950000001</v>
          </cell>
          <cell r="P880">
            <v>1.4750074900000001</v>
          </cell>
          <cell r="Q880">
            <v>1.4749743280000001</v>
          </cell>
          <cell r="R880">
            <v>1.4744250059999999</v>
          </cell>
          <cell r="S880">
            <v>1.474912515</v>
          </cell>
          <cell r="T880">
            <v>1.4769911410000001</v>
          </cell>
          <cell r="U880">
            <v>1.481015411</v>
          </cell>
          <cell r="V880">
            <v>1.487020896</v>
          </cell>
          <cell r="W880">
            <v>1.4957399929999999</v>
          </cell>
          <cell r="X880">
            <v>1.507504677</v>
          </cell>
          <cell r="Y880">
            <v>1.5224545199999999</v>
          </cell>
          <cell r="Z880">
            <v>1.540583179</v>
          </cell>
          <cell r="AA880">
            <v>1.5610499520000001</v>
          </cell>
          <cell r="AB880">
            <v>1.5850267769999999</v>
          </cell>
          <cell r="AC880">
            <v>1.612729568</v>
          </cell>
          <cell r="AD880">
            <v>1.644140972</v>
          </cell>
          <cell r="AE880">
            <v>1.678844464</v>
          </cell>
          <cell r="AF880">
            <v>1.71620302</v>
          </cell>
          <cell r="AG880">
            <v>1.755672549</v>
          </cell>
          <cell r="AH880">
            <v>1.7968496709999999</v>
          </cell>
          <cell r="AI880">
            <v>1.8392764070000001</v>
          </cell>
          <cell r="AJ880">
            <v>1.882436145</v>
          </cell>
          <cell r="AK880">
            <v>1.9257612989999999</v>
          </cell>
        </row>
        <row r="882">
          <cell r="A882" t="str">
            <v>ems_y_co2_sagr_2</v>
          </cell>
          <cell r="B882">
            <v>2.7534944400000001E-2</v>
          </cell>
          <cell r="C882">
            <v>2.8000835200000001E-2</v>
          </cell>
          <cell r="D882">
            <v>2.8553549800000001E-2</v>
          </cell>
          <cell r="E882">
            <v>2.9188641099999999E-2</v>
          </cell>
          <cell r="F882">
            <v>2.9889935900000001E-2</v>
          </cell>
          <cell r="G882">
            <v>3.0651199899999999E-2</v>
          </cell>
          <cell r="H882">
            <v>3.14451704E-2</v>
          </cell>
          <cell r="I882">
            <v>3.21366311E-2</v>
          </cell>
          <cell r="J882">
            <v>3.2810415799999999E-2</v>
          </cell>
          <cell r="K882">
            <v>3.3627216600000003E-2</v>
          </cell>
          <cell r="L882">
            <v>3.4445354800000001E-2</v>
          </cell>
          <cell r="M882">
            <v>3.5138975000000003E-2</v>
          </cell>
          <cell r="N882">
            <v>3.5730968600000003E-2</v>
          </cell>
          <cell r="O882">
            <v>3.6247849899999997E-2</v>
          </cell>
          <cell r="P882">
            <v>3.6721780900000001E-2</v>
          </cell>
          <cell r="Q882">
            <v>3.71737366E-2</v>
          </cell>
          <cell r="R882">
            <v>3.7630187599999997E-2</v>
          </cell>
          <cell r="S882">
            <v>3.8103181799999997E-2</v>
          </cell>
          <cell r="T882">
            <v>3.8608974499999997E-2</v>
          </cell>
          <cell r="U882">
            <v>3.9159592700000002E-2</v>
          </cell>
          <cell r="V882">
            <v>3.9757050299999999E-2</v>
          </cell>
          <cell r="W882">
            <v>4.0421590200000003E-2</v>
          </cell>
          <cell r="X882">
            <v>4.1163823699999998E-2</v>
          </cell>
          <cell r="Y882">
            <v>4.1991037699999997E-2</v>
          </cell>
          <cell r="Z882">
            <v>4.2905605100000001E-2</v>
          </cell>
          <cell r="AA882">
            <v>4.3883629200000003E-2</v>
          </cell>
          <cell r="AB882">
            <v>4.4940157100000003E-2</v>
          </cell>
          <cell r="AC882">
            <v>4.6092150800000002E-2</v>
          </cell>
          <cell r="AD882">
            <v>4.73454398E-2</v>
          </cell>
          <cell r="AE882">
            <v>4.8694856600000003E-2</v>
          </cell>
          <cell r="AF882">
            <v>5.0128799799999998E-2</v>
          </cell>
          <cell r="AG882">
            <v>5.1635752299999997E-2</v>
          </cell>
          <cell r="AH882">
            <v>5.3205833100000002E-2</v>
          </cell>
          <cell r="AI882">
            <v>5.4829388799999997E-2</v>
          </cell>
          <cell r="AJ882">
            <v>5.6496634900000002E-2</v>
          </cell>
          <cell r="AK882">
            <v>5.8197339899999999E-2</v>
          </cell>
        </row>
        <row r="883">
          <cell r="A883" t="str">
            <v>ems_mat_co2_spub_2</v>
          </cell>
          <cell r="B883">
            <v>4.2805170859999997</v>
          </cell>
          <cell r="C883">
            <v>4.343115343</v>
          </cell>
          <cell r="D883">
            <v>4.4131764369999997</v>
          </cell>
          <cell r="E883">
            <v>4.4872911889999996</v>
          </cell>
          <cell r="F883">
            <v>4.5645939320000002</v>
          </cell>
          <cell r="G883">
            <v>4.6447493240000002</v>
          </cell>
          <cell r="H883">
            <v>4.7239449709999999</v>
          </cell>
          <cell r="I883">
            <v>4.8035127910000002</v>
          </cell>
          <cell r="J883">
            <v>4.884239666</v>
          </cell>
          <cell r="K883">
            <v>4.9698703100000001</v>
          </cell>
          <cell r="L883">
            <v>5.06397735</v>
          </cell>
          <cell r="M883">
            <v>5.1521414759999997</v>
          </cell>
          <cell r="N883">
            <v>5.2382713059999997</v>
          </cell>
          <cell r="O883">
            <v>5.3231724089999997</v>
          </cell>
          <cell r="P883">
            <v>5.407618448</v>
          </cell>
          <cell r="Q883">
            <v>5.4923168750000002</v>
          </cell>
          <cell r="R883">
            <v>5.5781223730000002</v>
          </cell>
          <cell r="S883">
            <v>5.665756332</v>
          </cell>
          <cell r="T883">
            <v>5.755872643</v>
          </cell>
          <cell r="U883">
            <v>5.848997786</v>
          </cell>
          <cell r="V883">
            <v>5.9410676870000003</v>
          </cell>
          <cell r="W883">
            <v>6.040732159</v>
          </cell>
          <cell r="X883">
            <v>6.145187795</v>
          </cell>
          <cell r="Y883">
            <v>6.2543907729999999</v>
          </cell>
          <cell r="Z883">
            <v>6.3685169510000001</v>
          </cell>
          <cell r="AA883">
            <v>6.474495858</v>
          </cell>
          <cell r="AB883">
            <v>6.5903019570000003</v>
          </cell>
          <cell r="AC883">
            <v>6.711862698</v>
          </cell>
          <cell r="AD883">
            <v>6.8389391220000002</v>
          </cell>
          <cell r="AE883">
            <v>6.9715346809999996</v>
          </cell>
          <cell r="AF883">
            <v>7.1094981690000001</v>
          </cell>
          <cell r="AG883">
            <v>7.2526064510000001</v>
          </cell>
          <cell r="AH883">
            <v>7.400645752</v>
          </cell>
          <cell r="AI883">
            <v>7.5534405820000003</v>
          </cell>
          <cell r="AJ883">
            <v>7.7108449060000002</v>
          </cell>
          <cell r="AK883">
            <v>7.8727241100000001</v>
          </cell>
        </row>
        <row r="884">
          <cell r="A884" t="str">
            <v>ems_mat_co2_sgla_2</v>
          </cell>
          <cell r="B884">
            <v>10.94636216</v>
          </cell>
          <cell r="C884">
            <v>11.140652149999999</v>
          </cell>
          <cell r="D884">
            <v>11.367191330000001</v>
          </cell>
          <cell r="E884">
            <v>11.613544210000001</v>
          </cell>
          <cell r="F884">
            <v>11.88154928</v>
          </cell>
          <cell r="G884">
            <v>12.171932740000001</v>
          </cell>
          <cell r="H884">
            <v>12.47731265</v>
          </cell>
          <cell r="I884">
            <v>12.71861569</v>
          </cell>
          <cell r="J884">
            <v>12.93434529</v>
          </cell>
          <cell r="K884">
            <v>13.18366966</v>
          </cell>
          <cell r="L884">
            <v>13.436001279999999</v>
          </cell>
          <cell r="M884">
            <v>13.66213934</v>
          </cell>
          <cell r="N884">
            <v>13.86620767</v>
          </cell>
          <cell r="O884">
            <v>14.058005509999999</v>
          </cell>
          <cell r="P884">
            <v>14.249294949999999</v>
          </cell>
          <cell r="Q884">
            <v>14.44791223</v>
          </cell>
          <cell r="R884">
            <v>14.65865348</v>
          </cell>
          <cell r="S884">
            <v>14.88294849</v>
          </cell>
          <cell r="T884">
            <v>15.12632625</v>
          </cell>
          <cell r="U884">
            <v>15.39355774</v>
          </cell>
          <cell r="V884">
            <v>15.686175049999999</v>
          </cell>
          <cell r="W884">
            <v>16.010853919999999</v>
          </cell>
          <cell r="X884">
            <v>16.371775670000002</v>
          </cell>
          <cell r="Y884">
            <v>16.771481850000001</v>
          </cell>
          <cell r="Z884">
            <v>17.210902619999999</v>
          </cell>
          <cell r="AA884">
            <v>17.682568610000001</v>
          </cell>
          <cell r="AB884">
            <v>18.189651739999999</v>
          </cell>
          <cell r="AC884">
            <v>18.7391857</v>
          </cell>
          <cell r="AD884">
            <v>19.33328483</v>
          </cell>
          <cell r="AE884">
            <v>19.970706750000002</v>
          </cell>
          <cell r="AF884">
            <v>20.648741699999999</v>
          </cell>
          <cell r="AG884">
            <v>21.365747349999999</v>
          </cell>
          <cell r="AH884">
            <v>22.121567800000001</v>
          </cell>
          <cell r="AI884">
            <v>22.916483299999999</v>
          </cell>
          <cell r="AJ884">
            <v>23.751589599999999</v>
          </cell>
          <cell r="AK884">
            <v>24.6290993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18">
          <cell r="A18" t="str">
            <v>auto_ca_cfut_2</v>
          </cell>
          <cell r="B18">
            <v>7095.7005250000002</v>
          </cell>
          <cell r="C18">
            <v>7139.7193399999996</v>
          </cell>
          <cell r="D18">
            <v>7244.7318800000003</v>
          </cell>
          <cell r="E18">
            <v>7390.8125220000002</v>
          </cell>
          <cell r="F18">
            <v>7572.0753059999997</v>
          </cell>
          <cell r="G18">
            <v>7778.2813290000004</v>
          </cell>
          <cell r="H18">
            <v>7996.8294599999999</v>
          </cell>
          <cell r="I18">
            <v>8193.4700499999999</v>
          </cell>
          <cell r="J18">
            <v>8388.8703270000005</v>
          </cell>
          <cell r="K18">
            <v>8591.7222320000001</v>
          </cell>
          <cell r="L18">
            <v>8803.8868839999996</v>
          </cell>
          <cell r="M18">
            <v>9028.9504159999997</v>
          </cell>
          <cell r="N18">
            <v>9257.9488290000008</v>
          </cell>
          <cell r="O18">
            <v>9481.8957429999991</v>
          </cell>
          <cell r="P18">
            <v>9694.4657399999996</v>
          </cell>
          <cell r="Q18">
            <v>9891.8389260000004</v>
          </cell>
          <cell r="R18">
            <v>10069.552470000001</v>
          </cell>
          <cell r="S18">
            <v>10229.57393</v>
          </cell>
          <cell r="T18">
            <v>10373.47911</v>
          </cell>
          <cell r="U18">
            <v>10502.432049999999</v>
          </cell>
          <cell r="V18">
            <v>10616.38675</v>
          </cell>
          <cell r="W18">
            <v>10718.12616</v>
          </cell>
          <cell r="X18">
            <v>10809.155500000001</v>
          </cell>
          <cell r="Y18">
            <v>10891.254660000001</v>
          </cell>
          <cell r="Z18">
            <v>10966.06632</v>
          </cell>
          <cell r="AA18">
            <v>11031.950500000001</v>
          </cell>
          <cell r="AB18">
            <v>11092.54746</v>
          </cell>
          <cell r="AC18">
            <v>11149.3331</v>
          </cell>
          <cell r="AD18">
            <v>11204.163570000001</v>
          </cell>
          <cell r="AE18">
            <v>11258.69687</v>
          </cell>
          <cell r="AF18">
            <v>11313.856299999999</v>
          </cell>
          <cell r="AG18">
            <v>11369.74099</v>
          </cell>
          <cell r="AH18">
            <v>11425.888989999999</v>
          </cell>
          <cell r="AI18">
            <v>11481.613880000001</v>
          </cell>
          <cell r="AJ18">
            <v>11536.00713</v>
          </cell>
          <cell r="AK18">
            <v>11587.907740000001</v>
          </cell>
        </row>
        <row r="19">
          <cell r="A19" t="str">
            <v>auto_ca_cfut_0</v>
          </cell>
          <cell r="B19">
            <v>7095.7005250000002</v>
          </cell>
          <cell r="C19">
            <v>7139.7193399999996</v>
          </cell>
          <cell r="D19">
            <v>7244.7318789999999</v>
          </cell>
          <cell r="E19">
            <v>7390.8125209999998</v>
          </cell>
          <cell r="F19">
            <v>7572.0753050000003</v>
          </cell>
          <cell r="G19">
            <v>7778.2813269999997</v>
          </cell>
          <cell r="H19">
            <v>7996.8294569999998</v>
          </cell>
          <cell r="I19">
            <v>8221.9155439999995</v>
          </cell>
          <cell r="J19">
            <v>8451.72019</v>
          </cell>
          <cell r="K19">
            <v>8685.5089200000002</v>
          </cell>
          <cell r="L19">
            <v>8923.6926370000001</v>
          </cell>
          <cell r="M19">
            <v>9160.9097880000008</v>
          </cell>
          <cell r="N19">
            <v>9393.6213320000006</v>
          </cell>
          <cell r="O19">
            <v>9618.4845609999993</v>
          </cell>
          <cell r="P19">
            <v>9832.7601730000006</v>
          </cell>
          <cell r="Q19">
            <v>10034.659390000001</v>
          </cell>
          <cell r="R19">
            <v>10228.52644</v>
          </cell>
          <cell r="S19">
            <v>10415.339319999999</v>
          </cell>
          <cell r="T19">
            <v>10594.657999999999</v>
          </cell>
          <cell r="U19">
            <v>10766.134110000001</v>
          </cell>
          <cell r="V19">
            <v>10928.81027</v>
          </cell>
          <cell r="W19">
            <v>11085.166429999999</v>
          </cell>
          <cell r="X19">
            <v>11236.70549</v>
          </cell>
          <cell r="Y19">
            <v>11385.28052</v>
          </cell>
          <cell r="Z19">
            <v>11532.704040000001</v>
          </cell>
          <cell r="AA19">
            <v>11677.38355</v>
          </cell>
          <cell r="AB19">
            <v>11823.68173</v>
          </cell>
          <cell r="AC19">
            <v>11973.705819999999</v>
          </cell>
          <cell r="AD19">
            <v>12129.56488</v>
          </cell>
          <cell r="AE19">
            <v>12293.083329999999</v>
          </cell>
          <cell r="AF19">
            <v>12465.334220000001</v>
          </cell>
          <cell r="AG19">
            <v>12646.557119999999</v>
          </cell>
          <cell r="AH19">
            <v>12836.26708</v>
          </cell>
          <cell r="AI19">
            <v>13033.37866</v>
          </cell>
          <cell r="AJ19">
            <v>13236.32296</v>
          </cell>
          <cell r="AK19">
            <v>13443.140890000001</v>
          </cell>
        </row>
        <row r="20">
          <cell r="A20" t="str">
            <v>auto_cb_cfut_2</v>
          </cell>
          <cell r="B20">
            <v>8251.256421</v>
          </cell>
          <cell r="C20">
            <v>8180.8333709999997</v>
          </cell>
          <cell r="D20">
            <v>8176.6020740000004</v>
          </cell>
          <cell r="E20">
            <v>8218.4472100000003</v>
          </cell>
          <cell r="F20">
            <v>8299.9024250000002</v>
          </cell>
          <cell r="G20">
            <v>8410.6599559999995</v>
          </cell>
          <cell r="H20">
            <v>8538.1103540000004</v>
          </cell>
          <cell r="I20">
            <v>8648.4417620000004</v>
          </cell>
          <cell r="J20">
            <v>8759.3595359999999</v>
          </cell>
          <cell r="K20">
            <v>8878.3715560000001</v>
          </cell>
          <cell r="L20">
            <v>9006.674395</v>
          </cell>
          <cell r="M20">
            <v>9147.57539</v>
          </cell>
          <cell r="N20">
            <v>9293.3997770000005</v>
          </cell>
          <cell r="O20">
            <v>9436.3035839999993</v>
          </cell>
          <cell r="P20">
            <v>9570.7864590000008</v>
          </cell>
          <cell r="Q20">
            <v>9693.5561109999999</v>
          </cell>
          <cell r="R20">
            <v>9800.5749799999994</v>
          </cell>
          <cell r="S20">
            <v>9893.5445789999994</v>
          </cell>
          <cell r="T20">
            <v>9973.9167699999998</v>
          </cell>
          <cell r="U20">
            <v>10042.765789999999</v>
          </cell>
          <cell r="V20">
            <v>10100.030000000001</v>
          </cell>
          <cell r="W20">
            <v>10148.14392</v>
          </cell>
          <cell r="X20">
            <v>10188.338830000001</v>
          </cell>
          <cell r="Y20">
            <v>10222.05378</v>
          </cell>
          <cell r="Z20">
            <v>10250.56905</v>
          </cell>
          <cell r="AA20">
            <v>10272.20708</v>
          </cell>
          <cell r="AB20">
            <v>10289.966920000001</v>
          </cell>
          <cell r="AC20">
            <v>10304.876459999999</v>
          </cell>
          <cell r="AD20">
            <v>10318.28449</v>
          </cell>
          <cell r="AE20">
            <v>10331.377699999999</v>
          </cell>
          <cell r="AF20">
            <v>10344.71774</v>
          </cell>
          <cell r="AG20">
            <v>10358.16518</v>
          </cell>
          <cell r="AH20">
            <v>10371.11205</v>
          </cell>
          <cell r="AI20">
            <v>10382.78638</v>
          </cell>
          <cell r="AJ20">
            <v>10392.26456</v>
          </cell>
          <cell r="AK20">
            <v>10398.4496</v>
          </cell>
        </row>
        <row r="21">
          <cell r="A21" t="str">
            <v>auto_cb_cfut_0</v>
          </cell>
          <cell r="B21">
            <v>8251.256421</v>
          </cell>
          <cell r="C21">
            <v>8180.8333709999997</v>
          </cell>
          <cell r="D21">
            <v>8176.6020740000004</v>
          </cell>
          <cell r="E21">
            <v>8218.4472089999999</v>
          </cell>
          <cell r="F21">
            <v>8299.9024229999995</v>
          </cell>
          <cell r="G21">
            <v>8410.6599540000007</v>
          </cell>
          <cell r="H21">
            <v>8538.1103509999994</v>
          </cell>
          <cell r="I21">
            <v>8676.0427540000001</v>
          </cell>
          <cell r="J21">
            <v>8822.0795569999991</v>
          </cell>
          <cell r="K21">
            <v>8974.9735579999997</v>
          </cell>
          <cell r="L21">
            <v>9134.6502939999991</v>
          </cell>
          <cell r="M21">
            <v>9295.7482089999994</v>
          </cell>
          <cell r="N21">
            <v>9454.7754760000007</v>
          </cell>
          <cell r="O21">
            <v>9608.5448890000007</v>
          </cell>
          <cell r="P21">
            <v>9754.4969469999996</v>
          </cell>
          <cell r="Q21">
            <v>9890.9730560000007</v>
          </cell>
          <cell r="R21">
            <v>10022.06626</v>
          </cell>
          <cell r="S21">
            <v>10148.83599</v>
          </cell>
          <cell r="T21">
            <v>10270.953949999999</v>
          </cell>
          <cell r="U21">
            <v>10388.060530000001</v>
          </cell>
          <cell r="V21">
            <v>10499.133599999999</v>
          </cell>
          <cell r="W21">
            <v>10606.23684</v>
          </cell>
          <cell r="X21">
            <v>10710.4836</v>
          </cell>
          <cell r="Y21">
            <v>10813.27051</v>
          </cell>
          <cell r="Z21">
            <v>10915.919379999999</v>
          </cell>
          <cell r="AA21">
            <v>11016.61356</v>
          </cell>
          <cell r="AB21">
            <v>11118.94764</v>
          </cell>
          <cell r="AC21">
            <v>11224.4367</v>
          </cell>
          <cell r="AD21">
            <v>11334.58232</v>
          </cell>
          <cell r="AE21">
            <v>11450.63114</v>
          </cell>
          <cell r="AF21">
            <v>11573.16517</v>
          </cell>
          <cell r="AG21">
            <v>11702.03909</v>
          </cell>
          <cell r="AH21">
            <v>11836.48918</v>
          </cell>
          <cell r="AI21">
            <v>11975.254569999999</v>
          </cell>
          <cell r="AJ21">
            <v>12116.69175</v>
          </cell>
          <cell r="AK21">
            <v>12258.867469999999</v>
          </cell>
        </row>
        <row r="22">
          <cell r="A22" t="str">
            <v>auto_cc_cfut_2</v>
          </cell>
          <cell r="B22">
            <v>6777.6024520000001</v>
          </cell>
          <cell r="C22">
            <v>6645.4068960000004</v>
          </cell>
          <cell r="D22">
            <v>6564.7450699999999</v>
          </cell>
          <cell r="E22">
            <v>6520.9851570000001</v>
          </cell>
          <cell r="F22">
            <v>6509.0645199999999</v>
          </cell>
          <cell r="G22">
            <v>6521.4944240000004</v>
          </cell>
          <cell r="H22">
            <v>6549.1733530000001</v>
          </cell>
          <cell r="I22">
            <v>6568.05116</v>
          </cell>
          <cell r="J22">
            <v>6588.9480030000004</v>
          </cell>
          <cell r="K22">
            <v>6616.5052429999996</v>
          </cell>
          <cell r="L22">
            <v>6651.1700190000001</v>
          </cell>
          <cell r="M22">
            <v>6695.1452300000001</v>
          </cell>
          <cell r="N22">
            <v>6743.7132849999998</v>
          </cell>
          <cell r="O22">
            <v>6791.9368009999998</v>
          </cell>
          <cell r="P22">
            <v>6836.3581759999997</v>
          </cell>
          <cell r="Q22">
            <v>6874.9171020000003</v>
          </cell>
          <cell r="R22">
            <v>6904.9559200000003</v>
          </cell>
          <cell r="S22">
            <v>6927.5111150000002</v>
          </cell>
          <cell r="T22">
            <v>6943.5252140000002</v>
          </cell>
          <cell r="U22">
            <v>6953.6911060000002</v>
          </cell>
          <cell r="V22">
            <v>6957.9336400000002</v>
          </cell>
          <cell r="W22">
            <v>6957.7677789999998</v>
          </cell>
          <cell r="X22">
            <v>6953.8937260000002</v>
          </cell>
          <cell r="Y22">
            <v>6947.1229860000003</v>
          </cell>
          <cell r="Z22">
            <v>6938.1433800000004</v>
          </cell>
          <cell r="AA22">
            <v>6925.7201709999999</v>
          </cell>
          <cell r="AB22">
            <v>6911.6129339999998</v>
          </cell>
          <cell r="AC22">
            <v>6896.2887810000002</v>
          </cell>
          <cell r="AD22">
            <v>6880.413834</v>
          </cell>
          <cell r="AE22">
            <v>6864.5629870000002</v>
          </cell>
          <cell r="AF22">
            <v>6848.9312440000003</v>
          </cell>
          <cell r="AG22">
            <v>6833.2865780000002</v>
          </cell>
          <cell r="AH22">
            <v>6817.1181299999998</v>
          </cell>
          <cell r="AI22">
            <v>6799.8347949999998</v>
          </cell>
          <cell r="AJ22">
            <v>6780.7786980000001</v>
          </cell>
          <cell r="AK22">
            <v>6759.2136680000003</v>
          </cell>
        </row>
        <row r="23">
          <cell r="A23" t="str">
            <v>auto_cc_cfut_0</v>
          </cell>
          <cell r="B23">
            <v>6777.6024520000001</v>
          </cell>
          <cell r="C23">
            <v>6645.4068960000004</v>
          </cell>
          <cell r="D23">
            <v>6564.7450699999999</v>
          </cell>
          <cell r="E23">
            <v>6520.9851570000001</v>
          </cell>
          <cell r="F23">
            <v>6509.0645189999996</v>
          </cell>
          <cell r="G23">
            <v>6521.4944230000001</v>
          </cell>
          <cell r="H23">
            <v>6549.1733510000004</v>
          </cell>
          <cell r="I23">
            <v>6587.3468439999997</v>
          </cell>
          <cell r="J23">
            <v>6633.9229249999999</v>
          </cell>
          <cell r="K23">
            <v>6687.6553880000001</v>
          </cell>
          <cell r="L23">
            <v>6748.1618609999996</v>
          </cell>
          <cell r="M23">
            <v>6811.5721489999996</v>
          </cell>
          <cell r="N23">
            <v>6875.3896249999998</v>
          </cell>
          <cell r="O23">
            <v>6937.4044110000004</v>
          </cell>
          <cell r="P23">
            <v>6995.872128</v>
          </cell>
          <cell r="Q23">
            <v>7049.6639260000002</v>
          </cell>
          <cell r="R23">
            <v>7101.5406590000002</v>
          </cell>
          <cell r="S23">
            <v>7152.2918099999997</v>
          </cell>
          <cell r="T23">
            <v>7201.7304139999997</v>
          </cell>
          <cell r="U23">
            <v>7249.5724760000003</v>
          </cell>
          <cell r="V23">
            <v>7295.0275949999996</v>
          </cell>
          <cell r="W23">
            <v>7339.3044479999999</v>
          </cell>
          <cell r="X23">
            <v>7382.9490189999997</v>
          </cell>
          <cell r="Y23">
            <v>7426.672028</v>
          </cell>
          <cell r="Z23">
            <v>7471.1127230000002</v>
          </cell>
          <cell r="AA23">
            <v>7514.8263180000004</v>
          </cell>
          <cell r="AB23">
            <v>7559.9196179999999</v>
          </cell>
          <cell r="AC23">
            <v>7607.1204349999998</v>
          </cell>
          <cell r="AD23">
            <v>7657.1426449999999</v>
          </cell>
          <cell r="AE23">
            <v>7710.5405199999996</v>
          </cell>
          <cell r="AF23">
            <v>7767.4495829999996</v>
          </cell>
          <cell r="AG23">
            <v>7827.5531170000004</v>
          </cell>
          <cell r="AH23">
            <v>7890.1597089999996</v>
          </cell>
          <cell r="AI23">
            <v>7954.2877429999999</v>
          </cell>
          <cell r="AJ23">
            <v>8018.7450140000001</v>
          </cell>
          <cell r="AK23">
            <v>8082.1938129999999</v>
          </cell>
        </row>
        <row r="24">
          <cell r="A24" t="str">
            <v>auto_cd_cfut_2</v>
          </cell>
          <cell r="B24">
            <v>4159.6639080000004</v>
          </cell>
          <cell r="C24">
            <v>4054.0480859999998</v>
          </cell>
          <cell r="D24">
            <v>3977.8614480000001</v>
          </cell>
          <cell r="E24">
            <v>3922.4064619999999</v>
          </cell>
          <cell r="F24">
            <v>3884.4185980000002</v>
          </cell>
          <cell r="G24">
            <v>3859.553285</v>
          </cell>
          <cell r="H24">
            <v>3842.6464169999999</v>
          </cell>
          <cell r="I24">
            <v>3820.44463</v>
          </cell>
          <cell r="J24">
            <v>3798.111261</v>
          </cell>
          <cell r="K24">
            <v>3778.1721259999999</v>
          </cell>
          <cell r="L24">
            <v>3761.070968</v>
          </cell>
          <cell r="M24">
            <v>3748.2579780000001</v>
          </cell>
          <cell r="N24">
            <v>3737.8440350000001</v>
          </cell>
          <cell r="O24">
            <v>3727.8503070000002</v>
          </cell>
          <cell r="P24">
            <v>3717.0057449999999</v>
          </cell>
          <cell r="Q24">
            <v>3704.6655909999999</v>
          </cell>
          <cell r="R24">
            <v>3689.8231150000001</v>
          </cell>
          <cell r="S24">
            <v>3673.1806879999999</v>
          </cell>
          <cell r="T24">
            <v>3655.3775329999999</v>
          </cell>
          <cell r="U24">
            <v>3636.8779890000001</v>
          </cell>
          <cell r="V24">
            <v>3617.7078069999998</v>
          </cell>
          <cell r="W24">
            <v>3598.5980410000002</v>
          </cell>
          <cell r="X24">
            <v>3579.8320399999998</v>
          </cell>
          <cell r="Y24">
            <v>3561.7069929999998</v>
          </cell>
          <cell r="Z24">
            <v>3544.422583</v>
          </cell>
          <cell r="AA24">
            <v>3527.2035340000002</v>
          </cell>
          <cell r="AB24">
            <v>3510.6992110000001</v>
          </cell>
          <cell r="AC24">
            <v>3494.892664</v>
          </cell>
          <cell r="AD24">
            <v>3479.863194</v>
          </cell>
          <cell r="AE24">
            <v>3465.6871620000002</v>
          </cell>
          <cell r="AF24">
            <v>3452.3049019999999</v>
          </cell>
          <cell r="AG24">
            <v>3439.4885359999998</v>
          </cell>
          <cell r="AH24">
            <v>3426.904724</v>
          </cell>
          <cell r="AI24">
            <v>3414.2179139999998</v>
          </cell>
          <cell r="AJ24">
            <v>3401.1027880000001</v>
          </cell>
          <cell r="AK24">
            <v>3387.2355769999999</v>
          </cell>
        </row>
        <row r="25">
          <cell r="A25" t="str">
            <v>auto_cd_cfut_0</v>
          </cell>
          <cell r="B25">
            <v>4159.6639080000004</v>
          </cell>
          <cell r="C25">
            <v>4054.0480859999998</v>
          </cell>
          <cell r="D25">
            <v>3977.8614480000001</v>
          </cell>
          <cell r="E25">
            <v>3922.4064619999999</v>
          </cell>
          <cell r="F25">
            <v>3884.4185980000002</v>
          </cell>
          <cell r="G25">
            <v>3859.5532840000001</v>
          </cell>
          <cell r="H25">
            <v>3842.6464169999999</v>
          </cell>
          <cell r="I25">
            <v>3830.8870689999999</v>
          </cell>
          <cell r="J25">
            <v>3822.9503749999999</v>
          </cell>
          <cell r="K25">
            <v>3818.0390379999999</v>
          </cell>
          <cell r="L25">
            <v>3815.8701679999999</v>
          </cell>
          <cell r="M25">
            <v>3814.519139</v>
          </cell>
          <cell r="N25">
            <v>3812.9212429999998</v>
          </cell>
          <cell r="O25">
            <v>3810.2663600000001</v>
          </cell>
          <cell r="P25">
            <v>3806.013031</v>
          </cell>
          <cell r="Q25">
            <v>3799.903785</v>
          </cell>
          <cell r="R25">
            <v>3793.5595870000002</v>
          </cell>
          <cell r="S25">
            <v>3787.6343919999999</v>
          </cell>
          <cell r="T25">
            <v>3782.2227760000001</v>
          </cell>
          <cell r="U25">
            <v>3777.2680949999999</v>
          </cell>
          <cell r="V25">
            <v>3772.3788370000002</v>
          </cell>
          <cell r="W25">
            <v>3768.0400239999999</v>
          </cell>
          <cell r="X25">
            <v>3764.366125</v>
          </cell>
          <cell r="Y25">
            <v>3761.5027700000001</v>
          </cell>
          <cell r="Z25">
            <v>3759.5126489999998</v>
          </cell>
          <cell r="AA25">
            <v>3757.4465690000002</v>
          </cell>
          <cell r="AB25">
            <v>3755.9824859999999</v>
          </cell>
          <cell r="AC25">
            <v>3755.1409269999999</v>
          </cell>
          <cell r="AD25">
            <v>3754.9329400000001</v>
          </cell>
          <cell r="AE25">
            <v>3755.321414</v>
          </cell>
          <cell r="AF25">
            <v>3756.1181379999998</v>
          </cell>
          <cell r="AG25">
            <v>3756.9794080000001</v>
          </cell>
          <cell r="AH25">
            <v>3757.4491290000001</v>
          </cell>
          <cell r="AI25">
            <v>3757.002281</v>
          </cell>
          <cell r="AJ25">
            <v>3755.0845549999999</v>
          </cell>
          <cell r="AK25">
            <v>3751.1439409999998</v>
          </cell>
        </row>
        <row r="26">
          <cell r="A26" t="str">
            <v>auto_ce_cfut_2</v>
          </cell>
          <cell r="B26">
            <v>2503.7292430000002</v>
          </cell>
          <cell r="C26">
            <v>2442.4863789999999</v>
          </cell>
          <cell r="D26">
            <v>2398.124683</v>
          </cell>
          <cell r="E26">
            <v>2365.1048340000002</v>
          </cell>
          <cell r="F26">
            <v>2341.301179</v>
          </cell>
          <cell r="G26">
            <v>2324.0773250000002</v>
          </cell>
          <cell r="H26">
            <v>2310.322392</v>
          </cell>
          <cell r="I26">
            <v>2292.008041</v>
          </cell>
          <cell r="J26">
            <v>2271.825253</v>
          </cell>
          <cell r="K26">
            <v>2251.255009</v>
          </cell>
          <cell r="L26">
            <v>2230.5949009999999</v>
          </cell>
          <cell r="M26">
            <v>2210.8251329999998</v>
          </cell>
          <cell r="N26">
            <v>2191.253146</v>
          </cell>
          <cell r="O26">
            <v>2171.1359349999998</v>
          </cell>
          <cell r="P26">
            <v>2150.089825</v>
          </cell>
          <cell r="Q26">
            <v>2128.024253</v>
          </cell>
          <cell r="R26">
            <v>2104.6027079999999</v>
          </cell>
          <cell r="S26">
            <v>2080.3234640000001</v>
          </cell>
          <cell r="T26">
            <v>2055.63789</v>
          </cell>
          <cell r="U26">
            <v>2030.8747080000001</v>
          </cell>
          <cell r="V26">
            <v>2006.1022330000001</v>
          </cell>
          <cell r="W26">
            <v>1981.709572</v>
          </cell>
          <cell r="X26">
            <v>1957.826732</v>
          </cell>
          <cell r="Y26">
            <v>1934.5653809999999</v>
          </cell>
          <cell r="Z26">
            <v>1911.9651590000001</v>
          </cell>
          <cell r="AA26">
            <v>1889.5686949999999</v>
          </cell>
          <cell r="AB26">
            <v>1867.597395</v>
          </cell>
          <cell r="AC26">
            <v>1845.9271960000001</v>
          </cell>
          <cell r="AD26">
            <v>1824.4769859999999</v>
          </cell>
          <cell r="AE26">
            <v>1803.1786520000001</v>
          </cell>
          <cell r="AF26">
            <v>1781.9192290000001</v>
          </cell>
          <cell r="AG26">
            <v>1760.5259309999999</v>
          </cell>
          <cell r="AH26">
            <v>1738.7950350000001</v>
          </cell>
          <cell r="AI26">
            <v>1716.543191</v>
          </cell>
          <cell r="AJ26">
            <v>1693.615851</v>
          </cell>
          <cell r="AK26">
            <v>1669.882998</v>
          </cell>
        </row>
        <row r="27">
          <cell r="A27" t="str">
            <v>auto_ce_cfut_0</v>
          </cell>
          <cell r="B27">
            <v>2503.7292430000002</v>
          </cell>
          <cell r="C27">
            <v>2442.4863789999999</v>
          </cell>
          <cell r="D27">
            <v>2398.124683</v>
          </cell>
          <cell r="E27">
            <v>2365.1048340000002</v>
          </cell>
          <cell r="F27">
            <v>2341.3011780000002</v>
          </cell>
          <cell r="G27">
            <v>2324.0773250000002</v>
          </cell>
          <cell r="H27">
            <v>2310.322392</v>
          </cell>
          <cell r="I27">
            <v>2298.3283689999998</v>
          </cell>
          <cell r="J27">
            <v>2287.296292</v>
          </cell>
          <cell r="K27">
            <v>2276.7750599999999</v>
          </cell>
          <cell r="L27">
            <v>2266.6407410000002</v>
          </cell>
          <cell r="M27">
            <v>2255.9006359999998</v>
          </cell>
          <cell r="N27">
            <v>2244.1237850000002</v>
          </cell>
          <cell r="O27">
            <v>2231.0671349999998</v>
          </cell>
          <cell r="P27">
            <v>2216.644018</v>
          </cell>
          <cell r="Q27">
            <v>2200.9034029999998</v>
          </cell>
          <cell r="R27">
            <v>2184.8990549999999</v>
          </cell>
          <cell r="S27">
            <v>2169.1529089999999</v>
          </cell>
          <cell r="T27">
            <v>2153.8366249999999</v>
          </cell>
          <cell r="U27">
            <v>2138.9833859999999</v>
          </cell>
          <cell r="V27">
            <v>2124.3983239999998</v>
          </cell>
          <cell r="W27">
            <v>2110.308113</v>
          </cell>
          <cell r="X27">
            <v>2096.7135600000001</v>
          </cell>
          <cell r="Y27">
            <v>2083.6067939999998</v>
          </cell>
          <cell r="Z27">
            <v>2070.912116</v>
          </cell>
          <cell r="AA27">
            <v>2058.0169980000001</v>
          </cell>
          <cell r="AB27">
            <v>2045.1318839999999</v>
          </cell>
          <cell r="AC27">
            <v>2032.126319</v>
          </cell>
          <cell r="AD27">
            <v>2018.868174</v>
          </cell>
          <cell r="AE27">
            <v>2005.217938</v>
          </cell>
          <cell r="AF27">
            <v>1990.9851000000001</v>
          </cell>
          <cell r="AG27">
            <v>1975.931405</v>
          </cell>
          <cell r="AH27">
            <v>1959.7956449999999</v>
          </cell>
          <cell r="AI27">
            <v>1942.316636</v>
          </cell>
          <cell r="AJ27">
            <v>1923.252915</v>
          </cell>
          <cell r="AK27">
            <v>1902.3972429999999</v>
          </cell>
        </row>
        <row r="28">
          <cell r="A28" t="str">
            <v>auto_cf_cfut_2</v>
          </cell>
          <cell r="B28">
            <v>1243.6668460000001</v>
          </cell>
          <cell r="C28">
            <v>1210.5871079999999</v>
          </cell>
          <cell r="D28">
            <v>1184.4497730000001</v>
          </cell>
          <cell r="E28">
            <v>1162.271741</v>
          </cell>
          <cell r="F28">
            <v>1142.845116</v>
          </cell>
          <cell r="G28">
            <v>1124.9316060000001</v>
          </cell>
          <cell r="H28">
            <v>1107.1602339999999</v>
          </cell>
          <cell r="I28">
            <v>1086.0707150000001</v>
          </cell>
          <cell r="J28">
            <v>1062.6416730000001</v>
          </cell>
          <cell r="K28">
            <v>1037.6257250000001</v>
          </cell>
          <cell r="L28">
            <v>1011.319483</v>
          </cell>
          <cell r="M28">
            <v>984.33120799999995</v>
          </cell>
          <cell r="N28">
            <v>956.80199040000002</v>
          </cell>
          <cell r="O28">
            <v>928.86261260000003</v>
          </cell>
          <cell r="P28">
            <v>900.72354589999998</v>
          </cell>
          <cell r="Q28">
            <v>872.62600350000002</v>
          </cell>
          <cell r="R28">
            <v>844.67844649999995</v>
          </cell>
          <cell r="S28">
            <v>817.16244640000002</v>
          </cell>
          <cell r="T28">
            <v>790.30576029999997</v>
          </cell>
          <cell r="U28">
            <v>764.26046399999996</v>
          </cell>
          <cell r="V28">
            <v>739.07125410000003</v>
          </cell>
          <cell r="W28">
            <v>714.83237910000003</v>
          </cell>
          <cell r="X28">
            <v>691.54371730000003</v>
          </cell>
          <cell r="Y28">
            <v>669.18108510000002</v>
          </cell>
          <cell r="Z28">
            <v>647.68605000000002</v>
          </cell>
          <cell r="AA28">
            <v>626.87127459999999</v>
          </cell>
          <cell r="AB28">
            <v>606.69954989999997</v>
          </cell>
          <cell r="AC28">
            <v>587.04541930000005</v>
          </cell>
          <cell r="AD28">
            <v>567.79992000000004</v>
          </cell>
          <cell r="AE28">
            <v>548.87749150000002</v>
          </cell>
          <cell r="AF28">
            <v>530.20601429999999</v>
          </cell>
          <cell r="AG28">
            <v>511.72166600000003</v>
          </cell>
          <cell r="AH28">
            <v>493.3723837</v>
          </cell>
          <cell r="AI28">
            <v>475.12798559999999</v>
          </cell>
          <cell r="AJ28">
            <v>456.98059619999998</v>
          </cell>
          <cell r="AK28">
            <v>438.94060710000002</v>
          </cell>
        </row>
        <row r="29">
          <cell r="A29" t="str">
            <v>auto_cf_cfut_0</v>
          </cell>
          <cell r="B29">
            <v>1243.6668460000001</v>
          </cell>
          <cell r="C29">
            <v>1210.5871079999999</v>
          </cell>
          <cell r="D29">
            <v>1184.4497730000001</v>
          </cell>
          <cell r="E29">
            <v>1162.271741</v>
          </cell>
          <cell r="F29">
            <v>1142.845116</v>
          </cell>
          <cell r="G29">
            <v>1124.9316060000001</v>
          </cell>
          <cell r="H29">
            <v>1107.1602339999999</v>
          </cell>
          <cell r="I29">
            <v>1088.8162910000001</v>
          </cell>
          <cell r="J29">
            <v>1069.6272140000001</v>
          </cell>
          <cell r="K29">
            <v>1049.513657</v>
          </cell>
          <cell r="L29">
            <v>1028.557135</v>
          </cell>
          <cell r="M29">
            <v>1006.589295</v>
          </cell>
          <cell r="N29">
            <v>983.71747919999996</v>
          </cell>
          <cell r="O29">
            <v>960.14370780000002</v>
          </cell>
          <cell r="P29">
            <v>936.10686850000002</v>
          </cell>
          <cell r="Q29">
            <v>911.84664940000005</v>
          </cell>
          <cell r="R29">
            <v>887.87646549999999</v>
          </cell>
          <cell r="S29">
            <v>864.50958890000004</v>
          </cell>
          <cell r="T29">
            <v>841.89644080000005</v>
          </cell>
          <cell r="U29">
            <v>820.08974330000001</v>
          </cell>
          <cell r="V29">
            <v>799.02920529999994</v>
          </cell>
          <cell r="W29">
            <v>778.73851249999996</v>
          </cell>
          <cell r="X29">
            <v>759.15146870000001</v>
          </cell>
          <cell r="Y29">
            <v>740.18019360000005</v>
          </cell>
          <cell r="Z29">
            <v>721.70115369999996</v>
          </cell>
          <cell r="AA29">
            <v>703.44266000000005</v>
          </cell>
          <cell r="AB29">
            <v>685.34667730000001</v>
          </cell>
          <cell r="AC29">
            <v>667.27576450000004</v>
          </cell>
          <cell r="AD29">
            <v>649.10864489999994</v>
          </cell>
          <cell r="AE29">
            <v>630.75014329999999</v>
          </cell>
          <cell r="AF29">
            <v>612.12497480000002</v>
          </cell>
          <cell r="AG29">
            <v>593.17935850000003</v>
          </cell>
          <cell r="AH29">
            <v>573.88503040000001</v>
          </cell>
          <cell r="AI29">
            <v>554.24076739999998</v>
          </cell>
          <cell r="AJ29">
            <v>534.27191540000001</v>
          </cell>
          <cell r="AK29">
            <v>514.02799630000004</v>
          </cell>
        </row>
        <row r="30">
          <cell r="A30" t="str">
            <v>auto_cg_cfut_2</v>
          </cell>
          <cell r="B30">
            <v>2239.620606</v>
          </cell>
          <cell r="C30">
            <v>2183.4438169999999</v>
          </cell>
          <cell r="D30">
            <v>2137.4847340000001</v>
          </cell>
          <cell r="E30">
            <v>2095.8509100000001</v>
          </cell>
          <cell r="F30">
            <v>2056.21702</v>
          </cell>
          <cell r="G30">
            <v>2016.538879</v>
          </cell>
          <cell r="H30">
            <v>1974.6690719999999</v>
          </cell>
          <cell r="I30">
            <v>1924.9870780000001</v>
          </cell>
          <cell r="J30">
            <v>1869.1861919999999</v>
          </cell>
          <cell r="K30">
            <v>1808.953094</v>
          </cell>
          <cell r="L30">
            <v>1745.253888</v>
          </cell>
          <cell r="M30">
            <v>1679.5474039999999</v>
          </cell>
          <cell r="N30">
            <v>1612.701652</v>
          </cell>
          <cell r="O30">
            <v>1545.4882</v>
          </cell>
          <cell r="P30">
            <v>1478.661036</v>
          </cell>
          <cell r="Q30">
            <v>1412.8810149999999</v>
          </cell>
          <cell r="R30">
            <v>1348.533643</v>
          </cell>
          <cell r="S30">
            <v>1286.0998259999999</v>
          </cell>
          <cell r="T30">
            <v>1225.9313030000001</v>
          </cell>
          <cell r="U30">
            <v>1168.2359240000001</v>
          </cell>
          <cell r="V30">
            <v>1113.057411</v>
          </cell>
          <cell r="W30">
            <v>1060.4531549999999</v>
          </cell>
          <cell r="X30">
            <v>1010.354146</v>
          </cell>
          <cell r="Y30">
            <v>962.64985750000005</v>
          </cell>
          <cell r="Z30">
            <v>917.18419640000002</v>
          </cell>
          <cell r="AA30">
            <v>873.67377429999999</v>
          </cell>
          <cell r="AB30">
            <v>831.97737930000005</v>
          </cell>
          <cell r="AC30">
            <v>791.87456640000005</v>
          </cell>
          <cell r="AD30">
            <v>753.1764915</v>
          </cell>
          <cell r="AE30">
            <v>715.74107749999996</v>
          </cell>
          <cell r="AF30">
            <v>679.46330509999996</v>
          </cell>
          <cell r="AG30">
            <v>644.26620930000001</v>
          </cell>
          <cell r="AH30">
            <v>610.09884509999995</v>
          </cell>
          <cell r="AI30">
            <v>576.94065160000002</v>
          </cell>
          <cell r="AJ30">
            <v>544.7971933</v>
          </cell>
          <cell r="AK30">
            <v>513.69183720000001</v>
          </cell>
        </row>
        <row r="31">
          <cell r="A31" t="str">
            <v>auto_cg_cfut_0</v>
          </cell>
          <cell r="B31">
            <v>2239.620606</v>
          </cell>
          <cell r="C31">
            <v>2183.4438169999999</v>
          </cell>
          <cell r="D31">
            <v>2137.4847340000001</v>
          </cell>
          <cell r="E31">
            <v>2095.8509100000001</v>
          </cell>
          <cell r="F31">
            <v>2056.21702</v>
          </cell>
          <cell r="G31">
            <v>2016.538879</v>
          </cell>
          <cell r="H31">
            <v>1974.6690719999999</v>
          </cell>
          <cell r="I31">
            <v>1929.6550789999999</v>
          </cell>
          <cell r="J31">
            <v>1881.359784</v>
          </cell>
          <cell r="K31">
            <v>1830.0155520000001</v>
          </cell>
          <cell r="L31">
            <v>1776.1273309999999</v>
          </cell>
          <cell r="M31">
            <v>1719.886857</v>
          </cell>
          <cell r="N31">
            <v>1661.926451</v>
          </cell>
          <cell r="O31">
            <v>1602.9902</v>
          </cell>
          <cell r="P31">
            <v>1543.8005290000001</v>
          </cell>
          <cell r="Q31">
            <v>1484.9860060000001</v>
          </cell>
          <cell r="R31">
            <v>1427.4402359999999</v>
          </cell>
          <cell r="S31">
            <v>1371.735606</v>
          </cell>
          <cell r="T31">
            <v>1318.161257</v>
          </cell>
          <cell r="U31">
            <v>1266.8146670000001</v>
          </cell>
          <cell r="V31">
            <v>1217.603022</v>
          </cell>
          <cell r="W31">
            <v>1170.491794</v>
          </cell>
          <cell r="X31">
            <v>1125.3173039999999</v>
          </cell>
          <cell r="Y31">
            <v>1081.8765080000001</v>
          </cell>
          <cell r="Z31">
            <v>1039.9174</v>
          </cell>
          <cell r="AA31">
            <v>999.03142749999995</v>
          </cell>
          <cell r="AB31">
            <v>959.05234859999996</v>
          </cell>
          <cell r="AC31">
            <v>919.75192570000002</v>
          </cell>
          <cell r="AD31">
            <v>880.94873250000001</v>
          </cell>
          <cell r="AE31">
            <v>842.52506040000003</v>
          </cell>
          <cell r="AF31">
            <v>804.41911889999994</v>
          </cell>
          <cell r="AG31">
            <v>766.62089990000004</v>
          </cell>
          <cell r="AH31">
            <v>729.16784070000006</v>
          </cell>
          <cell r="AI31">
            <v>692.1369191</v>
          </cell>
          <cell r="AJ31">
            <v>655.63495560000001</v>
          </cell>
          <cell r="AK31">
            <v>619.78803359999995</v>
          </cell>
        </row>
        <row r="32">
          <cell r="A32" t="str">
            <v>auto_ca_cele_2</v>
          </cell>
          <cell r="B32">
            <v>9.8427898650000003</v>
          </cell>
          <cell r="C32">
            <v>15.130715759999999</v>
          </cell>
          <cell r="D32">
            <v>21.018488900000001</v>
          </cell>
          <cell r="E32">
            <v>27.45917193</v>
          </cell>
          <cell r="F32">
            <v>34.509364069999997</v>
          </cell>
          <cell r="G32">
            <v>42.069138709999997</v>
          </cell>
          <cell r="H32">
            <v>50.030893460000001</v>
          </cell>
          <cell r="I32">
            <v>58.439296159999998</v>
          </cell>
          <cell r="J32">
            <v>69.08752586</v>
          </cell>
          <cell r="K32">
            <v>83.809774899999994</v>
          </cell>
          <cell r="L32">
            <v>104.8315638</v>
          </cell>
          <cell r="M32">
            <v>133.9672783</v>
          </cell>
          <cell r="N32">
            <v>171.24336679999999</v>
          </cell>
          <cell r="O32">
            <v>216.4445005</v>
          </cell>
          <cell r="P32">
            <v>269.2957983</v>
          </cell>
          <cell r="Q32">
            <v>329.5405275</v>
          </cell>
          <cell r="R32">
            <v>396.95217450000001</v>
          </cell>
          <cell r="S32">
            <v>471.94016640000001</v>
          </cell>
          <cell r="T32">
            <v>554.76154640000004</v>
          </cell>
          <cell r="U32">
            <v>645.58422140000005</v>
          </cell>
          <cell r="V32">
            <v>744.41018580000002</v>
          </cell>
          <cell r="W32">
            <v>851.62688179999998</v>
          </cell>
          <cell r="X32">
            <v>967.5334345</v>
          </cell>
          <cell r="Y32">
            <v>1092.549937</v>
          </cell>
          <cell r="Z32">
            <v>1227.170157</v>
          </cell>
          <cell r="AA32">
            <v>1371.3071030000001</v>
          </cell>
          <cell r="AB32">
            <v>1526.001434</v>
          </cell>
          <cell r="AC32">
            <v>1692.0267759999999</v>
          </cell>
          <cell r="AD32">
            <v>1870.411085</v>
          </cell>
          <cell r="AE32">
            <v>2062.3258780000001</v>
          </cell>
          <cell r="AF32">
            <v>2268.9280159999998</v>
          </cell>
          <cell r="AG32">
            <v>2491.2805790000002</v>
          </cell>
          <cell r="AH32">
            <v>2730.3756960000001</v>
          </cell>
          <cell r="AI32">
            <v>2987.20766</v>
          </cell>
          <cell r="AJ32">
            <v>3262.7476550000001</v>
          </cell>
          <cell r="AK32">
            <v>3557.8971670000001</v>
          </cell>
        </row>
        <row r="33">
          <cell r="A33" t="str">
            <v>auto_ca_cele_0</v>
          </cell>
          <cell r="B33">
            <v>9.8427898650000003</v>
          </cell>
          <cell r="C33">
            <v>15.130715759999999</v>
          </cell>
          <cell r="D33">
            <v>21.018488900000001</v>
          </cell>
          <cell r="E33">
            <v>27.459171940000001</v>
          </cell>
          <cell r="F33">
            <v>34.509364079999997</v>
          </cell>
          <cell r="G33">
            <v>42.06913874</v>
          </cell>
          <cell r="H33">
            <v>50.030893509999999</v>
          </cell>
          <cell r="I33">
            <v>58.417175880000002</v>
          </cell>
          <cell r="J33">
            <v>67.337870839999994</v>
          </cell>
          <cell r="K33">
            <v>76.938975049999996</v>
          </cell>
          <cell r="L33">
            <v>87.399564409999996</v>
          </cell>
          <cell r="M33">
            <v>98.820367970000007</v>
          </cell>
          <cell r="N33">
            <v>111.31724</v>
          </cell>
          <cell r="O33">
            <v>124.9953953</v>
          </cell>
          <cell r="P33">
            <v>139.95626060000001</v>
          </cell>
          <cell r="Q33">
            <v>156.30873339999999</v>
          </cell>
          <cell r="R33">
            <v>174.25122690000001</v>
          </cell>
          <cell r="S33">
            <v>193.83186069999999</v>
          </cell>
          <cell r="T33">
            <v>215.03852019999999</v>
          </cell>
          <cell r="U33">
            <v>237.8658513</v>
          </cell>
          <cell r="V33">
            <v>262.30491490000003</v>
          </cell>
          <cell r="W33">
            <v>288.48584080000001</v>
          </cell>
          <cell r="X33">
            <v>316.54455539999998</v>
          </cell>
          <cell r="Y33">
            <v>346.66689179999997</v>
          </cell>
          <cell r="Z33">
            <v>379.07665759999998</v>
          </cell>
          <cell r="AA33">
            <v>413.87589809999997</v>
          </cell>
          <cell r="AB33">
            <v>451.47498330000002</v>
          </cell>
          <cell r="AC33">
            <v>492.23804740000003</v>
          </cell>
          <cell r="AD33">
            <v>536.58542809999994</v>
          </cell>
          <cell r="AE33">
            <v>584.98142089999999</v>
          </cell>
          <cell r="AF33">
            <v>637.90381669999999</v>
          </cell>
          <cell r="AG33">
            <v>695.82911950000005</v>
          </cell>
          <cell r="AH33">
            <v>759.22816569999998</v>
          </cell>
          <cell r="AI33">
            <v>828.56329549999998</v>
          </cell>
          <cell r="AJ33">
            <v>904.28579609999997</v>
          </cell>
          <cell r="AK33">
            <v>986.83205150000003</v>
          </cell>
        </row>
        <row r="34">
          <cell r="A34" t="str">
            <v>auto_cb_cele_2</v>
          </cell>
          <cell r="B34">
            <v>11.44571741</v>
          </cell>
          <cell r="C34">
            <v>16.449083439999999</v>
          </cell>
          <cell r="D34">
            <v>22.036286789999998</v>
          </cell>
          <cell r="E34">
            <v>28.165392659999998</v>
          </cell>
          <cell r="F34">
            <v>34.892828940000001</v>
          </cell>
          <cell r="G34">
            <v>42.119999989999997</v>
          </cell>
          <cell r="H34">
            <v>49.741131009999997</v>
          </cell>
          <cell r="I34">
            <v>57.807971590000001</v>
          </cell>
          <cell r="J34">
            <v>68.07411587</v>
          </cell>
          <cell r="K34">
            <v>82.306465119999999</v>
          </cell>
          <cell r="L34">
            <v>102.6122098</v>
          </cell>
          <cell r="M34">
            <v>130.67554390000001</v>
          </cell>
          <cell r="N34">
            <v>166.4796341</v>
          </cell>
          <cell r="O34">
            <v>209.7874789</v>
          </cell>
          <cell r="P34">
            <v>260.31436189999999</v>
          </cell>
          <cell r="Q34">
            <v>317.79925580000003</v>
          </cell>
          <cell r="R34">
            <v>382.00483430000003</v>
          </cell>
          <cell r="S34">
            <v>453.29252000000002</v>
          </cell>
          <cell r="T34">
            <v>531.89008709999996</v>
          </cell>
          <cell r="U34">
            <v>617.94404350000002</v>
          </cell>
          <cell r="V34">
            <v>711.44124910000005</v>
          </cell>
          <cell r="W34">
            <v>812.72807260000002</v>
          </cell>
          <cell r="X34">
            <v>922.05762379999999</v>
          </cell>
          <cell r="Y34">
            <v>1039.786353</v>
          </cell>
          <cell r="Z34">
            <v>1166.326131</v>
          </cell>
          <cell r="AA34">
            <v>1301.5251760000001</v>
          </cell>
          <cell r="AB34">
            <v>1446.2716720000001</v>
          </cell>
          <cell r="AC34">
            <v>1601.173765</v>
          </cell>
          <cell r="AD34">
            <v>1767.0501850000001</v>
          </cell>
          <cell r="AE34">
            <v>1944.830383</v>
          </cell>
          <cell r="AF34">
            <v>2135.4075309999998</v>
          </cell>
          <cell r="AG34">
            <v>2339.5636319999999</v>
          </cell>
          <cell r="AH34">
            <v>2557.9890719999999</v>
          </cell>
          <cell r="AI34">
            <v>2791.352112</v>
          </cell>
          <cell r="AJ34">
            <v>3040.2789170000001</v>
          </cell>
          <cell r="AK34">
            <v>3305.313345</v>
          </cell>
        </row>
        <row r="35">
          <cell r="A35" t="str">
            <v>auto_cb_cele_0</v>
          </cell>
          <cell r="B35">
            <v>11.44571741</v>
          </cell>
          <cell r="C35">
            <v>16.449083439999999</v>
          </cell>
          <cell r="D35">
            <v>22.036286789999998</v>
          </cell>
          <cell r="E35">
            <v>28.165392659999998</v>
          </cell>
          <cell r="F35">
            <v>34.892828950000002</v>
          </cell>
          <cell r="G35">
            <v>42.120000019999999</v>
          </cell>
          <cell r="H35">
            <v>49.741131070000002</v>
          </cell>
          <cell r="I35">
            <v>57.77746089</v>
          </cell>
          <cell r="J35">
            <v>66.33560086</v>
          </cell>
          <cell r="K35">
            <v>75.557232929999998</v>
          </cell>
          <cell r="L35">
            <v>85.615640799999994</v>
          </cell>
          <cell r="M35">
            <v>96.60834199</v>
          </cell>
          <cell r="N35">
            <v>108.64783629999999</v>
          </cell>
          <cell r="O35">
            <v>121.83692480000001</v>
          </cell>
          <cell r="P35">
            <v>136.27510079999999</v>
          </cell>
          <cell r="Q35">
            <v>152.0690725</v>
          </cell>
          <cell r="R35">
            <v>169.4133535</v>
          </cell>
          <cell r="S35">
            <v>188.3592447</v>
          </cell>
          <cell r="T35">
            <v>208.8990982</v>
          </cell>
          <cell r="U35">
            <v>231.0296366</v>
          </cell>
          <cell r="V35">
            <v>254.7412454</v>
          </cell>
          <cell r="W35">
            <v>280.15637930000003</v>
          </cell>
          <cell r="X35">
            <v>307.40025250000002</v>
          </cell>
          <cell r="Y35">
            <v>336.6432878</v>
          </cell>
          <cell r="Z35">
            <v>368.08863239999999</v>
          </cell>
          <cell r="AA35">
            <v>401.81634459999998</v>
          </cell>
          <cell r="AB35">
            <v>438.19983589999998</v>
          </cell>
          <cell r="AC35">
            <v>477.5610385</v>
          </cell>
          <cell r="AD35">
            <v>520.26872040000001</v>
          </cell>
          <cell r="AE35">
            <v>566.72639909999998</v>
          </cell>
          <cell r="AF35">
            <v>617.3424493</v>
          </cell>
          <cell r="AG35">
            <v>672.51538879999998</v>
          </cell>
          <cell r="AH35">
            <v>732.62932590000003</v>
          </cell>
          <cell r="AI35">
            <v>798.0510544</v>
          </cell>
          <cell r="AJ35">
            <v>869.12767140000005</v>
          </cell>
          <cell r="AK35">
            <v>946.18329359999996</v>
          </cell>
        </row>
        <row r="36">
          <cell r="A36" t="str">
            <v>auto_cc_cele_2</v>
          </cell>
          <cell r="B36">
            <v>9.4015406210000005</v>
          </cell>
          <cell r="C36">
            <v>12.80962594</v>
          </cell>
          <cell r="D36">
            <v>16.62680422</v>
          </cell>
          <cell r="E36">
            <v>20.82580093</v>
          </cell>
          <cell r="F36">
            <v>25.446735029999999</v>
          </cell>
          <cell r="G36">
            <v>30.419537810000001</v>
          </cell>
          <cell r="H36">
            <v>35.669244980000002</v>
          </cell>
          <cell r="I36">
            <v>41.236270410000003</v>
          </cell>
          <cell r="J36">
            <v>48.35037277</v>
          </cell>
          <cell r="K36">
            <v>58.232267810000003</v>
          </cell>
          <cell r="L36">
            <v>72.313225209999999</v>
          </cell>
          <cell r="M36">
            <v>91.714283559999998</v>
          </cell>
          <cell r="N36">
            <v>116.3946973</v>
          </cell>
          <cell r="O36">
            <v>146.17066159999999</v>
          </cell>
          <cell r="P36">
            <v>180.83228109999999</v>
          </cell>
          <cell r="Q36">
            <v>220.19046320000001</v>
          </cell>
          <cell r="R36">
            <v>264.069053</v>
          </cell>
          <cell r="S36">
            <v>312.6966607</v>
          </cell>
          <cell r="T36">
            <v>366.21850380000001</v>
          </cell>
          <cell r="U36">
            <v>424.72687029999997</v>
          </cell>
          <cell r="V36">
            <v>488.20400510000002</v>
          </cell>
          <cell r="W36">
            <v>556.87300140000002</v>
          </cell>
          <cell r="X36">
            <v>630.88735629999996</v>
          </cell>
          <cell r="Y36">
            <v>710.46362820000002</v>
          </cell>
          <cell r="Z36">
            <v>795.84690079999996</v>
          </cell>
          <cell r="AA36">
            <v>886.89050759999998</v>
          </cell>
          <cell r="AB36">
            <v>984.13695540000003</v>
          </cell>
          <cell r="AC36">
            <v>1087.921427</v>
          </cell>
          <cell r="AD36">
            <v>1198.7037</v>
          </cell>
          <cell r="AE36">
            <v>1317.004046</v>
          </cell>
          <cell r="AF36">
            <v>1443.3055790000001</v>
          </cell>
          <cell r="AG36">
            <v>1578.00379</v>
          </cell>
          <cell r="AH36">
            <v>1721.4189879999999</v>
          </cell>
          <cell r="AI36">
            <v>1873.8442110000001</v>
          </cell>
          <cell r="AJ36">
            <v>2035.5346280000001</v>
          </cell>
          <cell r="AK36">
            <v>2206.6830770000001</v>
          </cell>
        </row>
        <row r="37">
          <cell r="A37" t="str">
            <v>auto_cc_cele_0</v>
          </cell>
          <cell r="B37">
            <v>9.4015406210000005</v>
          </cell>
          <cell r="C37">
            <v>12.80962594</v>
          </cell>
          <cell r="D37">
            <v>16.62680422</v>
          </cell>
          <cell r="E37">
            <v>20.825800940000001</v>
          </cell>
          <cell r="F37">
            <v>25.44673504</v>
          </cell>
          <cell r="G37">
            <v>30.41953784</v>
          </cell>
          <cell r="H37">
            <v>35.669245019999998</v>
          </cell>
          <cell r="I37">
            <v>41.209939259999999</v>
          </cell>
          <cell r="J37">
            <v>47.115603419999999</v>
          </cell>
          <cell r="K37">
            <v>53.484621179999998</v>
          </cell>
          <cell r="L37">
            <v>60.437009979999999</v>
          </cell>
          <cell r="M37">
            <v>68.040029700000005</v>
          </cell>
          <cell r="N37">
            <v>76.371613609999997</v>
          </cell>
          <cell r="O37">
            <v>85.503378960000006</v>
          </cell>
          <cell r="P37">
            <v>95.504917789999993</v>
          </cell>
          <cell r="Q37">
            <v>106.4508515</v>
          </cell>
          <cell r="R37">
            <v>118.47773100000001</v>
          </cell>
          <cell r="S37">
            <v>131.62429280000001</v>
          </cell>
          <cell r="T37">
            <v>145.88795049999999</v>
          </cell>
          <cell r="U37">
            <v>161.2676726</v>
          </cell>
          <cell r="V37">
            <v>177.75603570000001</v>
          </cell>
          <cell r="W37">
            <v>195.43552149999999</v>
          </cell>
          <cell r="X37">
            <v>214.38850210000001</v>
          </cell>
          <cell r="Y37">
            <v>234.72654660000001</v>
          </cell>
          <cell r="Z37">
            <v>256.58112360000001</v>
          </cell>
          <cell r="AA37">
            <v>279.99470220000001</v>
          </cell>
          <cell r="AB37">
            <v>305.20983269999999</v>
          </cell>
          <cell r="AC37">
            <v>332.42881519999997</v>
          </cell>
          <cell r="AD37">
            <v>361.88143050000002</v>
          </cell>
          <cell r="AE37">
            <v>393.81650919999998</v>
          </cell>
          <cell r="AF37">
            <v>428.48105980000003</v>
          </cell>
          <cell r="AG37">
            <v>466.10994920000002</v>
          </cell>
          <cell r="AH37">
            <v>506.92271060000002</v>
          </cell>
          <cell r="AI37">
            <v>551.12160249999999</v>
          </cell>
          <cell r="AJ37">
            <v>598.89021219999995</v>
          </cell>
          <cell r="AK37">
            <v>650.39166409999996</v>
          </cell>
        </row>
        <row r="38">
          <cell r="A38" t="str">
            <v>auto_cd_cele_2</v>
          </cell>
          <cell r="B38">
            <v>5.770071272</v>
          </cell>
          <cell r="C38">
            <v>7.589727806</v>
          </cell>
          <cell r="D38">
            <v>9.5752469999999992</v>
          </cell>
          <cell r="E38">
            <v>11.68223579</v>
          </cell>
          <cell r="F38">
            <v>13.90834486</v>
          </cell>
          <cell r="G38">
            <v>16.217858719999999</v>
          </cell>
          <cell r="H38">
            <v>18.568790400000001</v>
          </cell>
          <cell r="I38">
            <v>20.904020760000002</v>
          </cell>
          <cell r="J38">
            <v>23.52322418</v>
          </cell>
          <cell r="K38">
            <v>26.695205949999998</v>
          </cell>
          <cell r="L38">
            <v>30.708029889999999</v>
          </cell>
          <cell r="M38">
            <v>35.787354100000002</v>
          </cell>
          <cell r="N38">
            <v>41.909309499999999</v>
          </cell>
          <cell r="O38">
            <v>49.021839579999998</v>
          </cell>
          <cell r="P38">
            <v>57.074058110000003</v>
          </cell>
          <cell r="Q38">
            <v>66.025450460000002</v>
          </cell>
          <cell r="R38">
            <v>75.836238320000007</v>
          </cell>
          <cell r="S38">
            <v>86.559132599999998</v>
          </cell>
          <cell r="T38">
            <v>98.234893299999996</v>
          </cell>
          <cell r="U38">
            <v>110.8957687</v>
          </cell>
          <cell r="V38">
            <v>124.5503269</v>
          </cell>
          <cell r="W38">
            <v>139.2609947</v>
          </cell>
          <cell r="X38">
            <v>155.0728737</v>
          </cell>
          <cell r="Y38">
            <v>172.04334249999999</v>
          </cell>
          <cell r="Z38">
            <v>190.23332250000001</v>
          </cell>
          <cell r="AA38">
            <v>209.6140374</v>
          </cell>
          <cell r="AB38">
            <v>230.30241169999999</v>
          </cell>
          <cell r="AC38">
            <v>252.3620904</v>
          </cell>
          <cell r="AD38">
            <v>275.87832659999998</v>
          </cell>
          <cell r="AE38">
            <v>300.94879880000002</v>
          </cell>
          <cell r="AF38">
            <v>327.66464669999999</v>
          </cell>
          <cell r="AG38">
            <v>356.09988729999998</v>
          </cell>
          <cell r="AH38">
            <v>386.31403330000001</v>
          </cell>
          <cell r="AI38">
            <v>418.36478419999997</v>
          </cell>
          <cell r="AJ38">
            <v>452.3088942</v>
          </cell>
          <cell r="AK38">
            <v>488.19915320000001</v>
          </cell>
        </row>
        <row r="39">
          <cell r="A39" t="str">
            <v>auto_cd_cele_0</v>
          </cell>
          <cell r="B39">
            <v>5.770071272</v>
          </cell>
          <cell r="C39">
            <v>7.589727806</v>
          </cell>
          <cell r="D39">
            <v>9.5752469999999992</v>
          </cell>
          <cell r="E39">
            <v>11.68223579</v>
          </cell>
          <cell r="F39">
            <v>13.908344870000001</v>
          </cell>
          <cell r="G39">
            <v>16.217858719999999</v>
          </cell>
          <cell r="H39">
            <v>18.568790400000001</v>
          </cell>
          <cell r="I39">
            <v>20.951652429999999</v>
          </cell>
          <cell r="J39">
            <v>23.378096119999999</v>
          </cell>
          <cell r="K39">
            <v>25.867458620000001</v>
          </cell>
          <cell r="L39">
            <v>28.445884660000001</v>
          </cell>
          <cell r="M39">
            <v>31.118476139999999</v>
          </cell>
          <cell r="N39">
            <v>33.896901839999998</v>
          </cell>
          <cell r="O39">
            <v>36.792584490000003</v>
          </cell>
          <cell r="P39">
            <v>39.817599479999998</v>
          </cell>
          <cell r="Q39">
            <v>42.986131020000002</v>
          </cell>
          <cell r="R39">
            <v>46.335901339999999</v>
          </cell>
          <cell r="S39">
            <v>49.879343280000001</v>
          </cell>
          <cell r="T39">
            <v>53.6168975</v>
          </cell>
          <cell r="U39">
            <v>57.547722059999998</v>
          </cell>
          <cell r="V39">
            <v>61.666685710000003</v>
          </cell>
          <cell r="W39">
            <v>65.991159870000004</v>
          </cell>
          <cell r="X39">
            <v>70.53521902</v>
          </cell>
          <cell r="Y39">
            <v>75.317706220000005</v>
          </cell>
          <cell r="Z39">
            <v>80.359180550000005</v>
          </cell>
          <cell r="AA39">
            <v>85.654069309999997</v>
          </cell>
          <cell r="AB39">
            <v>91.244287589999999</v>
          </cell>
          <cell r="AC39">
            <v>97.157285990000005</v>
          </cell>
          <cell r="AD39">
            <v>103.4232385</v>
          </cell>
          <cell r="AE39">
            <v>110.0734933</v>
          </cell>
          <cell r="AF39">
            <v>117.1360576</v>
          </cell>
          <cell r="AG39">
            <v>124.6337674</v>
          </cell>
          <cell r="AH39">
            <v>132.5842025</v>
          </cell>
          <cell r="AI39">
            <v>140.99991729999999</v>
          </cell>
          <cell r="AJ39">
            <v>149.8888638</v>
          </cell>
          <cell r="AK39">
            <v>159.2548074</v>
          </cell>
        </row>
        <row r="40">
          <cell r="A40" t="str">
            <v>auto_ce_cele_2</v>
          </cell>
          <cell r="B40">
            <v>3.4730440960000002</v>
          </cell>
          <cell r="C40">
            <v>4.5933149699999998</v>
          </cell>
          <cell r="D40">
            <v>5.8101696540000001</v>
          </cell>
          <cell r="E40">
            <v>7.0948356380000002</v>
          </cell>
          <cell r="F40">
            <v>8.4443247350000004</v>
          </cell>
          <cell r="G40">
            <v>9.835128031</v>
          </cell>
          <cell r="H40">
            <v>11.24032177</v>
          </cell>
          <cell r="I40">
            <v>12.6255705</v>
          </cell>
          <cell r="J40">
            <v>14.1662868</v>
          </cell>
          <cell r="K40">
            <v>16.010654129999999</v>
          </cell>
          <cell r="L40">
            <v>18.307177759999998</v>
          </cell>
          <cell r="M40">
            <v>21.165032369999999</v>
          </cell>
          <cell r="N40">
            <v>24.55994201</v>
          </cell>
          <cell r="O40">
            <v>28.45538346</v>
          </cell>
          <cell r="P40">
            <v>32.818434719999999</v>
          </cell>
          <cell r="Q40">
            <v>37.623864310000002</v>
          </cell>
          <cell r="R40">
            <v>42.846881889999999</v>
          </cell>
          <cell r="S40">
            <v>48.511758899999997</v>
          </cell>
          <cell r="T40">
            <v>54.637765430000002</v>
          </cell>
          <cell r="U40">
            <v>61.239754920000003</v>
          </cell>
          <cell r="V40">
            <v>68.319160789999998</v>
          </cell>
          <cell r="W40">
            <v>75.904126110000007</v>
          </cell>
          <cell r="X40">
            <v>84.011222309999994</v>
          </cell>
          <cell r="Y40">
            <v>92.660647190000006</v>
          </cell>
          <cell r="Z40">
            <v>101.8708657</v>
          </cell>
          <cell r="AA40">
            <v>111.6101975</v>
          </cell>
          <cell r="AB40">
            <v>121.91647089999999</v>
          </cell>
          <cell r="AC40">
            <v>132.79376909999999</v>
          </cell>
          <cell r="AD40">
            <v>144.25143009999999</v>
          </cell>
          <cell r="AE40">
            <v>156.3011171</v>
          </cell>
          <cell r="AF40">
            <v>168.94806389999999</v>
          </cell>
          <cell r="AG40">
            <v>182.18599829999999</v>
          </cell>
          <cell r="AH40">
            <v>195.998524</v>
          </cell>
          <cell r="AI40">
            <v>210.36619239999999</v>
          </cell>
          <cell r="AJ40">
            <v>225.26802699999999</v>
          </cell>
          <cell r="AK40">
            <v>240.68090140000001</v>
          </cell>
        </row>
        <row r="41">
          <cell r="A41" t="str">
            <v>auto_ce_cele_0</v>
          </cell>
          <cell r="B41">
            <v>3.4730440960000002</v>
          </cell>
          <cell r="C41">
            <v>4.5933149699999998</v>
          </cell>
          <cell r="D41">
            <v>5.8101696540000001</v>
          </cell>
          <cell r="E41">
            <v>7.0948356380000002</v>
          </cell>
          <cell r="F41">
            <v>8.4443247370000005</v>
          </cell>
          <cell r="G41">
            <v>9.8351280350000003</v>
          </cell>
          <cell r="H41">
            <v>11.24032178</v>
          </cell>
          <cell r="I41">
            <v>12.653069970000001</v>
          </cell>
          <cell r="J41">
            <v>14.07951029</v>
          </cell>
          <cell r="K41">
            <v>15.530363619999999</v>
          </cell>
          <cell r="L41">
            <v>17.020196869999999</v>
          </cell>
          <cell r="M41">
            <v>18.55147255</v>
          </cell>
          <cell r="N41">
            <v>20.131019689999999</v>
          </cell>
          <cell r="O41">
            <v>21.765996850000001</v>
          </cell>
          <cell r="P41">
            <v>23.46414231</v>
          </cell>
          <cell r="Q41">
            <v>25.234335120000001</v>
          </cell>
          <cell r="R41">
            <v>27.098963739999999</v>
          </cell>
          <cell r="S41">
            <v>29.06635327</v>
          </cell>
          <cell r="T41">
            <v>31.13767846</v>
          </cell>
          <cell r="U41">
            <v>33.312671819999998</v>
          </cell>
          <cell r="V41">
            <v>35.58777868</v>
          </cell>
          <cell r="W41">
            <v>37.971210110000001</v>
          </cell>
          <cell r="X41">
            <v>40.46840229</v>
          </cell>
          <cell r="Y41">
            <v>43.086438049999998</v>
          </cell>
          <cell r="Z41">
            <v>45.83207427</v>
          </cell>
          <cell r="AA41">
            <v>48.696200210000001</v>
          </cell>
          <cell r="AB41">
            <v>51.694530919999998</v>
          </cell>
          <cell r="AC41">
            <v>54.83328143</v>
          </cell>
          <cell r="AD41">
            <v>58.118673690000001</v>
          </cell>
          <cell r="AE41">
            <v>61.556406330000002</v>
          </cell>
          <cell r="AF41">
            <v>65.149425559999997</v>
          </cell>
          <cell r="AG41">
            <v>68.897165849999993</v>
          </cell>
          <cell r="AH41">
            <v>72.795752680000007</v>
          </cell>
          <cell r="AI41">
            <v>76.838385070000001</v>
          </cell>
          <cell r="AJ41">
            <v>81.015842919999997</v>
          </cell>
          <cell r="AK41">
            <v>85.31701022</v>
          </cell>
        </row>
        <row r="42">
          <cell r="A42" t="str">
            <v>auto_cf_cele_2</v>
          </cell>
          <cell r="B42">
            <v>1.7251505170000001</v>
          </cell>
          <cell r="C42">
            <v>2.2526022399999999</v>
          </cell>
          <cell r="D42">
            <v>2.8080632319999999</v>
          </cell>
          <cell r="E42">
            <v>3.371400312</v>
          </cell>
          <cell r="F42">
            <v>3.936296644</v>
          </cell>
          <cell r="G42">
            <v>4.4913365819999997</v>
          </cell>
          <cell r="H42">
            <v>5.0240042029999996</v>
          </cell>
          <cell r="I42">
            <v>5.5116522430000003</v>
          </cell>
          <cell r="J42">
            <v>5.9939282680000003</v>
          </cell>
          <cell r="K42">
            <v>6.4988632710000003</v>
          </cell>
          <cell r="L42">
            <v>7.0475511749999997</v>
          </cell>
          <cell r="M42">
            <v>7.6538661599999998</v>
          </cell>
          <cell r="N42">
            <v>8.3091641309999993</v>
          </cell>
          <cell r="O42">
            <v>9.0047844030000004</v>
          </cell>
          <cell r="P42">
            <v>9.7347752589999992</v>
          </cell>
          <cell r="Q42">
            <v>10.49572135</v>
          </cell>
          <cell r="R42">
            <v>11.284088240000001</v>
          </cell>
          <cell r="S42">
            <v>12.10444568</v>
          </cell>
          <cell r="T42">
            <v>12.960758159999999</v>
          </cell>
          <cell r="U42">
            <v>13.85596439</v>
          </cell>
          <cell r="V42">
            <v>14.790214730000001</v>
          </cell>
          <cell r="W42">
            <v>15.766952570000001</v>
          </cell>
          <cell r="X42">
            <v>16.786651930000001</v>
          </cell>
          <cell r="Y42">
            <v>17.84917291</v>
          </cell>
          <cell r="Z42">
            <v>18.95274594</v>
          </cell>
          <cell r="AA42">
            <v>20.08722624</v>
          </cell>
          <cell r="AB42">
            <v>21.250411960000001</v>
          </cell>
          <cell r="AC42">
            <v>22.433561959999999</v>
          </cell>
          <cell r="AD42">
            <v>23.627443280000001</v>
          </cell>
          <cell r="AE42">
            <v>24.822996700000001</v>
          </cell>
          <cell r="AF42">
            <v>26.01075694</v>
          </cell>
          <cell r="AG42">
            <v>27.180472529999999</v>
          </cell>
          <cell r="AH42">
            <v>28.32145702</v>
          </cell>
          <cell r="AI42">
            <v>29.423816500000001</v>
          </cell>
          <cell r="AJ42">
            <v>30.478993429999999</v>
          </cell>
          <cell r="AK42">
            <v>31.47987681</v>
          </cell>
        </row>
        <row r="43">
          <cell r="A43" t="str">
            <v>auto_cf_cele_0</v>
          </cell>
          <cell r="B43">
            <v>1.7251505170000001</v>
          </cell>
          <cell r="C43">
            <v>2.2526022399999999</v>
          </cell>
          <cell r="D43">
            <v>2.8080632319999999</v>
          </cell>
          <cell r="E43">
            <v>3.371400312</v>
          </cell>
          <cell r="F43">
            <v>3.9362966450000001</v>
          </cell>
          <cell r="G43">
            <v>4.4913365839999999</v>
          </cell>
          <cell r="H43">
            <v>5.0240042049999998</v>
          </cell>
          <cell r="I43">
            <v>5.5295146160000002</v>
          </cell>
          <cell r="J43">
            <v>6.0080339330000001</v>
          </cell>
          <cell r="K43">
            <v>6.4615187350000003</v>
          </cell>
          <cell r="L43">
            <v>6.8932971380000003</v>
          </cell>
          <cell r="M43">
            <v>7.3033072370000003</v>
          </cell>
          <cell r="N43">
            <v>7.6938772379999998</v>
          </cell>
          <cell r="O43">
            <v>8.0680711970000001</v>
          </cell>
          <cell r="P43">
            <v>8.4292975319999996</v>
          </cell>
          <cell r="Q43">
            <v>8.7810815830000006</v>
          </cell>
          <cell r="R43">
            <v>9.1304761889999995</v>
          </cell>
          <cell r="S43">
            <v>9.4812872640000005</v>
          </cell>
          <cell r="T43">
            <v>9.8351839020000007</v>
          </cell>
          <cell r="U43">
            <v>10.1927945</v>
          </cell>
          <cell r="V43">
            <v>10.553272229999999</v>
          </cell>
          <cell r="W43">
            <v>10.91758269</v>
          </cell>
          <cell r="X43">
            <v>11.2853935</v>
          </cell>
          <cell r="Y43">
            <v>11.656049810000001</v>
          </cell>
          <cell r="Z43">
            <v>12.02811985</v>
          </cell>
          <cell r="AA43">
            <v>12.396634260000001</v>
          </cell>
          <cell r="AB43">
            <v>12.760724959999999</v>
          </cell>
          <cell r="AC43">
            <v>13.117402009999999</v>
          </cell>
          <cell r="AD43">
            <v>13.463486339999999</v>
          </cell>
          <cell r="AE43">
            <v>13.79583865</v>
          </cell>
          <cell r="AF43">
            <v>14.11121973</v>
          </cell>
          <cell r="AG43">
            <v>14.406360279999999</v>
          </cell>
          <cell r="AH43">
            <v>14.678141370000001</v>
          </cell>
          <cell r="AI43">
            <v>14.923754750000001</v>
          </cell>
          <cell r="AJ43">
            <v>15.14084113</v>
          </cell>
          <cell r="AK43">
            <v>15.32759177</v>
          </cell>
        </row>
        <row r="44">
          <cell r="A44" t="str">
            <v>auto_cg_cele_2</v>
          </cell>
          <cell r="B44">
            <v>3.1066862139999998</v>
          </cell>
          <cell r="C44">
            <v>4.0900482120000001</v>
          </cell>
          <cell r="D44">
            <v>5.1055286579999999</v>
          </cell>
          <cell r="E44">
            <v>6.1108742210000004</v>
          </cell>
          <cell r="F44">
            <v>7.0912362800000004</v>
          </cell>
          <cell r="G44">
            <v>8.0251278979999991</v>
          </cell>
          <cell r="H44">
            <v>8.8907218239999999</v>
          </cell>
          <cell r="I44">
            <v>9.6499467750000001</v>
          </cell>
          <cell r="J44">
            <v>10.363625669999999</v>
          </cell>
          <cell r="K44">
            <v>11.07070571</v>
          </cell>
          <cell r="L44">
            <v>11.794898679999999</v>
          </cell>
          <cell r="M44">
            <v>12.54933348</v>
          </cell>
          <cell r="N44">
            <v>13.32061859</v>
          </cell>
          <cell r="O44">
            <v>14.09833989</v>
          </cell>
          <cell r="P44">
            <v>14.87739667</v>
          </cell>
          <cell r="Q44">
            <v>15.656567620000001</v>
          </cell>
          <cell r="R44">
            <v>16.434383069999999</v>
          </cell>
          <cell r="S44">
            <v>17.218091680000001</v>
          </cell>
          <cell r="T44">
            <v>18.01396888</v>
          </cell>
          <cell r="U44">
            <v>18.826545429999999</v>
          </cell>
          <cell r="V44">
            <v>19.65652218</v>
          </cell>
          <cell r="W44">
            <v>20.507177219999999</v>
          </cell>
          <cell r="X44">
            <v>21.377598030000001</v>
          </cell>
          <cell r="Y44">
            <v>22.265294269999998</v>
          </cell>
          <cell r="Z44">
            <v>23.1651162</v>
          </cell>
          <cell r="AA44">
            <v>24.06284509</v>
          </cell>
          <cell r="AB44">
            <v>24.951104879999999</v>
          </cell>
          <cell r="AC44">
            <v>25.815477009999999</v>
          </cell>
          <cell r="AD44">
            <v>26.641213489999998</v>
          </cell>
          <cell r="AE44">
            <v>27.414851200000001</v>
          </cell>
          <cell r="AF44">
            <v>28.124138009999999</v>
          </cell>
          <cell r="AG44">
            <v>28.757859459999999</v>
          </cell>
          <cell r="AH44">
            <v>29.306205510000002</v>
          </cell>
          <cell r="AI44">
            <v>29.761891640000002</v>
          </cell>
          <cell r="AJ44">
            <v>30.120552279999998</v>
          </cell>
          <cell r="AK44">
            <v>30.380593860000001</v>
          </cell>
        </row>
        <row r="45">
          <cell r="A45" t="str">
            <v>auto_cg_cele_0</v>
          </cell>
          <cell r="B45">
            <v>3.1066862139999998</v>
          </cell>
          <cell r="C45">
            <v>4.0900482130000002</v>
          </cell>
          <cell r="D45">
            <v>5.105528659</v>
          </cell>
          <cell r="E45">
            <v>6.1108742219999996</v>
          </cell>
          <cell r="F45">
            <v>7.0912362819999997</v>
          </cell>
          <cell r="G45">
            <v>8.0251279029999996</v>
          </cell>
          <cell r="H45">
            <v>8.8907218310000005</v>
          </cell>
          <cell r="I45">
            <v>9.6804954569999992</v>
          </cell>
          <cell r="J45">
            <v>10.395959939999999</v>
          </cell>
          <cell r="K45">
            <v>11.04192538</v>
          </cell>
          <cell r="L45">
            <v>11.62544113</v>
          </cell>
          <cell r="M45">
            <v>12.149058630000001</v>
          </cell>
          <cell r="N45">
            <v>12.61957142</v>
          </cell>
          <cell r="O45">
            <v>13.045071460000001</v>
          </cell>
          <cell r="P45">
            <v>13.43386432</v>
          </cell>
          <cell r="Q45">
            <v>13.79381699</v>
          </cell>
          <cell r="R45">
            <v>14.136896480000001</v>
          </cell>
          <cell r="S45">
            <v>14.47049163</v>
          </cell>
          <cell r="T45">
            <v>14.79858295</v>
          </cell>
          <cell r="U45">
            <v>15.12305512</v>
          </cell>
          <cell r="V45">
            <v>15.44322017</v>
          </cell>
          <cell r="W45">
            <v>15.75992265</v>
          </cell>
          <cell r="X45">
            <v>16.07187463</v>
          </cell>
          <cell r="Y45">
            <v>16.376911280000002</v>
          </cell>
          <cell r="Z45">
            <v>16.671471700000001</v>
          </cell>
          <cell r="AA45">
            <v>16.947676810000001</v>
          </cell>
          <cell r="AB45">
            <v>17.202138269999999</v>
          </cell>
          <cell r="AC45">
            <v>17.429212769999999</v>
          </cell>
          <cell r="AD45">
            <v>17.623418239999999</v>
          </cell>
          <cell r="AE45">
            <v>17.780003969999999</v>
          </cell>
          <cell r="AF45">
            <v>17.894971030000001</v>
          </cell>
          <cell r="AG45">
            <v>17.965217590000002</v>
          </cell>
          <cell r="AH45">
            <v>17.988713069999999</v>
          </cell>
          <cell r="AI45">
            <v>17.964579109999999</v>
          </cell>
          <cell r="AJ45">
            <v>17.893095890000001</v>
          </cell>
          <cell r="AK45">
            <v>17.775635300000001</v>
          </cell>
        </row>
        <row r="46">
          <cell r="A46" t="str">
            <v>auto_ca_cgas_2</v>
          </cell>
          <cell r="B46">
            <v>0.42568169729999999</v>
          </cell>
          <cell r="C46">
            <v>0.44916507309999998</v>
          </cell>
          <cell r="D46">
            <v>0.47659266839999997</v>
          </cell>
          <cell r="E46">
            <v>0.50644276450000003</v>
          </cell>
          <cell r="F46">
            <v>0.5383379653</v>
          </cell>
          <cell r="G46">
            <v>0.57152028590000004</v>
          </cell>
          <cell r="H46">
            <v>0.60501372220000005</v>
          </cell>
          <cell r="I46">
            <v>0.63600217299999995</v>
          </cell>
          <cell r="J46">
            <v>0.6662352466</v>
          </cell>
          <cell r="K46">
            <v>0.69648226369999999</v>
          </cell>
          <cell r="L46">
            <v>0.72694742479999996</v>
          </cell>
          <cell r="M46">
            <v>0.7579792555</v>
          </cell>
          <cell r="N46">
            <v>0.78887359499999998</v>
          </cell>
          <cell r="O46">
            <v>0.81890980739999997</v>
          </cell>
          <cell r="P46">
            <v>0.84757709520000002</v>
          </cell>
          <cell r="Q46">
            <v>0.8745657228</v>
          </cell>
          <cell r="R46">
            <v>0.8995063257</v>
          </cell>
          <cell r="S46">
            <v>0.92256367039999998</v>
          </cell>
          <cell r="T46">
            <v>0.94387217820000002</v>
          </cell>
          <cell r="U46">
            <v>0.96353357719999999</v>
          </cell>
          <cell r="V46">
            <v>0.98154919399999996</v>
          </cell>
          <cell r="W46">
            <v>0.99815763079999997</v>
          </cell>
          <cell r="X46">
            <v>1.01349343</v>
          </cell>
          <cell r="Y46">
            <v>1.0277156430000001</v>
          </cell>
          <cell r="Z46">
            <v>1.0409734879999999</v>
          </cell>
          <cell r="AA46">
            <v>1.053141814</v>
          </cell>
          <cell r="AB46">
            <v>1.0645361760000001</v>
          </cell>
          <cell r="AC46">
            <v>1.0752943690000001</v>
          </cell>
          <cell r="AD46">
            <v>1.085587173</v>
          </cell>
          <cell r="AE46">
            <v>1.095570183</v>
          </cell>
          <cell r="AF46">
            <v>1.105338387</v>
          </cell>
          <cell r="AG46">
            <v>1.114917629</v>
          </cell>
          <cell r="AH46">
            <v>1.1242856539999999</v>
          </cell>
          <cell r="AI46">
            <v>1.1333997170000001</v>
          </cell>
          <cell r="AJ46">
            <v>1.142196598</v>
          </cell>
          <cell r="AK46">
            <v>1.1505898779999999</v>
          </cell>
        </row>
        <row r="47">
          <cell r="A47" t="str">
            <v>auto_ca_cgas_0</v>
          </cell>
          <cell r="B47">
            <v>0.42568169729999999</v>
          </cell>
          <cell r="C47">
            <v>0.44916507309999998</v>
          </cell>
          <cell r="D47">
            <v>0.47659266839999997</v>
          </cell>
          <cell r="E47">
            <v>0.50644276440000002</v>
          </cell>
          <cell r="F47">
            <v>0.53833796509999998</v>
          </cell>
          <cell r="G47">
            <v>0.57152028570000002</v>
          </cell>
          <cell r="H47">
            <v>0.60501372200000003</v>
          </cell>
          <cell r="I47">
            <v>0.63839190729999995</v>
          </cell>
          <cell r="J47">
            <v>0.67155193930000001</v>
          </cell>
          <cell r="K47">
            <v>0.70447659770000004</v>
          </cell>
          <cell r="L47">
            <v>0.73724116100000003</v>
          </cell>
          <cell r="M47">
            <v>0.76943393930000004</v>
          </cell>
          <cell r="N47">
            <v>0.80078703159999998</v>
          </cell>
          <cell r="O47">
            <v>0.83104263730000005</v>
          </cell>
          <cell r="P47">
            <v>0.85998790680000003</v>
          </cell>
          <cell r="Q47">
            <v>0.88748523940000001</v>
          </cell>
          <cell r="R47">
            <v>0.9139091788</v>
          </cell>
          <cell r="S47">
            <v>0.93935646279999996</v>
          </cell>
          <cell r="T47">
            <v>0.96380504519999999</v>
          </cell>
          <cell r="U47">
            <v>0.98723908169999997</v>
          </cell>
          <cell r="V47">
            <v>1.0095902800000001</v>
          </cell>
          <cell r="W47">
            <v>1.0310771249999999</v>
          </cell>
          <cell r="X47">
            <v>1.051838582</v>
          </cell>
          <cell r="Y47">
            <v>1.0720441709999999</v>
          </cell>
          <cell r="Z47">
            <v>1.0918615300000001</v>
          </cell>
          <cell r="AA47">
            <v>1.111173604</v>
          </cell>
          <cell r="AB47">
            <v>1.1303605480000001</v>
          </cell>
          <cell r="AC47">
            <v>1.149617798</v>
          </cell>
          <cell r="AD47">
            <v>1.1691425019999999</v>
          </cell>
          <cell r="AE47">
            <v>1.1891093619999999</v>
          </cell>
          <cell r="AF47">
            <v>1.2096309700000001</v>
          </cell>
          <cell r="AG47">
            <v>1.2307498699999999</v>
          </cell>
          <cell r="AH47">
            <v>1.2524466480000001</v>
          </cell>
          <cell r="AI47">
            <v>1.274649484</v>
          </cell>
          <cell r="AJ47">
            <v>1.2972433370000001</v>
          </cell>
          <cell r="AK47">
            <v>1.3200773139999999</v>
          </cell>
        </row>
        <row r="48">
          <cell r="A48" t="str">
            <v>auto_cb_cgas_2</v>
          </cell>
          <cell r="B48">
            <v>0.49500522540000003</v>
          </cell>
          <cell r="C48">
            <v>0.51209632289999996</v>
          </cell>
          <cell r="D48">
            <v>0.53321964850000003</v>
          </cell>
          <cell r="E48">
            <v>0.5568660299</v>
          </cell>
          <cell r="F48">
            <v>0.58263577050000004</v>
          </cell>
          <cell r="G48">
            <v>0.60978915869999994</v>
          </cell>
          <cell r="H48">
            <v>0.63737195729999996</v>
          </cell>
          <cell r="I48">
            <v>0.66262589559999996</v>
          </cell>
          <cell r="J48">
            <v>0.68707205069999999</v>
          </cell>
          <cell r="K48">
            <v>0.71139548740000003</v>
          </cell>
          <cell r="L48">
            <v>0.73575731950000001</v>
          </cell>
          <cell r="M48">
            <v>0.76049374160000005</v>
          </cell>
          <cell r="N48">
            <v>0.78501894189999999</v>
          </cell>
          <cell r="O48">
            <v>0.80871932999999996</v>
          </cell>
          <cell r="P48">
            <v>0.83116527240000004</v>
          </cell>
          <cell r="Q48">
            <v>0.85210352889999996</v>
          </cell>
          <cell r="R48">
            <v>0.87121255119999996</v>
          </cell>
          <cell r="S48">
            <v>0.88864663669999999</v>
          </cell>
          <cell r="T48">
            <v>0.90454058969999995</v>
          </cell>
          <cell r="U48">
            <v>0.91899855630000005</v>
          </cell>
          <cell r="V48">
            <v>0.93202977190000003</v>
          </cell>
          <cell r="W48">
            <v>0.94385219399999998</v>
          </cell>
          <cell r="X48">
            <v>0.95458499119999995</v>
          </cell>
          <cell r="Y48">
            <v>0.96436538719999998</v>
          </cell>
          <cell r="Z48">
            <v>0.97331810090000004</v>
          </cell>
          <cell r="AA48">
            <v>0.98131993390000005</v>
          </cell>
          <cell r="AB48">
            <v>0.9886373074</v>
          </cell>
          <cell r="AC48">
            <v>0.99537399920000003</v>
          </cell>
          <cell r="AD48">
            <v>1.00166098</v>
          </cell>
          <cell r="AE48">
            <v>1.0076162360000001</v>
          </cell>
          <cell r="AF48">
            <v>1.0133056250000001</v>
          </cell>
          <cell r="AG48">
            <v>1.018735666</v>
          </cell>
          <cell r="AH48">
            <v>1.023872192</v>
          </cell>
          <cell r="AI48">
            <v>1.0286654230000001</v>
          </cell>
          <cell r="AJ48">
            <v>1.0330509000000001</v>
          </cell>
          <cell r="AK48">
            <v>1.0369475930000001</v>
          </cell>
        </row>
        <row r="49">
          <cell r="A49" t="str">
            <v>auto_cb_cgas_0</v>
          </cell>
          <cell r="B49">
            <v>0.49500522540000003</v>
          </cell>
          <cell r="C49">
            <v>0.51209632289999996</v>
          </cell>
          <cell r="D49">
            <v>0.53321964850000003</v>
          </cell>
          <cell r="E49">
            <v>0.5568660298</v>
          </cell>
          <cell r="F49">
            <v>0.58263577040000003</v>
          </cell>
          <cell r="G49">
            <v>0.60978915850000004</v>
          </cell>
          <cell r="H49">
            <v>0.63737195710000005</v>
          </cell>
          <cell r="I49">
            <v>0.66494468230000003</v>
          </cell>
          <cell r="J49">
            <v>0.69237674829999996</v>
          </cell>
          <cell r="K49">
            <v>0.71962515250000003</v>
          </cell>
          <cell r="L49">
            <v>0.74673994939999999</v>
          </cell>
          <cell r="M49">
            <v>0.77332340399999999</v>
          </cell>
          <cell r="N49">
            <v>0.7991246648</v>
          </cell>
          <cell r="O49">
            <v>0.82391132099999997</v>
          </cell>
          <cell r="P49">
            <v>0.84749738419999998</v>
          </cell>
          <cell r="Q49">
            <v>0.86976744289999997</v>
          </cell>
          <cell r="R49">
            <v>0.89108565579999999</v>
          </cell>
          <cell r="S49">
            <v>0.91156532550000002</v>
          </cell>
          <cell r="T49">
            <v>0.93120301309999998</v>
          </cell>
          <cell r="U49">
            <v>0.94999071989999995</v>
          </cell>
          <cell r="V49">
            <v>0.96786293590000005</v>
          </cell>
          <cell r="W49">
            <v>0.98501080460000001</v>
          </cell>
          <cell r="X49">
            <v>1.001547178</v>
          </cell>
          <cell r="Y49">
            <v>1.01760893</v>
          </cell>
          <cell r="Z49">
            <v>1.033327229</v>
          </cell>
          <cell r="AA49">
            <v>1.048570019</v>
          </cell>
          <cell r="AB49">
            <v>1.063656224</v>
          </cell>
          <cell r="AC49">
            <v>1.078733637</v>
          </cell>
          <cell r="AD49">
            <v>1.0939495809999999</v>
          </cell>
          <cell r="AE49">
            <v>1.109430575</v>
          </cell>
          <cell r="AF49">
            <v>1.125247543</v>
          </cell>
          <cell r="AG49">
            <v>1.1414096760000001</v>
          </cell>
          <cell r="AH49">
            <v>1.15787269</v>
          </cell>
          <cell r="AI49">
            <v>1.1745483080000001</v>
          </cell>
          <cell r="AJ49">
            <v>1.1913133840000001</v>
          </cell>
          <cell r="AK49">
            <v>1.2080173789999999</v>
          </cell>
        </row>
        <row r="50">
          <cell r="A50" t="str">
            <v>auto_cc_cgas_2</v>
          </cell>
          <cell r="B50">
            <v>0.40659851759999999</v>
          </cell>
          <cell r="C50">
            <v>0.41439097930000002</v>
          </cell>
          <cell r="D50">
            <v>0.42516154119999999</v>
          </cell>
          <cell r="E50">
            <v>0.43783175689999998</v>
          </cell>
          <cell r="F50">
            <v>0.45209883890000002</v>
          </cell>
          <cell r="G50">
            <v>0.46744200650000001</v>
          </cell>
          <cell r="H50">
            <v>0.48318857630000001</v>
          </cell>
          <cell r="I50">
            <v>0.49739255440000002</v>
          </cell>
          <cell r="J50">
            <v>0.5110018248</v>
          </cell>
          <cell r="K50">
            <v>0.52445668219999997</v>
          </cell>
          <cell r="L50">
            <v>0.53784788650000004</v>
          </cell>
          <cell r="M50">
            <v>0.55141095139999996</v>
          </cell>
          <cell r="N50">
            <v>0.56479967630000005</v>
          </cell>
          <cell r="O50">
            <v>0.57764019</v>
          </cell>
          <cell r="P50">
            <v>0.58967402670000002</v>
          </cell>
          <cell r="Q50">
            <v>0.60075365739999997</v>
          </cell>
          <cell r="R50">
            <v>0.61067711979999995</v>
          </cell>
          <cell r="S50">
            <v>0.61954804750000003</v>
          </cell>
          <cell r="T50">
            <v>0.62746248010000005</v>
          </cell>
          <cell r="U50">
            <v>0.63449564430000005</v>
          </cell>
          <cell r="V50">
            <v>0.64065807129999996</v>
          </cell>
          <cell r="W50">
            <v>0.6460927299</v>
          </cell>
          <cell r="X50">
            <v>0.65087510900000001</v>
          </cell>
          <cell r="Y50">
            <v>0.65508990810000001</v>
          </cell>
          <cell r="Z50">
            <v>0.65881144719999996</v>
          </cell>
          <cell r="AA50">
            <v>0.66195238270000001</v>
          </cell>
          <cell r="AB50">
            <v>0.66467431210000005</v>
          </cell>
          <cell r="AC50">
            <v>0.66703165590000002</v>
          </cell>
          <cell r="AD50">
            <v>0.66909520649999998</v>
          </cell>
          <cell r="AE50">
            <v>0.67092802220000003</v>
          </cell>
          <cell r="AF50">
            <v>0.67256106410000005</v>
          </cell>
          <cell r="AG50">
            <v>0.6739887578</v>
          </cell>
          <cell r="AH50">
            <v>0.67518093509999999</v>
          </cell>
          <cell r="AI50">
            <v>0.6760992321</v>
          </cell>
          <cell r="AJ50">
            <v>0.67669820869999997</v>
          </cell>
          <cell r="AK50">
            <v>0.67692438600000004</v>
          </cell>
        </row>
        <row r="51">
          <cell r="A51" t="str">
            <v>auto_cc_cgas_0</v>
          </cell>
          <cell r="B51">
            <v>0.40659851759999999</v>
          </cell>
          <cell r="C51">
            <v>0.41439097930000002</v>
          </cell>
          <cell r="D51">
            <v>0.42516154119999999</v>
          </cell>
          <cell r="E51">
            <v>0.43783175689999998</v>
          </cell>
          <cell r="F51">
            <v>0.45209883880000001</v>
          </cell>
          <cell r="G51">
            <v>0.46744200629999999</v>
          </cell>
          <cell r="H51">
            <v>0.48318857609999999</v>
          </cell>
          <cell r="I51">
            <v>0.499013604</v>
          </cell>
          <cell r="J51">
            <v>0.51480504890000001</v>
          </cell>
          <cell r="K51">
            <v>0.53051524930000005</v>
          </cell>
          <cell r="L51">
            <v>0.54616394660000001</v>
          </cell>
          <cell r="M51">
            <v>0.56147413329999996</v>
          </cell>
          <cell r="N51">
            <v>0.57627620670000002</v>
          </cell>
          <cell r="O51">
            <v>0.59041893190000005</v>
          </cell>
          <cell r="P51">
            <v>0.60378518550000004</v>
          </cell>
          <cell r="Q51">
            <v>0.6163054711</v>
          </cell>
          <cell r="R51">
            <v>0.62823403349999996</v>
          </cell>
          <cell r="S51">
            <v>0.63966166020000004</v>
          </cell>
          <cell r="T51">
            <v>0.65059659380000001</v>
          </cell>
          <cell r="U51">
            <v>0.66103718769999997</v>
          </cell>
          <cell r="V51">
            <v>0.6709374978</v>
          </cell>
          <cell r="W51">
            <v>0.68041722869999999</v>
          </cell>
          <cell r="X51">
            <v>0.68954083190000004</v>
          </cell>
          <cell r="Y51">
            <v>0.69838613989999998</v>
          </cell>
          <cell r="Z51">
            <v>0.70702476299999995</v>
          </cell>
          <cell r="AA51">
            <v>0.71535293280000001</v>
          </cell>
          <cell r="AB51">
            <v>0.72356229419999996</v>
          </cell>
          <cell r="AC51">
            <v>0.73173043699999996</v>
          </cell>
          <cell r="AD51">
            <v>0.73993368930000003</v>
          </cell>
          <cell r="AE51">
            <v>0.74823486770000003</v>
          </cell>
          <cell r="AF51">
            <v>0.75666130639999996</v>
          </cell>
          <cell r="AG51">
            <v>0.76520152470000002</v>
          </cell>
          <cell r="AH51">
            <v>0.77381120989999996</v>
          </cell>
          <cell r="AI51">
            <v>0.78241991830000002</v>
          </cell>
          <cell r="AJ51">
            <v>0.79093749950000003</v>
          </cell>
          <cell r="AK51">
            <v>0.79925941919999999</v>
          </cell>
        </row>
        <row r="52">
          <cell r="A52" t="str">
            <v>auto_cd_cgas_2</v>
          </cell>
          <cell r="B52">
            <v>0.2495444651</v>
          </cell>
          <cell r="C52">
            <v>0.25227018229999998</v>
          </cell>
          <cell r="D52">
            <v>0.25660741999999997</v>
          </cell>
          <cell r="E52">
            <v>0.2619171723</v>
          </cell>
          <cell r="F52">
            <v>0.2679999408</v>
          </cell>
          <cell r="G52">
            <v>0.27455661679999999</v>
          </cell>
          <cell r="H52">
            <v>0.28120953259999998</v>
          </cell>
          <cell r="I52">
            <v>0.2868912757</v>
          </cell>
          <cell r="J52">
            <v>0.29206170419999999</v>
          </cell>
          <cell r="K52">
            <v>0.2969641113</v>
          </cell>
          <cell r="L52">
            <v>0.30166818080000002</v>
          </cell>
          <cell r="M52">
            <v>0.30632669480000002</v>
          </cell>
          <cell r="N52">
            <v>0.31081182909999999</v>
          </cell>
          <cell r="O52">
            <v>0.3149838606</v>
          </cell>
          <cell r="P52">
            <v>0.3187583236</v>
          </cell>
          <cell r="Q52">
            <v>0.32210033659999998</v>
          </cell>
          <cell r="R52">
            <v>0.32494257360000001</v>
          </cell>
          <cell r="S52">
            <v>0.32735891760000002</v>
          </cell>
          <cell r="T52">
            <v>0.329417921</v>
          </cell>
          <cell r="U52">
            <v>0.33117333859999998</v>
          </cell>
          <cell r="V52">
            <v>0.33264175480000002</v>
          </cell>
          <cell r="W52">
            <v>0.33389813950000002</v>
          </cell>
          <cell r="X52">
            <v>0.33497994390000002</v>
          </cell>
          <cell r="Y52">
            <v>0.33592529389999998</v>
          </cell>
          <cell r="Z52">
            <v>0.33676368420000002</v>
          </cell>
          <cell r="AA52">
            <v>0.3374421635</v>
          </cell>
          <cell r="AB52">
            <v>0.33802570780000002</v>
          </cell>
          <cell r="AC52">
            <v>0.33852349910000001</v>
          </cell>
          <cell r="AD52">
            <v>0.3389521211</v>
          </cell>
          <cell r="AE52">
            <v>0.33932739239999998</v>
          </cell>
          <cell r="AF52">
            <v>0.33965321450000002</v>
          </cell>
          <cell r="AG52">
            <v>0.33991872309999999</v>
          </cell>
          <cell r="AH52">
            <v>0.34010338359999998</v>
          </cell>
          <cell r="AI52">
            <v>0.34018557900000002</v>
          </cell>
          <cell r="AJ52">
            <v>0.34014370980000003</v>
          </cell>
          <cell r="AK52">
            <v>0.33995552979999999</v>
          </cell>
        </row>
        <row r="53">
          <cell r="A53" t="str">
            <v>auto_cd_cgas_0</v>
          </cell>
          <cell r="B53">
            <v>0.2495444651</v>
          </cell>
          <cell r="C53">
            <v>0.25227018229999998</v>
          </cell>
          <cell r="D53">
            <v>0.25660741999999997</v>
          </cell>
          <cell r="E53">
            <v>0.2619171723</v>
          </cell>
          <cell r="F53">
            <v>0.26799994069999999</v>
          </cell>
          <cell r="G53">
            <v>0.27455661679999999</v>
          </cell>
          <cell r="H53">
            <v>0.28120953259999998</v>
          </cell>
          <cell r="I53">
            <v>0.28776855540000001</v>
          </cell>
          <cell r="J53">
            <v>0.2941619037</v>
          </cell>
          <cell r="K53">
            <v>0.30035794220000001</v>
          </cell>
          <cell r="L53">
            <v>0.30636501640000002</v>
          </cell>
          <cell r="M53">
            <v>0.31205117630000001</v>
          </cell>
          <cell r="N53">
            <v>0.31735237890000001</v>
          </cell>
          <cell r="O53">
            <v>0.32222301110000001</v>
          </cell>
          <cell r="P53">
            <v>0.32663758459999997</v>
          </cell>
          <cell r="Q53">
            <v>0.33059252230000002</v>
          </cell>
          <cell r="R53">
            <v>0.3342405966</v>
          </cell>
          <cell r="S53">
            <v>0.33765439000000003</v>
          </cell>
          <cell r="T53">
            <v>0.34085922969999999</v>
          </cell>
          <cell r="U53">
            <v>0.34386677430000001</v>
          </cell>
          <cell r="V53">
            <v>0.34665945079999999</v>
          </cell>
          <cell r="W53">
            <v>0.34929186340000001</v>
          </cell>
          <cell r="X53">
            <v>0.35178724379999998</v>
          </cell>
          <cell r="Y53">
            <v>0.35417073840000002</v>
          </cell>
          <cell r="Z53">
            <v>0.35645990560000002</v>
          </cell>
          <cell r="AA53">
            <v>0.35858660749999999</v>
          </cell>
          <cell r="AB53">
            <v>0.36061745719999999</v>
          </cell>
          <cell r="AC53">
            <v>0.36256410569999997</v>
          </cell>
          <cell r="AD53">
            <v>0.36443681379999998</v>
          </cell>
          <cell r="AE53">
            <v>0.36624122710000001</v>
          </cell>
          <cell r="AF53">
            <v>0.3679697019</v>
          </cell>
          <cell r="AG53">
            <v>0.36960077829999999</v>
          </cell>
          <cell r="AH53">
            <v>0.37110264900000001</v>
          </cell>
          <cell r="AI53">
            <v>0.37243672169999997</v>
          </cell>
          <cell r="AJ53">
            <v>0.37356092369999999</v>
          </cell>
          <cell r="AK53">
            <v>0.37443238039999999</v>
          </cell>
        </row>
        <row r="54">
          <cell r="A54" t="str">
            <v>auto_ce_cgas_2</v>
          </cell>
          <cell r="B54">
            <v>0.15020246549999999</v>
          </cell>
          <cell r="C54">
            <v>0.1520386702</v>
          </cell>
          <cell r="D54">
            <v>0.15477792100000001</v>
          </cell>
          <cell r="E54">
            <v>0.15800877960000001</v>
          </cell>
          <cell r="F54">
            <v>0.16159609329999999</v>
          </cell>
          <cell r="G54">
            <v>0.16535635160000001</v>
          </cell>
          <cell r="H54">
            <v>0.16906041469999999</v>
          </cell>
          <cell r="I54">
            <v>0.17206000539999999</v>
          </cell>
          <cell r="J54">
            <v>0.17459541640000001</v>
          </cell>
          <cell r="K54">
            <v>0.1768078622</v>
          </cell>
          <cell r="L54">
            <v>0.17873999609999999</v>
          </cell>
          <cell r="M54">
            <v>0.18049109790000001</v>
          </cell>
          <cell r="N54">
            <v>0.1820201203</v>
          </cell>
          <cell r="O54">
            <v>0.1832798159</v>
          </cell>
          <cell r="P54">
            <v>0.1842512201</v>
          </cell>
          <cell r="Q54">
            <v>0.18493866980000001</v>
          </cell>
          <cell r="R54">
            <v>0.1853249766</v>
          </cell>
          <cell r="S54">
            <v>0.18546195709999999</v>
          </cell>
          <cell r="T54">
            <v>0.18539750690000001</v>
          </cell>
          <cell r="U54">
            <v>0.18516917499999999</v>
          </cell>
          <cell r="V54">
            <v>0.18479243579999999</v>
          </cell>
          <cell r="W54">
            <v>0.18430919339999999</v>
          </cell>
          <cell r="X54">
            <v>0.18373950950000001</v>
          </cell>
          <cell r="Y54">
            <v>0.18310150089999999</v>
          </cell>
          <cell r="Z54">
            <v>0.1824068314</v>
          </cell>
          <cell r="AA54">
            <v>0.1816249405</v>
          </cell>
          <cell r="AB54">
            <v>0.1807812121</v>
          </cell>
          <cell r="AC54">
            <v>0.17987186820000001</v>
          </cell>
          <cell r="AD54">
            <v>0.17889616389999999</v>
          </cell>
          <cell r="AE54">
            <v>0.17785396270000001</v>
          </cell>
          <cell r="AF54">
            <v>0.1767409234</v>
          </cell>
          <cell r="AG54">
            <v>0.17554721170000001</v>
          </cell>
          <cell r="AH54">
            <v>0.17425987949999999</v>
          </cell>
          <cell r="AI54">
            <v>0.17286716760000001</v>
          </cell>
          <cell r="AJ54">
            <v>0.17135927249999999</v>
          </cell>
          <cell r="AK54">
            <v>0.1697280541</v>
          </cell>
        </row>
        <row r="55">
          <cell r="A55" t="str">
            <v>auto_ce_cgas_0</v>
          </cell>
          <cell r="B55">
            <v>0.15020246549999999</v>
          </cell>
          <cell r="C55">
            <v>0.1520386702</v>
          </cell>
          <cell r="D55">
            <v>0.15477792100000001</v>
          </cell>
          <cell r="E55">
            <v>0.15800877960000001</v>
          </cell>
          <cell r="F55">
            <v>0.16159609329999999</v>
          </cell>
          <cell r="G55">
            <v>0.16535635160000001</v>
          </cell>
          <cell r="H55">
            <v>0.16906041469999999</v>
          </cell>
          <cell r="I55">
            <v>0.17259098240000001</v>
          </cell>
          <cell r="J55">
            <v>0.17590328890000001</v>
          </cell>
          <cell r="K55">
            <v>0.17897936710000001</v>
          </cell>
          <cell r="L55">
            <v>0.18182690939999999</v>
          </cell>
          <cell r="M55">
            <v>0.1843793312</v>
          </cell>
          <cell r="N55">
            <v>0.18661491180000001</v>
          </cell>
          <cell r="O55">
            <v>0.18852625649999999</v>
          </cell>
          <cell r="P55">
            <v>0.1901179818</v>
          </cell>
          <cell r="Q55">
            <v>0.1914052443</v>
          </cell>
          <cell r="R55">
            <v>0.192486987</v>
          </cell>
          <cell r="S55">
            <v>0.193418179</v>
          </cell>
          <cell r="T55">
            <v>0.19422433929999999</v>
          </cell>
          <cell r="U55">
            <v>0.19491888020000001</v>
          </cell>
          <cell r="V55">
            <v>0.19549543429999999</v>
          </cell>
          <cell r="W55">
            <v>0.19598217230000001</v>
          </cell>
          <cell r="X55">
            <v>0.19638801049999999</v>
          </cell>
          <cell r="Y55">
            <v>0.1967205846</v>
          </cell>
          <cell r="Z55">
            <v>0.1969813031</v>
          </cell>
          <cell r="AA55">
            <v>0.19712589189999999</v>
          </cell>
          <cell r="AB55">
            <v>0.19717797840000001</v>
          </cell>
          <cell r="AC55">
            <v>0.1971324498</v>
          </cell>
          <cell r="AD55">
            <v>0.1969835191</v>
          </cell>
          <cell r="AE55">
            <v>0.1967242773</v>
          </cell>
          <cell r="AF55">
            <v>0.19634305020000001</v>
          </cell>
          <cell r="AG55">
            <v>0.19582363720000001</v>
          </cell>
          <cell r="AH55">
            <v>0.19514736369999999</v>
          </cell>
          <cell r="AI55">
            <v>0.19429501699999999</v>
          </cell>
          <cell r="AJ55">
            <v>0.19324853410000001</v>
          </cell>
          <cell r="AK55">
            <v>0.19199227760000001</v>
          </cell>
        </row>
        <row r="56">
          <cell r="A56" t="str">
            <v>auto_cf_cgas_2</v>
          </cell>
          <cell r="B56">
            <v>7.4609436000000001E-2</v>
          </cell>
          <cell r="C56">
            <v>7.5298155199999994E-2</v>
          </cell>
          <cell r="D56">
            <v>7.6310798400000004E-2</v>
          </cell>
          <cell r="E56">
            <v>7.7421895099999999E-2</v>
          </cell>
          <cell r="F56">
            <v>7.8549700799999997E-2</v>
          </cell>
          <cell r="G56">
            <v>7.9607128999999999E-2</v>
          </cell>
          <cell r="H56">
            <v>8.0493293899999999E-2</v>
          </cell>
          <cell r="I56">
            <v>8.0929126599999998E-2</v>
          </cell>
          <cell r="J56">
            <v>8.1003294599999998E-2</v>
          </cell>
          <cell r="K56">
            <v>8.0786334700000004E-2</v>
          </cell>
          <cell r="L56">
            <v>8.0310986099999995E-2</v>
          </cell>
          <cell r="M56">
            <v>7.9636063000000007E-2</v>
          </cell>
          <cell r="N56">
            <v>7.8781432999999998E-2</v>
          </cell>
          <cell r="O56">
            <v>7.7765778300000005E-2</v>
          </cell>
          <cell r="P56">
            <v>7.6614163299999996E-2</v>
          </cell>
          <cell r="Q56">
            <v>7.5354044600000003E-2</v>
          </cell>
          <cell r="R56">
            <v>7.4001586999999994E-2</v>
          </cell>
          <cell r="S56">
            <v>7.2587197500000006E-2</v>
          </cell>
          <cell r="T56">
            <v>7.1136702199999999E-2</v>
          </cell>
          <cell r="U56">
            <v>6.9669444400000002E-2</v>
          </cell>
          <cell r="V56">
            <v>6.8195531300000001E-2</v>
          </cell>
          <cell r="W56">
            <v>6.6728893900000003E-2</v>
          </cell>
          <cell r="X56">
            <v>6.5275280300000002E-2</v>
          </cell>
          <cell r="Y56">
            <v>6.3838057099999998E-2</v>
          </cell>
          <cell r="Z56">
            <v>6.24173451E-2</v>
          </cell>
          <cell r="AA56">
            <v>6.1002046300000001E-2</v>
          </cell>
          <cell r="AB56">
            <v>5.9593143699999997E-2</v>
          </cell>
          <cell r="AC56">
            <v>5.8183902000000003E-2</v>
          </cell>
          <cell r="AD56">
            <v>5.6768572199999999E-2</v>
          </cell>
          <cell r="AE56">
            <v>5.5343018399999999E-2</v>
          </cell>
          <cell r="AF56">
            <v>5.3903933000000001E-2</v>
          </cell>
          <cell r="AG56">
            <v>5.2448440499999999E-2</v>
          </cell>
          <cell r="AH56">
            <v>5.0974416000000002E-2</v>
          </cell>
          <cell r="AI56">
            <v>4.9481365100000001E-2</v>
          </cell>
          <cell r="AJ56">
            <v>4.79705011E-2</v>
          </cell>
          <cell r="AK56">
            <v>4.6444444500000001E-2</v>
          </cell>
        </row>
        <row r="57">
          <cell r="A57" t="str">
            <v>auto_cf_cgas_0</v>
          </cell>
          <cell r="B57">
            <v>7.4609436000000001E-2</v>
          </cell>
          <cell r="C57">
            <v>7.5298155199999994E-2</v>
          </cell>
          <cell r="D57">
            <v>7.6310798400000004E-2</v>
          </cell>
          <cell r="E57">
            <v>7.7421895099999999E-2</v>
          </cell>
          <cell r="F57">
            <v>7.8549700799999997E-2</v>
          </cell>
          <cell r="G57">
            <v>7.9607128999999999E-2</v>
          </cell>
          <cell r="H57">
            <v>8.0493293899999999E-2</v>
          </cell>
          <cell r="I57">
            <v>8.1159785100000006E-2</v>
          </cell>
          <cell r="J57">
            <v>8.1593690799999993E-2</v>
          </cell>
          <cell r="K57">
            <v>8.1797356099999996E-2</v>
          </cell>
          <cell r="L57">
            <v>8.1785975100000005E-2</v>
          </cell>
          <cell r="M57">
            <v>8.15533336E-2</v>
          </cell>
          <cell r="N57">
            <v>8.1115666500000003E-2</v>
          </cell>
          <cell r="O57">
            <v>8.0496849800000006E-2</v>
          </cell>
          <cell r="P57">
            <v>7.97236853E-2</v>
          </cell>
          <cell r="Q57">
            <v>7.8822928599999995E-2</v>
          </cell>
          <cell r="R57">
            <v>7.7844226399999994E-2</v>
          </cell>
          <cell r="S57">
            <v>7.6820664799999994E-2</v>
          </cell>
          <cell r="T57">
            <v>7.5771628800000004E-2</v>
          </cell>
          <cell r="U57">
            <v>7.4708067500000003E-2</v>
          </cell>
          <cell r="V57">
            <v>7.3631096199999996E-2</v>
          </cell>
          <cell r="W57">
            <v>7.2548421000000002E-2</v>
          </cell>
          <cell r="X57">
            <v>7.14598704E-2</v>
          </cell>
          <cell r="Y57">
            <v>7.0363028899999999E-2</v>
          </cell>
          <cell r="Z57">
            <v>6.9252062500000003E-2</v>
          </cell>
          <cell r="AA57">
            <v>6.8108246999999997E-2</v>
          </cell>
          <cell r="AB57">
            <v>6.6930201999999994E-2</v>
          </cell>
          <cell r="AC57">
            <v>6.5709582700000005E-2</v>
          </cell>
          <cell r="AD57">
            <v>6.44390252E-2</v>
          </cell>
          <cell r="AE57">
            <v>6.3113026099999997E-2</v>
          </cell>
          <cell r="AF57">
            <v>6.1727474300000001E-2</v>
          </cell>
          <cell r="AG57">
            <v>6.0279830399999998E-2</v>
          </cell>
          <cell r="AH57">
            <v>5.8769505499999999E-2</v>
          </cell>
          <cell r="AI57">
            <v>5.7198034699999997E-2</v>
          </cell>
          <cell r="AJ57">
            <v>5.5569081200000002E-2</v>
          </cell>
          <cell r="AK57">
            <v>5.3888275800000003E-2</v>
          </cell>
        </row>
        <row r="58">
          <cell r="A58" t="str">
            <v>auto_cg_cgas_2</v>
          </cell>
          <cell r="B58">
            <v>0.13435819299999999</v>
          </cell>
          <cell r="C58">
            <v>0.13588357579999999</v>
          </cell>
          <cell r="D58">
            <v>0.13780474810000001</v>
          </cell>
          <cell r="E58">
            <v>0.1396687442</v>
          </cell>
          <cell r="F58">
            <v>0.14131206239999999</v>
          </cell>
          <cell r="G58">
            <v>0.14258983650000001</v>
          </cell>
          <cell r="H58">
            <v>0.1433442171</v>
          </cell>
          <cell r="I58">
            <v>0.14312140200000001</v>
          </cell>
          <cell r="J58">
            <v>0.1420736467</v>
          </cell>
          <cell r="K58">
            <v>0.14035420530000001</v>
          </cell>
          <cell r="L58">
            <v>0.1380572447</v>
          </cell>
          <cell r="M58">
            <v>0.13531875660000001</v>
          </cell>
          <cell r="N58">
            <v>0.13222613590000001</v>
          </cell>
          <cell r="O58">
            <v>0.1288588876</v>
          </cell>
          <cell r="P58">
            <v>0.1252951152</v>
          </cell>
          <cell r="Q58">
            <v>0.12160514610000001</v>
          </cell>
          <cell r="R58">
            <v>0.1178361003</v>
          </cell>
          <cell r="S58">
            <v>0.1140426881</v>
          </cell>
          <cell r="T58">
            <v>0.1102684926</v>
          </cell>
          <cell r="U58">
            <v>0.1065445845</v>
          </cell>
          <cell r="V58">
            <v>0.10288766320000001</v>
          </cell>
          <cell r="W58">
            <v>9.9314817999999999E-2</v>
          </cell>
          <cell r="X58">
            <v>9.5831826800000006E-2</v>
          </cell>
          <cell r="Y58">
            <v>9.2440167099999998E-2</v>
          </cell>
          <cell r="Z58">
            <v>8.9136673299999997E-2</v>
          </cell>
          <cell r="AA58">
            <v>8.5906663100000002E-2</v>
          </cell>
          <cell r="AB58">
            <v>8.2746463500000006E-2</v>
          </cell>
          <cell r="AC58">
            <v>7.9645051199999997E-2</v>
          </cell>
          <cell r="AD58">
            <v>7.6593305599999995E-2</v>
          </cell>
          <cell r="AE58">
            <v>7.3585370400000003E-2</v>
          </cell>
          <cell r="AF58">
            <v>7.0617939800000001E-2</v>
          </cell>
          <cell r="AG58">
            <v>6.7689584699999999E-2</v>
          </cell>
          <cell r="AH58">
            <v>6.4800648299999999E-2</v>
          </cell>
          <cell r="AI58">
            <v>6.1953671799999999E-2</v>
          </cell>
          <cell r="AJ58">
            <v>5.91530979E-2</v>
          </cell>
          <cell r="AK58">
            <v>5.6404623700000003E-2</v>
          </cell>
        </row>
        <row r="59">
          <cell r="A59" t="str">
            <v>auto_cg_cgas_0</v>
          </cell>
          <cell r="B59">
            <v>0.13435819299999999</v>
          </cell>
          <cell r="C59">
            <v>0.13588357579999999</v>
          </cell>
          <cell r="D59">
            <v>0.13780474810000001</v>
          </cell>
          <cell r="E59">
            <v>0.1396687442</v>
          </cell>
          <cell r="F59">
            <v>0.14131206239999999</v>
          </cell>
          <cell r="G59">
            <v>0.14258983650000001</v>
          </cell>
          <cell r="H59">
            <v>0.1433442171</v>
          </cell>
          <cell r="I59">
            <v>0.14351356539999999</v>
          </cell>
          <cell r="J59">
            <v>0.1431023706</v>
          </cell>
          <cell r="K59">
            <v>0.1421449853</v>
          </cell>
          <cell r="L59">
            <v>0.14069803410000001</v>
          </cell>
          <cell r="M59">
            <v>0.13879159069999999</v>
          </cell>
          <cell r="N59">
            <v>0.13649211659999999</v>
          </cell>
          <cell r="O59">
            <v>0.1338754432</v>
          </cell>
          <cell r="P59">
            <v>0.13101570730000001</v>
          </cell>
          <cell r="Q59">
            <v>0.12797924999999999</v>
          </cell>
          <cell r="R59">
            <v>0.1248546416</v>
          </cell>
          <cell r="S59">
            <v>0.12170377340000001</v>
          </cell>
          <cell r="T59">
            <v>0.1185646145</v>
          </cell>
          <cell r="U59">
            <v>0.1154585499</v>
          </cell>
          <cell r="V59">
            <v>0.1123902782</v>
          </cell>
          <cell r="W59">
            <v>0.1093684949</v>
          </cell>
          <cell r="X59">
            <v>0.1063902756</v>
          </cell>
          <cell r="Y59">
            <v>0.1034485015</v>
          </cell>
          <cell r="Z59">
            <v>0.1005310583</v>
          </cell>
          <cell r="AA59">
            <v>9.7611789399999996E-2</v>
          </cell>
          <cell r="AB59">
            <v>9.4683858600000004E-2</v>
          </cell>
          <cell r="AC59">
            <v>9.1734562000000006E-2</v>
          </cell>
          <cell r="AD59">
            <v>8.8754430199999998E-2</v>
          </cell>
          <cell r="AE59">
            <v>8.5738752200000004E-2</v>
          </cell>
          <cell r="AF59">
            <v>8.2687039800000001E-2</v>
          </cell>
          <cell r="AG59">
            <v>7.96027817E-2</v>
          </cell>
          <cell r="AH59">
            <v>7.6493169E-2</v>
          </cell>
          <cell r="AI59">
            <v>7.3368509999999998E-2</v>
          </cell>
          <cell r="AJ59">
            <v>7.0241478800000007E-2</v>
          </cell>
          <cell r="AK59">
            <v>6.7126274599999994E-2</v>
          </cell>
        </row>
      </sheetData>
      <sheetData sheetId="18" refreshError="1"/>
      <sheetData sheetId="19" refreshError="1"/>
      <sheetData sheetId="20">
        <row r="100">
          <cell r="A100" t="str">
            <v>y_toe_2</v>
          </cell>
          <cell r="B100">
            <v>139.40207079999999</v>
          </cell>
          <cell r="C100">
            <v>140.95496840000001</v>
          </cell>
          <cell r="D100">
            <v>142.51561720000001</v>
          </cell>
          <cell r="E100">
            <v>144.18456660000001</v>
          </cell>
          <cell r="F100">
            <v>146.04216690000001</v>
          </cell>
          <cell r="G100">
            <v>148.11649489999999</v>
          </cell>
          <cell r="H100">
            <v>150.33679799999999</v>
          </cell>
          <cell r="I100">
            <v>153.68472610000001</v>
          </cell>
          <cell r="J100">
            <v>157.27935099999999</v>
          </cell>
          <cell r="K100">
            <v>161.65199290000001</v>
          </cell>
          <cell r="L100">
            <v>166.16780990000001</v>
          </cell>
          <cell r="M100">
            <v>170.24606650000001</v>
          </cell>
          <cell r="N100">
            <v>173.9934408</v>
          </cell>
          <cell r="O100">
            <v>177.5640171</v>
          </cell>
          <cell r="P100">
            <v>181.13564289999999</v>
          </cell>
          <cell r="Q100">
            <v>184.82026830000001</v>
          </cell>
          <cell r="R100">
            <v>188.51274100000001</v>
          </cell>
          <cell r="S100">
            <v>192.48641000000001</v>
          </cell>
          <cell r="T100">
            <v>196.82392960000001</v>
          </cell>
          <cell r="U100">
            <v>201.59504939999999</v>
          </cell>
          <cell r="V100">
            <v>206.8363047</v>
          </cell>
          <cell r="W100">
            <v>212.68252039999999</v>
          </cell>
          <cell r="X100">
            <v>219.22228870000001</v>
          </cell>
          <cell r="Y100">
            <v>226.5360063</v>
          </cell>
          <cell r="Z100">
            <v>234.6978847</v>
          </cell>
          <cell r="AA100">
            <v>243.67979930000001</v>
          </cell>
          <cell r="AB100">
            <v>253.80477389999999</v>
          </cell>
          <cell r="AC100">
            <v>265.1929184</v>
          </cell>
          <cell r="AD100">
            <v>278.00807800000001</v>
          </cell>
          <cell r="AE100">
            <v>292.3836518</v>
          </cell>
          <cell r="AF100">
            <v>308.46094879999998</v>
          </cell>
          <cell r="AG100">
            <v>326.45073660000003</v>
          </cell>
          <cell r="AH100">
            <v>346.6531751</v>
          </cell>
          <cell r="AI100">
            <v>369.44763260000002</v>
          </cell>
          <cell r="AJ100">
            <v>395.33150310000002</v>
          </cell>
          <cell r="AK100">
            <v>424.97622960000001</v>
          </cell>
        </row>
        <row r="101">
          <cell r="A101" t="str">
            <v>m_toe_2</v>
          </cell>
          <cell r="B101">
            <v>150.64917399999999</v>
          </cell>
          <cell r="C101">
            <v>151.6405815</v>
          </cell>
          <cell r="D101">
            <v>152.68323129999999</v>
          </cell>
          <cell r="E101">
            <v>153.7077304</v>
          </cell>
          <cell r="F101">
            <v>155.33342139999999</v>
          </cell>
          <cell r="G101">
            <v>157.45697039999999</v>
          </cell>
          <cell r="H101">
            <v>159.58791629999999</v>
          </cell>
          <cell r="I101">
            <v>158.695831</v>
          </cell>
          <cell r="J101">
            <v>157.52643560000001</v>
          </cell>
          <cell r="K101">
            <v>156.99691419999999</v>
          </cell>
          <cell r="L101">
            <v>156.6522339</v>
          </cell>
          <cell r="M101">
            <v>156.28229229999999</v>
          </cell>
          <cell r="N101">
            <v>155.80665769999999</v>
          </cell>
          <cell r="O101">
            <v>155.2535622</v>
          </cell>
          <cell r="P101">
            <v>154.70330630000001</v>
          </cell>
          <cell r="Q101">
            <v>154.20057510000001</v>
          </cell>
          <cell r="R101">
            <v>153.68704299999999</v>
          </cell>
          <cell r="S101">
            <v>153.27886100000001</v>
          </cell>
          <cell r="T101">
            <v>153.022796</v>
          </cell>
          <cell r="U101">
            <v>152.94397280000001</v>
          </cell>
          <cell r="V101">
            <v>153.03915230000001</v>
          </cell>
          <cell r="W101">
            <v>153.36355800000001</v>
          </cell>
          <cell r="X101">
            <v>153.9368905</v>
          </cell>
          <cell r="Y101">
            <v>154.77016939999999</v>
          </cell>
          <cell r="Z101">
            <v>155.8636616</v>
          </cell>
          <cell r="AA101">
            <v>157.15195610000001</v>
          </cell>
          <cell r="AB101">
            <v>158.7507099</v>
          </cell>
          <cell r="AC101">
            <v>160.6752936</v>
          </cell>
          <cell r="AD101">
            <v>162.94381659999999</v>
          </cell>
          <cell r="AE101">
            <v>165.5430829</v>
          </cell>
          <cell r="AF101">
            <v>168.44898370000001</v>
          </cell>
          <cell r="AG101">
            <v>171.6557282</v>
          </cell>
          <cell r="AH101">
            <v>175.18153810000001</v>
          </cell>
          <cell r="AI101">
            <v>179.0608206</v>
          </cell>
          <cell r="AJ101">
            <v>183.35204529999999</v>
          </cell>
          <cell r="AK101">
            <v>188.15089499999999</v>
          </cell>
        </row>
        <row r="102">
          <cell r="A102" t="str">
            <v>ci_toe_2</v>
          </cell>
          <cell r="B102">
            <v>192.35883200000001</v>
          </cell>
          <cell r="C102">
            <v>194.5830632</v>
          </cell>
          <cell r="D102">
            <v>196.98888109999999</v>
          </cell>
          <cell r="E102">
            <v>199.4865054</v>
          </cell>
          <cell r="F102">
            <v>202.5420402</v>
          </cell>
          <cell r="G102">
            <v>206.14462080000001</v>
          </cell>
          <cell r="H102">
            <v>209.93228730000001</v>
          </cell>
          <cell r="I102">
            <v>212.21977559999999</v>
          </cell>
          <cell r="J102">
            <v>214.34127480000001</v>
          </cell>
          <cell r="K102">
            <v>217.41775290000001</v>
          </cell>
          <cell r="L102">
            <v>220.7151345</v>
          </cell>
          <cell r="M102">
            <v>223.6149929</v>
          </cell>
          <cell r="N102">
            <v>226.13872649999999</v>
          </cell>
          <cell r="O102">
            <v>228.44471139999999</v>
          </cell>
          <cell r="P102">
            <v>230.75007719999999</v>
          </cell>
          <cell r="Q102">
            <v>233.19856970000001</v>
          </cell>
          <cell r="R102">
            <v>235.8008092</v>
          </cell>
          <cell r="S102">
            <v>238.742864</v>
          </cell>
          <cell r="T102">
            <v>242.14773299999999</v>
          </cell>
          <cell r="U102">
            <v>246.1073355</v>
          </cell>
          <cell r="V102">
            <v>250.66646929999999</v>
          </cell>
          <cell r="W102">
            <v>255.98120080000001</v>
          </cell>
          <cell r="X102">
            <v>262.15735910000001</v>
          </cell>
          <cell r="Y102">
            <v>269.28746389999998</v>
          </cell>
          <cell r="Z102">
            <v>277.45059939999999</v>
          </cell>
          <cell r="AA102">
            <v>286.60196980000001</v>
          </cell>
          <cell r="AB102">
            <v>297.03975650000001</v>
          </cell>
          <cell r="AC102">
            <v>308.95142520000002</v>
          </cell>
          <cell r="AD102">
            <v>322.51649789999999</v>
          </cell>
          <cell r="AE102">
            <v>337.86935590000002</v>
          </cell>
          <cell r="AF102">
            <v>355.14523860000003</v>
          </cell>
          <cell r="AG102">
            <v>374.55621869999999</v>
          </cell>
          <cell r="AH102">
            <v>396.42019800000003</v>
          </cell>
          <cell r="AI102">
            <v>421.15396720000001</v>
          </cell>
          <cell r="AJ102">
            <v>449.31700310000002</v>
          </cell>
          <cell r="AK102">
            <v>481.67940090000002</v>
          </cell>
        </row>
        <row r="103">
          <cell r="A103" t="str">
            <v>ch_toe_2</v>
          </cell>
          <cell r="B103">
            <v>64.30144018</v>
          </cell>
          <cell r="C103">
            <v>63.915394069999998</v>
          </cell>
          <cell r="D103">
            <v>63.397739559999998</v>
          </cell>
          <cell r="E103">
            <v>62.86999677</v>
          </cell>
          <cell r="F103">
            <v>62.559494999999998</v>
          </cell>
          <cell r="G103">
            <v>62.398900349999998</v>
          </cell>
          <cell r="H103">
            <v>62.19124274</v>
          </cell>
          <cell r="I103">
            <v>61.478688329999997</v>
          </cell>
          <cell r="J103">
            <v>60.835593699999997</v>
          </cell>
          <cell r="K103">
            <v>60.30276825</v>
          </cell>
          <cell r="L103">
            <v>59.91097242</v>
          </cell>
          <cell r="M103">
            <v>59.685797180000002</v>
          </cell>
          <cell r="N103">
            <v>59.572162650000003</v>
          </cell>
          <cell r="O103">
            <v>59.525158820000001</v>
          </cell>
          <cell r="P103">
            <v>59.511710649999998</v>
          </cell>
          <cell r="Q103">
            <v>59.509961240000003</v>
          </cell>
          <cell r="R103">
            <v>59.53492121</v>
          </cell>
          <cell r="S103">
            <v>59.569461369999999</v>
          </cell>
          <cell r="T103">
            <v>59.608297210000003</v>
          </cell>
          <cell r="U103">
            <v>59.651321369999998</v>
          </cell>
          <cell r="V103">
            <v>59.683413989999998</v>
          </cell>
          <cell r="W103">
            <v>59.733974869999997</v>
          </cell>
          <cell r="X103">
            <v>59.797650570000002</v>
          </cell>
          <cell r="Y103">
            <v>59.87374543</v>
          </cell>
          <cell r="Z103">
            <v>59.963996719999997</v>
          </cell>
          <cell r="AA103">
            <v>60.023064599999998</v>
          </cell>
          <cell r="AB103">
            <v>60.104192099999999</v>
          </cell>
          <cell r="AC103">
            <v>60.20917051</v>
          </cell>
          <cell r="AD103">
            <v>60.341537520000003</v>
          </cell>
          <cell r="AE103">
            <v>60.505791850000001</v>
          </cell>
          <cell r="AF103">
            <v>60.706275570000003</v>
          </cell>
          <cell r="AG103">
            <v>60.946465349999997</v>
          </cell>
          <cell r="AH103">
            <v>61.228955990000003</v>
          </cell>
          <cell r="AI103">
            <v>61.557126840000002</v>
          </cell>
          <cell r="AJ103">
            <v>61.93540789</v>
          </cell>
          <cell r="AK103">
            <v>62.369895849999999</v>
          </cell>
        </row>
        <row r="104">
          <cell r="A104" t="str">
            <v>x_toe_2</v>
          </cell>
          <cell r="B104">
            <v>33.390972570000002</v>
          </cell>
          <cell r="C104">
            <v>34.097092619999998</v>
          </cell>
          <cell r="D104">
            <v>34.812227839999998</v>
          </cell>
          <cell r="E104">
            <v>35.535794780000003</v>
          </cell>
          <cell r="F104">
            <v>36.274053129999999</v>
          </cell>
          <cell r="G104">
            <v>37.029944200000003</v>
          </cell>
          <cell r="H104">
            <v>37.801184280000001</v>
          </cell>
          <cell r="I104">
            <v>38.682093109999997</v>
          </cell>
          <cell r="J104">
            <v>39.628918169999999</v>
          </cell>
          <cell r="K104">
            <v>40.928385939999998</v>
          </cell>
          <cell r="L104">
            <v>42.193936890000003</v>
          </cell>
          <cell r="M104">
            <v>43.227568669999997</v>
          </cell>
          <cell r="N104">
            <v>44.089209289999999</v>
          </cell>
          <cell r="O104">
            <v>44.847709000000002</v>
          </cell>
          <cell r="P104">
            <v>45.577161330000003</v>
          </cell>
          <cell r="Q104">
            <v>46.312312460000001</v>
          </cell>
          <cell r="R104">
            <v>46.864053570000003</v>
          </cell>
          <cell r="S104">
            <v>47.452945679999999</v>
          </cell>
          <cell r="T104">
            <v>48.090695359999998</v>
          </cell>
          <cell r="U104">
            <v>48.780365269999997</v>
          </cell>
          <cell r="V104">
            <v>49.525573770000001</v>
          </cell>
          <cell r="W104">
            <v>50.330902770000002</v>
          </cell>
          <cell r="X104">
            <v>51.204169479999997</v>
          </cell>
          <cell r="Y104">
            <v>52.144966459999999</v>
          </cell>
          <cell r="Z104">
            <v>53.146950160000003</v>
          </cell>
          <cell r="AA104">
            <v>54.206720930000003</v>
          </cell>
          <cell r="AB104">
            <v>55.41153525</v>
          </cell>
          <cell r="AC104">
            <v>56.707616280000003</v>
          </cell>
          <cell r="AD104">
            <v>58.093859109999997</v>
          </cell>
          <cell r="AE104">
            <v>59.55158694</v>
          </cell>
          <cell r="AF104">
            <v>61.058418340000003</v>
          </cell>
          <cell r="AG104">
            <v>62.603780739999998</v>
          </cell>
          <cell r="AH104">
            <v>64.185559319999996</v>
          </cell>
          <cell r="AI104">
            <v>65.797359080000007</v>
          </cell>
          <cell r="AJ104">
            <v>67.431137440000001</v>
          </cell>
          <cell r="AK104">
            <v>69.077827869999993</v>
          </cell>
        </row>
        <row r="105">
          <cell r="A105" t="str">
            <v>y_toe_0</v>
          </cell>
          <cell r="B105">
            <v>139.4020707</v>
          </cell>
          <cell r="C105">
            <v>140.95496829999999</v>
          </cell>
          <cell r="D105">
            <v>142.51561720000001</v>
          </cell>
          <cell r="E105">
            <v>144.18456660000001</v>
          </cell>
          <cell r="F105">
            <v>146.04216690000001</v>
          </cell>
          <cell r="G105">
            <v>148.11649489999999</v>
          </cell>
          <cell r="H105">
            <v>150.33679799999999</v>
          </cell>
          <cell r="I105">
            <v>152.64973040000001</v>
          </cell>
          <cell r="J105">
            <v>155.0181527</v>
          </cell>
          <cell r="K105">
            <v>157.42383079999999</v>
          </cell>
          <cell r="L105">
            <v>159.80047959999999</v>
          </cell>
          <cell r="M105">
            <v>161.75197249999999</v>
          </cell>
          <cell r="N105">
            <v>163.3672487</v>
          </cell>
          <cell r="O105">
            <v>164.727868</v>
          </cell>
          <cell r="P105">
            <v>165.92763679999999</v>
          </cell>
          <cell r="Q105">
            <v>167.05363489999999</v>
          </cell>
          <cell r="R105">
            <v>168.20270500000001</v>
          </cell>
          <cell r="S105">
            <v>169.4758521</v>
          </cell>
          <cell r="T105">
            <v>170.93624890000001</v>
          </cell>
          <cell r="U105">
            <v>172.6171291</v>
          </cell>
          <cell r="V105">
            <v>174.51148900000001</v>
          </cell>
          <cell r="W105">
            <v>176.68571510000001</v>
          </cell>
          <cell r="X105">
            <v>179.15748859999999</v>
          </cell>
          <cell r="Y105">
            <v>181.93784020000001</v>
          </cell>
          <cell r="Z105">
            <v>185.0249742</v>
          </cell>
          <cell r="AA105">
            <v>188.32535569999999</v>
          </cell>
          <cell r="AB105">
            <v>191.9325288</v>
          </cell>
          <cell r="AC105">
            <v>195.8590519</v>
          </cell>
          <cell r="AD105">
            <v>200.1015812</v>
          </cell>
          <cell r="AE105">
            <v>204.61331089999999</v>
          </cell>
          <cell r="AF105">
            <v>209.3277946</v>
          </cell>
          <cell r="AG105">
            <v>214.18558999999999</v>
          </cell>
          <cell r="AH105">
            <v>219.13812669999999</v>
          </cell>
          <cell r="AI105">
            <v>224.14165639999999</v>
          </cell>
          <cell r="AJ105">
            <v>229.1545016</v>
          </cell>
          <cell r="AK105">
            <v>234.13588150000001</v>
          </cell>
        </row>
        <row r="106">
          <cell r="A106" t="str">
            <v>m_toe_0</v>
          </cell>
          <cell r="B106">
            <v>150.64917389999999</v>
          </cell>
          <cell r="C106">
            <v>151.64058159999999</v>
          </cell>
          <cell r="D106">
            <v>152.68323150000001</v>
          </cell>
          <cell r="E106">
            <v>153.70773080000001</v>
          </cell>
          <cell r="F106">
            <v>155.33342189999999</v>
          </cell>
          <cell r="G106">
            <v>157.45697100000001</v>
          </cell>
          <cell r="H106">
            <v>159.58791690000001</v>
          </cell>
          <cell r="I106">
            <v>161.68820869999999</v>
          </cell>
          <cell r="J106">
            <v>163.77850190000001</v>
          </cell>
          <cell r="K106">
            <v>165.8764755</v>
          </cell>
          <cell r="L106">
            <v>167.9308647</v>
          </cell>
          <cell r="M106">
            <v>169.5516777</v>
          </cell>
          <cell r="N106">
            <v>170.81584169999999</v>
          </cell>
          <cell r="O106">
            <v>171.81354519999999</v>
          </cell>
          <cell r="P106">
            <v>172.6420115</v>
          </cell>
          <cell r="Q106">
            <v>173.38895669999999</v>
          </cell>
          <cell r="R106">
            <v>174.3718227</v>
          </cell>
          <cell r="S106">
            <v>175.6208676</v>
          </cell>
          <cell r="T106">
            <v>177.14994849999999</v>
          </cell>
          <cell r="U106">
            <v>178.957762</v>
          </cell>
          <cell r="V106">
            <v>181.0168376</v>
          </cell>
          <cell r="W106">
            <v>183.371489</v>
          </cell>
          <cell r="X106">
            <v>186.0336853</v>
          </cell>
          <cell r="Y106">
            <v>189.01291939999999</v>
          </cell>
          <cell r="Z106">
            <v>192.30719809999999</v>
          </cell>
          <cell r="AA106">
            <v>195.8350208</v>
          </cell>
          <cell r="AB106">
            <v>199.67836930000001</v>
          </cell>
          <cell r="AC106">
            <v>203.85867390000001</v>
          </cell>
          <cell r="AD106">
            <v>208.3815219</v>
          </cell>
          <cell r="AE106">
            <v>213.2097086</v>
          </cell>
          <cell r="AF106">
            <v>218.28250689999999</v>
          </cell>
          <cell r="AG106">
            <v>223.54268189999999</v>
          </cell>
          <cell r="AH106">
            <v>228.94133880000001</v>
          </cell>
          <cell r="AI106">
            <v>234.43273550000001</v>
          </cell>
          <cell r="AJ106">
            <v>239.97127889999999</v>
          </cell>
          <cell r="AK106">
            <v>245.5101391</v>
          </cell>
        </row>
        <row r="107">
          <cell r="A107" t="str">
            <v>ci_toe_0</v>
          </cell>
          <cell r="B107">
            <v>192.35883179999999</v>
          </cell>
          <cell r="C107">
            <v>194.5830631</v>
          </cell>
          <cell r="D107">
            <v>196.98888120000001</v>
          </cell>
          <cell r="E107">
            <v>199.48650559999999</v>
          </cell>
          <cell r="F107">
            <v>202.54204050000001</v>
          </cell>
          <cell r="G107">
            <v>206.14462109999999</v>
          </cell>
          <cell r="H107">
            <v>209.9322876</v>
          </cell>
          <cell r="I107">
            <v>213.78185479999999</v>
          </cell>
          <cell r="J107">
            <v>217.65070080000001</v>
          </cell>
          <cell r="K107">
            <v>221.527455</v>
          </cell>
          <cell r="L107">
            <v>225.3032073</v>
          </cell>
          <cell r="M107">
            <v>228.34547029999999</v>
          </cell>
          <cell r="N107">
            <v>230.76128270000001</v>
          </cell>
          <cell r="O107">
            <v>232.6959201</v>
          </cell>
          <cell r="P107">
            <v>234.31742539999999</v>
          </cell>
          <cell r="Q107">
            <v>235.7840731</v>
          </cell>
          <cell r="R107">
            <v>237.407184</v>
          </cell>
          <cell r="S107">
            <v>239.33926289999999</v>
          </cell>
          <cell r="T107">
            <v>241.6716605</v>
          </cell>
          <cell r="U107">
            <v>244.4470896</v>
          </cell>
          <cell r="V107">
            <v>247.65165350000001</v>
          </cell>
          <cell r="W107">
            <v>251.36847779999999</v>
          </cell>
          <cell r="X107">
            <v>255.6252278</v>
          </cell>
          <cell r="Y107">
            <v>260.4407314</v>
          </cell>
          <cell r="Z107">
            <v>265.81305029999999</v>
          </cell>
          <cell r="AA107">
            <v>271.6138315</v>
          </cell>
          <cell r="AB107">
            <v>277.96353929999998</v>
          </cell>
          <cell r="AC107">
            <v>284.88780830000002</v>
          </cell>
          <cell r="AD107">
            <v>292.38687609999999</v>
          </cell>
          <cell r="AE107">
            <v>300.38845930000002</v>
          </cell>
          <cell r="AF107">
            <v>308.78145019999999</v>
          </cell>
          <cell r="AG107">
            <v>317.46089380000001</v>
          </cell>
          <cell r="AH107">
            <v>326.33852880000001</v>
          </cell>
          <cell r="AI107">
            <v>335.33319499999999</v>
          </cell>
          <cell r="AJ107">
            <v>344.3659687</v>
          </cell>
          <cell r="AK107">
            <v>353.35821179999999</v>
          </cell>
        </row>
        <row r="108">
          <cell r="A108" t="str">
            <v>ch_toe_0</v>
          </cell>
          <cell r="B108">
            <v>64.30144018</v>
          </cell>
          <cell r="C108">
            <v>63.915394169999999</v>
          </cell>
          <cell r="D108">
            <v>63.397739719999997</v>
          </cell>
          <cell r="E108">
            <v>62.869996999999998</v>
          </cell>
          <cell r="F108">
            <v>62.559495249999998</v>
          </cell>
          <cell r="G108">
            <v>62.398900599999997</v>
          </cell>
          <cell r="H108">
            <v>62.191242989999999</v>
          </cell>
          <cell r="I108">
            <v>61.970150259999997</v>
          </cell>
          <cell r="J108">
            <v>61.762053479999999</v>
          </cell>
          <cell r="K108">
            <v>61.577001899999999</v>
          </cell>
          <cell r="L108">
            <v>61.44439826</v>
          </cell>
          <cell r="M108">
            <v>61.318140980000003</v>
          </cell>
          <cell r="N108">
            <v>61.198702509999997</v>
          </cell>
          <cell r="O108">
            <v>61.081690979999998</v>
          </cell>
          <cell r="P108">
            <v>60.961203060000003</v>
          </cell>
          <cell r="Q108">
            <v>60.832167699999999</v>
          </cell>
          <cell r="R108">
            <v>60.777658459999998</v>
          </cell>
          <cell r="S108">
            <v>60.761390859999999</v>
          </cell>
          <cell r="T108">
            <v>60.760009619999998</v>
          </cell>
          <cell r="U108">
            <v>60.760456920000003</v>
          </cell>
          <cell r="V108">
            <v>60.739147109999998</v>
          </cell>
          <cell r="W108">
            <v>60.722147460000002</v>
          </cell>
          <cell r="X108">
            <v>60.706010130000003</v>
          </cell>
          <cell r="Y108">
            <v>60.6911542</v>
          </cell>
          <cell r="Z108">
            <v>60.679698100000003</v>
          </cell>
          <cell r="AA108">
            <v>60.626183660000002</v>
          </cell>
          <cell r="AB108">
            <v>60.584919229999997</v>
          </cell>
          <cell r="AC108">
            <v>60.558066169999996</v>
          </cell>
          <cell r="AD108">
            <v>60.548583069999999</v>
          </cell>
          <cell r="AE108">
            <v>60.559790579999998</v>
          </cell>
          <cell r="AF108">
            <v>60.593959140000003</v>
          </cell>
          <cell r="AG108">
            <v>60.651763299999999</v>
          </cell>
          <cell r="AH108">
            <v>60.731072580000003</v>
          </cell>
          <cell r="AI108">
            <v>60.829091429999998</v>
          </cell>
          <cell r="AJ108">
            <v>60.94264338</v>
          </cell>
          <cell r="AK108">
            <v>61.06810625</v>
          </cell>
        </row>
        <row r="109">
          <cell r="A109" t="str">
            <v>x_toe_0</v>
          </cell>
          <cell r="B109">
            <v>33.390972570000002</v>
          </cell>
          <cell r="C109">
            <v>34.097092619999998</v>
          </cell>
          <cell r="D109">
            <v>34.812227849999999</v>
          </cell>
          <cell r="E109">
            <v>35.535794780000003</v>
          </cell>
          <cell r="F109">
            <v>36.274053139999999</v>
          </cell>
          <cell r="G109">
            <v>37.029944209999996</v>
          </cell>
          <cell r="H109">
            <v>37.801184290000002</v>
          </cell>
          <cell r="I109">
            <v>38.58593415</v>
          </cell>
          <cell r="J109">
            <v>39.383900320000002</v>
          </cell>
          <cell r="K109">
            <v>40.195849379999999</v>
          </cell>
          <cell r="L109">
            <v>40.983738760000001</v>
          </cell>
          <cell r="M109">
            <v>41.640038879999999</v>
          </cell>
          <cell r="N109">
            <v>42.223105220000001</v>
          </cell>
          <cell r="O109">
            <v>42.763802089999999</v>
          </cell>
          <cell r="P109">
            <v>43.291019779999999</v>
          </cell>
          <cell r="Q109">
            <v>43.826350820000002</v>
          </cell>
          <cell r="R109">
            <v>44.389685270000001</v>
          </cell>
          <cell r="S109">
            <v>44.99606601</v>
          </cell>
          <cell r="T109">
            <v>45.654527340000001</v>
          </cell>
          <cell r="U109">
            <v>46.367344670000001</v>
          </cell>
          <cell r="V109">
            <v>47.137525930000002</v>
          </cell>
          <cell r="W109">
            <v>47.96657888</v>
          </cell>
          <cell r="X109">
            <v>48.859935980000003</v>
          </cell>
          <cell r="Y109">
            <v>49.818874030000003</v>
          </cell>
          <cell r="Z109">
            <v>50.839423869999997</v>
          </cell>
          <cell r="AA109">
            <v>51.920361360000001</v>
          </cell>
          <cell r="AB109">
            <v>53.062439580000003</v>
          </cell>
          <cell r="AC109">
            <v>54.271851320000003</v>
          </cell>
          <cell r="AD109">
            <v>55.547643960000002</v>
          </cell>
          <cell r="AE109">
            <v>56.874769649999998</v>
          </cell>
          <cell r="AF109">
            <v>58.234892119999998</v>
          </cell>
          <cell r="AG109">
            <v>59.615614809999997</v>
          </cell>
          <cell r="AH109">
            <v>61.009864149999999</v>
          </cell>
          <cell r="AI109">
            <v>62.412105439999998</v>
          </cell>
          <cell r="AJ109">
            <v>63.8171684</v>
          </cell>
          <cell r="AK109">
            <v>65.219702530000006</v>
          </cell>
        </row>
      </sheetData>
      <sheetData sheetId="21" refreshError="1"/>
      <sheetData sheetId="22" refreshError="1"/>
      <sheetData sheetId="23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29"/>
  <sheetViews>
    <sheetView zoomScale="77" workbookViewId="0">
      <pane xSplit="2" ySplit="4" topLeftCell="AA523" activePane="bottomRight" state="frozen"/>
      <selection pane="topRight" activeCell="C1" sqref="C1"/>
      <selection pane="bottomLeft" activeCell="A4" sqref="A4"/>
      <selection pane="bottomRight" activeCell="B525" sqref="B525:AL529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4" spans="1:3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5">
      <c r="A5" s="3" t="str">
        <f>[1]Results!E1365</f>
        <v>100*(GDP_2/GDP_0-1)</v>
      </c>
      <c r="B5" t="s">
        <v>18</v>
      </c>
      <c r="C5" s="1">
        <f>[1]Results!F1365</f>
        <v>0</v>
      </c>
      <c r="D5" s="1">
        <f>[1]Results!G1365</f>
        <v>0</v>
      </c>
      <c r="E5" s="1">
        <f>[1]Results!H1365</f>
        <v>4.3753489720188554E-8</v>
      </c>
      <c r="F5" s="1">
        <f>[1]Results!I1365</f>
        <v>0</v>
      </c>
      <c r="G5" s="1">
        <f>[1]Results!J1365</f>
        <v>0</v>
      </c>
      <c r="H5" s="1">
        <f>[1]Results!K1365</f>
        <v>4.0852699001447945E-8</v>
      </c>
      <c r="I5" s="1">
        <f>[1]Results!L1365</f>
        <v>0</v>
      </c>
      <c r="J5" s="1">
        <f>[1]Results!M1365</f>
        <v>-0.22447293389831202</v>
      </c>
      <c r="K5" s="1">
        <f>[1]Results!N1365</f>
        <v>-0.44998565847391703</v>
      </c>
      <c r="L5" s="1">
        <f>[1]Results!O1365</f>
        <v>-0.31155871233280452</v>
      </c>
      <c r="M5" s="1">
        <f>[1]Results!P1365</f>
        <v>-0.15348970215804947</v>
      </c>
      <c r="N5" s="1">
        <f>[1]Results!Q1365</f>
        <v>-2.127201360531128E-2</v>
      </c>
      <c r="O5" s="1">
        <f>[1]Results!R1365</f>
        <v>7.7440684455987174E-2</v>
      </c>
      <c r="P5" s="1">
        <f>[1]Results!S1365</f>
        <v>0.15697890314945173</v>
      </c>
      <c r="Q5" s="1">
        <f>[1]Results!T1365</f>
        <v>0.23854084144154797</v>
      </c>
      <c r="R5" s="1">
        <f>[1]Results!U1365</f>
        <v>0.32121706620609203</v>
      </c>
      <c r="S5" s="1">
        <f>[1]Results!V1365</f>
        <v>0.37191657197921391</v>
      </c>
      <c r="T5" s="1">
        <f>[1]Results!W1365</f>
        <v>0.39674835781082773</v>
      </c>
      <c r="U5" s="1">
        <f>[1]Results!X1365</f>
        <v>0.40013283374020769</v>
      </c>
      <c r="V5" s="1">
        <f>[1]Results!Y1365</f>
        <v>0.38867068285952655</v>
      </c>
      <c r="W5" s="1">
        <f>[1]Results!Z1365</f>
        <v>0.36784433506447112</v>
      </c>
      <c r="X5" s="1">
        <f>[1]Results!AA1365</f>
        <v>0.34161791969982147</v>
      </c>
      <c r="Y5" s="1">
        <f>[1]Results!AB1365</f>
        <v>0.31364512028309033</v>
      </c>
      <c r="Z5" s="1">
        <f>[1]Results!AC1365</f>
        <v>0.28765467706639569</v>
      </c>
      <c r="AA5" s="1">
        <f>[1]Results!AD1365</f>
        <v>0.26738408621846954</v>
      </c>
      <c r="AB5" s="1">
        <f>[1]Results!AE1365</f>
        <v>0.25498225743192382</v>
      </c>
      <c r="AC5" s="1">
        <f>[1]Results!AF1365</f>
        <v>0.25504352392853313</v>
      </c>
      <c r="AD5" s="1">
        <f>[1]Results!AG1365</f>
        <v>0.26709399191231498</v>
      </c>
      <c r="AE5" s="1">
        <f>[1]Results!AH1365</f>
        <v>0.29441473050619837</v>
      </c>
      <c r="AF5" s="1">
        <f>[1]Results!AI1365</f>
        <v>0.34084422852052043</v>
      </c>
      <c r="AG5" s="1">
        <f>[1]Results!AJ1365</f>
        <v>0.40915831826036086</v>
      </c>
      <c r="AH5" s="1">
        <f>[1]Results!AK1365</f>
        <v>0.50069184493486407</v>
      </c>
      <c r="AI5" s="1">
        <f>[1]Results!AL1365</f>
        <v>0.61634880712060358</v>
      </c>
      <c r="AJ5" s="1">
        <f>[1]Results!AM1365</f>
        <v>0.75743647553847548</v>
      </c>
      <c r="AK5" s="1">
        <f>[1]Results!AN1365</f>
        <v>0.92546767978465283</v>
      </c>
      <c r="AL5" s="1">
        <f>[1]Results!AO1365</f>
        <v>1.1216513993627775</v>
      </c>
    </row>
    <row r="6" spans="1:3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-6.0996874218233188E-9</v>
      </c>
      <c r="F6" s="1">
        <f>[1]Results!I1366</f>
        <v>0</v>
      </c>
      <c r="G6" s="1">
        <f>[1]Results!J1366</f>
        <v>-5.8156368609729725E-9</v>
      </c>
      <c r="H6" s="1">
        <f>[1]Results!K1366</f>
        <v>0</v>
      </c>
      <c r="I6" s="1">
        <f>[1]Results!L1366</f>
        <v>0</v>
      </c>
      <c r="J6" s="1">
        <f>[1]Results!M1366</f>
        <v>-0.28740829915229194</v>
      </c>
      <c r="K6" s="1">
        <f>[1]Results!N1366</f>
        <v>-0.56948268299276128</v>
      </c>
      <c r="L6" s="1">
        <f>[1]Results!O1366</f>
        <v>-0.40032441510007288</v>
      </c>
      <c r="M6" s="1">
        <f>[1]Results!P1366</f>
        <v>-0.22826104255397883</v>
      </c>
      <c r="N6" s="1">
        <f>[1]Results!Q1366</f>
        <v>-0.10469901168774776</v>
      </c>
      <c r="O6" s="1">
        <f>[1]Results!R1366</f>
        <v>-3.449960558767895E-2</v>
      </c>
      <c r="P6" s="1">
        <f>[1]Results!S1366</f>
        <v>7.3745540138281385E-3</v>
      </c>
      <c r="Q6" s="1">
        <f>[1]Results!T1366</f>
        <v>5.1666434918451465E-2</v>
      </c>
      <c r="R6" s="1">
        <f>[1]Results!U1366</f>
        <v>9.8723351166984941E-2</v>
      </c>
      <c r="S6" s="1">
        <f>[1]Results!V1366</f>
        <v>0.11032945646207715</v>
      </c>
      <c r="T6" s="1">
        <f>[1]Results!W1366</f>
        <v>9.5361458199305638E-2</v>
      </c>
      <c r="U6" s="1">
        <f>[1]Results!X1366</f>
        <v>5.8116383947348638E-2</v>
      </c>
      <c r="V6" s="1">
        <f>[1]Results!Y1366</f>
        <v>5.7072916017197883E-3</v>
      </c>
      <c r="W6" s="1">
        <f>[1]Results!Z1366</f>
        <v>-5.5763347753612358E-2</v>
      </c>
      <c r="X6" s="1">
        <f>[1]Results!AA1366</f>
        <v>-0.12120999125722065</v>
      </c>
      <c r="Y6" s="1">
        <f>[1]Results!AB1366</f>
        <v>-0.18634427603819725</v>
      </c>
      <c r="Z6" s="1">
        <f>[1]Results!AC1366</f>
        <v>-0.24710711826314569</v>
      </c>
      <c r="AA6" s="1">
        <f>[1]Results!AD1366</f>
        <v>-0.29945990570229286</v>
      </c>
      <c r="AB6" s="1">
        <f>[1]Results!AE1366</f>
        <v>-0.34146914164152609</v>
      </c>
      <c r="AC6" s="1">
        <f>[1]Results!AF1366</f>
        <v>-0.36696541474323663</v>
      </c>
      <c r="AD6" s="1">
        <f>[1]Results!AG1366</f>
        <v>-0.37670872437211012</v>
      </c>
      <c r="AE6" s="1">
        <f>[1]Results!AH1366</f>
        <v>-0.36820101648253889</v>
      </c>
      <c r="AF6" s="1">
        <f>[1]Results!AI1366</f>
        <v>-0.33837725408010222</v>
      </c>
      <c r="AG6" s="1">
        <f>[1]Results!AJ1366</f>
        <v>-0.28531709336648836</v>
      </c>
      <c r="AH6" s="1">
        <f>[1]Results!AK1366</f>
        <v>-0.20848650629790022</v>
      </c>
      <c r="AI6" s="1">
        <f>[1]Results!AL1366</f>
        <v>-0.10806122046174149</v>
      </c>
      <c r="AJ6" s="1">
        <f>[1]Results!AM1366</f>
        <v>1.5424775696493143E-2</v>
      </c>
      <c r="AK6" s="1">
        <f>[1]Results!AN1366</f>
        <v>0.16123403623435895</v>
      </c>
      <c r="AL6" s="1">
        <f>[1]Results!AO1366</f>
        <v>0.32777482307573269</v>
      </c>
    </row>
    <row r="7" spans="1:38" x14ac:dyDescent="0.35">
      <c r="A7" s="3" t="str">
        <f>[1]Results!E1367</f>
        <v>100*((CH_2-CH_0)/GDP_0)</v>
      </c>
      <c r="B7" t="s">
        <v>19</v>
      </c>
      <c r="C7" s="1">
        <f>[1]Results!F1367</f>
        <v>0</v>
      </c>
      <c r="D7" s="1">
        <f>[1]Results!G1367</f>
        <v>0</v>
      </c>
      <c r="E7" s="1">
        <f>[1]Results!H1367</f>
        <v>0</v>
      </c>
      <c r="F7" s="1">
        <f>[1]Results!I1367</f>
        <v>0</v>
      </c>
      <c r="G7" s="1">
        <f>[1]Results!J1367</f>
        <v>0</v>
      </c>
      <c r="H7" s="1">
        <f>[1]Results!K1367</f>
        <v>0</v>
      </c>
      <c r="I7" s="1">
        <f>[1]Results!L1367</f>
        <v>3.9901400149330416E-8</v>
      </c>
      <c r="J7" s="1">
        <f>[1]Results!M1367</f>
        <v>-2.2776848299618485E-2</v>
      </c>
      <c r="K7" s="1">
        <f>[1]Results!N1367</f>
        <v>-6.7440811530857084E-2</v>
      </c>
      <c r="L7" s="1">
        <f>[1]Results!O1367</f>
        <v>-3.5360785306948819E-2</v>
      </c>
      <c r="M7" s="1">
        <f>[1]Results!P1367</f>
        <v>8.3143089630283884E-2</v>
      </c>
      <c r="N7" s="1">
        <f>[1]Results!Q1367</f>
        <v>0.26037011455561931</v>
      </c>
      <c r="O7" s="1">
        <f>[1]Results!R1367</f>
        <v>0.48110809371676688</v>
      </c>
      <c r="P7" s="1">
        <f>[1]Results!S1367</f>
        <v>0.71459053804091788</v>
      </c>
      <c r="Q7" s="1">
        <f>[1]Results!T1367</f>
        <v>0.94181908153168448</v>
      </c>
      <c r="R7" s="1">
        <f>[1]Results!U1367</f>
        <v>1.1538055376055112</v>
      </c>
      <c r="S7" s="1">
        <f>[1]Results!V1367</f>
        <v>1.3398583508013979</v>
      </c>
      <c r="T7" s="1">
        <f>[1]Results!W1367</f>
        <v>1.4906113512949781</v>
      </c>
      <c r="U7" s="1">
        <f>[1]Results!X1367</f>
        <v>1.6122076211418941</v>
      </c>
      <c r="V7" s="1">
        <f>[1]Results!Y1367</f>
        <v>1.7107913280858102</v>
      </c>
      <c r="W7" s="1">
        <f>[1]Results!Z1367</f>
        <v>1.7900381258181397</v>
      </c>
      <c r="X7" s="1">
        <f>[1]Results!AA1367</f>
        <v>1.8491638879083436</v>
      </c>
      <c r="Y7" s="1">
        <f>[1]Results!AB1367</f>
        <v>1.8889391280539722</v>
      </c>
      <c r="Z7" s="1">
        <f>[1]Results!AC1367</f>
        <v>1.9121387089655513</v>
      </c>
      <c r="AA7" s="1">
        <f>[1]Results!AD1367</f>
        <v>1.9214367992704338</v>
      </c>
      <c r="AB7" s="1">
        <f>[1]Results!AE1367</f>
        <v>1.9190792096066116</v>
      </c>
      <c r="AC7" s="1">
        <f>[1]Results!AF1367</f>
        <v>1.9003822258065022</v>
      </c>
      <c r="AD7" s="1">
        <f>[1]Results!AG1367</f>
        <v>1.8640613377059752</v>
      </c>
      <c r="AE7" s="1">
        <f>[1]Results!AH1367</f>
        <v>1.8160709013147029</v>
      </c>
      <c r="AF7" s="1">
        <f>[1]Results!AI1367</f>
        <v>1.7623604809879825</v>
      </c>
      <c r="AG7" s="1">
        <f>[1]Results!AJ1367</f>
        <v>1.7069717835259062</v>
      </c>
      <c r="AH7" s="1">
        <f>[1]Results!AK1367</f>
        <v>1.6505999161249816</v>
      </c>
      <c r="AI7" s="1">
        <f>[1]Results!AL1367</f>
        <v>1.593550125388566</v>
      </c>
      <c r="AJ7" s="1">
        <f>[1]Results!AM1367</f>
        <v>1.5393928642582082</v>
      </c>
      <c r="AK7" s="1">
        <f>[1]Results!AN1367</f>
        <v>1.492009215723302</v>
      </c>
      <c r="AL7" s="1">
        <f>[1]Results!AO1367</f>
        <v>1.4543132248357626</v>
      </c>
    </row>
    <row r="8" spans="1:3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8.7506974268332731E-10</v>
      </c>
      <c r="F8" s="1">
        <f>[1]Results!I1368</f>
        <v>1.7121225867987333E-9</v>
      </c>
      <c r="G8" s="1">
        <f>[1]Results!J1368</f>
        <v>2.0916140495153317E-9</v>
      </c>
      <c r="H8" s="1">
        <f>[1]Results!K1368</f>
        <v>2.0426353510590547E-9</v>
      </c>
      <c r="I8" s="1">
        <f>[1]Results!L1368</f>
        <v>2.7930985678692885E-9</v>
      </c>
      <c r="J8" s="1">
        <f>[1]Results!M1368</f>
        <v>-6.6196187633177819E-2</v>
      </c>
      <c r="K8" s="1">
        <f>[1]Results!N1368</f>
        <v>-0.11385530883051768</v>
      </c>
      <c r="L8" s="1">
        <f>[1]Results!O1368</f>
        <v>-0.13011759335138726</v>
      </c>
      <c r="M8" s="1">
        <f>[1]Results!P1368</f>
        <v>-0.12610183164749289</v>
      </c>
      <c r="N8" s="1">
        <f>[1]Results!Q1368</f>
        <v>-9.2540770919934692E-2</v>
      </c>
      <c r="O8" s="1">
        <f>[1]Results!R1368</f>
        <v>-5.365916301948067E-2</v>
      </c>
      <c r="P8" s="1">
        <f>[1]Results!S1368</f>
        <v>-2.1661275485749198E-2</v>
      </c>
      <c r="Q8" s="1">
        <f>[1]Results!T1368</f>
        <v>1.2851791146669426E-3</v>
      </c>
      <c r="R8" s="1">
        <f>[1]Results!U1368</f>
        <v>1.6818704243373193E-2</v>
      </c>
      <c r="S8" s="1">
        <f>[1]Results!V1368</f>
        <v>1.3365620596801259E-2</v>
      </c>
      <c r="T8" s="1">
        <f>[1]Results!W1368</f>
        <v>2.8993871904507062E-3</v>
      </c>
      <c r="U8" s="1">
        <f>[1]Results!X1368</f>
        <v>-7.1725745690467335E-3</v>
      </c>
      <c r="V8" s="1">
        <f>[1]Results!Y1368</f>
        <v>-1.4285607732509264E-2</v>
      </c>
      <c r="W8" s="1">
        <f>[1]Results!Z1368</f>
        <v>-1.83906555445001E-2</v>
      </c>
      <c r="X8" s="1">
        <f>[1]Results!AA1368</f>
        <v>-2.0165839896301833E-2</v>
      </c>
      <c r="Y8" s="1">
        <f>[1]Results!AB1368</f>
        <v>-2.0516148788793501E-2</v>
      </c>
      <c r="Z8" s="1">
        <f>[1]Results!AC1368</f>
        <v>-1.9880532250457616E-2</v>
      </c>
      <c r="AA8" s="1">
        <f>[1]Results!AD1368</f>
        <v>-1.8541289802198584E-2</v>
      </c>
      <c r="AB8" s="1">
        <f>[1]Results!AE1368</f>
        <v>-1.6973800870439943E-2</v>
      </c>
      <c r="AC8" s="1">
        <f>[1]Results!AF1368</f>
        <v>-1.5455018303294569E-2</v>
      </c>
      <c r="AD8" s="1">
        <f>[1]Results!AG1368</f>
        <v>-1.4321239100941626E-2</v>
      </c>
      <c r="AE8" s="1">
        <f>[1]Results!AH1368</f>
        <v>-1.3035109485534957E-2</v>
      </c>
      <c r="AF8" s="1">
        <f>[1]Results!AI1368</f>
        <v>-1.1152096030258492E-2</v>
      </c>
      <c r="AG8" s="1">
        <f>[1]Results!AJ1368</f>
        <v>-8.5123986282383424E-3</v>
      </c>
      <c r="AH8" s="1">
        <f>[1]Results!AK1368</f>
        <v>-5.1880418284482987E-3</v>
      </c>
      <c r="AI8" s="1">
        <f>[1]Results!AL1368</f>
        <v>-1.165730708408291E-3</v>
      </c>
      <c r="AJ8" s="1">
        <f>[1]Results!AM1368</f>
        <v>3.9291660092922696E-3</v>
      </c>
      <c r="AK8" s="1">
        <f>[1]Results!AN1368</f>
        <v>1.0480051016419531E-2</v>
      </c>
      <c r="AL8" s="1">
        <f>[1]Results!AO1368</f>
        <v>1.8692375236659429E-2</v>
      </c>
    </row>
    <row r="9" spans="1:3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5">
      <c r="A10" s="3" t="str">
        <f>[1]Results!E1370</f>
        <v>100*((I_2-I_0)/GDP_0)</v>
      </c>
      <c r="B10" t="s">
        <v>21</v>
      </c>
      <c r="C10" s="1">
        <f>[1]Results!F1370</f>
        <v>4.5496879916593708E-9</v>
      </c>
      <c r="D10" s="1">
        <f>[1]Results!G1370</f>
        <v>0</v>
      </c>
      <c r="E10" s="1">
        <f>[1]Results!H1370</f>
        <v>0</v>
      </c>
      <c r="F10" s="1">
        <f>[1]Results!I1370</f>
        <v>4.2803067784301251E-9</v>
      </c>
      <c r="G10" s="1">
        <f>[1]Results!J1370</f>
        <v>4.1832280990306635E-9</v>
      </c>
      <c r="H10" s="1">
        <f>[1]Results!K1370</f>
        <v>4.0852683241777045E-9</v>
      </c>
      <c r="I10" s="1">
        <f>[1]Results!L1370</f>
        <v>3.9901428020138379E-9</v>
      </c>
      <c r="J10" s="1">
        <f>[1]Results!M1370</f>
        <v>-5.3308995832319517E-2</v>
      </c>
      <c r="K10" s="1">
        <f>[1]Results!N1370</f>
        <v>-0.12179525511426306</v>
      </c>
      <c r="L10" s="1">
        <f>[1]Results!O1370</f>
        <v>-0.13584928284208264</v>
      </c>
      <c r="M10" s="1">
        <f>[1]Results!P1370</f>
        <v>-0.12044009292598806</v>
      </c>
      <c r="N10" s="1">
        <f>[1]Results!Q1370</f>
        <v>-8.9609888503138307E-2</v>
      </c>
      <c r="O10" s="1">
        <f>[1]Results!R1370</f>
        <v>-5.3161376050509912E-2</v>
      </c>
      <c r="P10" s="1">
        <f>[1]Results!S1370</f>
        <v>-1.305280483649276E-2</v>
      </c>
      <c r="Q10" s="1">
        <f>[1]Results!T1370</f>
        <v>3.3856945115273394E-2</v>
      </c>
      <c r="R10" s="1">
        <f>[1]Results!U1370</f>
        <v>8.9184926202934237E-2</v>
      </c>
      <c r="S10" s="1">
        <f>[1]Results!V1370</f>
        <v>0.14397483936877029</v>
      </c>
      <c r="T10" s="1">
        <f>[1]Results!W1370</f>
        <v>0.1977596419546894</v>
      </c>
      <c r="U10" s="1">
        <f>[1]Results!X1370</f>
        <v>0.25214769072746124</v>
      </c>
      <c r="V10" s="1">
        <f>[1]Results!Y1370</f>
        <v>0.30946047005988941</v>
      </c>
      <c r="W10" s="1">
        <f>[1]Results!Z1370</f>
        <v>0.37203607899229862</v>
      </c>
      <c r="X10" s="1">
        <f>[1]Results!AA1370</f>
        <v>0.44136488320890227</v>
      </c>
      <c r="Y10" s="1">
        <f>[1]Results!AB1370</f>
        <v>0.51885553516658789</v>
      </c>
      <c r="Z10" s="1">
        <f>[1]Results!AC1370</f>
        <v>0.60596865656939269</v>
      </c>
      <c r="AA10" s="1">
        <f>[1]Results!AD1370</f>
        <v>0.70413999942954175</v>
      </c>
      <c r="AB10" s="1">
        <f>[1]Results!AE1370</f>
        <v>0.81492718744803017</v>
      </c>
      <c r="AC10" s="1">
        <f>[1]Results!AF1370</f>
        <v>0.93856322943363291</v>
      </c>
      <c r="AD10" s="1">
        <f>[1]Results!AG1370</f>
        <v>1.07416754605697</v>
      </c>
      <c r="AE10" s="1">
        <f>[1]Results!AH1370</f>
        <v>1.2221215406605022</v>
      </c>
      <c r="AF10" s="1">
        <f>[1]Results!AI1370</f>
        <v>1.3836300561132733</v>
      </c>
      <c r="AG10" s="1">
        <f>[1]Results!AJ1370</f>
        <v>1.5602439360220033</v>
      </c>
      <c r="AH10" s="1">
        <f>[1]Results!AK1370</f>
        <v>1.7533078173605479</v>
      </c>
      <c r="AI10" s="1">
        <f>[1]Results!AL1370</f>
        <v>1.9643424748128218</v>
      </c>
      <c r="AJ10" s="1">
        <f>[1]Results!AM1370</f>
        <v>2.1959151746567249</v>
      </c>
      <c r="AK10" s="1">
        <f>[1]Results!AN1370</f>
        <v>2.4516325073169818</v>
      </c>
      <c r="AL10" s="1">
        <f>[1]Results!AO1370</f>
        <v>2.7362314956100002</v>
      </c>
    </row>
    <row r="11" spans="1:3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-4.5496906399262041E-9</v>
      </c>
      <c r="D12" s="1">
        <f>[1]Results!G1372</f>
        <v>-4.465808454817137E-9</v>
      </c>
      <c r="E12" s="1">
        <f>[1]Results!H1372</f>
        <v>-4.3753499868102769E-9</v>
      </c>
      <c r="F12" s="1">
        <f>[1]Results!I1372</f>
        <v>-1.2840922826756713E-8</v>
      </c>
      <c r="G12" s="1">
        <f>[1]Results!J1372</f>
        <v>-8.3664610679795506E-9</v>
      </c>
      <c r="H12" s="1">
        <f>[1]Results!K1372</f>
        <v>-1.2255814484294733E-8</v>
      </c>
      <c r="I12" s="1">
        <f>[1]Results!L1372</f>
        <v>-1.5960566562920693E-8</v>
      </c>
      <c r="J12" s="1">
        <f>[1]Results!M1372</f>
        <v>-0.1483870819715073</v>
      </c>
      <c r="K12" s="1">
        <f>[1]Results!N1372</f>
        <v>-0.2607495804072737</v>
      </c>
      <c r="L12" s="1">
        <f>[1]Results!O1372</f>
        <v>-0.14034861071074589</v>
      </c>
      <c r="M12" s="1">
        <f>[1]Results!P1372</f>
        <v>-0.11619272066462744</v>
      </c>
      <c r="N12" s="1">
        <f>[1]Results!Q1372</f>
        <v>-0.19203223965779753</v>
      </c>
      <c r="O12" s="1">
        <f>[1]Results!R1372</f>
        <v>-0.35050602971386563</v>
      </c>
      <c r="P12" s="1">
        <f>[1]Results!S1372</f>
        <v>-0.54455884037025049</v>
      </c>
      <c r="Q12" s="1">
        <f>[1]Results!T1372</f>
        <v>-0.73713520213110983</v>
      </c>
      <c r="R12" s="1">
        <f>[1]Results!U1372</f>
        <v>-0.92177343095124376</v>
      </c>
      <c r="S12" s="1">
        <f>[1]Results!V1372</f>
        <v>-1.1119166313323621</v>
      </c>
      <c r="T12" s="1">
        <f>[1]Results!W1372</f>
        <v>-1.2916226354388531</v>
      </c>
      <c r="U12" s="1">
        <f>[1]Results!X1372</f>
        <v>-1.464222455845007</v>
      </c>
      <c r="V12" s="1">
        <f>[1]Results!Y1372</f>
        <v>-1.6315810745965416</v>
      </c>
      <c r="W12" s="1">
        <f>[1]Results!Z1372</f>
        <v>-1.7942298543676136</v>
      </c>
      <c r="X12" s="1">
        <f>[1]Results!AA1372</f>
        <v>-1.9489108272699345</v>
      </c>
      <c r="Y12" s="1">
        <f>[1]Results!AB1372</f>
        <v>-2.0941495281433724</v>
      </c>
      <c r="Z12" s="1">
        <f>[1]Results!AC1372</f>
        <v>-2.2304526855716267</v>
      </c>
      <c r="AA12" s="1">
        <f>[1]Results!AD1372</f>
        <v>-2.3581927294804577</v>
      </c>
      <c r="AB12" s="1">
        <f>[1]Results!AE1372</f>
        <v>-2.4790241728708828</v>
      </c>
      <c r="AC12" s="1">
        <f>[1]Results!AF1372</f>
        <v>-2.5839019150737408</v>
      </c>
      <c r="AD12" s="1">
        <f>[1]Results!AG1372</f>
        <v>-2.6711348971324442</v>
      </c>
      <c r="AE12" s="1">
        <f>[1]Results!AH1372</f>
        <v>-2.743777729491951</v>
      </c>
      <c r="AF12" s="1">
        <f>[1]Results!AI1372</f>
        <v>-2.8051463085807438</v>
      </c>
      <c r="AG12" s="1">
        <f>[1]Results!AJ1372</f>
        <v>-2.8580574012875561</v>
      </c>
      <c r="AH12" s="1">
        <f>[1]Results!AK1372</f>
        <v>-2.9032159123318411</v>
      </c>
      <c r="AI12" s="1">
        <f>[1]Results!AL1372</f>
        <v>-2.9415437699283506</v>
      </c>
      <c r="AJ12" s="1">
        <f>[1]Results!AM1372</f>
        <v>-2.9778715859199996</v>
      </c>
      <c r="AK12" s="1">
        <f>[1]Results!AN1372</f>
        <v>-3.018174065213004</v>
      </c>
      <c r="AL12" s="1">
        <f>[1]Results!AO1372</f>
        <v>-3.0688933210829799</v>
      </c>
    </row>
    <row r="13" spans="1:3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0</v>
      </c>
      <c r="F13" s="1">
        <f>[1]Results!I1373</f>
        <v>0</v>
      </c>
      <c r="G13" s="1">
        <f>[1]Results!J1373</f>
        <v>0</v>
      </c>
      <c r="H13" s="1">
        <f>[1]Results!K1373</f>
        <v>0</v>
      </c>
      <c r="I13" s="1">
        <f>[1]Results!L1373</f>
        <v>3.9502383082048242E-8</v>
      </c>
      <c r="J13" s="1">
        <f>[1]Results!M1373</f>
        <v>-2.1514561834243925E-2</v>
      </c>
      <c r="K13" s="1">
        <f>[1]Results!N1373</f>
        <v>-6.3607375601562016E-2</v>
      </c>
      <c r="L13" s="1">
        <f>[1]Results!O1373</f>
        <v>-2.9778372462072555E-2</v>
      </c>
      <c r="M13" s="1">
        <f>[1]Results!P1373</f>
        <v>8.9145461153685837E-2</v>
      </c>
      <c r="N13" s="1">
        <f>[1]Results!Q1373</f>
        <v>0.26554736022362851</v>
      </c>
      <c r="O13" s="1">
        <f>[1]Results!R1373</f>
        <v>0.48416793803067354</v>
      </c>
      <c r="P13" s="1">
        <f>[1]Results!S1373</f>
        <v>0.71475821648921245</v>
      </c>
      <c r="Q13" s="1">
        <f>[1]Results!T1373</f>
        <v>0.93878510438770502</v>
      </c>
      <c r="R13" s="1">
        <f>[1]Results!U1373</f>
        <v>1.1475583561964549</v>
      </c>
      <c r="S13" s="1">
        <f>[1]Results!V1373</f>
        <v>1.330756103131236</v>
      </c>
      <c r="T13" s="1">
        <f>[1]Results!W1373</f>
        <v>1.479352041947174</v>
      </c>
      <c r="U13" s="1">
        <f>[1]Results!X1373</f>
        <v>1.5993719221879577</v>
      </c>
      <c r="V13" s="1">
        <f>[1]Results!Y1373</f>
        <v>1.6967483288998824</v>
      </c>
      <c r="W13" s="1">
        <f>[1]Results!Z1373</f>
        <v>1.7749944634143917</v>
      </c>
      <c r="X13" s="1">
        <f>[1]Results!AA1373</f>
        <v>1.8332906312216475</v>
      </c>
      <c r="Y13" s="1">
        <f>[1]Results!AB1373</f>
        <v>1.8723980014765096</v>
      </c>
      <c r="Z13" s="1">
        <f>[1]Results!AC1373</f>
        <v>1.8950699083000855</v>
      </c>
      <c r="AA13" s="1">
        <f>[1]Results!AD1373</f>
        <v>1.9039656089880417</v>
      </c>
      <c r="AB13" s="1">
        <f>[1]Results!AE1373</f>
        <v>1.9013271763280715</v>
      </c>
      <c r="AC13" s="1">
        <f>[1]Results!AF1373</f>
        <v>1.882610346747688</v>
      </c>
      <c r="AD13" s="1">
        <f>[1]Results!AG1373</f>
        <v>1.8466449889519039</v>
      </c>
      <c r="AE13" s="1">
        <f>[1]Results!AH1373</f>
        <v>1.79935162179432</v>
      </c>
      <c r="AF13" s="1">
        <f>[1]Results!AI1373</f>
        <v>1.7466032553501376</v>
      </c>
      <c r="AG13" s="1">
        <f>[1]Results!AJ1373</f>
        <v>1.6923777117684728</v>
      </c>
      <c r="AH13" s="1">
        <f>[1]Results!AK1373</f>
        <v>1.6373667539390253</v>
      </c>
      <c r="AI13" s="1">
        <f>[1]Results!AL1373</f>
        <v>1.5818912494972908</v>
      </c>
      <c r="AJ13" s="1">
        <f>[1]Results!AM1373</f>
        <v>1.5294782605866022</v>
      </c>
      <c r="AK13" s="1">
        <f>[1]Results!AN1373</f>
        <v>1.4839449853129676</v>
      </c>
      <c r="AL13" s="1">
        <f>[1]Results!AO1373</f>
        <v>1.4481511017070379</v>
      </c>
    </row>
    <row r="14" spans="1:3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4.5496879916593708E-9</v>
      </c>
      <c r="D14" s="1">
        <f>[1]Results!G1374</f>
        <v>0</v>
      </c>
      <c r="E14" s="1">
        <f>[1]Results!H1374</f>
        <v>0</v>
      </c>
      <c r="F14" s="1">
        <f>[1]Results!I1374</f>
        <v>4.2803067784301251E-9</v>
      </c>
      <c r="G14" s="1">
        <f>[1]Results!J1374</f>
        <v>4.1832256640715517E-9</v>
      </c>
      <c r="H14" s="1">
        <f>[1]Results!K1374</f>
        <v>4.0852683241777045E-9</v>
      </c>
      <c r="I14" s="1">
        <f>[1]Results!L1374</f>
        <v>4.3891552241613579E-9</v>
      </c>
      <c r="J14" s="1">
        <f>[1]Results!M1374</f>
        <v>-5.4571282297689538E-2</v>
      </c>
      <c r="K14" s="1">
        <f>[1]Results!N1374</f>
        <v>-0.12562869104356256</v>
      </c>
      <c r="L14" s="1">
        <f>[1]Results!O1374</f>
        <v>-0.14143169568696323</v>
      </c>
      <c r="M14" s="1">
        <f>[1]Results!P1374</f>
        <v>-0.12644246444938578</v>
      </c>
      <c r="N14" s="1">
        <f>[1]Results!Q1374</f>
        <v>-9.4787134171147522E-2</v>
      </c>
      <c r="O14" s="1">
        <f>[1]Results!R1374</f>
        <v>-5.6221220364412551E-2</v>
      </c>
      <c r="P14" s="1">
        <f>[1]Results!S1374</f>
        <v>-1.3220483284783383E-2</v>
      </c>
      <c r="Q14" s="1">
        <f>[1]Results!T1374</f>
        <v>3.68909222592489E-2</v>
      </c>
      <c r="R14" s="1">
        <f>[1]Results!U1374</f>
        <v>9.5432107611986561E-2</v>
      </c>
      <c r="S14" s="1">
        <f>[1]Results!V1374</f>
        <v>0.15307708703892822</v>
      </c>
      <c r="T14" s="1">
        <f>[1]Results!W1374</f>
        <v>0.20901895130250098</v>
      </c>
      <c r="U14" s="1">
        <f>[1]Results!X1374</f>
        <v>0.2649833896813974</v>
      </c>
      <c r="V14" s="1">
        <f>[1]Results!Y1374</f>
        <v>0.32350346924581369</v>
      </c>
      <c r="W14" s="1">
        <f>[1]Results!Z1374</f>
        <v>0.38707974139604306</v>
      </c>
      <c r="X14" s="1">
        <f>[1]Results!AA1374</f>
        <v>0.45723813989559148</v>
      </c>
      <c r="Y14" s="1">
        <f>[1]Results!AB1374</f>
        <v>0.53539666174405365</v>
      </c>
      <c r="Z14" s="1">
        <f>[1]Results!AC1374</f>
        <v>0.62303745723485826</v>
      </c>
      <c r="AA14" s="1">
        <f>[1]Results!AD1374</f>
        <v>0.7216111897119305</v>
      </c>
      <c r="AB14" s="1">
        <f>[1]Results!AE1374</f>
        <v>0.83267922072656742</v>
      </c>
      <c r="AC14" s="1">
        <f>[1]Results!AF1374</f>
        <v>0.95633510849244363</v>
      </c>
      <c r="AD14" s="1">
        <f>[1]Results!AG1374</f>
        <v>1.0915838948110417</v>
      </c>
      <c r="AE14" s="1">
        <f>[1]Results!AH1374</f>
        <v>1.2388408201808878</v>
      </c>
      <c r="AF14" s="1">
        <f>[1]Results!AI1374</f>
        <v>1.3993872817511182</v>
      </c>
      <c r="AG14" s="1">
        <f>[1]Results!AJ1374</f>
        <v>1.5748380077794395</v>
      </c>
      <c r="AH14" s="1">
        <f>[1]Results!AK1374</f>
        <v>1.7665409795465097</v>
      </c>
      <c r="AI14" s="1">
        <f>[1]Results!AL1374</f>
        <v>1.9760013507040917</v>
      </c>
      <c r="AJ14" s="1">
        <f>[1]Results!AM1374</f>
        <v>2.2058297783283365</v>
      </c>
      <c r="AK14" s="1">
        <f>[1]Results!AN1374</f>
        <v>2.4596967377273216</v>
      </c>
      <c r="AL14" s="1">
        <f>[1]Results!AO1374</f>
        <v>2.7423936187387299</v>
      </c>
    </row>
    <row r="15" spans="1:3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4.5496879916593708E-9</v>
      </c>
      <c r="D15" s="1">
        <f>[1]Results!G1375</f>
        <v>0</v>
      </c>
      <c r="E15" s="1">
        <f>[1]Results!H1375</f>
        <v>0</v>
      </c>
      <c r="F15" s="1">
        <f>[1]Results!I1375</f>
        <v>3.8522753531472109E-9</v>
      </c>
      <c r="G15" s="1">
        <f>[1]Results!J1375</f>
        <v>4.1832280990306635E-9</v>
      </c>
      <c r="H15" s="1">
        <f>[1]Results!K1375</f>
        <v>3.6767405405837726E-9</v>
      </c>
      <c r="I15" s="1">
        <f>[1]Results!L1375</f>
        <v>3.5911303798663179E-9</v>
      </c>
      <c r="J15" s="1">
        <f>[1]Results!M1375</f>
        <v>-5.0138869509523121E-2</v>
      </c>
      <c r="K15" s="1">
        <f>[1]Results!N1375</f>
        <v>-0.1152368439506006</v>
      </c>
      <c r="L15" s="1">
        <f>[1]Results!O1375</f>
        <v>-0.12689500302939632</v>
      </c>
      <c r="M15" s="1">
        <f>[1]Results!P1375</f>
        <v>-0.10981807216599654</v>
      </c>
      <c r="N15" s="1">
        <f>[1]Results!Q1375</f>
        <v>-7.8481767687152579E-2</v>
      </c>
      <c r="O15" s="1">
        <f>[1]Results!R1375</f>
        <v>-4.2390614684439887E-2</v>
      </c>
      <c r="P15" s="1">
        <f>[1]Results!S1375</f>
        <v>-3.2734863899870938E-3</v>
      </c>
      <c r="Q15" s="1">
        <f>[1]Results!T1375</f>
        <v>4.2121158398430107E-2</v>
      </c>
      <c r="R15" s="1">
        <f>[1]Results!U1375</f>
        <v>9.5478828390517897E-2</v>
      </c>
      <c r="S15" s="1">
        <f>[1]Results!V1375</f>
        <v>0.14840351636876126</v>
      </c>
      <c r="T15" s="1">
        <f>[1]Results!W1375</f>
        <v>0.20041178152260439</v>
      </c>
      <c r="U15" s="1">
        <f>[1]Results!X1375</f>
        <v>0.25297377346620298</v>
      </c>
      <c r="V15" s="1">
        <f>[1]Results!Y1375</f>
        <v>0.30827394320158097</v>
      </c>
      <c r="W15" s="1">
        <f>[1]Results!Z1375</f>
        <v>0.3685551408479501</v>
      </c>
      <c r="X15" s="1">
        <f>[1]Results!AA1375</f>
        <v>0.43529457991870996</v>
      </c>
      <c r="Y15" s="1">
        <f>[1]Results!AB1375</f>
        <v>0.50991416430577119</v>
      </c>
      <c r="Z15" s="1">
        <f>[1]Results!AC1375</f>
        <v>0.59387303653000056</v>
      </c>
      <c r="AA15" s="1">
        <f>[1]Results!AD1375</f>
        <v>0.68862070212838633</v>
      </c>
      <c r="AB15" s="1">
        <f>[1]Results!AE1375</f>
        <v>0.79576800050716423</v>
      </c>
      <c r="AC15" s="1">
        <f>[1]Results!AF1375</f>
        <v>0.91572622780098833</v>
      </c>
      <c r="AD15" s="1">
        <f>[1]Results!AG1375</f>
        <v>1.0478237545334201</v>
      </c>
      <c r="AE15" s="1">
        <f>[1]Results!AH1375</f>
        <v>1.1925120311759649</v>
      </c>
      <c r="AF15" s="1">
        <f>[1]Results!AI1375</f>
        <v>1.351024798617195</v>
      </c>
      <c r="AG15" s="1">
        <f>[1]Results!AJ1375</f>
        <v>1.5249341976553055</v>
      </c>
      <c r="AH15" s="1">
        <f>[1]Results!AK1375</f>
        <v>1.7156457739902586</v>
      </c>
      <c r="AI15" s="1">
        <f>[1]Results!AL1375</f>
        <v>1.9247439026790798</v>
      </c>
      <c r="AJ15" s="1">
        <f>[1]Results!AM1375</f>
        <v>2.1547903971624844</v>
      </c>
      <c r="AK15" s="1">
        <f>[1]Results!AN1375</f>
        <v>2.4093581363485859</v>
      </c>
      <c r="AL15" s="1">
        <f>[1]Results!AO1375</f>
        <v>2.6931442408526811</v>
      </c>
    </row>
    <row r="16" spans="1:3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0</v>
      </c>
      <c r="I16" s="1">
        <f>[1]Results!L1376</f>
        <v>3.9901401891255918E-10</v>
      </c>
      <c r="J16" s="1">
        <f>[1]Results!M1376</f>
        <v>-1.2622864653712993E-3</v>
      </c>
      <c r="K16" s="1">
        <f>[1]Results!N1376</f>
        <v>-3.8334359292985353E-3</v>
      </c>
      <c r="L16" s="1">
        <f>[1]Results!O1376</f>
        <v>-5.5824128448778891E-3</v>
      </c>
      <c r="M16" s="1">
        <f>[1]Results!P1376</f>
        <v>-6.002371523398109E-3</v>
      </c>
      <c r="N16" s="1">
        <f>[1]Results!Q1376</f>
        <v>-5.1772456680105007E-3</v>
      </c>
      <c r="O16" s="1">
        <f>[1]Results!R1376</f>
        <v>-3.0598443139013671E-3</v>
      </c>
      <c r="P16" s="1">
        <f>[1]Results!S1376</f>
        <v>-1.6767844828937301E-4</v>
      </c>
      <c r="Q16" s="1">
        <f>[1]Results!T1376</f>
        <v>3.0339771439782085E-3</v>
      </c>
      <c r="R16" s="1">
        <f>[1]Results!U1376</f>
        <v>6.2471814090520831E-3</v>
      </c>
      <c r="S16" s="1">
        <f>[1]Results!V1376</f>
        <v>9.1022476701590072E-3</v>
      </c>
      <c r="T16" s="1">
        <f>[1]Results!W1376</f>
        <v>1.1259309347809686E-2</v>
      </c>
      <c r="U16" s="1">
        <f>[1]Results!X1376</f>
        <v>1.2835698953934995E-2</v>
      </c>
      <c r="V16" s="1">
        <f>[1]Results!Y1376</f>
        <v>1.404299918592542E-2</v>
      </c>
      <c r="W16" s="1">
        <f>[1]Results!Z1376</f>
        <v>1.5043662403745543E-2</v>
      </c>
      <c r="X16" s="1">
        <f>[1]Results!AA1376</f>
        <v>1.5873256686690613E-2</v>
      </c>
      <c r="Y16" s="1">
        <f>[1]Results!AB1376</f>
        <v>1.6541126577465922E-2</v>
      </c>
      <c r="Z16" s="1">
        <f>[1]Results!AC1376</f>
        <v>1.7068800665465449E-2</v>
      </c>
      <c r="AA16" s="1">
        <f>[1]Results!AD1376</f>
        <v>1.7471190282390733E-2</v>
      </c>
      <c r="AB16" s="1">
        <f>[1]Results!AE1376</f>
        <v>1.7752033278537714E-2</v>
      </c>
      <c r="AC16" s="1">
        <f>[1]Results!AF1376</f>
        <v>1.777187905881213E-2</v>
      </c>
      <c r="AD16" s="1">
        <f>[1]Results!AG1376</f>
        <v>1.7416348754071751E-2</v>
      </c>
      <c r="AE16" s="1">
        <f>[1]Results!AH1376</f>
        <v>1.6719279520386137E-2</v>
      </c>
      <c r="AF16" s="1">
        <f>[1]Results!AI1376</f>
        <v>1.5757225637843219E-2</v>
      </c>
      <c r="AG16" s="1">
        <f>[1]Results!AJ1376</f>
        <v>1.4594071757435757E-2</v>
      </c>
      <c r="AH16" s="1">
        <f>[1]Results!AK1376</f>
        <v>1.3233162185959083E-2</v>
      </c>
      <c r="AI16" s="1">
        <f>[1]Results!AL1376</f>
        <v>1.1658875891274529E-2</v>
      </c>
      <c r="AJ16" s="1">
        <f>[1]Results!AM1376</f>
        <v>9.9146036716085215E-3</v>
      </c>
      <c r="AK16" s="1">
        <f>[1]Results!AN1376</f>
        <v>8.0642304103373721E-3</v>
      </c>
      <c r="AL16" s="1">
        <f>[1]Results!AO1376</f>
        <v>6.1621231287282202E-3</v>
      </c>
    </row>
    <row r="17" spans="1:3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0</v>
      </c>
      <c r="F17" s="1">
        <f>[1]Results!I1377</f>
        <v>4.2803080241632936E-10</v>
      </c>
      <c r="G17" s="1">
        <f>[1]Results!J1377</f>
        <v>0</v>
      </c>
      <c r="H17" s="1">
        <f>[1]Results!K1377</f>
        <v>4.0852718910883115E-10</v>
      </c>
      <c r="I17" s="1">
        <f>[1]Results!L1377</f>
        <v>3.99013873752101E-10</v>
      </c>
      <c r="J17" s="1">
        <f>[1]Results!M1377</f>
        <v>-3.1701263227966753E-3</v>
      </c>
      <c r="K17" s="1">
        <f>[1]Results!N1377</f>
        <v>-6.5584111636613693E-3</v>
      </c>
      <c r="L17" s="1">
        <f>[1]Results!O1377</f>
        <v>-8.9542798126866028E-3</v>
      </c>
      <c r="M17" s="1">
        <f>[1]Results!P1377</f>
        <v>-1.0622020759991262E-2</v>
      </c>
      <c r="N17" s="1">
        <f>[1]Results!Q1377</f>
        <v>-1.1128120815987021E-2</v>
      </c>
      <c r="O17" s="1">
        <f>[1]Results!R1377</f>
        <v>-1.0770761366070537E-2</v>
      </c>
      <c r="P17" s="1">
        <f>[1]Results!S1377</f>
        <v>-9.7793184465046652E-3</v>
      </c>
      <c r="Q17" s="1">
        <f>[1]Results!T1377</f>
        <v>-8.264213283157941E-3</v>
      </c>
      <c r="R17" s="1">
        <f>[1]Results!U1377</f>
        <v>-6.2939021875846419E-3</v>
      </c>
      <c r="S17" s="1">
        <f>[1]Results!V1377</f>
        <v>-4.4286769999904918E-3</v>
      </c>
      <c r="T17" s="1">
        <f>[1]Results!W1377</f>
        <v>-2.6521395679130933E-3</v>
      </c>
      <c r="U17" s="1">
        <f>[1]Results!X1377</f>
        <v>-8.2608273874244624E-4</v>
      </c>
      <c r="V17" s="1">
        <f>[1]Results!Y1377</f>
        <v>1.1865268583091432E-3</v>
      </c>
      <c r="W17" s="1">
        <f>[1]Results!Z1377</f>
        <v>3.480938144347398E-3</v>
      </c>
      <c r="X17" s="1">
        <f>[1]Results!AA1377</f>
        <v>6.0703032901914308E-3</v>
      </c>
      <c r="Y17" s="1">
        <f>[1]Results!AB1377</f>
        <v>8.9413708608177458E-3</v>
      </c>
      <c r="Z17" s="1">
        <f>[1]Results!AC1377</f>
        <v>1.2095620039391849E-2</v>
      </c>
      <c r="AA17" s="1">
        <f>[1]Results!AD1377</f>
        <v>1.5519297301153865E-2</v>
      </c>
      <c r="AB17" s="1">
        <f>[1]Results!AE1377</f>
        <v>1.9159186940866425E-2</v>
      </c>
      <c r="AC17" s="1">
        <f>[1]Results!AF1377</f>
        <v>2.2837001632643114E-2</v>
      </c>
      <c r="AD17" s="1">
        <f>[1]Results!AG1377</f>
        <v>2.6343791523550306E-2</v>
      </c>
      <c r="AE17" s="1">
        <f>[1]Results!AH1377</f>
        <v>2.9609509484537121E-2</v>
      </c>
      <c r="AF17" s="1">
        <f>[1]Results!AI1377</f>
        <v>3.2605257496078975E-2</v>
      </c>
      <c r="AG17" s="1">
        <f>[1]Results!AJ1377</f>
        <v>3.5309738366695986E-2</v>
      </c>
      <c r="AH17" s="1">
        <f>[1]Results!AK1377</f>
        <v>3.7662043370288806E-2</v>
      </c>
      <c r="AI17" s="1">
        <f>[1]Results!AL1377</f>
        <v>3.9598572133741565E-2</v>
      </c>
      <c r="AJ17" s="1">
        <f>[1]Results!AM1377</f>
        <v>4.1124777494241385E-2</v>
      </c>
      <c r="AK17" s="1">
        <f>[1]Results!AN1377</f>
        <v>4.2274370968395591E-2</v>
      </c>
      <c r="AL17" s="1">
        <f>[1]Results!AO1377</f>
        <v>4.3087254757314564E-2</v>
      </c>
    </row>
    <row r="18" spans="1:3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0</v>
      </c>
      <c r="F18" s="1">
        <f>[1]Results!I1378</f>
        <v>0</v>
      </c>
      <c r="G18" s="1">
        <f>[1]Results!J1378</f>
        <v>0</v>
      </c>
      <c r="H18" s="1">
        <f>[1]Results!K1378</f>
        <v>0</v>
      </c>
      <c r="I18" s="1">
        <f>[1]Results!L1378</f>
        <v>7.2944672524499765E-8</v>
      </c>
      <c r="J18" s="1">
        <f>[1]Results!M1378</f>
        <v>-4.1600217243353832E-2</v>
      </c>
      <c r="K18" s="1">
        <f>[1]Results!N1378</f>
        <v>-0.12307243695606207</v>
      </c>
      <c r="L18" s="1">
        <f>[1]Results!O1378</f>
        <v>-6.447606739375944E-2</v>
      </c>
      <c r="M18" s="1">
        <f>[1]Results!P1378</f>
        <v>0.15140744043671273</v>
      </c>
      <c r="N18" s="1">
        <f>[1]Results!Q1378</f>
        <v>0.47270801276513286</v>
      </c>
      <c r="O18" s="1">
        <f>[1]Results!R1378</f>
        <v>0.8706333508144759</v>
      </c>
      <c r="P18" s="1">
        <f>[1]Results!S1378</f>
        <v>1.2895235273721717</v>
      </c>
      <c r="Q18" s="1">
        <f>[1]Results!T1378</f>
        <v>1.6963451110024952</v>
      </c>
      <c r="R18" s="1">
        <f>[1]Results!U1378</f>
        <v>2.0765962805554317</v>
      </c>
      <c r="S18" s="1">
        <f>[1]Results!V1378</f>
        <v>2.4118835347498147</v>
      </c>
      <c r="T18" s="1">
        <f>[1]Results!W1378</f>
        <v>2.6863160539130959</v>
      </c>
      <c r="U18" s="1">
        <f>[1]Results!X1378</f>
        <v>2.9115847352047641</v>
      </c>
      <c r="V18" s="1">
        <f>[1]Results!Y1378</f>
        <v>3.0988634012617311</v>
      </c>
      <c r="W18" s="1">
        <f>[1]Results!Z1378</f>
        <v>3.2545556928747832</v>
      </c>
      <c r="X18" s="1">
        <f>[1]Results!AA1378</f>
        <v>3.3771129681860579</v>
      </c>
      <c r="Y18" s="1">
        <f>[1]Results!AB1378</f>
        <v>3.4667005233605552</v>
      </c>
      <c r="Z18" s="1">
        <f>[1]Results!AC1378</f>
        <v>3.5274860302820343</v>
      </c>
      <c r="AA18" s="1">
        <f>[1]Results!AD1378</f>
        <v>3.5633808471680961</v>
      </c>
      <c r="AB18" s="1">
        <f>[1]Results!AE1378</f>
        <v>3.5776194723213139</v>
      </c>
      <c r="AC18" s="1">
        <f>[1]Results!AF1378</f>
        <v>3.5618983313596253</v>
      </c>
      <c r="AD18" s="1">
        <f>[1]Results!AG1378</f>
        <v>3.5120373337519828</v>
      </c>
      <c r="AE18" s="1">
        <f>[1]Results!AH1378</f>
        <v>3.4382843933229212</v>
      </c>
      <c r="AF18" s="1">
        <f>[1]Results!AI1378</f>
        <v>3.3508068964925863</v>
      </c>
      <c r="AG18" s="1">
        <f>[1]Results!AJ1378</f>
        <v>3.2566977186068824</v>
      </c>
      <c r="AH18" s="1">
        <f>[1]Results!AK1378</f>
        <v>3.1573322933132753</v>
      </c>
      <c r="AI18" s="1">
        <f>[1]Results!AL1378</f>
        <v>3.0537218058320548</v>
      </c>
      <c r="AJ18" s="1">
        <f>[1]Results!AM1378</f>
        <v>2.9532738644789225</v>
      </c>
      <c r="AK18" s="1">
        <f>[1]Results!AN1378</f>
        <v>2.8640289208657466</v>
      </c>
      <c r="AL18" s="1">
        <f>[1]Results!AO1378</f>
        <v>2.7921242116006439</v>
      </c>
    </row>
    <row r="19" spans="1:3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2.81560552650717E-8</v>
      </c>
      <c r="F19" s="1">
        <f>[1]Results!I1379</f>
        <v>5.2940007932988919E-8</v>
      </c>
      <c r="G19" s="1">
        <f>[1]Results!J1379</f>
        <v>6.2804783595993285E-8</v>
      </c>
      <c r="H19" s="1">
        <f>[1]Results!K1379</f>
        <v>6.0253491085404676E-8</v>
      </c>
      <c r="I19" s="1">
        <f>[1]Results!L1379</f>
        <v>8.1958906328338799E-8</v>
      </c>
      <c r="J19" s="1">
        <f>[1]Results!M1379</f>
        <v>-1.9492631218791967</v>
      </c>
      <c r="K19" s="1">
        <f>[1]Results!N1379</f>
        <v>-3.3792898352549283</v>
      </c>
      <c r="L19" s="1">
        <f>[1]Results!O1379</f>
        <v>-3.8995607457527837</v>
      </c>
      <c r="M19" s="1">
        <f>[1]Results!P1379</f>
        <v>-3.8155370123864718</v>
      </c>
      <c r="N19" s="1">
        <f>[1]Results!Q1379</f>
        <v>-2.8258678268280879</v>
      </c>
      <c r="O19" s="1">
        <f>[1]Results!R1379</f>
        <v>-1.6548512490505263</v>
      </c>
      <c r="P19" s="1">
        <f>[1]Results!S1379</f>
        <v>-0.67535943953922484</v>
      </c>
      <c r="Q19" s="1">
        <f>[1]Results!T1379</f>
        <v>4.0556777026523605E-2</v>
      </c>
      <c r="R19" s="1">
        <f>[1]Results!U1379</f>
        <v>0.53779630637968978</v>
      </c>
      <c r="S19" s="1">
        <f>[1]Results!V1379</f>
        <v>0.43223781977812514</v>
      </c>
      <c r="T19" s="1">
        <f>[1]Results!W1379</f>
        <v>9.4715645956866545E-2</v>
      </c>
      <c r="U19" s="1">
        <f>[1]Results!X1379</f>
        <v>-0.23671408770448155</v>
      </c>
      <c r="V19" s="1">
        <f>[1]Results!Y1379</f>
        <v>-0.47670692239073498</v>
      </c>
      <c r="W19" s="1">
        <f>[1]Results!Z1379</f>
        <v>-0.62134100230506473</v>
      </c>
      <c r="X19" s="1">
        <f>[1]Results!AA1379</f>
        <v>-0.69021355602225665</v>
      </c>
      <c r="Y19" s="1">
        <f>[1]Results!AB1379</f>
        <v>-0.71163117495337547</v>
      </c>
      <c r="Z19" s="1">
        <f>[1]Results!AC1379</f>
        <v>-0.6989599683102643</v>
      </c>
      <c r="AA19" s="1">
        <f>[1]Results!AD1379</f>
        <v>-0.66075833920694604</v>
      </c>
      <c r="AB19" s="1">
        <f>[1]Results!AE1379</f>
        <v>-0.61359880658696797</v>
      </c>
      <c r="AC19" s="1">
        <f>[1]Results!AF1379</f>
        <v>-0.56650264735524924</v>
      </c>
      <c r="AD19" s="1">
        <f>[1]Results!AG1379</f>
        <v>-0.53196843346962064</v>
      </c>
      <c r="AE19" s="1">
        <f>[1]Results!AH1379</f>
        <v>-0.49036646145175222</v>
      </c>
      <c r="AF19" s="1">
        <f>[1]Results!AI1379</f>
        <v>-0.42455677667453395</v>
      </c>
      <c r="AG19" s="1">
        <f>[1]Results!AJ1379</f>
        <v>-0.32772159836176318</v>
      </c>
      <c r="AH19" s="1">
        <f>[1]Results!AK1379</f>
        <v>-0.20190200027527805</v>
      </c>
      <c r="AI19" s="1">
        <f>[1]Results!AL1379</f>
        <v>-4.5852448078265162E-2</v>
      </c>
      <c r="AJ19" s="1">
        <f>[1]Results!AM1379</f>
        <v>0.15622513413202643</v>
      </c>
      <c r="AK19" s="1">
        <f>[1]Results!AN1379</f>
        <v>0.42135377038257094</v>
      </c>
      <c r="AL19" s="1">
        <f>[1]Results!AO1379</f>
        <v>0.76030549992567309</v>
      </c>
    </row>
    <row r="20" spans="1:3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2.115336794616951E-8</v>
      </c>
      <c r="D21" s="1">
        <f>[1]Results!G1381</f>
        <v>0</v>
      </c>
      <c r="E21" s="1">
        <f>[1]Results!H1381</f>
        <v>0</v>
      </c>
      <c r="F21" s="1">
        <f>[1]Results!I1381</f>
        <v>1.9885448843126596E-8</v>
      </c>
      <c r="G21" s="1">
        <f>[1]Results!J1381</f>
        <v>1.9385315574993456E-8</v>
      </c>
      <c r="H21" s="1">
        <f>[1]Results!K1381</f>
        <v>1.8870549567395756E-8</v>
      </c>
      <c r="I21" s="1">
        <f>[1]Results!L1381</f>
        <v>1.8357271258651053E-8</v>
      </c>
      <c r="J21" s="1">
        <f>[1]Results!M1381</f>
        <v>-0.2441670501066473</v>
      </c>
      <c r="K21" s="1">
        <f>[1]Results!N1381</f>
        <v>-0.55514595357987195</v>
      </c>
      <c r="L21" s="1">
        <f>[1]Results!O1381</f>
        <v>-0.61594876442270241</v>
      </c>
      <c r="M21" s="1">
        <f>[1]Results!P1381</f>
        <v>-0.54302085380317777</v>
      </c>
      <c r="N21" s="1">
        <f>[1]Results!Q1381</f>
        <v>-0.40117146917701962</v>
      </c>
      <c r="O21" s="1">
        <f>[1]Results!R1381</f>
        <v>-0.23625040886765536</v>
      </c>
      <c r="P21" s="1">
        <f>[1]Results!S1381</f>
        <v>-5.7570291521569228E-2</v>
      </c>
      <c r="Q21" s="1">
        <f>[1]Results!T1381</f>
        <v>0.14818277048194162</v>
      </c>
      <c r="R21" s="1">
        <f>[1]Results!U1381</f>
        <v>0.38730045395478641</v>
      </c>
      <c r="S21" s="1">
        <f>[1]Results!V1381</f>
        <v>0.620341240068778</v>
      </c>
      <c r="T21" s="1">
        <f>[1]Results!W1381</f>
        <v>0.84535153812106412</v>
      </c>
      <c r="U21" s="1">
        <f>[1]Results!X1381</f>
        <v>1.0692484108862477</v>
      </c>
      <c r="V21" s="1">
        <f>[1]Results!Y1381</f>
        <v>1.3017727085730124</v>
      </c>
      <c r="W21" s="1">
        <f>[1]Results!Z1381</f>
        <v>1.5522317225519222</v>
      </c>
      <c r="X21" s="1">
        <f>[1]Results!AA1381</f>
        <v>1.8271245789449608</v>
      </c>
      <c r="Y21" s="1">
        <f>[1]Results!AB1381</f>
        <v>2.1316289415888923</v>
      </c>
      <c r="Z21" s="1">
        <f>[1]Results!AC1381</f>
        <v>2.4712904348701548</v>
      </c>
      <c r="AA21" s="1">
        <f>[1]Results!AD1381</f>
        <v>2.8514337062215844</v>
      </c>
      <c r="AB21" s="1">
        <f>[1]Results!AE1381</f>
        <v>3.276203724654736</v>
      </c>
      <c r="AC21" s="1">
        <f>[1]Results!AF1381</f>
        <v>3.7487301046082777</v>
      </c>
      <c r="AD21" s="1">
        <f>[1]Results!AG1381</f>
        <v>4.264356555666593</v>
      </c>
      <c r="AE21" s="1">
        <f>[1]Results!AH1381</f>
        <v>4.8242314614114878</v>
      </c>
      <c r="AF21" s="1">
        <f>[1]Results!AI1381</f>
        <v>5.4323255102281642</v>
      </c>
      <c r="AG21" s="1">
        <f>[1]Results!AJ1381</f>
        <v>6.0937489714626647</v>
      </c>
      <c r="AH21" s="1">
        <f>[1]Results!AK1381</f>
        <v>6.8127493566709774</v>
      </c>
      <c r="AI21" s="1">
        <f>[1]Results!AL1381</f>
        <v>7.594126770571763</v>
      </c>
      <c r="AJ21" s="1">
        <f>[1]Results!AM1381</f>
        <v>8.4464603809242043</v>
      </c>
      <c r="AK21" s="1">
        <f>[1]Results!AN1381</f>
        <v>9.3820049699481203</v>
      </c>
      <c r="AL21" s="1">
        <f>[1]Results!AO1381</f>
        <v>10.416973200501257</v>
      </c>
    </row>
    <row r="22" spans="1:3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2.3083135403112465E-8</v>
      </c>
      <c r="D22" s="1">
        <f>[1]Results!G1382</f>
        <v>0</v>
      </c>
      <c r="E22" s="1">
        <f>[1]Results!H1382</f>
        <v>0</v>
      </c>
      <c r="F22" s="1">
        <f>[1]Results!I1382</f>
        <v>1.950430927877278E-8</v>
      </c>
      <c r="G22" s="1">
        <f>[1]Results!J1382</f>
        <v>2.1112089854113947E-8</v>
      </c>
      <c r="H22" s="1">
        <f>[1]Results!K1382</f>
        <v>1.8482460006907786E-8</v>
      </c>
      <c r="I22" s="1">
        <f>[1]Results!L1382</f>
        <v>1.7964763010525076E-8</v>
      </c>
      <c r="J22" s="1">
        <f>[1]Results!M1382</f>
        <v>-0.24949021111032588</v>
      </c>
      <c r="K22" s="1">
        <f>[1]Results!N1382</f>
        <v>-0.57013328090516069</v>
      </c>
      <c r="L22" s="1">
        <f>[1]Results!O1382</f>
        <v>-0.62395457512318675</v>
      </c>
      <c r="M22" s="1">
        <f>[1]Results!P1382</f>
        <v>-0.53652289447638779</v>
      </c>
      <c r="N22" s="1">
        <f>[1]Results!Q1382</f>
        <v>-0.38045378754455461</v>
      </c>
      <c r="O22" s="1">
        <f>[1]Results!R1382</f>
        <v>-0.20387043860213838</v>
      </c>
      <c r="P22" s="1">
        <f>[1]Results!S1382</f>
        <v>-1.5617738787387925E-2</v>
      </c>
      <c r="Q22" s="1">
        <f>[1]Results!T1382</f>
        <v>0.1993480883032861</v>
      </c>
      <c r="R22" s="1">
        <f>[1]Results!U1382</f>
        <v>0.44823408277052668</v>
      </c>
      <c r="S22" s="1">
        <f>[1]Results!V1382</f>
        <v>0.69107554105034552</v>
      </c>
      <c r="T22" s="1">
        <f>[1]Results!W1382</f>
        <v>0.92567466694639666</v>
      </c>
      <c r="U22" s="1">
        <f>[1]Results!X1382</f>
        <v>1.1588390677113036</v>
      </c>
      <c r="V22" s="1">
        <f>[1]Results!Y1382</f>
        <v>1.4004317996705096</v>
      </c>
      <c r="W22" s="1">
        <f>[1]Results!Z1382</f>
        <v>1.659984352154753</v>
      </c>
      <c r="X22" s="1">
        <f>[1]Results!AA1382</f>
        <v>1.9444780605250678</v>
      </c>
      <c r="Y22" s="1">
        <f>[1]Results!AB1382</f>
        <v>2.2594593142533981</v>
      </c>
      <c r="Z22" s="1">
        <f>[1]Results!AC1382</f>
        <v>2.6107883118068775</v>
      </c>
      <c r="AA22" s="1">
        <f>[1]Results!AD1382</f>
        <v>3.0041407520102092</v>
      </c>
      <c r="AB22" s="1">
        <f>[1]Results!AE1382</f>
        <v>3.4438342024288415</v>
      </c>
      <c r="AC22" s="1">
        <f>[1]Results!AF1382</f>
        <v>3.9340853283397426</v>
      </c>
      <c r="AD22" s="1">
        <f>[1]Results!AG1382</f>
        <v>4.4705626835945367</v>
      </c>
      <c r="AE22" s="1">
        <f>[1]Results!AH1382</f>
        <v>5.0545820534604768</v>
      </c>
      <c r="AF22" s="1">
        <f>[1]Results!AI1382</f>
        <v>5.6903750022020194</v>
      </c>
      <c r="AG22" s="1">
        <f>[1]Results!AJ1382</f>
        <v>6.3834093493841504</v>
      </c>
      <c r="AH22" s="1">
        <f>[1]Results!AK1382</f>
        <v>7.1384120297184328</v>
      </c>
      <c r="AI22" s="1">
        <f>[1]Results!AL1382</f>
        <v>7.9607188370859783</v>
      </c>
      <c r="AJ22" s="1">
        <f>[1]Results!AM1382</f>
        <v>8.8594293744505883</v>
      </c>
      <c r="AK22" s="1">
        <f>[1]Results!AN1382</f>
        <v>9.8474591590433924</v>
      </c>
      <c r="AL22" s="1">
        <f>[1]Results!AO1382</f>
        <v>10.941924691109062</v>
      </c>
    </row>
    <row r="23" spans="1:38" x14ac:dyDescent="0.35">
      <c r="A23" s="3" t="str">
        <f>[1]Results!E1383</f>
        <v>100*(X_2/X_0-1)</v>
      </c>
      <c r="B23" t="s">
        <v>22</v>
      </c>
      <c r="C23" s="1">
        <f>[1]Results!F1383</f>
        <v>0</v>
      </c>
      <c r="D23" s="1">
        <f>[1]Results!G1383</f>
        <v>-1.527286075386769E-8</v>
      </c>
      <c r="E23" s="1">
        <f>[1]Results!H1383</f>
        <v>-1.4742240761478342E-8</v>
      </c>
      <c r="F23" s="1">
        <f>[1]Results!I1383</f>
        <v>-2.8493274406571345E-8</v>
      </c>
      <c r="G23" s="1">
        <f>[1]Results!J1383</f>
        <v>-1.3778578278333953E-8</v>
      </c>
      <c r="H23" s="1">
        <f>[1]Results!K1383</f>
        <v>-4.0001657541921531E-8</v>
      </c>
      <c r="I23" s="1">
        <f>[1]Results!L1383</f>
        <v>-3.8736247542914271E-8</v>
      </c>
      <c r="J23" s="1">
        <f>[1]Results!M1383</f>
        <v>-0.98361377133245886</v>
      </c>
      <c r="K23" s="1">
        <f>[1]Results!N1383</f>
        <v>-1.8334771526851923</v>
      </c>
      <c r="L23" s="1">
        <f>[1]Results!O1383</f>
        <v>-1.4464220106498393</v>
      </c>
      <c r="M23" s="1">
        <f>[1]Results!P1383</f>
        <v>-1.2276742975768973</v>
      </c>
      <c r="N23" s="1">
        <f>[1]Results!Q1383</f>
        <v>-1.2497075318590678</v>
      </c>
      <c r="O23" s="1">
        <f>[1]Results!R1383</f>
        <v>-1.5157875280070288</v>
      </c>
      <c r="P23" s="1">
        <f>[1]Results!S1383</f>
        <v>-1.8919316011749454</v>
      </c>
      <c r="Q23" s="1">
        <f>[1]Results!T1383</f>
        <v>-2.2441292293815862</v>
      </c>
      <c r="R23" s="1">
        <f>[1]Results!U1383</f>
        <v>-2.5528537259647988</v>
      </c>
      <c r="S23" s="1">
        <f>[1]Results!V1383</f>
        <v>-2.9325273700513854</v>
      </c>
      <c r="T23" s="1">
        <f>[1]Results!W1383</f>
        <v>-3.3171586782141604</v>
      </c>
      <c r="U23" s="1">
        <f>[1]Results!X1383</f>
        <v>-3.6994432063344518</v>
      </c>
      <c r="V23" s="1">
        <f>[1]Results!Y1383</f>
        <v>-4.0741449467722068</v>
      </c>
      <c r="W23" s="1">
        <f>[1]Results!Z1383</f>
        <v>-4.4357955805785938</v>
      </c>
      <c r="X23" s="1">
        <f>[1]Results!AA1383</f>
        <v>-4.775705871735858</v>
      </c>
      <c r="Y23" s="1">
        <f>[1]Results!AB1383</f>
        <v>-5.0873671301697954</v>
      </c>
      <c r="Z23" s="1">
        <f>[1]Results!AC1383</f>
        <v>-5.3701040286462387</v>
      </c>
      <c r="AA23" s="1">
        <f>[1]Results!AD1383</f>
        <v>-5.6237328897929206</v>
      </c>
      <c r="AB23" s="1">
        <f>[1]Results!AE1383</f>
        <v>-5.8478458148005448</v>
      </c>
      <c r="AC23" s="1">
        <f>[1]Results!AF1383</f>
        <v>-6.0201017664467944</v>
      </c>
      <c r="AD23" s="1">
        <f>[1]Results!AG1383</f>
        <v>-6.1391479976017793</v>
      </c>
      <c r="AE23" s="1">
        <f>[1]Results!AH1383</f>
        <v>-6.2100816754083077</v>
      </c>
      <c r="AF23" s="1">
        <f>[1]Results!AI1383</f>
        <v>-6.2394687955418799</v>
      </c>
      <c r="AG23" s="1">
        <f>[1]Results!AJ1383</f>
        <v>-6.2331344333598215</v>
      </c>
      <c r="AH23" s="1">
        <f>[1]Results!AK1383</f>
        <v>-6.1915165358468638</v>
      </c>
      <c r="AI23" s="1">
        <f>[1]Results!AL1383</f>
        <v>-6.1138726119061797</v>
      </c>
      <c r="AJ23" s="1">
        <f>[1]Results!AM1383</f>
        <v>-6.0061475315051354</v>
      </c>
      <c r="AK23" s="1">
        <f>[1]Results!AN1383</f>
        <v>-5.8754977221271325</v>
      </c>
      <c r="AL23" s="1">
        <f>[1]Results!AO1383</f>
        <v>-5.7288747945000047</v>
      </c>
    </row>
    <row r="24" spans="1:38" x14ac:dyDescent="0.35">
      <c r="A24" s="3" t="str">
        <f>[1]Results!E1384</f>
        <v>100*(M_2/M_0-1)</v>
      </c>
      <c r="B24" t="s">
        <v>23</v>
      </c>
      <c r="C24" s="1">
        <f>[1]Results!F1384</f>
        <v>1.526376802729601E-8</v>
      </c>
      <c r="D24" s="1">
        <f>[1]Results!G1384</f>
        <v>0</v>
      </c>
      <c r="E24" s="1">
        <f>[1]Results!H1384</f>
        <v>0</v>
      </c>
      <c r="F24" s="1">
        <f>[1]Results!I1384</f>
        <v>1.4261414271743433E-8</v>
      </c>
      <c r="G24" s="1">
        <f>[1]Results!J1384</f>
        <v>1.3878698190694649E-8</v>
      </c>
      <c r="H24" s="1">
        <f>[1]Results!K1384</f>
        <v>0</v>
      </c>
      <c r="I24" s="1">
        <f>[1]Results!L1384</f>
        <v>1.3118683916957252E-8</v>
      </c>
      <c r="J24" s="1">
        <f>[1]Results!M1384</f>
        <v>-0.51709290460385526</v>
      </c>
      <c r="K24" s="1">
        <f>[1]Results!N1384</f>
        <v>-1.0246739807016292</v>
      </c>
      <c r="L24" s="1">
        <f>[1]Results!O1384</f>
        <v>-1.0262390114843867</v>
      </c>
      <c r="M24" s="1">
        <f>[1]Results!P1384</f>
        <v>-0.88145854538866919</v>
      </c>
      <c r="N24" s="1">
        <f>[1]Results!Q1384</f>
        <v>-0.65456393121223755</v>
      </c>
      <c r="O24" s="1">
        <f>[1]Results!R1384</f>
        <v>-0.408492995560783</v>
      </c>
      <c r="P24" s="1">
        <f>[1]Results!S1384</f>
        <v>-0.15706132628523495</v>
      </c>
      <c r="Q24" s="1">
        <f>[1]Results!T1384</f>
        <v>0.11515026290043195</v>
      </c>
      <c r="R24" s="1">
        <f>[1]Results!U1384</f>
        <v>0.40438552332826561</v>
      </c>
      <c r="S24" s="1">
        <f>[1]Results!V1384</f>
        <v>0.63878144482008015</v>
      </c>
      <c r="T24" s="1">
        <f>[1]Results!W1384</f>
        <v>0.83118798382058046</v>
      </c>
      <c r="U24" s="1">
        <f>[1]Results!X1384</f>
        <v>0.99736521207123285</v>
      </c>
      <c r="V24" s="1">
        <f>[1]Results!Y1384</f>
        <v>1.1470598145132183</v>
      </c>
      <c r="W24" s="1">
        <f>[1]Results!Z1384</f>
        <v>1.2842717352117061</v>
      </c>
      <c r="X24" s="1">
        <f>[1]Results!AA1384</f>
        <v>1.4095680586688308</v>
      </c>
      <c r="Y24" s="1">
        <f>[1]Results!AB1384</f>
        <v>1.5228568135379206</v>
      </c>
      <c r="Z24" s="1">
        <f>[1]Results!AC1384</f>
        <v>1.626616275690651</v>
      </c>
      <c r="AA24" s="1">
        <f>[1]Results!AD1384</f>
        <v>1.7235966427776805</v>
      </c>
      <c r="AB24" s="1">
        <f>[1]Results!AE1384</f>
        <v>1.8140549882287083</v>
      </c>
      <c r="AC24" s="1">
        <f>[1]Results!AF1384</f>
        <v>1.9012874270223135</v>
      </c>
      <c r="AD24" s="1">
        <f>[1]Results!AG1384</f>
        <v>1.9806146648939871</v>
      </c>
      <c r="AE24" s="1">
        <f>[1]Results!AH1384</f>
        <v>2.059079974671163</v>
      </c>
      <c r="AF24" s="1">
        <f>[1]Results!AI1384</f>
        <v>2.1452220003090661</v>
      </c>
      <c r="AG24" s="1">
        <f>[1]Results!AJ1384</f>
        <v>2.2463876351993761</v>
      </c>
      <c r="AH24" s="1">
        <f>[1]Results!AK1384</f>
        <v>2.3669623485825131</v>
      </c>
      <c r="AI24" s="1">
        <f>[1]Results!AL1384</f>
        <v>2.5115800096775054</v>
      </c>
      <c r="AJ24" s="1">
        <f>[1]Results!AM1384</f>
        <v>2.6888626738295063</v>
      </c>
      <c r="AK24" s="1">
        <f>[1]Results!AN1384</f>
        <v>2.9089298497154914</v>
      </c>
      <c r="AL24" s="1">
        <f>[1]Results!AO1384</f>
        <v>3.1830377928319997</v>
      </c>
    </row>
    <row r="25" spans="1:3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0</v>
      </c>
      <c r="F25" s="1">
        <f>[1]Results!I1385</f>
        <v>0</v>
      </c>
      <c r="G25" s="1">
        <f>[1]Results!J1385</f>
        <v>0</v>
      </c>
      <c r="H25" s="1">
        <f>[1]Results!K1385</f>
        <v>0</v>
      </c>
      <c r="I25" s="1">
        <f>[1]Results!L1385</f>
        <v>7.3295058911071465E-8</v>
      </c>
      <c r="J25" s="1">
        <f>[1]Results!M1385</f>
        <v>-3.9881631992999544E-2</v>
      </c>
      <c r="K25" s="1">
        <f>[1]Results!N1385</f>
        <v>-0.11780819042818136</v>
      </c>
      <c r="L25" s="1">
        <f>[1]Results!O1385</f>
        <v>-5.5106018071071627E-2</v>
      </c>
      <c r="M25" s="1">
        <f>[1]Results!P1385</f>
        <v>0.16475326809706203</v>
      </c>
      <c r="N25" s="1">
        <f>[1]Results!Q1385</f>
        <v>0.48927454596869868</v>
      </c>
      <c r="O25" s="1">
        <f>[1]Results!R1385</f>
        <v>0.88919434194456581</v>
      </c>
      <c r="P25" s="1">
        <f>[1]Results!S1385</f>
        <v>1.3090116882573666</v>
      </c>
      <c r="Q25" s="1">
        <f>[1]Results!T1385</f>
        <v>1.7160691627922331</v>
      </c>
      <c r="R25" s="1">
        <f>[1]Results!U1385</f>
        <v>2.0961871013613909</v>
      </c>
      <c r="S25" s="1">
        <f>[1]Results!V1385</f>
        <v>2.431359693755164</v>
      </c>
      <c r="T25" s="1">
        <f>[1]Results!W1385</f>
        <v>2.7060626871176829</v>
      </c>
      <c r="U25" s="1">
        <f>[1]Results!X1385</f>
        <v>2.9319286356142449</v>
      </c>
      <c r="V25" s="1">
        <f>[1]Results!Y1385</f>
        <v>3.119894085888042</v>
      </c>
      <c r="W25" s="1">
        <f>[1]Results!Z1385</f>
        <v>3.2761454563259962</v>
      </c>
      <c r="X25" s="1">
        <f>[1]Results!AA1385</f>
        <v>3.3990279109548549</v>
      </c>
      <c r="Y25" s="1">
        <f>[1]Results!AB1385</f>
        <v>3.4886902505645745</v>
      </c>
      <c r="Z25" s="1">
        <f>[1]Results!AC1385</f>
        <v>3.5493233896393583</v>
      </c>
      <c r="AA25" s="1">
        <f>[1]Results!AD1385</f>
        <v>3.5848752516965954</v>
      </c>
      <c r="AB25" s="1">
        <f>[1]Results!AE1385</f>
        <v>3.5986321334816607</v>
      </c>
      <c r="AC25" s="1">
        <f>[1]Results!AF1385</f>
        <v>3.5824242899633152</v>
      </c>
      <c r="AD25" s="1">
        <f>[1]Results!AG1385</f>
        <v>3.5322536820172168</v>
      </c>
      <c r="AE25" s="1">
        <f>[1]Results!AH1385</f>
        <v>3.4584839353584806</v>
      </c>
      <c r="AF25" s="1">
        <f>[1]Results!AI1385</f>
        <v>3.3713153382781025</v>
      </c>
      <c r="AG25" s="1">
        <f>[1]Results!AJ1385</f>
        <v>3.2778428712705976</v>
      </c>
      <c r="AH25" s="1">
        <f>[1]Results!AK1385</f>
        <v>3.1794641195623807</v>
      </c>
      <c r="AI25" s="1">
        <f>[1]Results!AL1385</f>
        <v>3.0772368124015514</v>
      </c>
      <c r="AJ25" s="1">
        <f>[1]Results!AM1385</f>
        <v>2.9785926683079555</v>
      </c>
      <c r="AK25" s="1">
        <f>[1]Results!AN1385</f>
        <v>2.8915627980121261</v>
      </c>
      <c r="AL25" s="1">
        <f>[1]Results!AO1385</f>
        <v>2.8222640653047248</v>
      </c>
    </row>
    <row r="26" spans="1:3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2.0381429877147639E-8</v>
      </c>
      <c r="D26" s="1">
        <f>[1]Results!G1386</f>
        <v>0</v>
      </c>
      <c r="E26" s="1">
        <f>[1]Results!H1386</f>
        <v>0</v>
      </c>
      <c r="F26" s="1">
        <f>[1]Results!I1386</f>
        <v>1.916740099972003E-8</v>
      </c>
      <c r="G26" s="1">
        <f>[1]Results!J1386</f>
        <v>1.8687518199556052E-8</v>
      </c>
      <c r="H26" s="1">
        <f>[1]Results!K1386</f>
        <v>1.8193357931295395E-8</v>
      </c>
      <c r="I26" s="1">
        <f>[1]Results!L1386</f>
        <v>1.9471069201415503E-8</v>
      </c>
      <c r="J26" s="1">
        <f>[1]Results!M1386</f>
        <v>-0.24105293482533652</v>
      </c>
      <c r="K26" s="1">
        <f>[1]Results!N1386</f>
        <v>-0.55234372956445288</v>
      </c>
      <c r="L26" s="1">
        <f>[1]Results!O1386</f>
        <v>-0.61868008459033952</v>
      </c>
      <c r="M26" s="1">
        <f>[1]Results!P1386</f>
        <v>-0.55011680031608057</v>
      </c>
      <c r="N26" s="1">
        <f>[1]Results!Q1386</f>
        <v>-0.40955558578091855</v>
      </c>
      <c r="O26" s="1">
        <f>[1]Results!R1386</f>
        <v>-0.24117374384191592</v>
      </c>
      <c r="P26" s="1">
        <f>[1]Results!S1386</f>
        <v>-5.6293291806153167E-2</v>
      </c>
      <c r="Q26" s="1">
        <f>[1]Results!T1386</f>
        <v>0.15590106322693753</v>
      </c>
      <c r="R26" s="1">
        <f>[1]Results!U1386</f>
        <v>0.40022472477545534</v>
      </c>
      <c r="S26" s="1">
        <f>[1]Results!V1386</f>
        <v>0.63706893597825776</v>
      </c>
      <c r="T26" s="1">
        <f>[1]Results!W1386</f>
        <v>0.86318796818347643</v>
      </c>
      <c r="U26" s="1">
        <f>[1]Results!X1386</f>
        <v>1.0858296132056022</v>
      </c>
      <c r="V26" s="1">
        <f>[1]Results!Y1386</f>
        <v>1.3153494681671374</v>
      </c>
      <c r="W26" s="1">
        <f>[1]Results!Z1386</f>
        <v>1.5614688968238033</v>
      </c>
      <c r="X26" s="1">
        <f>[1]Results!AA1386</f>
        <v>1.8306893202005847</v>
      </c>
      <c r="Y26" s="1">
        <f>[1]Results!AB1386</f>
        <v>2.1281045013727296</v>
      </c>
      <c r="Z26" s="1">
        <f>[1]Results!AC1386</f>
        <v>2.4592212224438414</v>
      </c>
      <c r="AA26" s="1">
        <f>[1]Results!AD1386</f>
        <v>2.829303070860667</v>
      </c>
      <c r="AB26" s="1">
        <f>[1]Results!AE1386</f>
        <v>3.2424389209910753</v>
      </c>
      <c r="AC26" s="1">
        <f>[1]Results!AF1386</f>
        <v>3.7011863932401745</v>
      </c>
      <c r="AD26" s="1">
        <f>[1]Results!AG1386</f>
        <v>4.2006160120107161</v>
      </c>
      <c r="AE26" s="1">
        <f>[1]Results!AH1386</f>
        <v>4.7419924054302065</v>
      </c>
      <c r="AF26" s="1">
        <f>[1]Results!AI1386</f>
        <v>5.3294466684147723</v>
      </c>
      <c r="AG26" s="1">
        <f>[1]Results!AJ1386</f>
        <v>5.9681525189549278</v>
      </c>
      <c r="AH26" s="1">
        <f>[1]Results!AK1386</f>
        <v>6.6622211466671466</v>
      </c>
      <c r="AI26" s="1">
        <f>[1]Results!AL1386</f>
        <v>7.4162410073250529</v>
      </c>
      <c r="AJ26" s="1">
        <f>[1]Results!AM1386</f>
        <v>8.2387040522055255</v>
      </c>
      <c r="AK26" s="1">
        <f>[1]Results!AN1386</f>
        <v>9.1417593370998862</v>
      </c>
      <c r="AL26" s="1">
        <f>[1]Results!AO1386</f>
        <v>10.141375080072468</v>
      </c>
    </row>
    <row r="27" spans="1:3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0</v>
      </c>
      <c r="I27" s="1">
        <f>[1]Results!L1387</f>
        <v>4.9511728050788406E-8</v>
      </c>
      <c r="J27" s="1">
        <f>[1]Results!M1387</f>
        <v>-0.15666729461765172</v>
      </c>
      <c r="K27" s="1">
        <f>[1]Results!N1387</f>
        <v>-0.47600433059287184</v>
      </c>
      <c r="L27" s="1">
        <f>[1]Results!O1387</f>
        <v>-0.69351789906517691</v>
      </c>
      <c r="M27" s="1">
        <f>[1]Results!P1387</f>
        <v>-0.74562348576279192</v>
      </c>
      <c r="N27" s="1">
        <f>[1]Results!Q1387</f>
        <v>-0.64166502502142064</v>
      </c>
      <c r="O27" s="1">
        <f>[1]Results!R1387</f>
        <v>-0.37805238376699135</v>
      </c>
      <c r="P27" s="1">
        <f>[1]Results!S1387</f>
        <v>-2.0645146508568857E-2</v>
      </c>
      <c r="Q27" s="1">
        <f>[1]Results!T1387</f>
        <v>0.3722963289835679</v>
      </c>
      <c r="R27" s="1">
        <f>[1]Results!U1387</f>
        <v>0.76436093299943053</v>
      </c>
      <c r="S27" s="1">
        <f>[1]Results!V1387</f>
        <v>1.1108902264057363</v>
      </c>
      <c r="T27" s="1">
        <f>[1]Results!W1387</f>
        <v>1.3714292016427487</v>
      </c>
      <c r="U27" s="1">
        <f>[1]Results!X1387</f>
        <v>1.5615137837726278</v>
      </c>
      <c r="V27" s="1">
        <f>[1]Results!Y1387</f>
        <v>1.7078684826941082</v>
      </c>
      <c r="W27" s="1">
        <f>[1]Results!Z1387</f>
        <v>1.8309225207528979</v>
      </c>
      <c r="X27" s="1">
        <f>[1]Results!AA1387</f>
        <v>1.9356990206118363</v>
      </c>
      <c r="Y27" s="1">
        <f>[1]Results!AB1387</f>
        <v>2.0231759762047163</v>
      </c>
      <c r="Z27" s="1">
        <f>[1]Results!AC1387</f>
        <v>2.0958414684596693</v>
      </c>
      <c r="AA27" s="1">
        <f>[1]Results!AD1387</f>
        <v>2.1551664225299527</v>
      </c>
      <c r="AB27" s="1">
        <f>[1]Results!AE1387</f>
        <v>2.2010809468525405</v>
      </c>
      <c r="AC27" s="1">
        <f>[1]Results!AF1387</f>
        <v>2.2165571174370235</v>
      </c>
      <c r="AD27" s="1">
        <f>[1]Results!AG1387</f>
        <v>2.1856739968383554</v>
      </c>
      <c r="AE27" s="1">
        <f>[1]Results!AH1387</f>
        <v>2.1112279999657924</v>
      </c>
      <c r="AF27" s="1">
        <f>[1]Results!AI1387</f>
        <v>2.0013280496060437</v>
      </c>
      <c r="AG27" s="1">
        <f>[1]Results!AJ1387</f>
        <v>1.8630224340652424</v>
      </c>
      <c r="AH27" s="1">
        <f>[1]Results!AK1387</f>
        <v>1.6963207794027158</v>
      </c>
      <c r="AI27" s="1">
        <f>[1]Results!AL1387</f>
        <v>1.4992581929841098</v>
      </c>
      <c r="AJ27" s="1">
        <f>[1]Results!AM1387</f>
        <v>1.2777578626000929</v>
      </c>
      <c r="AK27" s="1">
        <f>[1]Results!AN1387</f>
        <v>1.0406234970917083</v>
      </c>
      <c r="AL27" s="1">
        <f>[1]Results!AO1387</f>
        <v>0.79553818007858101</v>
      </c>
    </row>
    <row r="28" spans="1:3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0</v>
      </c>
      <c r="F28" s="1">
        <f>[1]Results!I1388</f>
        <v>2.4129054310151332E-8</v>
      </c>
      <c r="G28" s="1">
        <f>[1]Results!J1388</f>
        <v>0</v>
      </c>
      <c r="H28" s="1">
        <f>[1]Results!K1388</f>
        <v>2.3267765492107628E-8</v>
      </c>
      <c r="I28" s="1">
        <f>[1]Results!L1388</f>
        <v>2.2850898950821374E-8</v>
      </c>
      <c r="J28" s="1">
        <f>[1]Results!M1388</f>
        <v>-0.1825611376618852</v>
      </c>
      <c r="K28" s="1">
        <f>[1]Results!N1388</f>
        <v>-0.37974482628592154</v>
      </c>
      <c r="L28" s="1">
        <f>[1]Results!O1388</f>
        <v>-0.52118208171481051</v>
      </c>
      <c r="M28" s="1">
        <f>[1]Results!P1388</f>
        <v>-0.62074759198397222</v>
      </c>
      <c r="N28" s="1">
        <f>[1]Results!Q1388</f>
        <v>-0.65130377127313732</v>
      </c>
      <c r="O28" s="1">
        <f>[1]Results!R1388</f>
        <v>-0.63015945719095967</v>
      </c>
      <c r="P28" s="1">
        <f>[1]Results!S1388</f>
        <v>-0.57096836698539155</v>
      </c>
      <c r="Q28" s="1">
        <f>[1]Results!T1388</f>
        <v>-0.48085592444840897</v>
      </c>
      <c r="R28" s="1">
        <f>[1]Results!U1388</f>
        <v>-0.36460721125660678</v>
      </c>
      <c r="S28" s="1">
        <f>[1]Results!V1388</f>
        <v>-0.25530055107113592</v>
      </c>
      <c r="T28" s="1">
        <f>[1]Results!W1388</f>
        <v>-0.15212210091400946</v>
      </c>
      <c r="U28" s="1">
        <f>[1]Results!X1388</f>
        <v>-4.7155211043059531E-2</v>
      </c>
      <c r="V28" s="1">
        <f>[1]Results!Y1388</f>
        <v>6.7437097226452636E-2</v>
      </c>
      <c r="W28" s="1">
        <f>[1]Results!Z1388</f>
        <v>0.19716531954758754</v>
      </c>
      <c r="X28" s="1">
        <f>[1]Results!AA1388</f>
        <v>0.34294254705720117</v>
      </c>
      <c r="Y28" s="1">
        <f>[1]Results!AB1388</f>
        <v>0.50435663327426106</v>
      </c>
      <c r="Z28" s="1">
        <f>[1]Results!AC1388</f>
        <v>0.6820398587241927</v>
      </c>
      <c r="AA28" s="1">
        <f>[1]Results!AD1388</f>
        <v>0.87587638126129796</v>
      </c>
      <c r="AB28" s="1">
        <f>[1]Results!AE1388</f>
        <v>1.0842196104549284</v>
      </c>
      <c r="AC28" s="1">
        <f>[1]Results!AF1388</f>
        <v>1.2974786875366684</v>
      </c>
      <c r="AD28" s="1">
        <f>[1]Results!AG1388</f>
        <v>1.5043766468862296</v>
      </c>
      <c r="AE28" s="1">
        <f>[1]Results!AH1388</f>
        <v>1.7014164315375835</v>
      </c>
      <c r="AF28" s="1">
        <f>[1]Results!AI1388</f>
        <v>1.8868480342568272</v>
      </c>
      <c r="AG28" s="1">
        <f>[1]Results!AJ1388</f>
        <v>2.0588969481817099</v>
      </c>
      <c r="AH28" s="1">
        <f>[1]Results!AK1388</f>
        <v>2.2132154994139563</v>
      </c>
      <c r="AI28" s="1">
        <f>[1]Results!AL1388</f>
        <v>2.3450746877827111</v>
      </c>
      <c r="AJ28" s="1">
        <f>[1]Results!AM1388</f>
        <v>2.4536690735230904</v>
      </c>
      <c r="AK28" s="1">
        <f>[1]Results!AN1388</f>
        <v>2.5398835956130128</v>
      </c>
      <c r="AL28" s="1">
        <f>[1]Results!AO1388</f>
        <v>2.6050754611690818</v>
      </c>
    </row>
    <row r="29" spans="1:3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6.8074101911008711E-8</v>
      </c>
      <c r="F29" s="1">
        <f>[1]Results!I1389</f>
        <v>1.3032042112115505E-7</v>
      </c>
      <c r="G29" s="1">
        <f>[1]Results!J1389</f>
        <v>1.2472698429633056E-7</v>
      </c>
      <c r="H29" s="1">
        <f>[1]Results!K1389</f>
        <v>5.9600391288938681E-8</v>
      </c>
      <c r="I29" s="1">
        <f>[1]Results!L1389</f>
        <v>1.1385086207127415E-7</v>
      </c>
      <c r="J29" s="1">
        <f>[1]Results!M1389</f>
        <v>0.82423602634911219</v>
      </c>
      <c r="K29" s="1">
        <f>[1]Results!N1389</f>
        <v>1.4969734583282213</v>
      </c>
      <c r="L29" s="1">
        <f>[1]Results!O1389</f>
        <v>2.5271261760267283</v>
      </c>
      <c r="M29" s="1">
        <f>[1]Results!P1389</f>
        <v>3.8496272470884829</v>
      </c>
      <c r="N29" s="1">
        <f>[1]Results!Q1389</f>
        <v>5.097354926315667</v>
      </c>
      <c r="O29" s="1">
        <f>[1]Results!R1389</f>
        <v>6.3723535072485404</v>
      </c>
      <c r="P29" s="1">
        <f>[1]Results!S1389</f>
        <v>7.6076288976465678</v>
      </c>
      <c r="Q29" s="1">
        <f>[1]Results!T1389</f>
        <v>8.7778679024871806</v>
      </c>
      <c r="R29" s="1">
        <f>[1]Results!U1389</f>
        <v>9.8671816551245897</v>
      </c>
      <c r="S29" s="1">
        <f>[1]Results!V1389</f>
        <v>10.989225343150766</v>
      </c>
      <c r="T29" s="1">
        <f>[1]Results!W1389</f>
        <v>12.043169420796707</v>
      </c>
      <c r="U29" s="1">
        <f>[1]Results!X1389</f>
        <v>13.023228127373576</v>
      </c>
      <c r="V29" s="1">
        <f>[1]Results!Y1389</f>
        <v>13.915903098206606</v>
      </c>
      <c r="W29" s="1">
        <f>[1]Results!Z1389</f>
        <v>14.707336389856707</v>
      </c>
      <c r="X29" s="1">
        <f>[1]Results!AA1389</f>
        <v>15.383371371298683</v>
      </c>
      <c r="Y29" s="1">
        <f>[1]Results!AB1389</f>
        <v>15.938081245852032</v>
      </c>
      <c r="Z29" s="1">
        <f>[1]Results!AC1389</f>
        <v>16.365341076965123</v>
      </c>
      <c r="AA29" s="1">
        <f>[1]Results!AD1389</f>
        <v>16.660185222600088</v>
      </c>
      <c r="AB29" s="1">
        <f>[1]Results!AE1389</f>
        <v>16.821567135153682</v>
      </c>
      <c r="AC29" s="1">
        <f>[1]Results!AF1389</f>
        <v>16.854613401601636</v>
      </c>
      <c r="AD29" s="1">
        <f>[1]Results!AG1389</f>
        <v>16.779102499619469</v>
      </c>
      <c r="AE29" s="1">
        <f>[1]Results!AH1389</f>
        <v>16.611959878602644</v>
      </c>
      <c r="AF29" s="1">
        <f>[1]Results!AI1389</f>
        <v>16.367879622713531</v>
      </c>
      <c r="AG29" s="1">
        <f>[1]Results!AJ1389</f>
        <v>16.060613306347136</v>
      </c>
      <c r="AH29" s="1">
        <f>[1]Results!AK1389</f>
        <v>15.707073244859359</v>
      </c>
      <c r="AI29" s="1">
        <f>[1]Results!AL1389</f>
        <v>15.328076143696489</v>
      </c>
      <c r="AJ29" s="1">
        <f>[1]Results!AM1389</f>
        <v>14.943476146160318</v>
      </c>
      <c r="AK29" s="1">
        <f>[1]Results!AN1389</f>
        <v>14.570280825714388</v>
      </c>
      <c r="AL29" s="1">
        <f>[1]Results!AO1389</f>
        <v>14.222567082061488</v>
      </c>
    </row>
    <row r="30" spans="1:3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0</v>
      </c>
      <c r="E30" s="1">
        <f>[1]Results!H1390</f>
        <v>-2.790581099532119E-8</v>
      </c>
      <c r="F30" s="1">
        <f>[1]Results!I1390</f>
        <v>3.6354741439481586E-8</v>
      </c>
      <c r="G30" s="1">
        <f>[1]Results!J1390</f>
        <v>1.2472698429633056E-7</v>
      </c>
      <c r="H30" s="1">
        <f>[1]Results!K1390</f>
        <v>-3.0596081224132377E-8</v>
      </c>
      <c r="I30" s="1">
        <f>[1]Results!L1390</f>
        <v>2.5627366895264458E-8</v>
      </c>
      <c r="J30" s="1">
        <f>[1]Results!M1390</f>
        <v>-6.2497795197091754E-2</v>
      </c>
      <c r="K30" s="1">
        <f>[1]Results!N1390</f>
        <v>-0.16108813934925248</v>
      </c>
      <c r="L30" s="1">
        <f>[1]Results!O1390</f>
        <v>-2.8100554357690655E-2</v>
      </c>
      <c r="M30" s="1">
        <f>[1]Results!P1390</f>
        <v>0.25986333652052718</v>
      </c>
      <c r="N30" s="1">
        <f>[1]Results!Q1390</f>
        <v>0.62290823154815822</v>
      </c>
      <c r="O30" s="1">
        <f>[1]Results!R1390</f>
        <v>1.0524158917454951</v>
      </c>
      <c r="P30" s="1">
        <f>[1]Results!S1390</f>
        <v>1.4816682394223291</v>
      </c>
      <c r="Q30" s="1">
        <f>[1]Results!T1390</f>
        <v>1.8929613575701119</v>
      </c>
      <c r="R30" s="1">
        <f>[1]Results!U1390</f>
        <v>2.2812901228964613</v>
      </c>
      <c r="S30" s="1">
        <f>[1]Results!V1390</f>
        <v>2.6270742901398414</v>
      </c>
      <c r="T30" s="1">
        <f>[1]Results!W1390</f>
        <v>2.910709138661316</v>
      </c>
      <c r="U30" s="1">
        <f>[1]Results!X1390</f>
        <v>3.1575316669164568</v>
      </c>
      <c r="V30" s="1">
        <f>[1]Results!Y1390</f>
        <v>3.3746304036166741</v>
      </c>
      <c r="W30" s="1">
        <f>[1]Results!Z1390</f>
        <v>3.5626683430975525</v>
      </c>
      <c r="X30" s="1">
        <f>[1]Results!AA1390</f>
        <v>3.7130889602141401</v>
      </c>
      <c r="Y30" s="1">
        <f>[1]Results!AB1390</f>
        <v>3.8259360858813327</v>
      </c>
      <c r="Z30" s="1">
        <f>[1]Results!AC1390</f>
        <v>3.9066219605521155</v>
      </c>
      <c r="AA30" s="1">
        <f>[1]Results!AD1390</f>
        <v>3.9580316884227251</v>
      </c>
      <c r="AB30" s="1">
        <f>[1]Results!AE1390</f>
        <v>3.98268512617026</v>
      </c>
      <c r="AC30" s="1">
        <f>[1]Results!AF1390</f>
        <v>3.9652444970914349</v>
      </c>
      <c r="AD30" s="1">
        <f>[1]Results!AG1390</f>
        <v>3.9052398702048343</v>
      </c>
      <c r="AE30" s="1">
        <f>[1]Results!AH1390</f>
        <v>3.8220988677955194</v>
      </c>
      <c r="AF30" s="1">
        <f>[1]Results!AI1390</f>
        <v>3.7260281094622076</v>
      </c>
      <c r="AG30" s="1">
        <f>[1]Results!AJ1390</f>
        <v>3.6227949914007453</v>
      </c>
      <c r="AH30" s="1">
        <f>[1]Results!AK1390</f>
        <v>3.5112877352494678</v>
      </c>
      <c r="AI30" s="1">
        <f>[1]Results!AL1390</f>
        <v>3.3935447998040704</v>
      </c>
      <c r="AJ30" s="1">
        <f>[1]Results!AM1390</f>
        <v>3.2817456681564448</v>
      </c>
      <c r="AK30" s="1">
        <f>[1]Results!AN1390</f>
        <v>3.1847660332875005</v>
      </c>
      <c r="AL30" s="1">
        <f>[1]Results!AO1390</f>
        <v>3.108053443387071</v>
      </c>
    </row>
    <row r="31" spans="1:3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0</v>
      </c>
      <c r="E31" s="1">
        <f>[1]Results!H1391</f>
        <v>6.8074101911008711E-8</v>
      </c>
      <c r="F31" s="1">
        <f>[1]Results!I1391</f>
        <v>9.4650287607578321E-8</v>
      </c>
      <c r="G31" s="1">
        <f>[1]Results!J1391</f>
        <v>1.2472698429633056E-7</v>
      </c>
      <c r="H31" s="1">
        <f>[1]Results!K1391</f>
        <v>5.9600391288938681E-8</v>
      </c>
      <c r="I31" s="1">
        <f>[1]Results!L1391</f>
        <v>1.1385086207127415E-7</v>
      </c>
      <c r="J31" s="1">
        <f>[1]Results!M1391</f>
        <v>0.89848044056516363</v>
      </c>
      <c r="K31" s="1">
        <f>[1]Results!N1391</f>
        <v>1.6940419675658069</v>
      </c>
      <c r="L31" s="1">
        <f>[1]Results!O1391</f>
        <v>2.6782426462938824</v>
      </c>
      <c r="M31" s="1">
        <f>[1]Results!P1391</f>
        <v>3.8407196797033638</v>
      </c>
      <c r="N31" s="1">
        <f>[1]Results!Q1391</f>
        <v>4.9028717447366477</v>
      </c>
      <c r="O31" s="1">
        <f>[1]Results!R1391</f>
        <v>6.0187127671018859</v>
      </c>
      <c r="P31" s="1">
        <f>[1]Results!S1391</f>
        <v>7.135292522855452</v>
      </c>
      <c r="Q31" s="1">
        <f>[1]Results!T1391</f>
        <v>8.2161922898307491</v>
      </c>
      <c r="R31" s="1">
        <f>[1]Results!U1391</f>
        <v>9.2345132625889725</v>
      </c>
      <c r="S31" s="1">
        <f>[1]Results!V1391</f>
        <v>10.304822409640257</v>
      </c>
      <c r="T31" s="1">
        <f>[1]Results!W1391</f>
        <v>11.327365238658981</v>
      </c>
      <c r="U31" s="1">
        <f>[1]Results!X1391</f>
        <v>12.29646140530094</v>
      </c>
      <c r="V31" s="1">
        <f>[1]Results!Y1391</f>
        <v>13.196134115488523</v>
      </c>
      <c r="W31" s="1">
        <f>[1]Results!Z1391</f>
        <v>14.008342381520155</v>
      </c>
      <c r="X31" s="1">
        <f>[1]Results!AA1391</f>
        <v>14.713990663540889</v>
      </c>
      <c r="Y31" s="1">
        <f>[1]Results!AB1391</f>
        <v>15.301805300799611</v>
      </c>
      <c r="Z31" s="1">
        <f>[1]Results!AC1391</f>
        <v>15.760511312486013</v>
      </c>
      <c r="AA31" s="1">
        <f>[1]Results!AD1391</f>
        <v>16.080101138106272</v>
      </c>
      <c r="AB31" s="1">
        <f>[1]Results!AE1391</f>
        <v>16.255068407912088</v>
      </c>
      <c r="AC31" s="1">
        <f>[1]Results!AF1391</f>
        <v>16.284662699554374</v>
      </c>
      <c r="AD31" s="1">
        <f>[1]Results!AG1391</f>
        <v>16.183106225914699</v>
      </c>
      <c r="AE31" s="1">
        <f>[1]Results!AH1391</f>
        <v>15.962213996776175</v>
      </c>
      <c r="AF31" s="1">
        <f>[1]Results!AI1391</f>
        <v>15.631576343946117</v>
      </c>
      <c r="AG31" s="1">
        <f>[1]Results!AJ1391</f>
        <v>15.200146408208923</v>
      </c>
      <c r="AH31" s="1">
        <f>[1]Results!AK1391</f>
        <v>14.680295311312429</v>
      </c>
      <c r="AI31" s="1">
        <f>[1]Results!AL1391</f>
        <v>14.088317937272542</v>
      </c>
      <c r="AJ31" s="1">
        <f>[1]Results!AM1391</f>
        <v>13.439649002732846</v>
      </c>
      <c r="AK31" s="1">
        <f>[1]Results!AN1391</f>
        <v>12.746486546669411</v>
      </c>
      <c r="AL31" s="1">
        <f>[1]Results!AO1391</f>
        <v>12.017180071222988</v>
      </c>
    </row>
    <row r="32" spans="1:3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0</v>
      </c>
      <c r="E32" s="1">
        <f>[1]Results!H1392</f>
        <v>-2.790581099532119E-8</v>
      </c>
      <c r="F32" s="1">
        <f>[1]Results!I1392</f>
        <v>6.8460792590485653E-10</v>
      </c>
      <c r="G32" s="1">
        <f>[1]Results!J1392</f>
        <v>1.2472698429633056E-7</v>
      </c>
      <c r="H32" s="1">
        <f>[1]Results!K1392</f>
        <v>-3.0596081224132377E-8</v>
      </c>
      <c r="I32" s="1">
        <f>[1]Results!L1392</f>
        <v>2.5627366895264458E-8</v>
      </c>
      <c r="J32" s="1">
        <f>[1]Results!M1392</f>
        <v>1.1746619018959681E-2</v>
      </c>
      <c r="K32" s="1">
        <f>[1]Results!N1392</f>
        <v>3.5980369888333197E-2</v>
      </c>
      <c r="L32" s="1">
        <f>[1]Results!O1392</f>
        <v>0.12301591590946348</v>
      </c>
      <c r="M32" s="1">
        <f>[1]Results!P1392</f>
        <v>0.25095576913540807</v>
      </c>
      <c r="N32" s="1">
        <f>[1]Results!Q1392</f>
        <v>0.42842504996913888</v>
      </c>
      <c r="O32" s="1">
        <f>[1]Results!R1392</f>
        <v>0.69877515159884052</v>
      </c>
      <c r="P32" s="1">
        <f>[1]Results!S1392</f>
        <v>1.0093318646312133</v>
      </c>
      <c r="Q32" s="1">
        <f>[1]Results!T1392</f>
        <v>1.3312857449136803</v>
      </c>
      <c r="R32" s="1">
        <f>[1]Results!U1392</f>
        <v>1.6486217303608441</v>
      </c>
      <c r="S32" s="1">
        <f>[1]Results!V1392</f>
        <v>1.942671356629333</v>
      </c>
      <c r="T32" s="1">
        <f>[1]Results!W1392</f>
        <v>2.1949049565235903</v>
      </c>
      <c r="U32" s="1">
        <f>[1]Results!X1392</f>
        <v>2.4307649448438209</v>
      </c>
      <c r="V32" s="1">
        <f>[1]Results!Y1392</f>
        <v>2.654861420898591</v>
      </c>
      <c r="W32" s="1">
        <f>[1]Results!Z1392</f>
        <v>2.8636743347610008</v>
      </c>
      <c r="X32" s="1">
        <f>[1]Results!AA1392</f>
        <v>3.0437082524563461</v>
      </c>
      <c r="Y32" s="1">
        <f>[1]Results!AB1392</f>
        <v>3.1896601408289111</v>
      </c>
      <c r="Z32" s="1">
        <f>[1]Results!AC1392</f>
        <v>3.3017921960730057</v>
      </c>
      <c r="AA32" s="1">
        <f>[1]Results!AD1392</f>
        <v>3.3779476039289094</v>
      </c>
      <c r="AB32" s="1">
        <f>[1]Results!AE1392</f>
        <v>3.4161863989286658</v>
      </c>
      <c r="AC32" s="1">
        <f>[1]Results!AF1392</f>
        <v>3.3952937950441733</v>
      </c>
      <c r="AD32" s="1">
        <f>[1]Results!AG1392</f>
        <v>3.3092435965000639</v>
      </c>
      <c r="AE32" s="1">
        <f>[1]Results!AH1392</f>
        <v>3.1723529859690505</v>
      </c>
      <c r="AF32" s="1">
        <f>[1]Results!AI1392</f>
        <v>2.9897248306947937</v>
      </c>
      <c r="AG32" s="1">
        <f>[1]Results!AJ1392</f>
        <v>2.762328093262532</v>
      </c>
      <c r="AH32" s="1">
        <f>[1]Results!AK1392</f>
        <v>2.4845098017025382</v>
      </c>
      <c r="AI32" s="1">
        <f>[1]Results!AL1392</f>
        <v>2.1537865933801239</v>
      </c>
      <c r="AJ32" s="1">
        <f>[1]Results!AM1392</f>
        <v>1.7779185247289728</v>
      </c>
      <c r="AK32" s="1">
        <f>[1]Results!AN1392</f>
        <v>1.3609717542425237</v>
      </c>
      <c r="AL32" s="1">
        <f>[1]Results!AO1392</f>
        <v>0.90266643254857115</v>
      </c>
    </row>
    <row r="33" spans="1:3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0</v>
      </c>
      <c r="E34" s="1">
        <f>[1]Results!H1394</f>
        <v>-2.790581099532119E-8</v>
      </c>
      <c r="F34" s="1">
        <f>[1]Results!I1394</f>
        <v>3.6354741439481586E-8</v>
      </c>
      <c r="G34" s="1">
        <f>[1]Results!J1394</f>
        <v>1.2472698429633056E-7</v>
      </c>
      <c r="H34" s="1">
        <f>[1]Results!K1394</f>
        <v>-3.0596081224132377E-8</v>
      </c>
      <c r="I34" s="1">
        <f>[1]Results!L1394</f>
        <v>2.5627366895264458E-8</v>
      </c>
      <c r="J34" s="1">
        <f>[1]Results!M1394</f>
        <v>-6.2497795197091754E-2</v>
      </c>
      <c r="K34" s="1">
        <f>[1]Results!N1394</f>
        <v>-0.16108813934925248</v>
      </c>
      <c r="L34" s="1">
        <f>[1]Results!O1394</f>
        <v>-2.8100554357690655E-2</v>
      </c>
      <c r="M34" s="1">
        <f>[1]Results!P1394</f>
        <v>0.25986333652052718</v>
      </c>
      <c r="N34" s="1">
        <f>[1]Results!Q1394</f>
        <v>0.62290823154815822</v>
      </c>
      <c r="O34" s="1">
        <f>[1]Results!R1394</f>
        <v>1.0524158917454951</v>
      </c>
      <c r="P34" s="1">
        <f>[1]Results!S1394</f>
        <v>1.4816682394223291</v>
      </c>
      <c r="Q34" s="1">
        <f>[1]Results!T1394</f>
        <v>1.8929613575701119</v>
      </c>
      <c r="R34" s="1">
        <f>[1]Results!U1394</f>
        <v>2.2812901228964613</v>
      </c>
      <c r="S34" s="1">
        <f>[1]Results!V1394</f>
        <v>2.6270742901398414</v>
      </c>
      <c r="T34" s="1">
        <f>[1]Results!W1394</f>
        <v>2.910709138661316</v>
      </c>
      <c r="U34" s="1">
        <f>[1]Results!X1394</f>
        <v>3.1575316669164568</v>
      </c>
      <c r="V34" s="1">
        <f>[1]Results!Y1394</f>
        <v>3.3746304036166741</v>
      </c>
      <c r="W34" s="1">
        <f>[1]Results!Z1394</f>
        <v>3.5626683430975525</v>
      </c>
      <c r="X34" s="1">
        <f>[1]Results!AA1394</f>
        <v>3.7130889602141401</v>
      </c>
      <c r="Y34" s="1">
        <f>[1]Results!AB1394</f>
        <v>3.8259360858813327</v>
      </c>
      <c r="Z34" s="1">
        <f>[1]Results!AC1394</f>
        <v>3.9066219605521155</v>
      </c>
      <c r="AA34" s="1">
        <f>[1]Results!AD1394</f>
        <v>3.9580316884227251</v>
      </c>
      <c r="AB34" s="1">
        <f>[1]Results!AE1394</f>
        <v>3.98268512617026</v>
      </c>
      <c r="AC34" s="1">
        <f>[1]Results!AF1394</f>
        <v>3.9652444970914349</v>
      </c>
      <c r="AD34" s="1">
        <f>[1]Results!AG1394</f>
        <v>3.9052398702048343</v>
      </c>
      <c r="AE34" s="1">
        <f>[1]Results!AH1394</f>
        <v>3.8220988677955194</v>
      </c>
      <c r="AF34" s="1">
        <f>[1]Results!AI1394</f>
        <v>3.7260281094622076</v>
      </c>
      <c r="AG34" s="1">
        <f>[1]Results!AJ1394</f>
        <v>3.6227949914007453</v>
      </c>
      <c r="AH34" s="1">
        <f>[1]Results!AK1394</f>
        <v>3.5112877352494678</v>
      </c>
      <c r="AI34" s="1">
        <f>[1]Results!AL1394</f>
        <v>3.3935447998040704</v>
      </c>
      <c r="AJ34" s="1">
        <f>[1]Results!AM1394</f>
        <v>3.2817456681564448</v>
      </c>
      <c r="AK34" s="1">
        <f>[1]Results!AN1394</f>
        <v>3.1847660332875005</v>
      </c>
      <c r="AL34" s="1">
        <f>[1]Results!AO1394</f>
        <v>3.108053443387071</v>
      </c>
    </row>
    <row r="35" spans="1:3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0</v>
      </c>
      <c r="E35" s="1">
        <f>[1]Results!H1395</f>
        <v>0</v>
      </c>
      <c r="F35" s="1">
        <f>[1]Results!I1395</f>
        <v>9.3908525400365761E-8</v>
      </c>
      <c r="G35" s="1">
        <f>[1]Results!J1395</f>
        <v>9.1857965678343589E-8</v>
      </c>
      <c r="H35" s="1">
        <f>[1]Results!K1395</f>
        <v>8.9802476566092082E-8</v>
      </c>
      <c r="I35" s="1">
        <f>[1]Results!L1395</f>
        <v>8.7669094206432874E-8</v>
      </c>
      <c r="J35" s="1">
        <f>[1]Results!M1395</f>
        <v>0.46780580723972953</v>
      </c>
      <c r="K35" s="1">
        <f>[1]Results!N1395</f>
        <v>1.0597431722044748</v>
      </c>
      <c r="L35" s="1">
        <f>[1]Results!O1395</f>
        <v>1.8247694325038699</v>
      </c>
      <c r="M35" s="1">
        <f>[1]Results!P1395</f>
        <v>2.7728301942142819</v>
      </c>
      <c r="N35" s="1">
        <f>[1]Results!Q1395</f>
        <v>3.7319217710146013</v>
      </c>
      <c r="O35" s="1">
        <f>[1]Results!R1395</f>
        <v>4.6755112273260124</v>
      </c>
      <c r="P35" s="1">
        <f>[1]Results!S1395</f>
        <v>5.5887036074951935</v>
      </c>
      <c r="Q35" s="1">
        <f>[1]Results!T1395</f>
        <v>6.4605670606306287</v>
      </c>
      <c r="R35" s="1">
        <f>[1]Results!U1395</f>
        <v>7.2792314172263728</v>
      </c>
      <c r="S35" s="1">
        <f>[1]Results!V1395</f>
        <v>8.118160218261238</v>
      </c>
      <c r="T35" s="1">
        <f>[1]Results!W1395</f>
        <v>8.9576960438016542</v>
      </c>
      <c r="U35" s="1">
        <f>[1]Results!X1395</f>
        <v>9.7708880251298424</v>
      </c>
      <c r="V35" s="1">
        <f>[1]Results!Y1395</f>
        <v>10.535182934274623</v>
      </c>
      <c r="W35" s="1">
        <f>[1]Results!Z1395</f>
        <v>11.233610051789</v>
      </c>
      <c r="X35" s="1">
        <f>[1]Results!AA1395</f>
        <v>11.856862977192417</v>
      </c>
      <c r="Y35" s="1">
        <f>[1]Results!AB1395</f>
        <v>12.398524278858014</v>
      </c>
      <c r="Z35" s="1">
        <f>[1]Results!AC1395</f>
        <v>12.849155021893012</v>
      </c>
      <c r="AA35" s="1">
        <f>[1]Results!AD1395</f>
        <v>13.200766305946555</v>
      </c>
      <c r="AB35" s="1">
        <f>[1]Results!AE1395</f>
        <v>13.448953211483516</v>
      </c>
      <c r="AC35" s="1">
        <f>[1]Results!AF1395</f>
        <v>13.606866405139041</v>
      </c>
      <c r="AD35" s="1">
        <f>[1]Results!AG1395</f>
        <v>13.694488323493626</v>
      </c>
      <c r="AE35" s="1">
        <f>[1]Results!AH1395</f>
        <v>13.717675449880741</v>
      </c>
      <c r="AF35" s="1">
        <f>[1]Results!AI1395</f>
        <v>13.682324171354377</v>
      </c>
      <c r="AG35" s="1">
        <f>[1]Results!AJ1395</f>
        <v>13.596538031216898</v>
      </c>
      <c r="AH35" s="1">
        <f>[1]Results!AK1395</f>
        <v>13.475912586111672</v>
      </c>
      <c r="AI35" s="1">
        <f>[1]Results!AL1395</f>
        <v>13.338940280772714</v>
      </c>
      <c r="AJ35" s="1">
        <f>[1]Results!AM1395</f>
        <v>13.19728206407056</v>
      </c>
      <c r="AK35" s="1">
        <f>[1]Results!AN1395</f>
        <v>13.060766506567534</v>
      </c>
      <c r="AL35" s="1">
        <f>[1]Results!AO1395</f>
        <v>12.939408027521914</v>
      </c>
    </row>
    <row r="36" spans="1:3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0</v>
      </c>
      <c r="F36" s="1">
        <f>[1]Results!I1396</f>
        <v>9.4013086204824958E-8</v>
      </c>
      <c r="G36" s="1">
        <f>[1]Results!J1396</f>
        <v>0</v>
      </c>
      <c r="H36" s="1">
        <f>[1]Results!K1396</f>
        <v>9.0121909934737232E-8</v>
      </c>
      <c r="I36" s="1">
        <f>[1]Results!L1396</f>
        <v>8.810017160243433E-8</v>
      </c>
      <c r="J36" s="1">
        <f>[1]Results!M1396</f>
        <v>0.60847428212724708</v>
      </c>
      <c r="K36" s="1">
        <f>[1]Results!N1396</f>
        <v>1.34718193237513</v>
      </c>
      <c r="L36" s="1">
        <f>[1]Results!O1396</f>
        <v>2.2674597278275588</v>
      </c>
      <c r="M36" s="1">
        <f>[1]Results!P1396</f>
        <v>3.3608004912576872</v>
      </c>
      <c r="N36" s="1">
        <f>[1]Results!Q1396</f>
        <v>4.3906773512022435</v>
      </c>
      <c r="O36" s="1">
        <f>[1]Results!R1396</f>
        <v>5.3237813855359084</v>
      </c>
      <c r="P36" s="1">
        <f>[1]Results!S1396</f>
        <v>6.1675227075783656</v>
      </c>
      <c r="Q36" s="1">
        <f>[1]Results!T1396</f>
        <v>6.9298787340863255</v>
      </c>
      <c r="R36" s="1">
        <f>[1]Results!U1396</f>
        <v>7.6137884622464735</v>
      </c>
      <c r="S36" s="1">
        <f>[1]Results!V1396</f>
        <v>8.330481046472805</v>
      </c>
      <c r="T36" s="1">
        <f>[1]Results!W1396</f>
        <v>9.0669369406960687</v>
      </c>
      <c r="U36" s="1">
        <f>[1]Results!X1396</f>
        <v>9.7877638823214763</v>
      </c>
      <c r="V36" s="1">
        <f>[1]Results!Y1396</f>
        <v>10.466171047107764</v>
      </c>
      <c r="W36" s="1">
        <f>[1]Results!Z1396</f>
        <v>11.08276243233739</v>
      </c>
      <c r="X36" s="1">
        <f>[1]Results!AA1396</f>
        <v>11.630124872217774</v>
      </c>
      <c r="Y36" s="1">
        <f>[1]Results!AB1396</f>
        <v>12.101945087592947</v>
      </c>
      <c r="Z36" s="1">
        <f>[1]Results!AC1396</f>
        <v>12.485405771765045</v>
      </c>
      <c r="AA36" s="1">
        <f>[1]Results!AD1396</f>
        <v>12.770764594621875</v>
      </c>
      <c r="AB36" s="1">
        <f>[1]Results!AE1396</f>
        <v>12.952594221749859</v>
      </c>
      <c r="AC36" s="1">
        <f>[1]Results!AF1396</f>
        <v>13.054152378276541</v>
      </c>
      <c r="AD36" s="1">
        <f>[1]Results!AG1396</f>
        <v>13.10128663092982</v>
      </c>
      <c r="AE36" s="1">
        <f>[1]Results!AH1396</f>
        <v>13.091877813240549</v>
      </c>
      <c r="AF36" s="1">
        <f>[1]Results!AI1396</f>
        <v>13.027385528401613</v>
      </c>
      <c r="AG36" s="1">
        <f>[1]Results!AJ1396</f>
        <v>12.912522822690931</v>
      </c>
      <c r="AH36" s="1">
        <f>[1]Results!AK1396</f>
        <v>12.763858917345349</v>
      </c>
      <c r="AI36" s="1">
        <f>[1]Results!AL1396</f>
        <v>12.600232538847012</v>
      </c>
      <c r="AJ36" s="1">
        <f>[1]Results!AM1396</f>
        <v>12.427914966392306</v>
      </c>
      <c r="AK36" s="1">
        <f>[1]Results!AN1396</f>
        <v>12.252206959978707</v>
      </c>
      <c r="AL36" s="1">
        <f>[1]Results!AO1396</f>
        <v>12.078775656429741</v>
      </c>
    </row>
    <row r="37" spans="1:3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0.58288705763378523</v>
      </c>
      <c r="K37" s="1">
        <f>[1]Results!N1397</f>
        <v>1.1514904975058027</v>
      </c>
      <c r="L37" s="1">
        <f>[1]Results!O1397</f>
        <v>1.7824388273166569</v>
      </c>
      <c r="M37" s="1">
        <f>[1]Results!P1397</f>
        <v>2.4660196399849399</v>
      </c>
      <c r="N37" s="1">
        <f>[1]Results!Q1397</f>
        <v>2.9946463934319434</v>
      </c>
      <c r="O37" s="1">
        <f>[1]Results!R1397</f>
        <v>3.2843100510610013</v>
      </c>
      <c r="P37" s="1">
        <f>[1]Results!S1397</f>
        <v>3.4355553731089561</v>
      </c>
      <c r="Q37" s="1">
        <f>[1]Results!T1397</f>
        <v>3.4908845898437235</v>
      </c>
      <c r="R37" s="1">
        <f>[1]Results!U1397</f>
        <v>3.4708511341192683</v>
      </c>
      <c r="S37" s="1">
        <f>[1]Results!V1397</f>
        <v>3.5173073113394127</v>
      </c>
      <c r="T37" s="1">
        <f>[1]Results!W1397</f>
        <v>3.6238829615089951</v>
      </c>
      <c r="U37" s="1">
        <f>[1]Results!X1397</f>
        <v>3.732501412855771</v>
      </c>
      <c r="V37" s="1">
        <f>[1]Results!Y1397</f>
        <v>3.8268433090953069</v>
      </c>
      <c r="W37" s="1">
        <f>[1]Results!Z1397</f>
        <v>3.9014783631379668</v>
      </c>
      <c r="X37" s="1">
        <f>[1]Results!AA1397</f>
        <v>3.9723502557097667</v>
      </c>
      <c r="Y37" s="1">
        <f>[1]Results!AB1397</f>
        <v>4.0390660909130016</v>
      </c>
      <c r="Z37" s="1">
        <f>[1]Results!AC1397</f>
        <v>4.0756659350135838</v>
      </c>
      <c r="AA37" s="1">
        <f>[1]Results!AD1397</f>
        <v>4.0725981273293188</v>
      </c>
      <c r="AB37" s="1">
        <f>[1]Results!AE1397</f>
        <v>4.027480722558896</v>
      </c>
      <c r="AC37" s="1">
        <f>[1]Results!AF1397</f>
        <v>4.0108490016006693</v>
      </c>
      <c r="AD37" s="1">
        <f>[1]Results!AG1397</f>
        <v>4.0561365341716504</v>
      </c>
      <c r="AE37" s="1">
        <f>[1]Results!AH1397</f>
        <v>4.1054493008038317</v>
      </c>
      <c r="AF37" s="1">
        <f>[1]Results!AI1397</f>
        <v>4.1447534671614106</v>
      </c>
      <c r="AG37" s="1">
        <f>[1]Results!AJ1397</f>
        <v>4.1715415539568479</v>
      </c>
      <c r="AH37" s="1">
        <f>[1]Results!AK1397</f>
        <v>4.2152238089508742</v>
      </c>
      <c r="AI37" s="1">
        <f>[1]Results!AL1397</f>
        <v>4.2965009003401278</v>
      </c>
      <c r="AJ37" s="1">
        <f>[1]Results!AM1397</f>
        <v>4.3935278763692631</v>
      </c>
      <c r="AK37" s="1">
        <f>[1]Results!AN1397</f>
        <v>4.498696204096353</v>
      </c>
      <c r="AL37" s="1">
        <f>[1]Results!AO1397</f>
        <v>4.6096538770526774</v>
      </c>
    </row>
    <row r="38" spans="1:3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0</v>
      </c>
      <c r="E38" s="1">
        <f>[1]Results!H1398</f>
        <v>2.280455824177352E-8</v>
      </c>
      <c r="F38" s="1">
        <f>[1]Results!I1398</f>
        <v>4.4162162815553074E-8</v>
      </c>
      <c r="G38" s="1">
        <f>[1]Results!J1398</f>
        <v>4.2712522407839515E-8</v>
      </c>
      <c r="H38" s="1">
        <f>[1]Results!K1398</f>
        <v>6.1919180893710291E-8</v>
      </c>
      <c r="I38" s="1">
        <f>[1]Results!L1398</f>
        <v>5.9793148210474101E-8</v>
      </c>
      <c r="J38" s="1">
        <f>[1]Results!M1398</f>
        <v>-1.1687744687838286E-2</v>
      </c>
      <c r="K38" s="1">
        <f>[1]Results!N1398</f>
        <v>0.21068215298394311</v>
      </c>
      <c r="L38" s="1">
        <f>[1]Results!O1398</f>
        <v>0.6718725510644008</v>
      </c>
      <c r="M38" s="1">
        <f>[1]Results!P1398</f>
        <v>1.3567773264093308</v>
      </c>
      <c r="N38" s="1">
        <f>[1]Results!Q1398</f>
        <v>2.2427387019442024</v>
      </c>
      <c r="O38" s="1">
        <f>[1]Results!R1398</f>
        <v>3.2266545835094362</v>
      </c>
      <c r="P38" s="1">
        <f>[1]Results!S1398</f>
        <v>4.2438705649888275</v>
      </c>
      <c r="Q38" s="1">
        <f>[1]Results!T1398</f>
        <v>5.2559743598501907</v>
      </c>
      <c r="R38" s="1">
        <f>[1]Results!U1398</f>
        <v>6.2380139674746538</v>
      </c>
      <c r="S38" s="1">
        <f>[1]Results!V1398</f>
        <v>7.1687352212144839</v>
      </c>
      <c r="T38" s="1">
        <f>[1]Results!W1398</f>
        <v>8.071733642977863</v>
      </c>
      <c r="U38" s="1">
        <f>[1]Results!X1398</f>
        <v>8.9524482241476466</v>
      </c>
      <c r="V38" s="1">
        <f>[1]Results!Y1398</f>
        <v>9.803416290565913</v>
      </c>
      <c r="W38" s="1">
        <f>[1]Results!Z1398</f>
        <v>10.611447397093276</v>
      </c>
      <c r="X38" s="1">
        <f>[1]Results!AA1398</f>
        <v>11.36191973933769</v>
      </c>
      <c r="Y38" s="1">
        <f>[1]Results!AB1398</f>
        <v>12.043000461465049</v>
      </c>
      <c r="Z38" s="1">
        <f>[1]Results!AC1398</f>
        <v>12.645437278444692</v>
      </c>
      <c r="AA38" s="1">
        <f>[1]Results!AD1398</f>
        <v>13.160509924712871</v>
      </c>
      <c r="AB38" s="1">
        <f>[1]Results!AE1398</f>
        <v>13.580752689211085</v>
      </c>
      <c r="AC38" s="1">
        <f>[1]Results!AF1398</f>
        <v>13.901384192251776</v>
      </c>
      <c r="AD38" s="1">
        <f>[1]Results!AG1398</f>
        <v>14.126297931198838</v>
      </c>
      <c r="AE38" s="1">
        <f>[1]Results!AH1398</f>
        <v>14.267207065871235</v>
      </c>
      <c r="AF38" s="1">
        <f>[1]Results!AI1398</f>
        <v>14.335244456677287</v>
      </c>
      <c r="AG38" s="1">
        <f>[1]Results!AJ1398</f>
        <v>14.341226023727227</v>
      </c>
      <c r="AH38" s="1">
        <f>[1]Results!AK1398</f>
        <v>14.296834944512614</v>
      </c>
      <c r="AI38" s="1">
        <f>[1]Results!AL1398</f>
        <v>14.217506307789396</v>
      </c>
      <c r="AJ38" s="1">
        <f>[1]Results!AM1398</f>
        <v>14.122166881736709</v>
      </c>
      <c r="AK38" s="1">
        <f>[1]Results!AN1398</f>
        <v>14.029368389219776</v>
      </c>
      <c r="AL38" s="1">
        <f>[1]Results!AO1398</f>
        <v>13.956990516612699</v>
      </c>
    </row>
    <row r="39" spans="1:3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0</v>
      </c>
      <c r="E39" s="1">
        <f>[1]Results!H1399</f>
        <v>-7.3175343562326134E-8</v>
      </c>
      <c r="F39" s="1">
        <f>[1]Results!I1399</f>
        <v>-4.9803505763890143E-8</v>
      </c>
      <c r="G39" s="1">
        <f>[1]Results!J1399</f>
        <v>4.2712522407839515E-8</v>
      </c>
      <c r="H39" s="1">
        <f>[1]Results!K1399</f>
        <v>-2.8277280517130521E-8</v>
      </c>
      <c r="I39" s="1">
        <f>[1]Results!L1399</f>
        <v>-2.8430335863305345E-8</v>
      </c>
      <c r="J39" s="1">
        <f>[1]Results!M1399</f>
        <v>-0.89052498004664749</v>
      </c>
      <c r="K39" s="1">
        <f>[1]Results!N1399</f>
        <v>-1.4237724209435476</v>
      </c>
      <c r="L39" s="1">
        <f>[1]Results!O1399</f>
        <v>-1.8364292482832889</v>
      </c>
      <c r="M39" s="1">
        <f>[1]Results!P1399</f>
        <v>-2.1556054380878931</v>
      </c>
      <c r="N39" s="1">
        <f>[1]Results!Q1399</f>
        <v>-2.1361280805281324</v>
      </c>
      <c r="O39" s="1">
        <f>[1]Results!R1399</f>
        <v>-1.9875467830560822</v>
      </c>
      <c r="P39" s="1">
        <f>[1]Results!S1399</f>
        <v>-1.7734492875844277</v>
      </c>
      <c r="Q39" s="1">
        <f>[1]Results!T1399</f>
        <v>-1.5240058093537567</v>
      </c>
      <c r="R39" s="1">
        <f>[1]Results!U1399</f>
        <v>-1.2528385883661453</v>
      </c>
      <c r="S39" s="1">
        <f>[1]Results!V1399</f>
        <v>-1.1013216517016367</v>
      </c>
      <c r="T39" s="1">
        <f>[1]Results!W1399</f>
        <v>-0.97196254571304541</v>
      </c>
      <c r="U39" s="1">
        <f>[1]Results!X1399</f>
        <v>-0.83124056528250945</v>
      </c>
      <c r="V39" s="1">
        <f>[1]Results!Y1399</f>
        <v>-0.66749403732904167</v>
      </c>
      <c r="W39" s="1">
        <f>[1]Results!Z1399</f>
        <v>-0.47975369312501792</v>
      </c>
      <c r="X39" s="1">
        <f>[1]Results!AA1399</f>
        <v>-0.2761367349387478</v>
      </c>
      <c r="Y39" s="1">
        <f>[1]Results!AB1399</f>
        <v>-6.1674583433402042E-2</v>
      </c>
      <c r="Z39" s="1">
        <f>[1]Results!AC1399</f>
        <v>0.16603262379184525</v>
      </c>
      <c r="AA39" s="1">
        <f>[1]Results!AD1399</f>
        <v>0.40669710042096074</v>
      </c>
      <c r="AB39" s="1">
        <f>[1]Results!AE1399</f>
        <v>0.65746014761880467</v>
      </c>
      <c r="AC39" s="1">
        <f>[1]Results!AF1399</f>
        <v>0.89646642333307547</v>
      </c>
      <c r="AD39" s="1">
        <f>[1]Results!AG1399</f>
        <v>1.1095884136579803</v>
      </c>
      <c r="AE39" s="1">
        <f>[1]Results!AH1399</f>
        <v>1.3098216823962172</v>
      </c>
      <c r="AF39" s="1">
        <f>[1]Results!AI1399</f>
        <v>1.5033426037273312</v>
      </c>
      <c r="AG39" s="1">
        <f>[1]Results!AJ1399</f>
        <v>1.6928536477373246</v>
      </c>
      <c r="AH39" s="1">
        <f>[1]Results!AK1399</f>
        <v>1.8726634207866688</v>
      </c>
      <c r="AI39" s="1">
        <f>[1]Results!AL1399</f>
        <v>2.0395627126745142</v>
      </c>
      <c r="AJ39" s="1">
        <f>[1]Results!AM1399</f>
        <v>2.2034732877595165</v>
      </c>
      <c r="AK39" s="1">
        <f>[1]Results!AN1399</f>
        <v>2.3736063003523045</v>
      </c>
      <c r="AL39" s="1">
        <f>[1]Results!AO1399</f>
        <v>2.558150852535368</v>
      </c>
    </row>
    <row r="40" spans="1:3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1.847824115941421E-8</v>
      </c>
      <c r="E40" s="1">
        <f>[1]Results!H1400</f>
        <v>1.790589898575945E-8</v>
      </c>
      <c r="F40" s="1">
        <f>[1]Results!I1400</f>
        <v>3.4675617932578007E-8</v>
      </c>
      <c r="G40" s="1">
        <f>[1]Results!J1400</f>
        <v>5.0306026011526228E-8</v>
      </c>
      <c r="H40" s="1">
        <f>[1]Results!K1400</f>
        <v>4.8618198356109588E-8</v>
      </c>
      <c r="I40" s="1">
        <f>[1]Results!L1400</f>
        <v>6.2598504158017931E-8</v>
      </c>
      <c r="J40" s="1">
        <f>[1]Results!M1400</f>
        <v>-1.1687721284181496E-2</v>
      </c>
      <c r="K40" s="1">
        <f>[1]Results!N1400</f>
        <v>0.21068214885608949</v>
      </c>
      <c r="L40" s="1">
        <f>[1]Results!O1400</f>
        <v>0.6718725426988259</v>
      </c>
      <c r="M40" s="1">
        <f>[1]Results!P1400</f>
        <v>1.3567773187215693</v>
      </c>
      <c r="N40" s="1">
        <f>[1]Results!Q1400</f>
        <v>2.2427387152304412</v>
      </c>
      <c r="O40" s="1">
        <f>[1]Results!R1400</f>
        <v>3.2266545829446436</v>
      </c>
      <c r="P40" s="1">
        <f>[1]Results!S1400</f>
        <v>4.2438705827598122</v>
      </c>
      <c r="Q40" s="1">
        <f>[1]Results!T1400</f>
        <v>5.255974370904104</v>
      </c>
      <c r="R40" s="1">
        <f>[1]Results!U1400</f>
        <v>6.238013960676847</v>
      </c>
      <c r="S40" s="1">
        <f>[1]Results!V1400</f>
        <v>7.1687352144990335</v>
      </c>
      <c r="T40" s="1">
        <f>[1]Results!W1400</f>
        <v>8.0717336502606365</v>
      </c>
      <c r="U40" s="1">
        <f>[1]Results!X1400</f>
        <v>8.9524481745496765</v>
      </c>
      <c r="V40" s="1">
        <f>[1]Results!Y1400</f>
        <v>9.8034162671311709</v>
      </c>
      <c r="W40" s="1">
        <f>[1]Results!Z1400</f>
        <v>10.611447416190533</v>
      </c>
      <c r="X40" s="1">
        <f>[1]Results!AA1400</f>
        <v>11.361919732495052</v>
      </c>
      <c r="Y40" s="1">
        <f>[1]Results!AB1400</f>
        <v>12.043000496284151</v>
      </c>
      <c r="Z40" s="1">
        <f>[1]Results!AC1400</f>
        <v>12.645437193526998</v>
      </c>
      <c r="AA40" s="1">
        <f>[1]Results!AD1400</f>
        <v>13.160509918005637</v>
      </c>
      <c r="AB40" s="1">
        <f>[1]Results!AE1400</f>
        <v>13.580752744673941</v>
      </c>
      <c r="AC40" s="1">
        <f>[1]Results!AF1400</f>
        <v>13.901384208680302</v>
      </c>
      <c r="AD40" s="1">
        <f>[1]Results!AG1400</f>
        <v>14.126297906842611</v>
      </c>
      <c r="AE40" s="1">
        <f>[1]Results!AH1400</f>
        <v>14.267207039808882</v>
      </c>
      <c r="AF40" s="1">
        <f>[1]Results!AI1400</f>
        <v>14.33524438630851</v>
      </c>
      <c r="AG40" s="1">
        <f>[1]Results!AJ1400</f>
        <v>14.341225981456351</v>
      </c>
      <c r="AH40" s="1">
        <f>[1]Results!AK1400</f>
        <v>14.296834888523557</v>
      </c>
      <c r="AI40" s="1">
        <f>[1]Results!AL1400</f>
        <v>14.217506271573853</v>
      </c>
      <c r="AJ40" s="1">
        <f>[1]Results!AM1400</f>
        <v>14.122166938988311</v>
      </c>
      <c r="AK40" s="1">
        <f>[1]Results!AN1400</f>
        <v>14.029368393000086</v>
      </c>
      <c r="AL40" s="1">
        <f>[1]Results!AO1400</f>
        <v>13.956990586413308</v>
      </c>
    </row>
    <row r="41" spans="1:3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1.8478263363874703E-8</v>
      </c>
      <c r="E41" s="1">
        <f>[1]Results!H1401</f>
        <v>1.790589898575945E-8</v>
      </c>
      <c r="F41" s="1">
        <f>[1]Results!I1401</f>
        <v>3.4675617932578007E-8</v>
      </c>
      <c r="G41" s="1">
        <f>[1]Results!J1401</f>
        <v>-4.1399517147766574E-8</v>
      </c>
      <c r="H41" s="1">
        <f>[1]Results!K1401</f>
        <v>4.8618198356109588E-8</v>
      </c>
      <c r="I41" s="1">
        <f>[1]Results!L1401</f>
        <v>-2.4670820941707916E-8</v>
      </c>
      <c r="J41" s="1">
        <f>[1]Results!M1401</f>
        <v>8.4899298881513374E-2</v>
      </c>
      <c r="K41" s="1">
        <f>[1]Results!N1401</f>
        <v>4.9955932149181592E-3</v>
      </c>
      <c r="L41" s="1">
        <f>[1]Results!O1401</f>
        <v>-5.4731111565031743E-2</v>
      </c>
      <c r="M41" s="1">
        <f>[1]Results!P1401</f>
        <v>-0.11698743728544292</v>
      </c>
      <c r="N41" s="1">
        <f>[1]Results!Q1401</f>
        <v>-0.20226375710251654</v>
      </c>
      <c r="O41" s="1">
        <f>[1]Results!R1401</f>
        <v>-0.21785769272651967</v>
      </c>
      <c r="P41" s="1">
        <f>[1]Results!S1401</f>
        <v>-0.19310059047723538</v>
      </c>
      <c r="Q41" s="1">
        <f>[1]Results!T1401</f>
        <v>-0.14710592483976326</v>
      </c>
      <c r="R41" s="1">
        <f>[1]Results!U1401</f>
        <v>-8.8186714113380749E-2</v>
      </c>
      <c r="S41" s="1">
        <f>[1]Results!V1401</f>
        <v>-3.230532618558879E-3</v>
      </c>
      <c r="T41" s="1">
        <f>[1]Results!W1401</f>
        <v>5.6434317313280857E-2</v>
      </c>
      <c r="U41" s="1">
        <f>[1]Results!X1401</f>
        <v>0.11481557479258164</v>
      </c>
      <c r="V41" s="1">
        <f>[1]Results!Y1401</f>
        <v>0.18587778748888617</v>
      </c>
      <c r="W41" s="1">
        <f>[1]Results!Z1401</f>
        <v>0.27412726883491167</v>
      </c>
      <c r="X41" s="1">
        <f>[1]Results!AA1401</f>
        <v>0.37744678003230892</v>
      </c>
      <c r="Y41" s="1">
        <f>[1]Results!AB1401</f>
        <v>0.49152505746468123</v>
      </c>
      <c r="Z41" s="1">
        <f>[1]Results!AC1401</f>
        <v>0.61396879165787066</v>
      </c>
      <c r="AA41" s="1">
        <f>[1]Results!AD1401</f>
        <v>0.74336000724724016</v>
      </c>
      <c r="AB41" s="1">
        <f>[1]Results!AE1401</f>
        <v>0.87732586742579333</v>
      </c>
      <c r="AC41" s="1">
        <f>[1]Results!AF1401</f>
        <v>1.0066033349485082</v>
      </c>
      <c r="AD41" s="1">
        <f>[1]Results!AG1401</f>
        <v>1.1185277330962418</v>
      </c>
      <c r="AE41" s="1">
        <f>[1]Results!AH1401</f>
        <v>1.2090479700470835</v>
      </c>
      <c r="AF41" s="1">
        <f>[1]Results!AI1401</f>
        <v>1.2793130610048609</v>
      </c>
      <c r="AG41" s="1">
        <f>[1]Results!AJ1401</f>
        <v>1.328804389666649</v>
      </c>
      <c r="AH41" s="1">
        <f>[1]Results!AK1401</f>
        <v>1.3540095341225022</v>
      </c>
      <c r="AI41" s="1">
        <f>[1]Results!AL1401</f>
        <v>1.3502113789325199</v>
      </c>
      <c r="AJ41" s="1">
        <f>[1]Results!AM1401</f>
        <v>1.3166556361856818</v>
      </c>
      <c r="AK41" s="1">
        <f>[1]Results!AN1401</f>
        <v>1.2555190396176696</v>
      </c>
      <c r="AL41" s="1">
        <f>[1]Results!AO1401</f>
        <v>1.1679773106693769</v>
      </c>
    </row>
    <row r="42" spans="1:3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0</v>
      </c>
      <c r="E42" s="1">
        <f>[1]Results!H1402</f>
        <v>0</v>
      </c>
      <c r="F42" s="1">
        <f>[1]Results!I1402</f>
        <v>3.5670133513576729E-8</v>
      </c>
      <c r="G42" s="1">
        <f>[1]Results!J1402</f>
        <v>0</v>
      </c>
      <c r="H42" s="1">
        <f>[1]Results!K1402</f>
        <v>0</v>
      </c>
      <c r="I42" s="1">
        <f>[1]Results!L1402</f>
        <v>0</v>
      </c>
      <c r="J42" s="1">
        <f>[1]Results!M1402</f>
        <v>-7.4244414216051435E-2</v>
      </c>
      <c r="K42" s="1">
        <f>[1]Results!N1402</f>
        <v>-0.19706850923758568</v>
      </c>
      <c r="L42" s="1">
        <f>[1]Results!O1402</f>
        <v>-0.15111647026715413</v>
      </c>
      <c r="M42" s="1">
        <f>[1]Results!P1402</f>
        <v>8.9075673851191084E-3</v>
      </c>
      <c r="N42" s="1">
        <f>[1]Results!Q1402</f>
        <v>0.19448318157901934</v>
      </c>
      <c r="O42" s="1">
        <f>[1]Results!R1402</f>
        <v>0.35364074014665459</v>
      </c>
      <c r="P42" s="1">
        <f>[1]Results!S1402</f>
        <v>0.47233637479111579</v>
      </c>
      <c r="Q42" s="1">
        <f>[1]Results!T1402</f>
        <v>0.56167561265643151</v>
      </c>
      <c r="R42" s="1">
        <f>[1]Results!U1402</f>
        <v>0.63266839253561802</v>
      </c>
      <c r="S42" s="1">
        <f>[1]Results!V1402</f>
        <v>0.6844029335105084</v>
      </c>
      <c r="T42" s="1">
        <f>[1]Results!W1402</f>
        <v>0.71580418213772479</v>
      </c>
      <c r="U42" s="1">
        <f>[1]Results!X1402</f>
        <v>0.72676672207263593</v>
      </c>
      <c r="V42" s="1">
        <f>[1]Results!Y1402</f>
        <v>0.71976898271808309</v>
      </c>
      <c r="W42" s="1">
        <f>[1]Results!Z1402</f>
        <v>0.6989940083365509</v>
      </c>
      <c r="X42" s="1">
        <f>[1]Results!AA1402</f>
        <v>0.66938070775779401</v>
      </c>
      <c r="Y42" s="1">
        <f>[1]Results!AB1402</f>
        <v>0.63627594505242246</v>
      </c>
      <c r="Z42" s="1">
        <f>[1]Results!AC1402</f>
        <v>0.60482976447910897</v>
      </c>
      <c r="AA42" s="1">
        <f>[1]Results!AD1402</f>
        <v>0.58008408449381488</v>
      </c>
      <c r="AB42" s="1">
        <f>[1]Results!AE1402</f>
        <v>0.56649872724159334</v>
      </c>
      <c r="AC42" s="1">
        <f>[1]Results!AF1402</f>
        <v>0.56995070204726161</v>
      </c>
      <c r="AD42" s="1">
        <f>[1]Results!AG1402</f>
        <v>0.5959962737047686</v>
      </c>
      <c r="AE42" s="1">
        <f>[1]Results!AH1402</f>
        <v>0.64974588182646897</v>
      </c>
      <c r="AF42" s="1">
        <f>[1]Results!AI1402</f>
        <v>0.73630327876741397</v>
      </c>
      <c r="AG42" s="1">
        <f>[1]Results!AJ1402</f>
        <v>0.86046689813821242</v>
      </c>
      <c r="AH42" s="1">
        <f>[1]Results!AK1402</f>
        <v>1.0267779335469296</v>
      </c>
      <c r="AI42" s="1">
        <f>[1]Results!AL1402</f>
        <v>1.2397582064239465</v>
      </c>
      <c r="AJ42" s="1">
        <f>[1]Results!AM1402</f>
        <v>1.5038271434274719</v>
      </c>
      <c r="AK42" s="1">
        <f>[1]Results!AN1402</f>
        <v>1.8237942790449768</v>
      </c>
      <c r="AL42" s="1">
        <f>[1]Results!AO1402</f>
        <v>2.2053870108384999</v>
      </c>
    </row>
    <row r="43" spans="1:3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</v>
      </c>
      <c r="E43" s="1">
        <f>[1]Results!H1403</f>
        <v>0</v>
      </c>
      <c r="F43" s="1">
        <f>[1]Results!I1403</f>
        <v>9.9999997473787516E-6</v>
      </c>
      <c r="G43" s="1">
        <f>[1]Results!J1403</f>
        <v>0</v>
      </c>
      <c r="H43" s="1">
        <f>[1]Results!K1403</f>
        <v>0</v>
      </c>
      <c r="I43" s="1">
        <f>[1]Results!L1403</f>
        <v>0</v>
      </c>
      <c r="J43" s="1">
        <f>[1]Results!M1403</f>
        <v>-21.909859999999753</v>
      </c>
      <c r="K43" s="1">
        <f>[1]Results!N1403</f>
        <v>-58.911630000002333</v>
      </c>
      <c r="L43" s="1">
        <f>[1]Results!O1403</f>
        <v>-45.746649999997317</v>
      </c>
      <c r="M43" s="1">
        <f>[1]Results!P1403</f>
        <v>2.7297400000024936</v>
      </c>
      <c r="N43" s="1">
        <f>[1]Results!Q1403</f>
        <v>60.210960000000341</v>
      </c>
      <c r="O43" s="1">
        <f>[1]Results!R1403</f>
        <v>110.34299000000101</v>
      </c>
      <c r="P43" s="1">
        <f>[1]Results!S1403</f>
        <v>148.19375999999829</v>
      </c>
      <c r="Q43" s="1">
        <f>[1]Results!T1403</f>
        <v>176.86534000000029</v>
      </c>
      <c r="R43" s="1">
        <f>[1]Results!U1403</f>
        <v>199.67509000000064</v>
      </c>
      <c r="S43" s="1">
        <f>[1]Results!V1403</f>
        <v>216.3415700000005</v>
      </c>
      <c r="T43" s="1">
        <f>[1]Results!W1403</f>
        <v>226.59832000000097</v>
      </c>
      <c r="U43" s="1">
        <f>[1]Results!X1403</f>
        <v>230.49439999999959</v>
      </c>
      <c r="V43" s="1">
        <f>[1]Results!Y1403</f>
        <v>228.86407999999938</v>
      </c>
      <c r="W43" s="1">
        <f>[1]Results!Z1403</f>
        <v>222.99228999999832</v>
      </c>
      <c r="X43" s="1">
        <f>[1]Results!AA1403</f>
        <v>214.49406999999701</v>
      </c>
      <c r="Y43" s="1">
        <f>[1]Results!AB1403</f>
        <v>205.04956999999922</v>
      </c>
      <c r="Z43" s="1">
        <f>[1]Results!AC1403</f>
        <v>196.28395000000091</v>
      </c>
      <c r="AA43" s="1">
        <f>[1]Results!AD1403</f>
        <v>189.81549999999697</v>
      </c>
      <c r="AB43" s="1">
        <f>[1]Results!AE1403</f>
        <v>187.01436000000103</v>
      </c>
      <c r="AC43" s="1">
        <f>[1]Results!AF1403</f>
        <v>189.99564999999711</v>
      </c>
      <c r="AD43" s="1">
        <f>[1]Results!AG1403</f>
        <v>200.80764000000636</v>
      </c>
      <c r="AE43" s="1">
        <f>[1]Results!AH1403</f>
        <v>221.46003000000201</v>
      </c>
      <c r="AF43" s="1">
        <f>[1]Results!AI1403</f>
        <v>254.06223999999929</v>
      </c>
      <c r="AG43" s="1">
        <f>[1]Results!AJ1403</f>
        <v>300.71218000000226</v>
      </c>
      <c r="AH43" s="1">
        <f>[1]Results!AK1403</f>
        <v>363.49678999999742</v>
      </c>
      <c r="AI43" s="1">
        <f>[1]Results!AL1403</f>
        <v>444.55228999999963</v>
      </c>
      <c r="AJ43" s="1">
        <f>[1]Results!AM1403</f>
        <v>546.00316000000021</v>
      </c>
      <c r="AK43" s="1">
        <f>[1]Results!AN1403</f>
        <v>670.1050499999983</v>
      </c>
      <c r="AL43" s="1">
        <f>[1]Results!AO1403</f>
        <v>819.41080000000511</v>
      </c>
    </row>
    <row r="44" spans="1:3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-1.000000082740371E-8</v>
      </c>
      <c r="D44" s="1">
        <f>[1]Results!G1404</f>
        <v>0</v>
      </c>
      <c r="E44" s="1">
        <f>[1]Results!H1404</f>
        <v>0</v>
      </c>
      <c r="F44" s="1">
        <f>[1]Results!I1404</f>
        <v>-1.000000082740371E-8</v>
      </c>
      <c r="G44" s="1">
        <f>[1]Results!J1404</f>
        <v>-1.000000082740371E-8</v>
      </c>
      <c r="H44" s="1">
        <f>[1]Results!K1404</f>
        <v>-9.9999994396249292E-9</v>
      </c>
      <c r="I44" s="1">
        <f>[1]Results!L1404</f>
        <v>-9.9999994396249292E-9</v>
      </c>
      <c r="J44" s="1">
        <f>[1]Results!M1404</f>
        <v>5.6025099999999772E-2</v>
      </c>
      <c r="K44" s="1">
        <f>[1]Results!N1404</f>
        <v>0.14540725999999948</v>
      </c>
      <c r="L44" s="1">
        <f>[1]Results!O1404</f>
        <v>0.10219995999999898</v>
      </c>
      <c r="M44" s="1">
        <f>[1]Results!P1404</f>
        <v>-2.1338190000000368E-2</v>
      </c>
      <c r="N44" s="1">
        <f>[1]Results!Q1404</f>
        <v>-0.15551956000000033</v>
      </c>
      <c r="O44" s="1">
        <f>[1]Results!R1404</f>
        <v>-0.2640421599999998</v>
      </c>
      <c r="P44" s="1">
        <f>[1]Results!S1404</f>
        <v>-0.34029302000000011</v>
      </c>
      <c r="Q44" s="1">
        <f>[1]Results!T1404</f>
        <v>-0.39550077999999933</v>
      </c>
      <c r="R44" s="1">
        <f>[1]Results!U1404</f>
        <v>-0.43875081000000066</v>
      </c>
      <c r="S44" s="1">
        <f>[1]Results!V1404</f>
        <v>-0.46908970999999938</v>
      </c>
      <c r="T44" s="1">
        <f>[1]Results!W1404</f>
        <v>-0.48579740999999954</v>
      </c>
      <c r="U44" s="1">
        <f>[1]Results!X1404</f>
        <v>-0.48901642000000051</v>
      </c>
      <c r="V44" s="1">
        <f>[1]Results!Y1404</f>
        <v>-0.48079604999999997</v>
      </c>
      <c r="W44" s="1">
        <f>[1]Results!Z1404</f>
        <v>-0.46453055000000021</v>
      </c>
      <c r="X44" s="1">
        <f>[1]Results!AA1404</f>
        <v>-0.44304103000000067</v>
      </c>
      <c r="Y44" s="1">
        <f>[1]Results!AB1404</f>
        <v>-0.42041272000000046</v>
      </c>
      <c r="Z44" s="1">
        <f>[1]Results!AC1404</f>
        <v>-0.40004683000000041</v>
      </c>
      <c r="AA44" s="1">
        <f>[1]Results!AD1404</f>
        <v>-0.38527317999999949</v>
      </c>
      <c r="AB44" s="1">
        <f>[1]Results!AE1404</f>
        <v>-0.3796323800000001</v>
      </c>
      <c r="AC44" s="1">
        <f>[1]Results!AF1404</f>
        <v>-0.38616563999999964</v>
      </c>
      <c r="AD44" s="1">
        <f>[1]Results!AG1404</f>
        <v>-0.40941285000000022</v>
      </c>
      <c r="AE44" s="1">
        <f>[1]Results!AH1404</f>
        <v>-0.45312934999999988</v>
      </c>
      <c r="AF44" s="1">
        <f>[1]Results!AI1404</f>
        <v>-0.52118243000000009</v>
      </c>
      <c r="AG44" s="1">
        <f>[1]Results!AJ1404</f>
        <v>-0.61727628999999962</v>
      </c>
      <c r="AH44" s="1">
        <f>[1]Results!AK1404</f>
        <v>-0.74497445000000007</v>
      </c>
      <c r="AI44" s="1">
        <f>[1]Results!AL1404</f>
        <v>-0.90785754000000007</v>
      </c>
      <c r="AJ44" s="1">
        <f>[1]Results!AM1404</f>
        <v>-1.1093954179999999</v>
      </c>
      <c r="AK44" s="1">
        <f>[1]Results!AN1404</f>
        <v>-1.3533000637999999</v>
      </c>
      <c r="AL44" s="1">
        <f>[1]Results!AO1404</f>
        <v>-1.6438860360000001</v>
      </c>
    </row>
    <row r="45" spans="1:3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-4.5425347511285352E-10</v>
      </c>
      <c r="D45" s="1">
        <f>[1]Results!G1405</f>
        <v>1.5277783378675469E-9</v>
      </c>
      <c r="E45" s="1">
        <f>[1]Results!H1405</f>
        <v>3.705614244273181E-9</v>
      </c>
      <c r="F45" s="1">
        <f>[1]Results!I1405</f>
        <v>6.3964429239393716E-9</v>
      </c>
      <c r="G45" s="1">
        <f>[1]Results!J1405</f>
        <v>6.177247255378937E-9</v>
      </c>
      <c r="H45" s="1">
        <f>[1]Results!K1405</f>
        <v>5.2366697783634564E-9</v>
      </c>
      <c r="I45" s="1">
        <f>[1]Results!L1405</f>
        <v>5.290926724521583E-9</v>
      </c>
      <c r="J45" s="1">
        <f>[1]Results!M1405</f>
        <v>-0.14458754993870865</v>
      </c>
      <c r="K45" s="1">
        <f>[1]Results!N1405</f>
        <v>-0.21264982727664111</v>
      </c>
      <c r="L45" s="1">
        <f>[1]Results!O1405</f>
        <v>-2.0577471119586493E-2</v>
      </c>
      <c r="M45" s="1">
        <f>[1]Results!P1405</f>
        <v>0.1073480035090571</v>
      </c>
      <c r="N45" s="1">
        <f>[1]Results!Q1405</f>
        <v>0.16102024914720695</v>
      </c>
      <c r="O45" s="1">
        <f>[1]Results!R1405</f>
        <v>0.16752458955973937</v>
      </c>
      <c r="P45" s="1">
        <f>[1]Results!S1405</f>
        <v>0.14932864533756807</v>
      </c>
      <c r="Q45" s="1">
        <f>[1]Results!T1405</f>
        <v>0.13509332001232152</v>
      </c>
      <c r="R45" s="1">
        <f>[1]Results!U1405</f>
        <v>0.12786382115970302</v>
      </c>
      <c r="S45" s="1">
        <f>[1]Results!V1405</f>
        <v>0.10233000535629228</v>
      </c>
      <c r="T45" s="1">
        <f>[1]Results!W1405</f>
        <v>7.6489346143043813E-2</v>
      </c>
      <c r="U45" s="1">
        <f>[1]Results!X1405</f>
        <v>5.3081383510758529E-2</v>
      </c>
      <c r="V45" s="1">
        <f>[1]Results!Y1405</f>
        <v>2.8235641591550092E-2</v>
      </c>
      <c r="W45" s="1">
        <f>[1]Results!Z1405</f>
        <v>-1.6274011049928483E-3</v>
      </c>
      <c r="X45" s="1">
        <f>[1]Results!AA1405</f>
        <v>-3.895238274737936E-2</v>
      </c>
      <c r="Y45" s="1">
        <f>[1]Results!AB1405</f>
        <v>-8.3536915486639995E-2</v>
      </c>
      <c r="Z45" s="1">
        <f>[1]Results!AC1405</f>
        <v>-0.13266702829456828</v>
      </c>
      <c r="AA45" s="1">
        <f>[1]Results!AD1405</f>
        <v>-0.18636296132072475</v>
      </c>
      <c r="AB45" s="1">
        <f>[1]Results!AE1405</f>
        <v>-0.24693181093224242</v>
      </c>
      <c r="AC45" s="1">
        <f>[1]Results!AF1405</f>
        <v>-0.31746972140139562</v>
      </c>
      <c r="AD45" s="1">
        <f>[1]Results!AG1405</f>
        <v>-0.3984543938754449</v>
      </c>
      <c r="AE45" s="1">
        <f>[1]Results!AH1405</f>
        <v>-0.47999203088118436</v>
      </c>
      <c r="AF45" s="1">
        <f>[1]Results!AI1405</f>
        <v>-0.5614750102852083</v>
      </c>
      <c r="AG45" s="1">
        <f>[1]Results!AJ1405</f>
        <v>-0.64344325589257012</v>
      </c>
      <c r="AH45" s="1">
        <f>[1]Results!AK1405</f>
        <v>-0.72923293414836954</v>
      </c>
      <c r="AI45" s="1">
        <f>[1]Results!AL1405</f>
        <v>-0.81989822940629409</v>
      </c>
      <c r="AJ45" s="1">
        <f>[1]Results!AM1405</f>
        <v>-0.91309144148297228</v>
      </c>
      <c r="AK45" s="1">
        <f>[1]Results!AN1405</f>
        <v>-1.0108174979761846</v>
      </c>
      <c r="AL45" s="1">
        <f>[1]Results!AO1405</f>
        <v>-1.1164506106369099</v>
      </c>
    </row>
    <row r="46" spans="1:3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1.8170137269790665E-9</v>
      </c>
      <c r="D46" s="1">
        <f>[1]Results!G1406</f>
        <v>0</v>
      </c>
      <c r="E46" s="1">
        <f>[1]Results!H1406</f>
        <v>-2.2134689914299344E-9</v>
      </c>
      <c r="F46" s="1">
        <f>[1]Results!I1406</f>
        <v>-3.5979991555579183E-9</v>
      </c>
      <c r="G46" s="1">
        <f>[1]Results!J1406</f>
        <v>-5.6408813384201117E-9</v>
      </c>
      <c r="H46" s="1">
        <f>[1]Results!K1406</f>
        <v>-6.936526873724258E-9</v>
      </c>
      <c r="I46" s="1">
        <f>[1]Results!L1406</f>
        <v>-6.934822854853806E-9</v>
      </c>
      <c r="J46" s="1">
        <f>[1]Results!M1406</f>
        <v>-5.4183684650658398E-2</v>
      </c>
      <c r="K46" s="1">
        <f>[1]Results!N1406</f>
        <v>-0.1183829254141882</v>
      </c>
      <c r="L46" s="1">
        <f>[1]Results!O1406</f>
        <v>-0.19115592971082565</v>
      </c>
      <c r="M46" s="1">
        <f>[1]Results!P1406</f>
        <v>-0.26299818694435501</v>
      </c>
      <c r="N46" s="1">
        <f>[1]Results!Q1406</f>
        <v>-0.32375303207949174</v>
      </c>
      <c r="O46" s="1">
        <f>[1]Results!R1406</f>
        <v>-0.37794062139374573</v>
      </c>
      <c r="P46" s="1">
        <f>[1]Results!S1406</f>
        <v>-0.42729598391981394</v>
      </c>
      <c r="Q46" s="1">
        <f>[1]Results!T1406</f>
        <v>-0.47369150163130858</v>
      </c>
      <c r="R46" s="1">
        <f>[1]Results!U1406</f>
        <v>-0.51818579798518527</v>
      </c>
      <c r="S46" s="1">
        <f>[1]Results!V1406</f>
        <v>-0.54700474833643919</v>
      </c>
      <c r="T46" s="1">
        <f>[1]Results!W1406</f>
        <v>-0.57824049231352848</v>
      </c>
      <c r="U46" s="1">
        <f>[1]Results!X1406</f>
        <v>-0.61067621484043388</v>
      </c>
      <c r="V46" s="1">
        <f>[1]Results!Y1406</f>
        <v>-0.64319047811421715</v>
      </c>
      <c r="W46" s="1">
        <f>[1]Results!Z1406</f>
        <v>-0.67508862518857471</v>
      </c>
      <c r="X46" s="1">
        <f>[1]Results!AA1406</f>
        <v>-0.70535479659231703</v>
      </c>
      <c r="Y46" s="1">
        <f>[1]Results!AB1406</f>
        <v>-0.73374751114095271</v>
      </c>
      <c r="Z46" s="1">
        <f>[1]Results!AC1406</f>
        <v>-0.76014026675902868</v>
      </c>
      <c r="AA46" s="1">
        <f>[1]Results!AD1406</f>
        <v>-0.78438352726566274</v>
      </c>
      <c r="AB46" s="1">
        <f>[1]Results!AE1406</f>
        <v>-0.80668188445902278</v>
      </c>
      <c r="AC46" s="1">
        <f>[1]Results!AF1406</f>
        <v>-0.82706942994555011</v>
      </c>
      <c r="AD46" s="1">
        <f>[1]Results!AG1406</f>
        <v>-0.84407244863373043</v>
      </c>
      <c r="AE46" s="1">
        <f>[1]Results!AH1406</f>
        <v>-0.85793934852499421</v>
      </c>
      <c r="AF46" s="1">
        <f>[1]Results!AI1406</f>
        <v>-0.86836013080213836</v>
      </c>
      <c r="AG46" s="1">
        <f>[1]Results!AJ1406</f>
        <v>-0.87511257994183134</v>
      </c>
      <c r="AH46" s="1">
        <f>[1]Results!AK1406</f>
        <v>-0.87784110817341954</v>
      </c>
      <c r="AI46" s="1">
        <f>[1]Results!AL1406</f>
        <v>-0.87629166351572108</v>
      </c>
      <c r="AJ46" s="1">
        <f>[1]Results!AM1406</f>
        <v>-0.87042781337067432</v>
      </c>
      <c r="AK46" s="1">
        <f>[1]Results!AN1406</f>
        <v>-0.85993414808690916</v>
      </c>
      <c r="AL46" s="1">
        <f>[1]Results!AO1406</f>
        <v>-0.84423294271203519</v>
      </c>
    </row>
    <row r="47" spans="1:3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1.362760251866213E-9</v>
      </c>
      <c r="D47" s="1">
        <f>[1]Results!G1407</f>
        <v>8.7301615589452375E-10</v>
      </c>
      <c r="E47" s="1">
        <f>[1]Results!H1407</f>
        <v>-1.0238052593203317E-9</v>
      </c>
      <c r="F47" s="1">
        <f>[1]Results!I1407</f>
        <v>-2.8424193174950846E-9</v>
      </c>
      <c r="G47" s="1">
        <f>[1]Results!J1407</f>
        <v>-5.9509031383186972E-9</v>
      </c>
      <c r="H47" s="1">
        <f>[1]Results!K1407</f>
        <v>-8.6347835132061235E-9</v>
      </c>
      <c r="I47" s="1">
        <f>[1]Results!L1407</f>
        <v>-1.1565545396385879E-8</v>
      </c>
      <c r="J47" s="1">
        <f>[1]Results!M1407</f>
        <v>0.15081163574244377</v>
      </c>
      <c r="K47" s="1">
        <f>[1]Results!N1407</f>
        <v>0.24070380305672781</v>
      </c>
      <c r="L47" s="1">
        <f>[1]Results!O1407</f>
        <v>0.19173424294680538</v>
      </c>
      <c r="M47" s="1">
        <f>[1]Results!P1407</f>
        <v>6.2823048806116139E-2</v>
      </c>
      <c r="N47" s="1">
        <f>[1]Results!Q1407</f>
        <v>-0.12334952320336295</v>
      </c>
      <c r="O47" s="1">
        <f>[1]Results!R1407</f>
        <v>-0.30134653919472454</v>
      </c>
      <c r="P47" s="1">
        <f>[1]Results!S1407</f>
        <v>-0.45488630897692961</v>
      </c>
      <c r="Q47" s="1">
        <f>[1]Results!T1407</f>
        <v>-0.58654884490532899</v>
      </c>
      <c r="R47" s="1">
        <f>[1]Results!U1407</f>
        <v>-0.70079908316194595</v>
      </c>
      <c r="S47" s="1">
        <f>[1]Results!V1407</f>
        <v>-0.78021984876531358</v>
      </c>
      <c r="T47" s="1">
        <f>[1]Results!W1407</f>
        <v>-0.84271936327825692</v>
      </c>
      <c r="U47" s="1">
        <f>[1]Results!X1407</f>
        <v>-0.89197815797076585</v>
      </c>
      <c r="V47" s="1">
        <f>[1]Results!Y1407</f>
        <v>-0.92870005070082584</v>
      </c>
      <c r="W47" s="1">
        <f>[1]Results!Z1407</f>
        <v>-0.9520958632269837</v>
      </c>
      <c r="X47" s="1">
        <f>[1]Results!AA1407</f>
        <v>-0.96320118697581569</v>
      </c>
      <c r="Y47" s="1">
        <f>[1]Results!AB1407</f>
        <v>-0.96213099192872864</v>
      </c>
      <c r="Z47" s="1">
        <f>[1]Results!AC1407</f>
        <v>-0.95141714877081673</v>
      </c>
      <c r="AA47" s="1">
        <f>[1]Results!AD1407</f>
        <v>-0.93348984334410201</v>
      </c>
      <c r="AB47" s="1">
        <f>[1]Results!AE1407</f>
        <v>-0.90824790950562384</v>
      </c>
      <c r="AC47" s="1">
        <f>[1]Results!AF1407</f>
        <v>-0.8800145877064971</v>
      </c>
      <c r="AD47" s="1">
        <f>[1]Results!AG1407</f>
        <v>-0.84923814371848239</v>
      </c>
      <c r="AE47" s="1">
        <f>[1]Results!AH1407</f>
        <v>-0.82108739453881918</v>
      </c>
      <c r="AF47" s="1">
        <f>[1]Results!AI1407</f>
        <v>-0.79951175685760711</v>
      </c>
      <c r="AG47" s="1">
        <f>[1]Results!AJ1407</f>
        <v>-0.78723989448685472</v>
      </c>
      <c r="AH47" s="1">
        <f>[1]Results!AK1407</f>
        <v>-0.785778981527957</v>
      </c>
      <c r="AI47" s="1">
        <f>[1]Results!AL1407</f>
        <v>-0.79712986814265285</v>
      </c>
      <c r="AJ47" s="1">
        <f>[1]Results!AM1407</f>
        <v>-0.82485416884040674</v>
      </c>
      <c r="AK47" s="1">
        <f>[1]Results!AN1407</f>
        <v>-0.87244970723433235</v>
      </c>
      <c r="AL47" s="1">
        <f>[1]Results!AO1407</f>
        <v>-0.94326963667754482</v>
      </c>
    </row>
    <row r="48" spans="1:3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1.8170135535067189E-9</v>
      </c>
      <c r="D48" s="1">
        <f>[1]Results!G1408</f>
        <v>8.2936536111022363E-9</v>
      </c>
      <c r="E48" s="1">
        <f>[1]Results!H1408</f>
        <v>7.3069401224090669E-9</v>
      </c>
      <c r="F48" s="1">
        <f>[1]Results!I1408</f>
        <v>7.995553871764649E-9</v>
      </c>
      <c r="G48" s="1">
        <f>[1]Results!J1408</f>
        <v>6.0046858110784918E-9</v>
      </c>
      <c r="H48" s="1">
        <f>[1]Results!K1408</f>
        <v>5.6663814265722756E-10</v>
      </c>
      <c r="I48" s="1">
        <f>[1]Results!L1408</f>
        <v>-3.5069466102800873E-9</v>
      </c>
      <c r="J48" s="1">
        <f>[1]Results!M1408</f>
        <v>0.14234069288992435</v>
      </c>
      <c r="K48" s="1">
        <f>[1]Results!N1408</f>
        <v>0.55309614433996845</v>
      </c>
      <c r="L48" s="1">
        <f>[1]Results!O1408</f>
        <v>0.58744117925255235</v>
      </c>
      <c r="M48" s="1">
        <f>[1]Results!P1408</f>
        <v>0.50780814002587615</v>
      </c>
      <c r="N48" s="1">
        <f>[1]Results!Q1408</f>
        <v>0.35215654177055344</v>
      </c>
      <c r="O48" s="1">
        <f>[1]Results!R1408</f>
        <v>0.11238243775892401</v>
      </c>
      <c r="P48" s="1">
        <f>[1]Results!S1408</f>
        <v>-0.11407750279164436</v>
      </c>
      <c r="Q48" s="1">
        <f>[1]Results!T1408</f>
        <v>-0.32161025017074379</v>
      </c>
      <c r="R48" s="1">
        <f>[1]Results!U1408</f>
        <v>-0.51092905929183419</v>
      </c>
      <c r="S48" s="1">
        <f>[1]Results!V1408</f>
        <v>-0.66260410885282328</v>
      </c>
      <c r="T48" s="1">
        <f>[1]Results!W1408</f>
        <v>-0.77645148406346043</v>
      </c>
      <c r="U48" s="1">
        <f>[1]Results!X1408</f>
        <v>-0.87578782998916149</v>
      </c>
      <c r="V48" s="1">
        <f>[1]Results!Y1408</f>
        <v>-0.96101651469999161</v>
      </c>
      <c r="W48" s="1">
        <f>[1]Results!Z1408</f>
        <v>-1.0289652696723828</v>
      </c>
      <c r="X48" s="1">
        <f>[1]Results!AA1408</f>
        <v>-1.0788368744767149</v>
      </c>
      <c r="Y48" s="1">
        <f>[1]Results!AB1408</f>
        <v>-1.1092816141472825</v>
      </c>
      <c r="Z48" s="1">
        <f>[1]Results!AC1408</f>
        <v>-1.122683767868158</v>
      </c>
      <c r="AA48" s="1">
        <f>[1]Results!AD1408</f>
        <v>-1.1211528774670174</v>
      </c>
      <c r="AB48" s="1">
        <f>[1]Results!AE1408</f>
        <v>-1.1047480678498971</v>
      </c>
      <c r="AC48" s="1">
        <f>[1]Results!AF1408</f>
        <v>-1.0781463661807711</v>
      </c>
      <c r="AD48" s="1">
        <f>[1]Results!AG1408</f>
        <v>-1.0449726853594883</v>
      </c>
      <c r="AE48" s="1">
        <f>[1]Results!AH1408</f>
        <v>-1.0136709720874229</v>
      </c>
      <c r="AF48" s="1">
        <f>[1]Results!AI1408</f>
        <v>-0.98613458723415537</v>
      </c>
      <c r="AG48" s="1">
        <f>[1]Results!AJ1408</f>
        <v>-0.96425695294592717</v>
      </c>
      <c r="AH48" s="1">
        <f>[1]Results!AK1408</f>
        <v>-0.94970745257588329</v>
      </c>
      <c r="AI48" s="1">
        <f>[1]Results!AL1408</f>
        <v>-0.94765279161711646</v>
      </c>
      <c r="AJ48" s="1">
        <f>[1]Results!AM1408</f>
        <v>-0.96481349266794725</v>
      </c>
      <c r="AK48" s="1">
        <f>[1]Results!AN1408</f>
        <v>-1.0037191931356091</v>
      </c>
      <c r="AL48" s="1">
        <f>[1]Results!AO1408</f>
        <v>-1.0679186182071088</v>
      </c>
    </row>
    <row r="49" spans="1:3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-4.0799363887344953E-8</v>
      </c>
      <c r="F49" s="1">
        <f>[1]Results!I1409</f>
        <v>0</v>
      </c>
      <c r="G49" s="1">
        <f>[1]Results!J1409</f>
        <v>-4.2371861574963532E-8</v>
      </c>
      <c r="H49" s="1">
        <f>[1]Results!K1409</f>
        <v>-7.3853023696557329E-8</v>
      </c>
      <c r="I49" s="1">
        <f>[1]Results!L1409</f>
        <v>-3.5552805144334343E-8</v>
      </c>
      <c r="J49" s="1">
        <f>[1]Results!M1409</f>
        <v>-0.22095639015670132</v>
      </c>
      <c r="K49" s="1">
        <f>[1]Results!N1409</f>
        <v>-7.6098786261136198E-3</v>
      </c>
      <c r="L49" s="1">
        <f>[1]Results!O1409</f>
        <v>-9.9636891456467147E-2</v>
      </c>
      <c r="M49" s="1">
        <f>[1]Results!P1409</f>
        <v>-0.33065484032096526</v>
      </c>
      <c r="N49" s="1">
        <f>[1]Results!Q1409</f>
        <v>-0.59234694115843922</v>
      </c>
      <c r="O49" s="1">
        <f>[1]Results!R1409</f>
        <v>-1.000952252175874</v>
      </c>
      <c r="P49" s="1">
        <f>[1]Results!S1409</f>
        <v>-1.5350062607905279</v>
      </c>
      <c r="Q49" s="1">
        <f>[1]Results!T1409</f>
        <v>-2.1798618731424133</v>
      </c>
      <c r="R49" s="1">
        <f>[1]Results!U1409</f>
        <v>-2.9159730302459996</v>
      </c>
      <c r="S49" s="1">
        <f>[1]Results!V1409</f>
        <v>-3.7244802963348618</v>
      </c>
      <c r="T49" s="1">
        <f>[1]Results!W1409</f>
        <v>-4.562147834691527</v>
      </c>
      <c r="U49" s="1">
        <f>[1]Results!X1409</f>
        <v>-5.4178810115437068</v>
      </c>
      <c r="V49" s="1">
        <f>[1]Results!Y1409</f>
        <v>-6.2834316896212803</v>
      </c>
      <c r="W49" s="1">
        <f>[1]Results!Z1409</f>
        <v>-7.1507893566788647</v>
      </c>
      <c r="X49" s="1">
        <f>[1]Results!AA1409</f>
        <v>-8.005416073039525</v>
      </c>
      <c r="Y49" s="1">
        <f>[1]Results!AB1409</f>
        <v>-8.8359257205961459</v>
      </c>
      <c r="Z49" s="1">
        <f>[1]Results!AC1409</f>
        <v>-9.6316033431778614</v>
      </c>
      <c r="AA49" s="1">
        <f>[1]Results!AD1409</f>
        <v>-10.384184194116392</v>
      </c>
      <c r="AB49" s="1">
        <f>[1]Results!AE1409</f>
        <v>-11.094239750583689</v>
      </c>
      <c r="AC49" s="1">
        <f>[1]Results!AF1409</f>
        <v>-11.74238237402227</v>
      </c>
      <c r="AD49" s="1">
        <f>[1]Results!AG1409</f>
        <v>-12.323449556342897</v>
      </c>
      <c r="AE49" s="1">
        <f>[1]Results!AH1409</f>
        <v>-12.837403675505033</v>
      </c>
      <c r="AF49" s="1">
        <f>[1]Results!AI1409</f>
        <v>-13.289570869781375</v>
      </c>
      <c r="AG49" s="1">
        <f>[1]Results!AJ1409</f>
        <v>-13.688127137140549</v>
      </c>
      <c r="AH49" s="1">
        <f>[1]Results!AK1409</f>
        <v>-14.040173666519406</v>
      </c>
      <c r="AI49" s="1">
        <f>[1]Results!AL1409</f>
        <v>-14.353345164146358</v>
      </c>
      <c r="AJ49" s="1">
        <f>[1]Results!AM1409</f>
        <v>-14.6404922437968</v>
      </c>
      <c r="AK49" s="1">
        <f>[1]Results!AN1409</f>
        <v>-14.916405065980854</v>
      </c>
      <c r="AL49" s="1">
        <f>[1]Results!AO1409</f>
        <v>-15.196895883739959</v>
      </c>
    </row>
    <row r="50" spans="1:3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2197953.023</v>
      </c>
      <c r="D50" s="1">
        <f>[1]Results!G1410</f>
        <v>2239237.62</v>
      </c>
      <c r="E50" s="1">
        <f>[1]Results!H1410</f>
        <v>2285532.89</v>
      </c>
      <c r="F50" s="1">
        <f>[1]Results!I1410</f>
        <v>2336281.2510000002</v>
      </c>
      <c r="G50" s="1">
        <f>[1]Results!J1410</f>
        <v>2390498.4950000001</v>
      </c>
      <c r="H50" s="1">
        <f>[1]Results!K1410</f>
        <v>2447818.3229999999</v>
      </c>
      <c r="I50" s="1">
        <f>[1]Results!L1410</f>
        <v>2506177.5460000001</v>
      </c>
      <c r="J50" s="1">
        <f>[1]Results!M1410</f>
        <v>2560034.4559999998</v>
      </c>
      <c r="K50" s="1">
        <f>[1]Results!N1410</f>
        <v>2614797.8650000002</v>
      </c>
      <c r="L50" s="1">
        <f>[1]Results!O1410</f>
        <v>2680355.7259999998</v>
      </c>
      <c r="M50" s="1">
        <f>[1]Results!P1410</f>
        <v>2747783.3769999999</v>
      </c>
      <c r="N50" s="1">
        <f>[1]Results!Q1410</f>
        <v>2807674.6150000002</v>
      </c>
      <c r="O50" s="1">
        <f>[1]Results!R1410</f>
        <v>2862305.8139999998</v>
      </c>
      <c r="P50" s="1">
        <f>[1]Results!S1410</f>
        <v>2912875.983</v>
      </c>
      <c r="Q50" s="1">
        <f>[1]Results!T1410</f>
        <v>2961134.55</v>
      </c>
      <c r="R50" s="1">
        <f>[1]Results!U1410</f>
        <v>3008233.5929999999</v>
      </c>
      <c r="S50" s="1">
        <f>[1]Results!V1410</f>
        <v>3055135.3429999999</v>
      </c>
      <c r="T50" s="1">
        <f>[1]Results!W1410</f>
        <v>3103322.7710000002</v>
      </c>
      <c r="U50" s="1">
        <f>[1]Results!X1410</f>
        <v>3153816.2519999999</v>
      </c>
      <c r="V50" s="1">
        <f>[1]Results!Y1410</f>
        <v>3207334.003</v>
      </c>
      <c r="W50" s="1">
        <f>[1]Results!Z1410</f>
        <v>3263286.7719999999</v>
      </c>
      <c r="X50" s="1">
        <f>[1]Results!AA1410</f>
        <v>3324292.048</v>
      </c>
      <c r="Y50" s="1">
        <f>[1]Results!AB1410</f>
        <v>3390329.6469999999</v>
      </c>
      <c r="Z50" s="1">
        <f>[1]Results!AC1410</f>
        <v>3461867.6239999998</v>
      </c>
      <c r="AA50" s="1">
        <f>[1]Results!AD1410</f>
        <v>3539069.1979999999</v>
      </c>
      <c r="AB50" s="1">
        <f>[1]Results!AE1410</f>
        <v>3618424.1949999998</v>
      </c>
      <c r="AC50" s="1">
        <f>[1]Results!AF1410</f>
        <v>3704493.7459999998</v>
      </c>
      <c r="AD50" s="1">
        <f>[1]Results!AG1410</f>
        <v>3796694.5989999999</v>
      </c>
      <c r="AE50" s="1">
        <f>[1]Results!AH1410</f>
        <v>3895372.3420000002</v>
      </c>
      <c r="AF50" s="1">
        <f>[1]Results!AI1410</f>
        <v>4000248.736</v>
      </c>
      <c r="AG50" s="1">
        <f>[1]Results!AJ1410</f>
        <v>4110687.247</v>
      </c>
      <c r="AH50" s="1">
        <f>[1]Results!AK1410</f>
        <v>4226060.7</v>
      </c>
      <c r="AI50" s="1">
        <f>[1]Results!AL1410</f>
        <v>4345826.4510000004</v>
      </c>
      <c r="AJ50" s="1">
        <f>[1]Results!AM1410</f>
        <v>4469458.7359999996</v>
      </c>
      <c r="AK50" s="1">
        <f>[1]Results!AN1410</f>
        <v>4596424.8509999998</v>
      </c>
      <c r="AL50" s="1">
        <f>[1]Results!AO1410</f>
        <v>4726154.3150000004</v>
      </c>
    </row>
    <row r="51" spans="1:3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3.6392977520449676E-8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-3.3242086860951758E-8</v>
      </c>
      <c r="S51" s="1">
        <f>[1]Results!V1411</f>
        <v>-3.2731761745452559E-8</v>
      </c>
      <c r="T51" s="1">
        <f>[1]Results!W1411</f>
        <v>-3.2223534951469901E-8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-2.6338686787141796E-8</v>
      </c>
      <c r="AE51" s="1">
        <f>[1]Results!AH1411</f>
        <v>-2.5671487158263062E-8</v>
      </c>
      <c r="AF51" s="1">
        <f>[1]Results!AI1411</f>
        <v>-2.49984477562748E-8</v>
      </c>
      <c r="AG51" s="1">
        <f>[1]Results!AJ1411</f>
        <v>0</v>
      </c>
      <c r="AH51" s="1">
        <f>[1]Results!AK1411</f>
        <v>0</v>
      </c>
      <c r="AI51" s="1">
        <f>[1]Results!AL1411</f>
        <v>2.3010571226222964E-8</v>
      </c>
      <c r="AJ51" s="1">
        <f>[1]Results!AM1411</f>
        <v>2.2374080366205362E-8</v>
      </c>
      <c r="AK51" s="1">
        <f>[1]Results!AN1411</f>
        <v>0</v>
      </c>
      <c r="AL51" s="1">
        <f>[1]Results!AO1411</f>
        <v>2.1158830243450666E-8</v>
      </c>
    </row>
    <row r="52" spans="1:3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1178854.173</v>
      </c>
      <c r="D52" s="1">
        <f>[1]Results!G1412</f>
        <v>1219274.3770000001</v>
      </c>
      <c r="E52" s="1">
        <f>[1]Results!H1412</f>
        <v>1258347.952</v>
      </c>
      <c r="F52" s="1">
        <f>[1]Results!I1412</f>
        <v>1300071.439</v>
      </c>
      <c r="G52" s="1">
        <f>[1]Results!J1412</f>
        <v>1343834.0220000001</v>
      </c>
      <c r="H52" s="1">
        <f>[1]Results!K1412</f>
        <v>1386708.5390000001</v>
      </c>
      <c r="I52" s="1">
        <f>[1]Results!L1412</f>
        <v>1430498.07</v>
      </c>
      <c r="J52" s="1">
        <f>[1]Results!M1412</f>
        <v>1484297.53</v>
      </c>
      <c r="K52" s="1">
        <f>[1]Results!N1412</f>
        <v>1551624.2509999999</v>
      </c>
      <c r="L52" s="1">
        <f>[1]Results!O1412</f>
        <v>1616062.5360000001</v>
      </c>
      <c r="M52" s="1">
        <f>[1]Results!P1412</f>
        <v>1686012.469</v>
      </c>
      <c r="N52" s="1">
        <f>[1]Results!Q1412</f>
        <v>1753257.1170000001</v>
      </c>
      <c r="O52" s="1">
        <f>[1]Results!R1412</f>
        <v>1816777.6170000001</v>
      </c>
      <c r="P52" s="1">
        <f>[1]Results!S1412</f>
        <v>1878308.9990000001</v>
      </c>
      <c r="Q52" s="1">
        <f>[1]Results!T1412</f>
        <v>1937543.5279999999</v>
      </c>
      <c r="R52" s="1">
        <f>[1]Results!U1412</f>
        <v>1994351.7709999999</v>
      </c>
      <c r="S52" s="1">
        <f>[1]Results!V1412</f>
        <v>2049224.2120000001</v>
      </c>
      <c r="T52" s="1">
        <f>[1]Results!W1412</f>
        <v>2102144.8420000002</v>
      </c>
      <c r="U52" s="1">
        <f>[1]Results!X1412</f>
        <v>2152579.0559999999</v>
      </c>
      <c r="V52" s="1">
        <f>[1]Results!Y1412</f>
        <v>2200718.514</v>
      </c>
      <c r="W52" s="1">
        <f>[1]Results!Z1412</f>
        <v>2244073.4470000002</v>
      </c>
      <c r="X52" s="1">
        <f>[1]Results!AA1412</f>
        <v>2288414.4219999998</v>
      </c>
      <c r="Y52" s="1">
        <f>[1]Results!AB1412</f>
        <v>2331167.7510000002</v>
      </c>
      <c r="Z52" s="1">
        <f>[1]Results!AC1412</f>
        <v>2372433.9980000001</v>
      </c>
      <c r="AA52" s="1">
        <f>[1]Results!AD1412</f>
        <v>2412432.6809999999</v>
      </c>
      <c r="AB52" s="1">
        <f>[1]Results!AE1412</f>
        <v>2442841.6239999998</v>
      </c>
      <c r="AC52" s="1">
        <f>[1]Results!AF1412</f>
        <v>2477135.3139999998</v>
      </c>
      <c r="AD52" s="1">
        <f>[1]Results!AG1412</f>
        <v>2510761.2710000002</v>
      </c>
      <c r="AE52" s="1">
        <f>[1]Results!AH1412</f>
        <v>2543281.8489999999</v>
      </c>
      <c r="AF52" s="1">
        <f>[1]Results!AI1412</f>
        <v>2574419.929</v>
      </c>
      <c r="AG52" s="1">
        <f>[1]Results!AJ1412</f>
        <v>2603899.395</v>
      </c>
      <c r="AH52" s="1">
        <f>[1]Results!AK1412</f>
        <v>2631424.8829999999</v>
      </c>
      <c r="AI52" s="1">
        <f>[1]Results!AL1412</f>
        <v>2656380.503</v>
      </c>
      <c r="AJ52" s="1">
        <f>[1]Results!AM1412</f>
        <v>2677830.4369999999</v>
      </c>
      <c r="AK52" s="1">
        <f>[1]Results!AN1412</f>
        <v>2695136.469</v>
      </c>
      <c r="AL52" s="1">
        <f>[1]Results!AO1412</f>
        <v>2707561.3110000002</v>
      </c>
    </row>
    <row r="53" spans="1:3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1011152.647</v>
      </c>
      <c r="D53" s="1">
        <f>[1]Results!G1413</f>
        <v>1048701.716</v>
      </c>
      <c r="E53" s="1">
        <f>[1]Results!H1413</f>
        <v>1091835.375</v>
      </c>
      <c r="F53" s="1">
        <f>[1]Results!I1413</f>
        <v>1140626.7150000001</v>
      </c>
      <c r="G53" s="1">
        <f>[1]Results!J1413</f>
        <v>1194178.183</v>
      </c>
      <c r="H53" s="1">
        <f>[1]Results!K1413</f>
        <v>1252286.885</v>
      </c>
      <c r="I53" s="1">
        <f>[1]Results!L1413</f>
        <v>1314942.818</v>
      </c>
      <c r="J53" s="1">
        <f>[1]Results!M1413</f>
        <v>1384992.324</v>
      </c>
      <c r="K53" s="1">
        <f>[1]Results!N1413</f>
        <v>1462270.2579999999</v>
      </c>
      <c r="L53" s="1">
        <f>[1]Results!O1413</f>
        <v>1551503.4650000001</v>
      </c>
      <c r="M53" s="1">
        <f>[1]Results!P1413</f>
        <v>1652114.835</v>
      </c>
      <c r="N53" s="1">
        <f>[1]Results!Q1413</f>
        <v>1756723.5970000001</v>
      </c>
      <c r="O53" s="1">
        <f>[1]Results!R1413</f>
        <v>1861719.122</v>
      </c>
      <c r="P53" s="1">
        <f>[1]Results!S1413</f>
        <v>1964330.956</v>
      </c>
      <c r="Q53" s="1">
        <f>[1]Results!T1413</f>
        <v>2063174.5160000001</v>
      </c>
      <c r="R53" s="1">
        <f>[1]Results!U1413</f>
        <v>2157630.6430000002</v>
      </c>
      <c r="S53" s="1">
        <f>[1]Results!V1413</f>
        <v>2247649.4559999998</v>
      </c>
      <c r="T53" s="1">
        <f>[1]Results!W1413</f>
        <v>2334053.0419999999</v>
      </c>
      <c r="U53" s="1">
        <f>[1]Results!X1413</f>
        <v>2417606.8840000001</v>
      </c>
      <c r="V53" s="1">
        <f>[1]Results!Y1413</f>
        <v>2499182.44</v>
      </c>
      <c r="W53" s="1">
        <f>[1]Results!Z1413</f>
        <v>2578910.665</v>
      </c>
      <c r="X53" s="1">
        <f>[1]Results!AA1413</f>
        <v>2659374.139</v>
      </c>
      <c r="Y53" s="1">
        <f>[1]Results!AB1413</f>
        <v>2741701.8739999998</v>
      </c>
      <c r="Z53" s="1">
        <f>[1]Results!AC1413</f>
        <v>2827422.3969999999</v>
      </c>
      <c r="AA53" s="1">
        <f>[1]Results!AD1413</f>
        <v>2917989.088</v>
      </c>
      <c r="AB53" s="1">
        <f>[1]Results!AE1413</f>
        <v>3012092.787</v>
      </c>
      <c r="AC53" s="1">
        <f>[1]Results!AF1413</f>
        <v>3114455.9240000001</v>
      </c>
      <c r="AD53" s="1">
        <f>[1]Results!AG1413</f>
        <v>3226826.0010000002</v>
      </c>
      <c r="AE53" s="1">
        <f>[1]Results!AH1413</f>
        <v>3351472.1030000001</v>
      </c>
      <c r="AF53" s="1">
        <f>[1]Results!AI1413</f>
        <v>3490047.5580000002</v>
      </c>
      <c r="AG53" s="1">
        <f>[1]Results!AJ1413</f>
        <v>3643558.9789999998</v>
      </c>
      <c r="AH53" s="1">
        <f>[1]Results!AK1413</f>
        <v>3812718.9270000001</v>
      </c>
      <c r="AI53" s="1">
        <f>[1]Results!AL1413</f>
        <v>3998135.7390000001</v>
      </c>
      <c r="AJ53" s="1">
        <f>[1]Results!AM1413</f>
        <v>4200190.6490000002</v>
      </c>
      <c r="AK53" s="1">
        <f>[1]Results!AN1413</f>
        <v>4419065.7470000004</v>
      </c>
      <c r="AL53" s="1">
        <f>[1]Results!AO1413</f>
        <v>4654736.1459999997</v>
      </c>
    </row>
    <row r="54" spans="1:3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-65724.458450000006</v>
      </c>
      <c r="D54" s="1">
        <f>[1]Results!G1414</f>
        <v>-65309.370430000003</v>
      </c>
      <c r="E54" s="1">
        <f>[1]Results!H1414</f>
        <v>-57983.81768</v>
      </c>
      <c r="F54" s="1">
        <f>[1]Results!I1414</f>
        <v>-48016.774440000001</v>
      </c>
      <c r="G54" s="1">
        <f>[1]Results!J1414</f>
        <v>-35827.05042</v>
      </c>
      <c r="H54" s="1">
        <f>[1]Results!K1414</f>
        <v>-18801.512340000001</v>
      </c>
      <c r="I54" s="1">
        <f>[1]Results!L1414</f>
        <v>1004.965129</v>
      </c>
      <c r="J54" s="1">
        <f>[1]Results!M1414</f>
        <v>17204.763210000001</v>
      </c>
      <c r="K54" s="1">
        <f>[1]Results!N1414</f>
        <v>26295.737209999999</v>
      </c>
      <c r="L54" s="1">
        <f>[1]Results!O1414</f>
        <v>49775.872730000003</v>
      </c>
      <c r="M54" s="1">
        <f>[1]Results!P1414</f>
        <v>77948.516130000004</v>
      </c>
      <c r="N54" s="1">
        <f>[1]Results!Q1414</f>
        <v>111415.2037</v>
      </c>
      <c r="O54" s="1">
        <f>[1]Results!R1414</f>
        <v>147319.4693</v>
      </c>
      <c r="P54" s="1">
        <f>[1]Results!S1414</f>
        <v>181033.94839999999</v>
      </c>
      <c r="Q54" s="1">
        <f>[1]Results!T1414</f>
        <v>211591.2807</v>
      </c>
      <c r="R54" s="1">
        <f>[1]Results!U1414</f>
        <v>238659.60140000001</v>
      </c>
      <c r="S54" s="1">
        <f>[1]Results!V1414</f>
        <v>261872.99230000001</v>
      </c>
      <c r="T54" s="1">
        <f>[1]Results!W1414</f>
        <v>282262.29889999999</v>
      </c>
      <c r="U54" s="1">
        <f>[1]Results!X1414</f>
        <v>301268.81160000002</v>
      </c>
      <c r="V54" s="1">
        <f>[1]Results!Y1414</f>
        <v>319641.4693</v>
      </c>
      <c r="W54" s="1">
        <f>[1]Results!Z1414</f>
        <v>340032.68900000001</v>
      </c>
      <c r="X54" s="1">
        <f>[1]Results!AA1414</f>
        <v>359153.5528</v>
      </c>
      <c r="Y54" s="1">
        <f>[1]Results!AB1414</f>
        <v>380770.28159999999</v>
      </c>
      <c r="Z54" s="1">
        <f>[1]Results!AC1414</f>
        <v>406186.04239999998</v>
      </c>
      <c r="AA54" s="1">
        <f>[1]Results!AD1414</f>
        <v>436444.7499</v>
      </c>
      <c r="AB54" s="1">
        <f>[1]Results!AE1414</f>
        <v>478317.26819999999</v>
      </c>
      <c r="AC54" s="1">
        <f>[1]Results!AF1414</f>
        <v>522470.85029999999</v>
      </c>
      <c r="AD54" s="1">
        <f>[1]Results!AG1414</f>
        <v>575091.42790000001</v>
      </c>
      <c r="AE54" s="1">
        <f>[1]Results!AH1414</f>
        <v>638462.38150000002</v>
      </c>
      <c r="AF54" s="1">
        <f>[1]Results!AI1414</f>
        <v>713976.63769999996</v>
      </c>
      <c r="AG54" s="1">
        <f>[1]Results!AJ1414</f>
        <v>802309.76029999997</v>
      </c>
      <c r="AH54" s="1">
        <f>[1]Results!AK1414</f>
        <v>903828.73199999996</v>
      </c>
      <c r="AI54" s="1">
        <f>[1]Results!AL1414</f>
        <v>1019098.488</v>
      </c>
      <c r="AJ54" s="1">
        <f>[1]Results!AM1414</f>
        <v>1148748.5390000001</v>
      </c>
      <c r="AK54" s="1">
        <f>[1]Results!AN1414</f>
        <v>1292880.1780000001</v>
      </c>
      <c r="AL54" s="1">
        <f>[1]Results!AO1414</f>
        <v>1451481.726</v>
      </c>
    </row>
    <row r="55" spans="1:3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2105265.8119999999</v>
      </c>
      <c r="D55" s="1">
        <f>[1]Results!G1415</f>
        <v>2170575.182</v>
      </c>
      <c r="E55" s="1">
        <f>[1]Results!H1415</f>
        <v>2228559</v>
      </c>
      <c r="F55" s="1">
        <f>[1]Results!I1415</f>
        <v>2276575.7740000002</v>
      </c>
      <c r="G55" s="1">
        <f>[1]Results!J1415</f>
        <v>2312402.8250000002</v>
      </c>
      <c r="H55" s="1">
        <f>[1]Results!K1415</f>
        <v>2331204.3369999998</v>
      </c>
      <c r="I55" s="1">
        <f>[1]Results!L1415</f>
        <v>2330199.372</v>
      </c>
      <c r="J55" s="1">
        <f>[1]Results!M1415</f>
        <v>2312994.6090000002</v>
      </c>
      <c r="K55" s="1">
        <f>[1]Results!N1415</f>
        <v>2286698.872</v>
      </c>
      <c r="L55" s="1">
        <f>[1]Results!O1415</f>
        <v>2236922.9989999998</v>
      </c>
      <c r="M55" s="1">
        <f>[1]Results!P1415</f>
        <v>2158974.483</v>
      </c>
      <c r="N55" s="1">
        <f>[1]Results!Q1415</f>
        <v>2047559.2790000001</v>
      </c>
      <c r="O55" s="1">
        <f>[1]Results!R1415</f>
        <v>1900239.81</v>
      </c>
      <c r="P55" s="1">
        <f>[1]Results!S1415</f>
        <v>1719205.861</v>
      </c>
      <c r="Q55" s="1">
        <f>[1]Results!T1415</f>
        <v>1507614.581</v>
      </c>
      <c r="R55" s="1">
        <f>[1]Results!U1415</f>
        <v>1268954.9790000001</v>
      </c>
      <c r="S55" s="1">
        <f>[1]Results!V1415</f>
        <v>1007081.987</v>
      </c>
      <c r="T55" s="1">
        <f>[1]Results!W1415</f>
        <v>724819.68799999997</v>
      </c>
      <c r="U55" s="1">
        <f>[1]Results!X1415</f>
        <v>423550.87650000001</v>
      </c>
      <c r="V55" s="1">
        <f>[1]Results!Y1415</f>
        <v>103909.4071</v>
      </c>
      <c r="W55" s="1">
        <f>[1]Results!Z1415</f>
        <v>-236123.2819</v>
      </c>
      <c r="X55" s="1">
        <f>[1]Results!AA1415</f>
        <v>-595276.83459999994</v>
      </c>
      <c r="Y55" s="1">
        <f>[1]Results!AB1415</f>
        <v>-976047.11620000005</v>
      </c>
      <c r="Z55" s="1">
        <f>[1]Results!AC1415</f>
        <v>-1382233.159</v>
      </c>
      <c r="AA55" s="1">
        <f>[1]Results!AD1415</f>
        <v>-1818677.9080000001</v>
      </c>
      <c r="AB55" s="1">
        <f>[1]Results!AE1415</f>
        <v>-2296995.1770000001</v>
      </c>
      <c r="AC55" s="1">
        <f>[1]Results!AF1415</f>
        <v>-2819466.0269999998</v>
      </c>
      <c r="AD55" s="1">
        <f>[1]Results!AG1415</f>
        <v>-3394557.4550000001</v>
      </c>
      <c r="AE55" s="1">
        <f>[1]Results!AH1415</f>
        <v>-4033019.8360000001</v>
      </c>
      <c r="AF55" s="1">
        <f>[1]Results!AI1415</f>
        <v>-4746996.4740000004</v>
      </c>
      <c r="AG55" s="1">
        <f>[1]Results!AJ1415</f>
        <v>-5549306.2340000002</v>
      </c>
      <c r="AH55" s="1">
        <f>[1]Results!AK1415</f>
        <v>-6453134.966</v>
      </c>
      <c r="AI55" s="1">
        <f>[1]Results!AL1415</f>
        <v>-7472233.4539999999</v>
      </c>
      <c r="AJ55" s="1">
        <f>[1]Results!AM1415</f>
        <v>-8620981.9940000009</v>
      </c>
      <c r="AK55" s="1">
        <f>[1]Results!AN1415</f>
        <v>-9913862.1710000001</v>
      </c>
      <c r="AL55" s="1">
        <f>[1]Results!AO1415</f>
        <v>-11365343.9</v>
      </c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5">
      <c r="A58" s="13" t="s">
        <v>49</v>
      </c>
      <c r="B58" t="s">
        <v>4</v>
      </c>
      <c r="C58" s="1">
        <f>[1]Results!F1731</f>
        <v>1202789.014</v>
      </c>
      <c r="D58" s="1">
        <f>[1]Results!G1731</f>
        <v>1221919.855</v>
      </c>
      <c r="E58" s="1">
        <f>[1]Results!H1731</f>
        <v>1245840.5589999999</v>
      </c>
      <c r="F58" s="1">
        <f>[1]Results!I1731</f>
        <v>1273732.4820000001</v>
      </c>
      <c r="G58" s="1">
        <f>[1]Results!J1731</f>
        <v>1304435.2819999999</v>
      </c>
      <c r="H58" s="1">
        <f>[1]Results!K1731</f>
        <v>1337425.0160000001</v>
      </c>
      <c r="I58" s="1">
        <f>[1]Results!L1731</f>
        <v>1370901.807</v>
      </c>
      <c r="J58" s="1">
        <f>[1]Results!M1731</f>
        <v>1404817.183</v>
      </c>
      <c r="K58" s="1">
        <f>[1]Results!N1731</f>
        <v>1439324.713</v>
      </c>
      <c r="L58" s="1">
        <f>[1]Results!O1731</f>
        <v>1474589.004</v>
      </c>
      <c r="M58" s="1">
        <f>[1]Results!P1731</f>
        <v>1511222.9580000001</v>
      </c>
      <c r="N58" s="1">
        <f>[1]Results!Q1731</f>
        <v>1546811.3089999999</v>
      </c>
      <c r="O58" s="1">
        <f>[1]Results!R1731</f>
        <v>1580473.4550000001</v>
      </c>
      <c r="P58" s="1">
        <f>[1]Results!S1731</f>
        <v>1611642.716</v>
      </c>
      <c r="Q58" s="1">
        <f>[1]Results!T1731</f>
        <v>1640123.983</v>
      </c>
      <c r="R58" s="1">
        <f>[1]Results!U1731</f>
        <v>1666093.2760000001</v>
      </c>
      <c r="S58" s="1">
        <f>[1]Results!V1731</f>
        <v>1690911.166</v>
      </c>
      <c r="T58" s="1">
        <f>[1]Results!W1731</f>
        <v>1715199.406</v>
      </c>
      <c r="U58" s="1">
        <f>[1]Results!X1731</f>
        <v>1739376.649</v>
      </c>
      <c r="V58" s="1">
        <f>[1]Results!Y1731</f>
        <v>1763819.308</v>
      </c>
      <c r="W58" s="1">
        <f>[1]Results!Z1731</f>
        <v>1788262.2849999999</v>
      </c>
      <c r="X58" s="1">
        <f>[1]Results!AA1731</f>
        <v>1814044.291</v>
      </c>
      <c r="Y58" s="1">
        <f>[1]Results!AB1731</f>
        <v>1841550.159</v>
      </c>
      <c r="Z58" s="1">
        <f>[1]Results!AC1731</f>
        <v>1871186.4890000001</v>
      </c>
      <c r="AA58" s="1">
        <f>[1]Results!AD1731</f>
        <v>1903238.5789999999</v>
      </c>
      <c r="AB58" s="1">
        <f>[1]Results!AE1731</f>
        <v>1936030.831</v>
      </c>
      <c r="AC58" s="1">
        <f>[1]Results!AF1731</f>
        <v>1971433.2490000001</v>
      </c>
      <c r="AD58" s="1">
        <f>[1]Results!AG1731</f>
        <v>2009779.034</v>
      </c>
      <c r="AE58" s="1">
        <f>[1]Results!AH1731</f>
        <v>2051460.8430000001</v>
      </c>
      <c r="AF58" s="1">
        <f>[1]Results!AI1731</f>
        <v>2096788.331</v>
      </c>
      <c r="AG58" s="1">
        <f>[1]Results!AJ1731</f>
        <v>2145803.7570000002</v>
      </c>
      <c r="AH58" s="1">
        <f>[1]Results!AK1731</f>
        <v>2198306.3089999999</v>
      </c>
      <c r="AI58" s="1">
        <f>[1]Results!AL1731</f>
        <v>2253928.2349999999</v>
      </c>
      <c r="AJ58" s="1">
        <f>[1]Results!AM1731</f>
        <v>2312190.2719999999</v>
      </c>
      <c r="AK58" s="1">
        <f>[1]Results!AN1731</f>
        <v>2372539.764</v>
      </c>
      <c r="AL58" s="1">
        <f>[1]Results!AO1731</f>
        <v>2434372.1069999998</v>
      </c>
    </row>
    <row r="59" spans="1:38" x14ac:dyDescent="0.35">
      <c r="A59" s="14"/>
      <c r="B59" t="s">
        <v>6</v>
      </c>
      <c r="C59" s="1">
        <f>[1]Results!F1702</f>
        <v>1202789.014</v>
      </c>
      <c r="D59" s="1">
        <f>[1]Results!G1702</f>
        <v>1221919.855</v>
      </c>
      <c r="E59" s="1">
        <f>[1]Results!H1702</f>
        <v>1245840.5589999999</v>
      </c>
      <c r="F59" s="1">
        <f>[1]Results!I1702</f>
        <v>1273732.4820000001</v>
      </c>
      <c r="G59" s="1">
        <f>[1]Results!J1702</f>
        <v>1304435.2819999999</v>
      </c>
      <c r="H59" s="1">
        <f>[1]Results!K1702</f>
        <v>1337425.0160000001</v>
      </c>
      <c r="I59" s="1">
        <f>[1]Results!L1702</f>
        <v>1370901.808</v>
      </c>
      <c r="J59" s="1">
        <f>[1]Results!M1702</f>
        <v>1404232.7760000001</v>
      </c>
      <c r="K59" s="1">
        <f>[1]Results!N1702</f>
        <v>1437553.301</v>
      </c>
      <c r="L59" s="1">
        <f>[1]Results!O1702</f>
        <v>1473638.247</v>
      </c>
      <c r="M59" s="1">
        <f>[1]Results!P1702</f>
        <v>1513511.0619999999</v>
      </c>
      <c r="N59" s="1">
        <f>[1]Results!Q1702</f>
        <v>1554123.21</v>
      </c>
      <c r="O59" s="1">
        <f>[1]Results!R1702</f>
        <v>1594233.584</v>
      </c>
      <c r="P59" s="1">
        <f>[1]Results!S1702</f>
        <v>1632425.2279999999</v>
      </c>
      <c r="Q59" s="1">
        <f>[1]Results!T1702</f>
        <v>1667946.1459999999</v>
      </c>
      <c r="R59" s="1">
        <f>[1]Results!U1702</f>
        <v>1700691.307</v>
      </c>
      <c r="S59" s="1">
        <f>[1]Results!V1702</f>
        <v>1731693.9739999999</v>
      </c>
      <c r="T59" s="1">
        <f>[1]Results!W1702</f>
        <v>1761275.0830000001</v>
      </c>
      <c r="U59" s="1">
        <f>[1]Results!X1702</f>
        <v>1790020.074</v>
      </c>
      <c r="V59" s="1">
        <f>[1]Results!Y1702</f>
        <v>1818477.659</v>
      </c>
      <c r="W59" s="1">
        <f>[1]Results!Z1702</f>
        <v>1846462.277</v>
      </c>
      <c r="X59" s="1">
        <f>[1]Results!AA1702</f>
        <v>1875306.6159999999</v>
      </c>
      <c r="Y59" s="1">
        <f>[1]Results!AB1702</f>
        <v>1905391.1880000001</v>
      </c>
      <c r="Z59" s="1">
        <f>[1]Results!AC1702</f>
        <v>1937192.331</v>
      </c>
      <c r="AA59" s="1">
        <f>[1]Results!AD1702</f>
        <v>1971058.2180000001</v>
      </c>
      <c r="AB59" s="1">
        <f>[1]Results!AE1702</f>
        <v>2005294.6470000001</v>
      </c>
      <c r="AC59" s="1">
        <f>[1]Results!AF1702</f>
        <v>2041653.6969999999</v>
      </c>
      <c r="AD59" s="1">
        <f>[1]Results!AG1702</f>
        <v>2080363.2239999999</v>
      </c>
      <c r="AE59" s="1">
        <f>[1]Results!AH1702</f>
        <v>2121995.9010000001</v>
      </c>
      <c r="AF59" s="1">
        <f>[1]Results!AI1702</f>
        <v>2167047.659</v>
      </c>
      <c r="AG59" s="1">
        <f>[1]Results!AJ1702</f>
        <v>2215686.0989999999</v>
      </c>
      <c r="AH59" s="1">
        <f>[1]Results!AK1702</f>
        <v>2267714.1439999999</v>
      </c>
      <c r="AI59" s="1">
        <f>[1]Results!AL1702</f>
        <v>2322756.9330000002</v>
      </c>
      <c r="AJ59" s="1">
        <f>[1]Results!AM1702</f>
        <v>2380475.5830000001</v>
      </c>
      <c r="AK59" s="1">
        <f>[1]Results!AN1702</f>
        <v>2440489.9890000001</v>
      </c>
      <c r="AL59" s="1">
        <f>[1]Results!AO1702</f>
        <v>2502342.7999999998</v>
      </c>
    </row>
    <row r="60" spans="1:38" x14ac:dyDescent="0.35">
      <c r="A60" s="14"/>
      <c r="C60" s="1"/>
      <c r="D60" s="1"/>
      <c r="E60" s="1"/>
      <c r="F60" s="1"/>
      <c r="G60" s="1"/>
      <c r="H60" s="4">
        <f t="shared" ref="H60:U60" si="0">H58/G58-1</f>
        <v>2.529043368822359E-2</v>
      </c>
      <c r="I60" s="4">
        <f t="shared" si="0"/>
        <v>2.5030779744290355E-2</v>
      </c>
      <c r="J60" s="4">
        <f t="shared" si="0"/>
        <v>2.4739464071623196E-2</v>
      </c>
      <c r="K60" s="4">
        <f t="shared" si="0"/>
        <v>2.4563715775677508E-2</v>
      </c>
      <c r="L60" s="4">
        <f t="shared" si="0"/>
        <v>2.4500580502434532E-2</v>
      </c>
      <c r="M60" s="4">
        <f t="shared" si="0"/>
        <v>2.4843501409969937E-2</v>
      </c>
      <c r="N60" s="4">
        <f t="shared" si="0"/>
        <v>2.3549371594445923E-2</v>
      </c>
      <c r="O60" s="4">
        <f t="shared" si="0"/>
        <v>2.1762283352946499E-2</v>
      </c>
      <c r="P60" s="4">
        <f t="shared" si="0"/>
        <v>1.9721470741183689E-2</v>
      </c>
      <c r="Q60" s="4">
        <f t="shared" si="0"/>
        <v>1.7672196645847738E-2</v>
      </c>
      <c r="R60" s="4">
        <f t="shared" si="0"/>
        <v>1.5833737735179598E-2</v>
      </c>
      <c r="S60" s="4">
        <f t="shared" si="0"/>
        <v>1.4895858687806074E-2</v>
      </c>
      <c r="T60" s="4">
        <f t="shared" si="0"/>
        <v>1.4363995275669117E-2</v>
      </c>
      <c r="U60" s="4">
        <f t="shared" si="0"/>
        <v>1.409587883217811E-2</v>
      </c>
      <c r="V60" s="4">
        <f>V58/U58-1</f>
        <v>1.4052539462371394E-2</v>
      </c>
      <c r="W60" s="4">
        <f t="shared" ref="W60:AL60" si="1">W58/V58-1</f>
        <v>1.3857982441362493E-2</v>
      </c>
      <c r="X60" s="4">
        <f t="shared" si="1"/>
        <v>1.44173515352084E-2</v>
      </c>
      <c r="Y60" s="4">
        <f t="shared" si="1"/>
        <v>1.5162732319417227E-2</v>
      </c>
      <c r="Z60" s="4">
        <f t="shared" si="1"/>
        <v>1.609314297259945E-2</v>
      </c>
      <c r="AA60" s="4">
        <f t="shared" si="1"/>
        <v>1.7129286785909414E-2</v>
      </c>
      <c r="AB60" s="4">
        <f t="shared" si="1"/>
        <v>1.7229711693438787E-2</v>
      </c>
      <c r="AC60" s="4">
        <f t="shared" si="1"/>
        <v>1.8286081726143877E-2</v>
      </c>
      <c r="AD60" s="4">
        <f t="shared" si="1"/>
        <v>1.9450714356902932E-2</v>
      </c>
      <c r="AE60" s="4">
        <f t="shared" si="1"/>
        <v>2.0739498370147658E-2</v>
      </c>
      <c r="AF60" s="4">
        <f t="shared" si="1"/>
        <v>2.2095224558960735E-2</v>
      </c>
      <c r="AG60" s="4">
        <f t="shared" si="1"/>
        <v>2.3376430169574469E-2</v>
      </c>
      <c r="AH60" s="4">
        <f t="shared" si="1"/>
        <v>2.4467545938777979E-2</v>
      </c>
      <c r="AI60" s="4">
        <f t="shared" si="1"/>
        <v>2.5302172755580221E-2</v>
      </c>
      <c r="AJ60" s="4">
        <f t="shared" si="1"/>
        <v>2.5849109166512507E-2</v>
      </c>
      <c r="AK60" s="4">
        <f t="shared" si="1"/>
        <v>2.6100573439312491E-2</v>
      </c>
      <c r="AL60" s="4">
        <f t="shared" si="1"/>
        <v>2.606166772764773E-2</v>
      </c>
    </row>
    <row r="61" spans="1:38" x14ac:dyDescent="0.35">
      <c r="A61" s="16" t="s">
        <v>3</v>
      </c>
      <c r="B61" t="s">
        <v>4</v>
      </c>
      <c r="C61" s="1">
        <f>[1]Results!F1789</f>
        <v>1.0019287059999999</v>
      </c>
      <c r="D61" s="1">
        <f>[1]Results!G1789</f>
        <v>1.0214944349999999</v>
      </c>
      <c r="E61" s="1">
        <f>[1]Results!H1789</f>
        <v>1.041884585</v>
      </c>
      <c r="F61" s="1">
        <f>[1]Results!I1789</f>
        <v>1.064218254</v>
      </c>
      <c r="G61" s="1">
        <f>[1]Results!J1789</f>
        <v>1.085968255</v>
      </c>
      <c r="H61" s="1">
        <f>[1]Results!K1789</f>
        <v>1.1086907610000001</v>
      </c>
      <c r="I61" s="1">
        <f>[1]Results!L1789</f>
        <v>1.133485015</v>
      </c>
      <c r="J61" s="1">
        <f>[1]Results!M1789</f>
        <v>1.160161116</v>
      </c>
      <c r="K61" s="1">
        <f>[1]Results!N1789</f>
        <v>1.1883699029999999</v>
      </c>
      <c r="L61" s="1">
        <f>[1]Results!O1789</f>
        <v>1.2179342689999999</v>
      </c>
      <c r="M61" s="1">
        <f>[1]Results!P1789</f>
        <v>1.248536063</v>
      </c>
      <c r="N61" s="1">
        <f>[1]Results!Q1789</f>
        <v>1.279356553</v>
      </c>
      <c r="O61" s="1">
        <f>[1]Results!R1789</f>
        <v>1.309586259</v>
      </c>
      <c r="P61" s="1">
        <f>[1]Results!S1789</f>
        <v>1.338591179</v>
      </c>
      <c r="Q61" s="1">
        <f>[1]Results!T1789</f>
        <v>1.3660126450000001</v>
      </c>
      <c r="R61" s="1">
        <f>[1]Results!U1789</f>
        <v>1.391673392</v>
      </c>
      <c r="S61" s="1">
        <f>[1]Results!V1789</f>
        <v>1.4144506269999999</v>
      </c>
      <c r="T61" s="1">
        <f>[1]Results!W1789</f>
        <v>1.43461766</v>
      </c>
      <c r="U61" s="1">
        <f>[1]Results!X1789</f>
        <v>1.4525483889999999</v>
      </c>
      <c r="V61" s="1">
        <f>[1]Results!Y1789</f>
        <v>1.468707304</v>
      </c>
      <c r="W61" s="1">
        <f>[1]Results!Z1789</f>
        <v>1.48363004</v>
      </c>
      <c r="X61" s="1">
        <f>[1]Results!AA1789</f>
        <v>1.4977810119999999</v>
      </c>
      <c r="Y61" s="1">
        <f>[1]Results!AB1789</f>
        <v>1.5116851769999999</v>
      </c>
      <c r="Z61" s="1">
        <f>[1]Results!AC1789</f>
        <v>1.5259024160000001</v>
      </c>
      <c r="AA61" s="1">
        <f>[1]Results!AD1789</f>
        <v>1.541051094</v>
      </c>
      <c r="AB61" s="1">
        <f>[1]Results!AE1789</f>
        <v>1.5578016050000001</v>
      </c>
      <c r="AC61" s="1">
        <f>[1]Results!AF1789</f>
        <v>1.5766301709999999</v>
      </c>
      <c r="AD61" s="1">
        <f>[1]Results!AG1789</f>
        <v>1.5979786170000001</v>
      </c>
      <c r="AE61" s="1">
        <f>[1]Results!AH1789</f>
        <v>1.6222379259999999</v>
      </c>
      <c r="AF61" s="1">
        <f>[1]Results!AI1789</f>
        <v>1.649590527</v>
      </c>
      <c r="AG61" s="1">
        <f>[1]Results!AJ1789</f>
        <v>1.6801410240000001</v>
      </c>
      <c r="AH61" s="1">
        <f>[1]Results!AK1789</f>
        <v>1.7139043469999999</v>
      </c>
      <c r="AI61" s="1">
        <f>[1]Results!AL1789</f>
        <v>1.7508221310000001</v>
      </c>
      <c r="AJ61" s="1">
        <f>[1]Results!AM1789</f>
        <v>1.7907706269999999</v>
      </c>
      <c r="AK61" s="1">
        <f>[1]Results!AN1789</f>
        <v>1.8335589370000001</v>
      </c>
      <c r="AL61" s="1">
        <f>[1]Results!AO1789</f>
        <v>1.8789299989999999</v>
      </c>
    </row>
    <row r="62" spans="1:38" x14ac:dyDescent="0.35">
      <c r="A62" s="16"/>
      <c r="B62" t="s">
        <v>6</v>
      </c>
      <c r="C62" s="1">
        <f>[1]Results!F1760</f>
        <v>1.0019287059999999</v>
      </c>
      <c r="D62" s="1">
        <f>[1]Results!G1760</f>
        <v>1.0214944349999999</v>
      </c>
      <c r="E62" s="1">
        <f>[1]Results!H1760</f>
        <v>1.0418845859999999</v>
      </c>
      <c r="F62" s="1">
        <f>[1]Results!I1760</f>
        <v>1.0642182549999999</v>
      </c>
      <c r="G62" s="1">
        <f>[1]Results!J1760</f>
        <v>1.085968255</v>
      </c>
      <c r="H62" s="1">
        <f>[1]Results!K1760</f>
        <v>1.1086907619999999</v>
      </c>
      <c r="I62" s="1">
        <f>[1]Results!L1760</f>
        <v>1.1334850160000001</v>
      </c>
      <c r="J62" s="1">
        <f>[1]Results!M1760</f>
        <v>1.1704486569999999</v>
      </c>
      <c r="K62" s="1">
        <f>[1]Results!N1760</f>
        <v>1.208073808</v>
      </c>
      <c r="L62" s="1">
        <f>[1]Results!O1760</f>
        <v>1.2490552509999999</v>
      </c>
      <c r="M62" s="1">
        <f>[1]Results!P1760</f>
        <v>1.29335556</v>
      </c>
      <c r="N62" s="1">
        <f>[1]Results!Q1760</f>
        <v>1.3366006800000001</v>
      </c>
      <c r="O62" s="1">
        <f>[1]Results!R1760</f>
        <v>1.379255431</v>
      </c>
      <c r="P62" s="1">
        <f>[1]Results!S1760</f>
        <v>1.420592748</v>
      </c>
      <c r="Q62" s="1">
        <f>[1]Results!T1760</f>
        <v>1.4600613389999999</v>
      </c>
      <c r="R62" s="1">
        <f>[1]Results!U1760</f>
        <v>1.4972442260000001</v>
      </c>
      <c r="S62" s="1">
        <f>[1]Results!V1760</f>
        <v>1.5327291249999999</v>
      </c>
      <c r="T62" s="1">
        <f>[1]Results!W1760</f>
        <v>1.5656335480000001</v>
      </c>
      <c r="U62" s="1">
        <f>[1]Results!X1760</f>
        <v>1.5958524039999999</v>
      </c>
      <c r="V62" s="1">
        <f>[1]Results!Y1760</f>
        <v>1.6235277459999999</v>
      </c>
      <c r="W62" s="1">
        <f>[1]Results!Z1760</f>
        <v>1.648975683</v>
      </c>
      <c r="X62" s="1">
        <f>[1]Results!AA1760</f>
        <v>1.672576286</v>
      </c>
      <c r="Y62" s="1">
        <f>[1]Results!AB1760</f>
        <v>1.6947826800000001</v>
      </c>
      <c r="Z62" s="1">
        <f>[1]Results!AC1760</f>
        <v>1.7160103120000001</v>
      </c>
      <c r="AA62" s="1">
        <f>[1]Results!AD1760</f>
        <v>1.7367977699999999</v>
      </c>
      <c r="AB62" s="1">
        <f>[1]Results!AE1760</f>
        <v>1.7578059150000001</v>
      </c>
      <c r="AC62" s="1">
        <f>[1]Results!AF1760</f>
        <v>1.7798478499999999</v>
      </c>
      <c r="AD62" s="1">
        <f>[1]Results!AG1760</f>
        <v>1.803700189</v>
      </c>
      <c r="AE62" s="1">
        <f>[1]Results!AH1760</f>
        <v>1.8297199019999999</v>
      </c>
      <c r="AF62" s="1">
        <f>[1]Results!AI1760</f>
        <v>1.858129312</v>
      </c>
      <c r="AG62" s="1">
        <f>[1]Results!AJ1760</f>
        <v>1.889113912</v>
      </c>
      <c r="AH62" s="1">
        <f>[1]Results!AK1760</f>
        <v>1.9229284449999999</v>
      </c>
      <c r="AI62" s="1">
        <f>[1]Results!AL1760</f>
        <v>1.9597745470000001</v>
      </c>
      <c r="AJ62" s="1">
        <f>[1]Results!AM1760</f>
        <v>1.999605471</v>
      </c>
      <c r="AK62" s="1">
        <f>[1]Results!AN1760</f>
        <v>2.0423190610000002</v>
      </c>
      <c r="AL62" s="1">
        <f>[1]Results!AO1760</f>
        <v>2.0877639299999999</v>
      </c>
    </row>
    <row r="63" spans="1:3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5">
      <c r="A64" s="16" t="s">
        <v>1</v>
      </c>
      <c r="B64" t="str">
        <f>B61</f>
        <v>Baseline</v>
      </c>
      <c r="D64" s="1">
        <f t="shared" ref="D64:AL64" si="2">(D61/C61-1)*100</f>
        <v>1.9528065103666226</v>
      </c>
      <c r="E64" s="1">
        <f t="shared" si="2"/>
        <v>1.9961097487525725</v>
      </c>
      <c r="F64" s="1">
        <f t="shared" si="2"/>
        <v>2.143583782842895</v>
      </c>
      <c r="G64" s="1">
        <f t="shared" si="2"/>
        <v>2.0437537993968746</v>
      </c>
      <c r="H64" s="1">
        <f t="shared" si="2"/>
        <v>2.0923729487838605</v>
      </c>
      <c r="I64" s="1">
        <f t="shared" si="2"/>
        <v>2.2363543444374301</v>
      </c>
      <c r="J64" s="1">
        <f t="shared" si="2"/>
        <v>2.3534586383570311</v>
      </c>
      <c r="K64" s="1">
        <f t="shared" si="2"/>
        <v>2.4314542705290876</v>
      </c>
      <c r="L64" s="1">
        <f t="shared" si="2"/>
        <v>2.4878083772877257</v>
      </c>
      <c r="M64" s="1">
        <f t="shared" si="2"/>
        <v>2.5125981572984291</v>
      </c>
      <c r="N64" s="1">
        <f t="shared" si="2"/>
        <v>2.4685302181776114</v>
      </c>
      <c r="O64" s="1">
        <f t="shared" si="2"/>
        <v>2.3628835862147701</v>
      </c>
      <c r="P64" s="1">
        <f t="shared" si="2"/>
        <v>2.214815541982551</v>
      </c>
      <c r="Q64" s="1">
        <f t="shared" si="2"/>
        <v>2.0485318019565435</v>
      </c>
      <c r="R64" s="1">
        <f t="shared" si="2"/>
        <v>1.8785146018908128</v>
      </c>
      <c r="S64" s="1">
        <f t="shared" si="2"/>
        <v>1.6366796355333335</v>
      </c>
      <c r="T64" s="1">
        <f t="shared" si="2"/>
        <v>1.4257855746279136</v>
      </c>
      <c r="U64" s="1">
        <f t="shared" si="2"/>
        <v>1.2498611650995528</v>
      </c>
      <c r="V64" s="1">
        <f t="shared" si="2"/>
        <v>1.1124527845247645</v>
      </c>
      <c r="W64" s="1">
        <f t="shared" si="2"/>
        <v>1.0160456041416799</v>
      </c>
      <c r="X64" s="1">
        <f t="shared" si="2"/>
        <v>0.95380732517387212</v>
      </c>
      <c r="Y64" s="1">
        <f t="shared" si="2"/>
        <v>0.9283176171017038</v>
      </c>
      <c r="Z64" s="1">
        <f t="shared" si="2"/>
        <v>0.94048940985282936</v>
      </c>
      <c r="AA64" s="1">
        <f t="shared" si="2"/>
        <v>0.99276846547702302</v>
      </c>
      <c r="AB64" s="1">
        <f t="shared" si="2"/>
        <v>1.0869536425636595</v>
      </c>
      <c r="AC64" s="1">
        <f t="shared" si="2"/>
        <v>1.20866263968189</v>
      </c>
      <c r="AD64" s="1">
        <f t="shared" si="2"/>
        <v>1.35405540200082</v>
      </c>
      <c r="AE64" s="1">
        <f t="shared" si="2"/>
        <v>1.5181247572350953</v>
      </c>
      <c r="AF64" s="1">
        <f t="shared" si="2"/>
        <v>1.6861029175568643</v>
      </c>
      <c r="AG64" s="1">
        <f t="shared" si="2"/>
        <v>1.8520048763592367</v>
      </c>
      <c r="AH64" s="1">
        <f t="shared" si="2"/>
        <v>2.0095529195292006</v>
      </c>
      <c r="AI64" s="1">
        <f t="shared" si="2"/>
        <v>2.1540165916855702</v>
      </c>
      <c r="AJ64" s="1">
        <f t="shared" si="2"/>
        <v>2.2816992824498339</v>
      </c>
      <c r="AK64" s="1">
        <f t="shared" si="2"/>
        <v>2.3893797092082947</v>
      </c>
      <c r="AL64" s="1">
        <f t="shared" si="2"/>
        <v>2.4744806989533741</v>
      </c>
    </row>
    <row r="65" spans="1:38" x14ac:dyDescent="0.35">
      <c r="A65" s="16"/>
      <c r="B65" t="str">
        <f>B62</f>
        <v>NZ50</v>
      </c>
      <c r="D65" s="1">
        <f t="shared" ref="D65:AL65" si="3">(D62/C62-1)*100</f>
        <v>1.9528065103666226</v>
      </c>
      <c r="E65" s="1">
        <f t="shared" si="3"/>
        <v>1.9961098466483529</v>
      </c>
      <c r="F65" s="1">
        <f t="shared" si="3"/>
        <v>2.1435837807854963</v>
      </c>
      <c r="G65" s="1">
        <f t="shared" si="3"/>
        <v>2.0437537035107756</v>
      </c>
      <c r="H65" s="1">
        <f t="shared" si="3"/>
        <v>2.0923730408675567</v>
      </c>
      <c r="I65" s="1">
        <f t="shared" si="3"/>
        <v>2.2363543424203325</v>
      </c>
      <c r="J65" s="1">
        <f t="shared" si="3"/>
        <v>3.2610612825251239</v>
      </c>
      <c r="K65" s="1">
        <f t="shared" si="3"/>
        <v>3.2145921800993627</v>
      </c>
      <c r="L65" s="1">
        <f t="shared" si="3"/>
        <v>3.3922962925457156</v>
      </c>
      <c r="M65" s="1">
        <f t="shared" si="3"/>
        <v>3.5467053170412655</v>
      </c>
      <c r="N65" s="1">
        <f t="shared" si="3"/>
        <v>3.3436373830565413</v>
      </c>
      <c r="O65" s="1">
        <f t="shared" si="3"/>
        <v>3.1912860466298598</v>
      </c>
      <c r="P65" s="1">
        <f t="shared" si="3"/>
        <v>2.9970748036155515</v>
      </c>
      <c r="Q65" s="1">
        <f t="shared" si="3"/>
        <v>2.7783184910359582</v>
      </c>
      <c r="R65" s="1">
        <f t="shared" si="3"/>
        <v>2.5466660890745008</v>
      </c>
      <c r="S65" s="1">
        <f t="shared" si="3"/>
        <v>2.3700140821247606</v>
      </c>
      <c r="T65" s="1">
        <f t="shared" si="3"/>
        <v>2.1467865693489907</v>
      </c>
      <c r="U65" s="1">
        <f t="shared" si="3"/>
        <v>1.9301359528609119</v>
      </c>
      <c r="V65" s="1">
        <f t="shared" si="3"/>
        <v>1.7342043619216874</v>
      </c>
      <c r="W65" s="1">
        <f t="shared" si="3"/>
        <v>1.5674470031508791</v>
      </c>
      <c r="X65" s="1">
        <f t="shared" si="3"/>
        <v>1.4312280795471199</v>
      </c>
      <c r="Y65" s="1">
        <f t="shared" si="3"/>
        <v>1.3276760041305513</v>
      </c>
      <c r="Z65" s="1">
        <f t="shared" si="3"/>
        <v>1.2525282592574127</v>
      </c>
      <c r="AA65" s="1">
        <f t="shared" si="3"/>
        <v>1.2113830467470832</v>
      </c>
      <c r="AB65" s="1">
        <f t="shared" si="3"/>
        <v>1.2095907400894612</v>
      </c>
      <c r="AC65" s="1">
        <f t="shared" si="3"/>
        <v>1.2539458885596044</v>
      </c>
      <c r="AD65" s="1">
        <f t="shared" si="3"/>
        <v>1.3401335962509364</v>
      </c>
      <c r="AE65" s="1">
        <f t="shared" si="3"/>
        <v>1.4425741682948745</v>
      </c>
      <c r="AF65" s="1">
        <f t="shared" si="3"/>
        <v>1.5526644252459976</v>
      </c>
      <c r="AG65" s="1">
        <f t="shared" si="3"/>
        <v>1.6675158074251462</v>
      </c>
      <c r="AH65" s="1">
        <f t="shared" si="3"/>
        <v>1.7899679201557772</v>
      </c>
      <c r="AI65" s="1">
        <f t="shared" si="3"/>
        <v>1.9161452468919205</v>
      </c>
      <c r="AJ65" s="1">
        <f t="shared" si="3"/>
        <v>2.0324237836935266</v>
      </c>
      <c r="AK65" s="1">
        <f t="shared" si="3"/>
        <v>2.1361008768714385</v>
      </c>
      <c r="AL65" s="1">
        <f t="shared" si="3"/>
        <v>2.2251601068516758</v>
      </c>
    </row>
    <row r="66" spans="1:3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5">
      <c r="A67" s="15" t="s">
        <v>2</v>
      </c>
      <c r="B67" t="str">
        <f>B64</f>
        <v>Baseline</v>
      </c>
      <c r="C67" s="6">
        <f>[1]Emissions!B820</f>
        <v>348.01864060000003</v>
      </c>
      <c r="D67" s="6">
        <f>[1]Emissions!C820</f>
        <v>348.27357540000003</v>
      </c>
      <c r="E67" s="6">
        <f>[1]Emissions!D820</f>
        <v>348.62072999999998</v>
      </c>
      <c r="F67" s="6">
        <f>[1]Emissions!E820</f>
        <v>348.7386601</v>
      </c>
      <c r="G67" s="6">
        <f>[1]Emissions!F820</f>
        <v>350.85550749999999</v>
      </c>
      <c r="H67" s="6">
        <f>[1]Emissions!G820</f>
        <v>354.50504260000002</v>
      </c>
      <c r="I67" s="6">
        <f>[1]Emissions!H820</f>
        <v>358.46145790000003</v>
      </c>
      <c r="J67" s="6">
        <f>[1]Emissions!I820</f>
        <v>362.48714469999999</v>
      </c>
      <c r="K67" s="6">
        <f>[1]Emissions!J820</f>
        <v>366.5842945</v>
      </c>
      <c r="L67" s="6">
        <f>[1]Emissions!K820</f>
        <v>370.75574330000001</v>
      </c>
      <c r="M67" s="6">
        <f>[1]Emissions!L820</f>
        <v>374.92304869999998</v>
      </c>
      <c r="N67" s="6">
        <f>[1]Emissions!M820</f>
        <v>378.20078769999998</v>
      </c>
      <c r="O67" s="6">
        <f>[1]Emissions!N820</f>
        <v>380.71904380000001</v>
      </c>
      <c r="P67" s="6">
        <f>[1]Emissions!O820</f>
        <v>382.6324118</v>
      </c>
      <c r="Q67" s="6">
        <f>[1]Emissions!P820</f>
        <v>384.12664999999998</v>
      </c>
      <c r="R67" s="6">
        <f>[1]Emissions!Q820</f>
        <v>385.38380210000003</v>
      </c>
      <c r="S67" s="6">
        <f>[1]Emissions!R820</f>
        <v>387.11022059999999</v>
      </c>
      <c r="T67" s="6">
        <f>[1]Emissions!S820</f>
        <v>389.3972842</v>
      </c>
      <c r="U67" s="6">
        <f>[1]Emissions!T820</f>
        <v>392.28981649999997</v>
      </c>
      <c r="V67" s="6">
        <f>[1]Emissions!U820</f>
        <v>395.79861360000001</v>
      </c>
      <c r="W67" s="6">
        <f>[1]Emissions!V820</f>
        <v>399.84686369999997</v>
      </c>
      <c r="X67" s="6">
        <f>[1]Emissions!W820</f>
        <v>404.58317779999999</v>
      </c>
      <c r="Y67" s="6">
        <f>[1]Emissions!X820</f>
        <v>410.02920519999998</v>
      </c>
      <c r="Z67" s="6">
        <f>[1]Emissions!Y820</f>
        <v>416.21124200000003</v>
      </c>
      <c r="AA67" s="6">
        <f>[1]Emissions!Z820</f>
        <v>423.13482909999999</v>
      </c>
      <c r="AB67" s="6">
        <f>[1]Emissions!AA820</f>
        <v>430.55117159999998</v>
      </c>
      <c r="AC67" s="6">
        <f>[1]Emissions!AB820</f>
        <v>438.72702679999998</v>
      </c>
      <c r="AD67" s="6">
        <f>[1]Emissions!AC820</f>
        <v>447.69797139999997</v>
      </c>
      <c r="AE67" s="6">
        <f>[1]Emissions!AD820</f>
        <v>457.47711829999997</v>
      </c>
      <c r="AF67" s="6">
        <f>[1]Emissions!AE820</f>
        <v>467.99003210000001</v>
      </c>
      <c r="AG67" s="6">
        <f>[1]Emissions!AF820</f>
        <v>479.1104052</v>
      </c>
      <c r="AH67" s="6">
        <f>[1]Emissions!AG820</f>
        <v>490.71201020000001</v>
      </c>
      <c r="AI67" s="6">
        <f>[1]Emissions!AH820</f>
        <v>502.67883030000002</v>
      </c>
      <c r="AJ67" s="6">
        <f>[1]Emissions!AI820</f>
        <v>514.89836070000001</v>
      </c>
      <c r="AK67" s="6">
        <f>[1]Emissions!AJ820</f>
        <v>527.25684109999997</v>
      </c>
      <c r="AL67" s="6">
        <f>[1]Emissions!AK820</f>
        <v>539.63704710000002</v>
      </c>
    </row>
    <row r="68" spans="1:38" x14ac:dyDescent="0.35">
      <c r="A68" s="11"/>
      <c r="B68" t="s">
        <v>25</v>
      </c>
      <c r="C68" s="6">
        <f>[1]Emissions!B824</f>
        <v>119.490486</v>
      </c>
      <c r="D68" s="6">
        <f>[1]Emissions!C824</f>
        <v>118.38066670000001</v>
      </c>
      <c r="E68" s="6">
        <f>[1]Emissions!D824</f>
        <v>117.1288546</v>
      </c>
      <c r="F68" s="6">
        <f>[1]Emissions!E824</f>
        <v>115.90024440000001</v>
      </c>
      <c r="G68" s="6">
        <f>[1]Emissions!F824</f>
        <v>115.30449</v>
      </c>
      <c r="H68" s="6">
        <f>[1]Emissions!G824</f>
        <v>115.096358</v>
      </c>
      <c r="I68" s="6">
        <f>[1]Emissions!H824</f>
        <v>114.8585453</v>
      </c>
      <c r="J68" s="6">
        <f>[1]Emissions!I824</f>
        <v>114.6160071</v>
      </c>
      <c r="K68" s="6">
        <f>[1]Emissions!J824</f>
        <v>114.4119108</v>
      </c>
      <c r="L68" s="6">
        <f>[1]Emissions!K824</f>
        <v>114.25863940000001</v>
      </c>
      <c r="M68" s="6">
        <f>[1]Emissions!L824</f>
        <v>114.1967075</v>
      </c>
      <c r="N68" s="6">
        <f>[1]Emissions!M824</f>
        <v>114.1505487</v>
      </c>
      <c r="O68" s="6">
        <f>[1]Emissions!N824</f>
        <v>114.1110559</v>
      </c>
      <c r="P68" s="6">
        <f>[1]Emissions!O824</f>
        <v>114.0632554</v>
      </c>
      <c r="Q68" s="6">
        <f>[1]Emissions!P824</f>
        <v>113.99187860000001</v>
      </c>
      <c r="R68" s="6">
        <f>[1]Emissions!Q824</f>
        <v>113.8854099</v>
      </c>
      <c r="S68" s="6">
        <f>[1]Emissions!R824</f>
        <v>113.8987942</v>
      </c>
      <c r="T68" s="6">
        <f>[1]Emissions!S824</f>
        <v>113.966212</v>
      </c>
      <c r="U68" s="6">
        <f>[1]Emissions!T824</f>
        <v>114.0480642</v>
      </c>
      <c r="V68" s="6">
        <f>[1]Emissions!U824</f>
        <v>114.1239492</v>
      </c>
      <c r="W68" s="6">
        <f>[1]Emissions!V824</f>
        <v>114.1578978</v>
      </c>
      <c r="X68" s="6">
        <f>[1]Emissions!W824</f>
        <v>114.1890346</v>
      </c>
      <c r="Y68" s="6">
        <f>[1]Emissions!X824</f>
        <v>114.2142286</v>
      </c>
      <c r="Z68" s="6">
        <f>[1]Emissions!Y824</f>
        <v>114.2374738</v>
      </c>
      <c r="AA68" s="6">
        <f>[1]Emissions!Z824</f>
        <v>114.2646587</v>
      </c>
      <c r="AB68" s="6">
        <f>[1]Emissions!AA824</f>
        <v>114.22903460000001</v>
      </c>
      <c r="AC68" s="6">
        <f>[1]Emissions!AB824</f>
        <v>114.2117286</v>
      </c>
      <c r="AD68" s="6">
        <f>[1]Emissions!AC824</f>
        <v>114.21894469999999</v>
      </c>
      <c r="AE68" s="6">
        <f>[1]Emissions!AD824</f>
        <v>114.2576064</v>
      </c>
      <c r="AF68" s="6">
        <f>[1]Emissions!AE824</f>
        <v>114.334658</v>
      </c>
      <c r="AG68" s="6">
        <f>[1]Emissions!AF824</f>
        <v>114.4540428</v>
      </c>
      <c r="AH68" s="6">
        <f>[1]Emissions!AG824</f>
        <v>114.6156123</v>
      </c>
      <c r="AI68" s="6">
        <f>[1]Emissions!AH824</f>
        <v>114.8127266</v>
      </c>
      <c r="AJ68" s="6">
        <f>[1]Emissions!AI824</f>
        <v>115.0370499</v>
      </c>
      <c r="AK68" s="6">
        <f>[1]Emissions!AJ824</f>
        <v>115.2793521</v>
      </c>
      <c r="AL68" s="6">
        <f>[1]Emissions!AK824</f>
        <v>115.52945459999999</v>
      </c>
    </row>
    <row r="69" spans="1:38" x14ac:dyDescent="0.35">
      <c r="A69" s="11"/>
      <c r="B69" t="s">
        <v>26</v>
      </c>
      <c r="C69" s="6">
        <f>SUM(C70:C72)</f>
        <v>228.52815459440001</v>
      </c>
      <c r="D69" s="6">
        <f t="shared" ref="D69:AL69" si="4">SUM(D70:D72)</f>
        <v>229.89290872519999</v>
      </c>
      <c r="E69" s="6">
        <f t="shared" si="4"/>
        <v>231.4918755198</v>
      </c>
      <c r="F69" s="6">
        <f t="shared" si="4"/>
        <v>232.8384156411</v>
      </c>
      <c r="G69" s="6">
        <f t="shared" si="4"/>
        <v>235.55101755590002</v>
      </c>
      <c r="H69" s="6">
        <f t="shared" si="4"/>
        <v>239.40868455990002</v>
      </c>
      <c r="I69" s="6">
        <f t="shared" si="4"/>
        <v>243.60291260039997</v>
      </c>
      <c r="J69" s="6">
        <f t="shared" si="4"/>
        <v>247.87113755889999</v>
      </c>
      <c r="K69" s="6">
        <f t="shared" si="4"/>
        <v>252.17238363720003</v>
      </c>
      <c r="L69" s="6">
        <f t="shared" si="4"/>
        <v>256.49710397529998</v>
      </c>
      <c r="M69" s="6">
        <f t="shared" si="4"/>
        <v>260.7263411756</v>
      </c>
      <c r="N69" s="6">
        <f t="shared" si="4"/>
        <v>264.0502388928</v>
      </c>
      <c r="O69" s="6">
        <f t="shared" si="4"/>
        <v>266.6079878566</v>
      </c>
      <c r="P69" s="6">
        <f t="shared" si="4"/>
        <v>268.56915639300001</v>
      </c>
      <c r="Q69" s="6">
        <f t="shared" si="4"/>
        <v>270.13477143279999</v>
      </c>
      <c r="R69" s="6">
        <f t="shared" si="4"/>
        <v>271.49839221729997</v>
      </c>
      <c r="S69" s="6">
        <f t="shared" si="4"/>
        <v>273.21142641520004</v>
      </c>
      <c r="T69" s="6">
        <f t="shared" si="4"/>
        <v>275.43107229879996</v>
      </c>
      <c r="U69" s="6">
        <f t="shared" si="4"/>
        <v>278.24175228940004</v>
      </c>
      <c r="V69" s="6">
        <f t="shared" si="4"/>
        <v>281.67466439520007</v>
      </c>
      <c r="W69" s="6">
        <f t="shared" si="4"/>
        <v>285.68896580969999</v>
      </c>
      <c r="X69" s="6">
        <f t="shared" si="4"/>
        <v>290.3941431559</v>
      </c>
      <c r="Y69" s="6">
        <f t="shared" si="4"/>
        <v>295.81497658390003</v>
      </c>
      <c r="Z69" s="6">
        <f t="shared" si="4"/>
        <v>301.97376817849999</v>
      </c>
      <c r="AA69" s="6">
        <f t="shared" si="4"/>
        <v>308.87017037639998</v>
      </c>
      <c r="AB69" s="6">
        <f t="shared" si="4"/>
        <v>316.32213701429998</v>
      </c>
      <c r="AC69" s="6">
        <f t="shared" si="4"/>
        <v>324.51529828680003</v>
      </c>
      <c r="AD69" s="6">
        <f t="shared" si="4"/>
        <v>333.47902667950001</v>
      </c>
      <c r="AE69" s="6">
        <f t="shared" si="4"/>
        <v>343.21951190530001</v>
      </c>
      <c r="AF69" s="6">
        <f t="shared" si="4"/>
        <v>353.6553742241</v>
      </c>
      <c r="AG69" s="6">
        <f t="shared" si="4"/>
        <v>364.65636245160005</v>
      </c>
      <c r="AH69" s="6">
        <f t="shared" si="4"/>
        <v>376.09639791199999</v>
      </c>
      <c r="AI69" s="6">
        <f t="shared" si="4"/>
        <v>387.8661037425</v>
      </c>
      <c r="AJ69" s="6">
        <f t="shared" si="4"/>
        <v>399.86131078559998</v>
      </c>
      <c r="AK69" s="6">
        <f t="shared" si="4"/>
        <v>411.97748900450006</v>
      </c>
      <c r="AL69" s="6">
        <f t="shared" si="4"/>
        <v>424.10759245949998</v>
      </c>
    </row>
    <row r="70" spans="1:38" x14ac:dyDescent="0.35">
      <c r="A70" s="11"/>
      <c r="B70" t="s">
        <v>50</v>
      </c>
      <c r="C70" s="6">
        <f>[1]Emissions!B821</f>
        <v>213.27374040000001</v>
      </c>
      <c r="D70" s="6">
        <f>[1]Emissions!C821</f>
        <v>214.38114039999999</v>
      </c>
      <c r="E70" s="6">
        <f>[1]Emissions!D821</f>
        <v>215.68295420000001</v>
      </c>
      <c r="F70" s="6">
        <f>[1]Emissions!E821</f>
        <v>216.7083916</v>
      </c>
      <c r="G70" s="6">
        <f>[1]Emissions!F821</f>
        <v>219.07498440000001</v>
      </c>
      <c r="H70" s="6">
        <f>[1]Emissions!G821</f>
        <v>222.56135130000001</v>
      </c>
      <c r="I70" s="6">
        <f>[1]Emissions!H821</f>
        <v>226.3702098</v>
      </c>
      <c r="J70" s="6">
        <f>[1]Emissions!I821</f>
        <v>230.24088839999999</v>
      </c>
      <c r="K70" s="6">
        <f>[1]Emissions!J821</f>
        <v>234.13409050000001</v>
      </c>
      <c r="L70" s="6">
        <f>[1]Emissions!K821</f>
        <v>238.04041240000001</v>
      </c>
      <c r="M70" s="6">
        <f>[1]Emissions!L821</f>
        <v>241.84123270000001</v>
      </c>
      <c r="N70" s="6">
        <f>[1]Emissions!M821</f>
        <v>244.77473850000001</v>
      </c>
      <c r="O70" s="6">
        <f>[1]Emissions!N821</f>
        <v>246.9712681</v>
      </c>
      <c r="P70" s="6">
        <f>[1]Emissions!O821</f>
        <v>248.59159410000001</v>
      </c>
      <c r="Q70" s="6">
        <f>[1]Emissions!P821</f>
        <v>249.82658799999999</v>
      </c>
      <c r="R70" s="6">
        <f>[1]Emissions!Q821</f>
        <v>250.86021059999999</v>
      </c>
      <c r="S70" s="6">
        <f>[1]Emissions!R821</f>
        <v>252.23079000000001</v>
      </c>
      <c r="T70" s="6">
        <f>[1]Emissions!S821</f>
        <v>254.08495619999999</v>
      </c>
      <c r="U70" s="6">
        <f>[1]Emissions!T821</f>
        <v>256.49997669999999</v>
      </c>
      <c r="V70" s="6">
        <f>[1]Emissions!U821</f>
        <v>259.50334070000002</v>
      </c>
      <c r="W70" s="6">
        <f>[1]Emissions!V821</f>
        <v>263.05916339999999</v>
      </c>
      <c r="X70" s="6">
        <f>[1]Emissions!W821</f>
        <v>267.26400849999999</v>
      </c>
      <c r="Y70" s="6">
        <f>[1]Emissions!X821</f>
        <v>272.14339760000001</v>
      </c>
      <c r="Z70" s="6">
        <f>[1]Emissions!Y821</f>
        <v>277.7187998</v>
      </c>
      <c r="AA70" s="6">
        <f>[1]Emissions!Z821</f>
        <v>283.99049680000002</v>
      </c>
      <c r="AB70" s="6">
        <f>[1]Emissions!AA821</f>
        <v>290.7990332</v>
      </c>
      <c r="AC70" s="6">
        <f>[1]Emissions!AB821</f>
        <v>298.3077657</v>
      </c>
      <c r="AD70" s="6">
        <f>[1]Emissions!AC821</f>
        <v>306.54832479999999</v>
      </c>
      <c r="AE70" s="6">
        <f>[1]Emissions!AD821</f>
        <v>315.52694539999999</v>
      </c>
      <c r="AF70" s="6">
        <f>[1]Emissions!AE821</f>
        <v>325.1658789</v>
      </c>
      <c r="AG70" s="6">
        <f>[1]Emissions!AF821</f>
        <v>335.34073330000001</v>
      </c>
      <c r="AH70" s="6">
        <f>[1]Emissions!AG821</f>
        <v>345.93089859999998</v>
      </c>
      <c r="AI70" s="6">
        <f>[1]Emissions!AH821</f>
        <v>356.83138159999999</v>
      </c>
      <c r="AJ70" s="6">
        <f>[1]Emissions!AI821</f>
        <v>367.94189669999997</v>
      </c>
      <c r="AK70" s="6">
        <f>[1]Emissions!AJ821</f>
        <v>379.16164880000002</v>
      </c>
      <c r="AL70" s="6">
        <f>[1]Emissions!AK821</f>
        <v>390.38738039999998</v>
      </c>
    </row>
    <row r="71" spans="1:38" x14ac:dyDescent="0.35">
      <c r="A71" s="11"/>
      <c r="B71" t="s">
        <v>51</v>
      </c>
      <c r="C71" s="6">
        <f>[1]Emissions!B822</f>
        <v>2.7534944400000001E-2</v>
      </c>
      <c r="D71" s="6">
        <f>[1]Emissions!C822</f>
        <v>2.8000835200000001E-2</v>
      </c>
      <c r="E71" s="6">
        <f>[1]Emissions!D822</f>
        <v>2.8553549800000001E-2</v>
      </c>
      <c r="F71" s="6">
        <f>[1]Emissions!E822</f>
        <v>2.9188641099999999E-2</v>
      </c>
      <c r="G71" s="6">
        <f>[1]Emissions!F822</f>
        <v>2.9889935900000001E-2</v>
      </c>
      <c r="H71" s="6">
        <f>[1]Emissions!G822</f>
        <v>3.0651199899999999E-2</v>
      </c>
      <c r="I71" s="6">
        <f>[1]Emissions!H822</f>
        <v>3.14451704E-2</v>
      </c>
      <c r="J71" s="6">
        <f>[1]Emissions!I822</f>
        <v>3.2260738900000002E-2</v>
      </c>
      <c r="K71" s="6">
        <f>[1]Emissions!J822</f>
        <v>3.3091477199999997E-2</v>
      </c>
      <c r="L71" s="6">
        <f>[1]Emissions!K822</f>
        <v>3.3935055300000003E-2</v>
      </c>
      <c r="M71" s="6">
        <f>[1]Emissions!L822</f>
        <v>3.47716156E-2</v>
      </c>
      <c r="N71" s="6">
        <f>[1]Emissions!M822</f>
        <v>3.5492862799999997E-2</v>
      </c>
      <c r="O71" s="6">
        <f>[1]Emissions!N822</f>
        <v>3.6120966599999998E-2</v>
      </c>
      <c r="P71" s="6">
        <f>[1]Emissions!O822</f>
        <v>3.6673113E-2</v>
      </c>
      <c r="Q71" s="6">
        <f>[1]Emissions!P822</f>
        <v>3.7171452799999997E-2</v>
      </c>
      <c r="R71" s="6">
        <f>[1]Emissions!Q822</f>
        <v>3.7638367300000003E-2</v>
      </c>
      <c r="S71" s="6">
        <f>[1]Emissions!R822</f>
        <v>3.81073252E-2</v>
      </c>
      <c r="T71" s="6">
        <f>[1]Emissions!S822</f>
        <v>3.8604198800000003E-2</v>
      </c>
      <c r="U71" s="6">
        <f>[1]Emissions!T822</f>
        <v>3.9147279399999999E-2</v>
      </c>
      <c r="V71" s="6">
        <f>[1]Emissions!U822</f>
        <v>3.9747095199999999E-2</v>
      </c>
      <c r="W71" s="6">
        <f>[1]Emissions!V822</f>
        <v>4.0403309700000001E-2</v>
      </c>
      <c r="X71" s="6">
        <f>[1]Emissions!W822</f>
        <v>4.1133915899999998E-2</v>
      </c>
      <c r="Y71" s="6">
        <f>[1]Emissions!X822</f>
        <v>4.19473239E-2</v>
      </c>
      <c r="Z71" s="6">
        <f>[1]Emissions!Y822</f>
        <v>4.28485885E-2</v>
      </c>
      <c r="AA71" s="6">
        <f>[1]Emissions!Z822</f>
        <v>4.3837696400000001E-2</v>
      </c>
      <c r="AB71" s="6">
        <f>[1]Emissions!AA822</f>
        <v>4.4888804300000001E-2</v>
      </c>
      <c r="AC71" s="6">
        <f>[1]Emissions!AB822</f>
        <v>4.6023166800000001E-2</v>
      </c>
      <c r="AD71" s="6">
        <f>[1]Emissions!AC822</f>
        <v>4.7247989499999997E-2</v>
      </c>
      <c r="AE71" s="6">
        <f>[1]Emissions!AD822</f>
        <v>4.8565585299999998E-2</v>
      </c>
      <c r="AF71" s="6">
        <f>[1]Emissions!AE822</f>
        <v>4.9966684099999999E-2</v>
      </c>
      <c r="AG71" s="6">
        <f>[1]Emissions!AF822</f>
        <v>5.1435751600000003E-2</v>
      </c>
      <c r="AH71" s="6">
        <f>[1]Emissions!AG822</f>
        <v>5.2957961999999997E-2</v>
      </c>
      <c r="AI71" s="6">
        <f>[1]Emissions!AH822</f>
        <v>5.4520392500000001E-2</v>
      </c>
      <c r="AJ71" s="6">
        <f>[1]Emissions!AI822</f>
        <v>5.6110395600000001E-2</v>
      </c>
      <c r="AK71" s="6">
        <f>[1]Emissions!AJ822</f>
        <v>5.7715204499999999E-2</v>
      </c>
      <c r="AL71" s="6">
        <f>[1]Emissions!AK822</f>
        <v>5.9321839500000001E-2</v>
      </c>
    </row>
    <row r="72" spans="1:38" x14ac:dyDescent="0.35">
      <c r="A72" s="11"/>
      <c r="B72" t="s">
        <v>52</v>
      </c>
      <c r="C72" s="6">
        <f>[1]Emissions!B823</f>
        <v>15.22687925</v>
      </c>
      <c r="D72" s="6">
        <f>[1]Emissions!C823</f>
        <v>15.48376749</v>
      </c>
      <c r="E72" s="6">
        <f>[1]Emissions!D823</f>
        <v>15.78036777</v>
      </c>
      <c r="F72" s="6">
        <f>[1]Emissions!E823</f>
        <v>16.100835400000001</v>
      </c>
      <c r="G72" s="6">
        <f>[1]Emissions!F823</f>
        <v>16.44614322</v>
      </c>
      <c r="H72" s="6">
        <f>[1]Emissions!G823</f>
        <v>16.816682060000002</v>
      </c>
      <c r="I72" s="6">
        <f>[1]Emissions!H823</f>
        <v>17.201257630000001</v>
      </c>
      <c r="J72" s="6">
        <f>[1]Emissions!I823</f>
        <v>17.59798842</v>
      </c>
      <c r="K72" s="6">
        <f>[1]Emissions!J823</f>
        <v>18.005201660000001</v>
      </c>
      <c r="L72" s="6">
        <f>[1]Emissions!K823</f>
        <v>18.42275652</v>
      </c>
      <c r="M72" s="6">
        <f>[1]Emissions!L823</f>
        <v>18.850336859999999</v>
      </c>
      <c r="N72" s="6">
        <f>[1]Emissions!M823</f>
        <v>19.24000753</v>
      </c>
      <c r="O72" s="6">
        <f>[1]Emissions!N823</f>
        <v>19.600598789999999</v>
      </c>
      <c r="P72" s="6">
        <f>[1]Emissions!O823</f>
        <v>19.940889179999999</v>
      </c>
      <c r="Q72" s="6">
        <f>[1]Emissions!P823</f>
        <v>20.271011980000001</v>
      </c>
      <c r="R72" s="6">
        <f>[1]Emissions!Q823</f>
        <v>20.600543250000001</v>
      </c>
      <c r="S72" s="6">
        <f>[1]Emissions!R823</f>
        <v>20.942529090000001</v>
      </c>
      <c r="T72" s="6">
        <f>[1]Emissions!S823</f>
        <v>21.307511900000002</v>
      </c>
      <c r="U72" s="6">
        <f>[1]Emissions!T823</f>
        <v>21.702628310000001</v>
      </c>
      <c r="V72" s="6">
        <f>[1]Emissions!U823</f>
        <v>22.131576599999999</v>
      </c>
      <c r="W72" s="6">
        <f>[1]Emissions!V823</f>
        <v>22.589399100000001</v>
      </c>
      <c r="X72" s="6">
        <f>[1]Emissions!W823</f>
        <v>23.089000739999999</v>
      </c>
      <c r="Y72" s="6">
        <f>[1]Emissions!X823</f>
        <v>23.629631660000001</v>
      </c>
      <c r="Z72" s="6">
        <f>[1]Emissions!Y823</f>
        <v>24.212119789999999</v>
      </c>
      <c r="AA72" s="6">
        <f>[1]Emissions!Z823</f>
        <v>24.835835880000001</v>
      </c>
      <c r="AB72" s="6">
        <f>[1]Emissions!AA823</f>
        <v>25.47821501</v>
      </c>
      <c r="AC72" s="6">
        <f>[1]Emissions!AB823</f>
        <v>26.161509420000002</v>
      </c>
      <c r="AD72" s="6">
        <f>[1]Emissions!AC823</f>
        <v>26.883453889999998</v>
      </c>
      <c r="AE72" s="6">
        <f>[1]Emissions!AD823</f>
        <v>27.64400092</v>
      </c>
      <c r="AF72" s="6">
        <f>[1]Emissions!AE823</f>
        <v>28.439528639999999</v>
      </c>
      <c r="AG72" s="6">
        <f>[1]Emissions!AF823</f>
        <v>29.2641934</v>
      </c>
      <c r="AH72" s="6">
        <f>[1]Emissions!AG823</f>
        <v>30.112541350000001</v>
      </c>
      <c r="AI72" s="6">
        <f>[1]Emissions!AH823</f>
        <v>30.980201749999999</v>
      </c>
      <c r="AJ72" s="6">
        <f>[1]Emissions!AI823</f>
        <v>31.863303689999999</v>
      </c>
      <c r="AK72" s="6">
        <f>[1]Emissions!AJ823</f>
        <v>32.758125</v>
      </c>
      <c r="AL72" s="6">
        <f>[1]Emissions!AK823</f>
        <v>33.660890219999999</v>
      </c>
    </row>
    <row r="73" spans="1:38" x14ac:dyDescent="0.35">
      <c r="A73" s="11"/>
      <c r="B73" t="str">
        <f>B65</f>
        <v>NZ50</v>
      </c>
      <c r="C73" s="6">
        <f>[1]Emissions!B825</f>
        <v>348.01866319999999</v>
      </c>
      <c r="D73" s="6">
        <f>[1]Emissions!C825</f>
        <v>348.27359740000003</v>
      </c>
      <c r="E73" s="6">
        <f>[1]Emissions!D825</f>
        <v>348.62075160000001</v>
      </c>
      <c r="F73" s="6">
        <f>[1]Emissions!E825</f>
        <v>348.73868110000001</v>
      </c>
      <c r="G73" s="6">
        <f>[1]Emissions!F825</f>
        <v>350.85552819999998</v>
      </c>
      <c r="H73" s="6">
        <f>[1]Emissions!G825</f>
        <v>354.50506330000002</v>
      </c>
      <c r="I73" s="6">
        <f>[1]Emissions!H825</f>
        <v>358.46147860000002</v>
      </c>
      <c r="J73" s="6">
        <f>[1]Emissions!I825</f>
        <v>347.68760259999999</v>
      </c>
      <c r="K73" s="6">
        <f>[1]Emissions!J825</f>
        <v>336.63339930000001</v>
      </c>
      <c r="L73" s="6">
        <f>[1]Emissions!K825</f>
        <v>327.09314590000002</v>
      </c>
      <c r="M73" s="6">
        <f>[1]Emissions!L825</f>
        <v>318.3537498</v>
      </c>
      <c r="N73" s="6">
        <f>[1]Emissions!M825</f>
        <v>310.37766010000001</v>
      </c>
      <c r="O73" s="6">
        <f>[1]Emissions!N825</f>
        <v>302.68709050000001</v>
      </c>
      <c r="P73" s="6">
        <f>[1]Emissions!O825</f>
        <v>295.11684869999999</v>
      </c>
      <c r="Q73" s="6">
        <f>[1]Emissions!P825</f>
        <v>287.6702391</v>
      </c>
      <c r="R73" s="6">
        <f>[1]Emissions!Q825</f>
        <v>280.34533640000001</v>
      </c>
      <c r="S73" s="6">
        <f>[1]Emissions!R825</f>
        <v>272.93632000000002</v>
      </c>
      <c r="T73" s="6">
        <f>[1]Emissions!S825</f>
        <v>265.6030427</v>
      </c>
      <c r="U73" s="6">
        <f>[1]Emissions!T825</f>
        <v>258.44423870000003</v>
      </c>
      <c r="V73" s="6">
        <f>[1]Emissions!U825</f>
        <v>251.50351219999999</v>
      </c>
      <c r="W73" s="6">
        <f>[1]Emissions!V825</f>
        <v>244.7461442</v>
      </c>
      <c r="X73" s="6">
        <f>[1]Emissions!W825</f>
        <v>238.25812089999999</v>
      </c>
      <c r="Y73" s="6">
        <f>[1]Emissions!X825</f>
        <v>232.02297609999999</v>
      </c>
      <c r="Z73" s="6">
        <f>[1]Emissions!Y825</f>
        <v>226.00584939999999</v>
      </c>
      <c r="AA73" s="6">
        <f>[1]Emissions!Z825</f>
        <v>220.1520166</v>
      </c>
      <c r="AB73" s="6">
        <f>[1]Emissions!AA825</f>
        <v>214.2771414</v>
      </c>
      <c r="AC73" s="6">
        <f>[1]Emissions!AB825</f>
        <v>208.47805679999999</v>
      </c>
      <c r="AD73" s="6">
        <f>[1]Emissions!AC825</f>
        <v>202.7268455</v>
      </c>
      <c r="AE73" s="6">
        <f>[1]Emissions!AD825</f>
        <v>196.95326</v>
      </c>
      <c r="AF73" s="6">
        <f>[1]Emissions!AE825</f>
        <v>191.03862179999999</v>
      </c>
      <c r="AG73" s="6">
        <f>[1]Emissions!AF825</f>
        <v>184.84330080000001</v>
      </c>
      <c r="AH73" s="6">
        <f>[1]Emissions!AG825</f>
        <v>178.2363651</v>
      </c>
      <c r="AI73" s="6">
        <f>[1]Emissions!AH825</f>
        <v>171.09040529999999</v>
      </c>
      <c r="AJ73" s="6">
        <f>[1]Emissions!AI825</f>
        <v>163.25808960000001</v>
      </c>
      <c r="AK73" s="6">
        <f>[1]Emissions!AJ825</f>
        <v>154.56461479999999</v>
      </c>
      <c r="AL73" s="6">
        <f>[1]Emissions!AK825</f>
        <v>144.78760270000001</v>
      </c>
    </row>
    <row r="74" spans="1:38" x14ac:dyDescent="0.35">
      <c r="A74" s="8"/>
      <c r="B74" t="s">
        <v>25</v>
      </c>
      <c r="C74" s="6">
        <f>[1]Emissions!B829</f>
        <v>119.49049309999999</v>
      </c>
      <c r="D74" s="6">
        <f>[1]Emissions!C829</f>
        <v>118.38067340000001</v>
      </c>
      <c r="E74" s="6">
        <f>[1]Emissions!D829</f>
        <v>117.12886109999999</v>
      </c>
      <c r="F74" s="6">
        <f>[1]Emissions!E829</f>
        <v>115.9002507</v>
      </c>
      <c r="G74" s="6">
        <f>[1]Emissions!F829</f>
        <v>115.3044962</v>
      </c>
      <c r="H74" s="6">
        <f>[1]Emissions!G829</f>
        <v>115.0963641</v>
      </c>
      <c r="I74" s="6">
        <f>[1]Emissions!H829</f>
        <v>114.8585514</v>
      </c>
      <c r="J74" s="6">
        <f>[1]Emissions!I829</f>
        <v>110.101382</v>
      </c>
      <c r="K74" s="6">
        <f>[1]Emissions!J829</f>
        <v>105.64669019999999</v>
      </c>
      <c r="L74" s="6">
        <f>[1]Emissions!K829</f>
        <v>101.53280479999999</v>
      </c>
      <c r="M74" s="6">
        <f>[1]Emissions!L829</f>
        <v>97.74759349</v>
      </c>
      <c r="N74" s="6">
        <f>[1]Emissions!M829</f>
        <v>94.435221949999999</v>
      </c>
      <c r="O74" s="6">
        <f>[1]Emissions!N829</f>
        <v>91.342247369999995</v>
      </c>
      <c r="P74" s="6">
        <f>[1]Emissions!O829</f>
        <v>88.330543019999993</v>
      </c>
      <c r="Q74" s="6">
        <f>[1]Emissions!P829</f>
        <v>85.327737409999997</v>
      </c>
      <c r="R74" s="6">
        <f>[1]Emissions!Q829</f>
        <v>82.299273249999999</v>
      </c>
      <c r="S74" s="6">
        <f>[1]Emissions!R829</f>
        <v>79.194478430000004</v>
      </c>
      <c r="T74" s="6">
        <f>[1]Emissions!S829</f>
        <v>76.047381669999993</v>
      </c>
      <c r="U74" s="6">
        <f>[1]Emissions!T829</f>
        <v>72.877066299999996</v>
      </c>
      <c r="V74" s="6">
        <f>[1]Emissions!U829</f>
        <v>69.694624770000004</v>
      </c>
      <c r="W74" s="6">
        <f>[1]Emissions!V829</f>
        <v>66.490804330000003</v>
      </c>
      <c r="X74" s="6">
        <f>[1]Emissions!W829</f>
        <v>63.29680888</v>
      </c>
      <c r="Y74" s="6">
        <f>[1]Emissions!X829</f>
        <v>60.108199579999997</v>
      </c>
      <c r="Z74" s="6">
        <f>[1]Emissions!Y829</f>
        <v>56.924565020000003</v>
      </c>
      <c r="AA74" s="6">
        <f>[1]Emissions!Z829</f>
        <v>53.747331250000002</v>
      </c>
      <c r="AB74" s="6">
        <f>[1]Emissions!AA829</f>
        <v>50.541254469999998</v>
      </c>
      <c r="AC74" s="6">
        <f>[1]Emissions!AB829</f>
        <v>47.349436490000002</v>
      </c>
      <c r="AD74" s="6">
        <f>[1]Emissions!AC829</f>
        <v>44.171369140000003</v>
      </c>
      <c r="AE74" s="6">
        <f>[1]Emissions!AD829</f>
        <v>41.006637949999998</v>
      </c>
      <c r="AF74" s="6">
        <f>[1]Emissions!AE829</f>
        <v>37.854375580000003</v>
      </c>
      <c r="AG74" s="6">
        <f>[1]Emissions!AF829</f>
        <v>34.712520830000003</v>
      </c>
      <c r="AH74" s="6">
        <f>[1]Emissions!AG829</f>
        <v>31.577802899999998</v>
      </c>
      <c r="AI74" s="6">
        <f>[1]Emissions!AH829</f>
        <v>28.446095440000001</v>
      </c>
      <c r="AJ74" s="6">
        <f>[1]Emissions!AI829</f>
        <v>25.31276407</v>
      </c>
      <c r="AK74" s="6">
        <f>[1]Emissions!AJ829</f>
        <v>22.172852590000002</v>
      </c>
      <c r="AL74" s="6">
        <f>[1]Emissions!AK829</f>
        <v>19.020805500000002</v>
      </c>
    </row>
    <row r="75" spans="1:38" x14ac:dyDescent="0.35">
      <c r="A75" s="8"/>
      <c r="B75" t="s">
        <v>26</v>
      </c>
      <c r="C75" s="6">
        <f>SUM(C76:C78)</f>
        <v>228.52817019439999</v>
      </c>
      <c r="D75" s="6">
        <f t="shared" ref="D75:AL75" si="5">SUM(D76:D78)</f>
        <v>229.89292402519999</v>
      </c>
      <c r="E75" s="6">
        <f t="shared" si="5"/>
        <v>231.49189051979999</v>
      </c>
      <c r="F75" s="6">
        <f t="shared" si="5"/>
        <v>232.83843034110001</v>
      </c>
      <c r="G75" s="6">
        <f t="shared" si="5"/>
        <v>235.5510320459</v>
      </c>
      <c r="H75" s="6">
        <f t="shared" si="5"/>
        <v>239.40869915990001</v>
      </c>
      <c r="I75" s="6">
        <f t="shared" si="5"/>
        <v>243.60292719040001</v>
      </c>
      <c r="J75" s="6">
        <f t="shared" si="5"/>
        <v>237.5862206111</v>
      </c>
      <c r="K75" s="6">
        <f t="shared" si="5"/>
        <v>230.98670916579999</v>
      </c>
      <c r="L75" s="6">
        <f t="shared" si="5"/>
        <v>225.5603410866</v>
      </c>
      <c r="M75" s="6">
        <f t="shared" si="5"/>
        <v>220.60615628480002</v>
      </c>
      <c r="N75" s="6">
        <f t="shared" si="5"/>
        <v>215.94243819499999</v>
      </c>
      <c r="O75" s="6">
        <f t="shared" si="5"/>
        <v>211.3448430386</v>
      </c>
      <c r="P75" s="6">
        <f t="shared" si="5"/>
        <v>206.7863056699</v>
      </c>
      <c r="Q75" s="6">
        <f t="shared" si="5"/>
        <v>202.34250167089999</v>
      </c>
      <c r="R75" s="6">
        <f t="shared" si="5"/>
        <v>198.04606313660003</v>
      </c>
      <c r="S75" s="6">
        <f t="shared" si="5"/>
        <v>193.74184153760001</v>
      </c>
      <c r="T75" s="6">
        <f t="shared" si="5"/>
        <v>189.55566100180002</v>
      </c>
      <c r="U75" s="6">
        <f t="shared" si="5"/>
        <v>185.56717237449999</v>
      </c>
      <c r="V75" s="6">
        <f t="shared" si="5"/>
        <v>181.80888741269999</v>
      </c>
      <c r="W75" s="6">
        <f t="shared" si="5"/>
        <v>178.25533979030001</v>
      </c>
      <c r="X75" s="6">
        <f t="shared" si="5"/>
        <v>174.96131206019999</v>
      </c>
      <c r="Y75" s="6">
        <f t="shared" si="5"/>
        <v>171.9147765937</v>
      </c>
      <c r="Z75" s="6">
        <f t="shared" si="5"/>
        <v>169.08128435770001</v>
      </c>
      <c r="AA75" s="6">
        <f t="shared" si="5"/>
        <v>166.4046853751</v>
      </c>
      <c r="AB75" s="6">
        <f t="shared" si="5"/>
        <v>163.73588699919998</v>
      </c>
      <c r="AC75" s="6">
        <f t="shared" si="5"/>
        <v>161.12862025709998</v>
      </c>
      <c r="AD75" s="6">
        <f t="shared" si="5"/>
        <v>158.55547635080001</v>
      </c>
      <c r="AE75" s="6">
        <f t="shared" si="5"/>
        <v>155.94662209980001</v>
      </c>
      <c r="AF75" s="6">
        <f t="shared" si="5"/>
        <v>153.18424618660001</v>
      </c>
      <c r="AG75" s="6">
        <f t="shared" si="5"/>
        <v>150.13077996980002</v>
      </c>
      <c r="AH75" s="6">
        <f t="shared" si="5"/>
        <v>146.65856215229999</v>
      </c>
      <c r="AI75" s="6">
        <f t="shared" si="5"/>
        <v>142.64430988309999</v>
      </c>
      <c r="AJ75" s="6">
        <f t="shared" si="5"/>
        <v>137.9453255688</v>
      </c>
      <c r="AK75" s="6">
        <f t="shared" si="5"/>
        <v>132.39176213490001</v>
      </c>
      <c r="AL75" s="6">
        <f t="shared" si="5"/>
        <v>125.76679717990001</v>
      </c>
    </row>
    <row r="76" spans="1:38" x14ac:dyDescent="0.35">
      <c r="A76" s="8"/>
      <c r="B76" t="s">
        <v>50</v>
      </c>
      <c r="C76" s="5">
        <f>[1]Emissions!B826</f>
        <v>213.27375599999999</v>
      </c>
      <c r="D76" s="5">
        <f>[1]Emissions!C826</f>
        <v>214.38115569999999</v>
      </c>
      <c r="E76" s="5">
        <f>[1]Emissions!D826</f>
        <v>215.6829692</v>
      </c>
      <c r="F76" s="5">
        <f>[1]Emissions!E826</f>
        <v>216.70840630000001</v>
      </c>
      <c r="G76" s="5">
        <f>[1]Emissions!F826</f>
        <v>219.0749989</v>
      </c>
      <c r="H76" s="5">
        <f>[1]Emissions!G826</f>
        <v>222.5613659</v>
      </c>
      <c r="I76" s="5">
        <f>[1]Emissions!H826</f>
        <v>226.37022440000001</v>
      </c>
      <c r="J76" s="5">
        <f>[1]Emissions!I826</f>
        <v>220.03195550000001</v>
      </c>
      <c r="K76" s="5">
        <f>[1]Emissions!J826</f>
        <v>213.13531380000001</v>
      </c>
      <c r="L76" s="5">
        <f>[1]Emissions!K826</f>
        <v>207.37317390000001</v>
      </c>
      <c r="M76" s="5">
        <f>[1]Emissions!L826</f>
        <v>202.07173230000001</v>
      </c>
      <c r="N76" s="5">
        <f>[1]Emissions!M826</f>
        <v>197.09301840000001</v>
      </c>
      <c r="O76" s="5">
        <f>[1]Emissions!N826</f>
        <v>192.2046331</v>
      </c>
      <c r="P76" s="5">
        <f>[1]Emissions!O826</f>
        <v>187.3688799</v>
      </c>
      <c r="Q76" s="5">
        <f>[1]Emissions!P826</f>
        <v>182.6488665</v>
      </c>
      <c r="R76" s="5">
        <f>[1]Emissions!Q826</f>
        <v>178.0686603</v>
      </c>
      <c r="S76" s="5">
        <f>[1]Emissions!R826</f>
        <v>173.46743549999999</v>
      </c>
      <c r="T76" s="5">
        <f>[1]Emissions!S826</f>
        <v>168.968853</v>
      </c>
      <c r="U76" s="5">
        <f>[1]Emissions!T826</f>
        <v>164.6463645</v>
      </c>
      <c r="V76" s="5">
        <f>[1]Emissions!U826</f>
        <v>160.52717229999999</v>
      </c>
      <c r="W76" s="5">
        <f>[1]Emissions!V826</f>
        <v>156.58833999999999</v>
      </c>
      <c r="X76" s="5">
        <f>[1]Emissions!W826</f>
        <v>152.8693044</v>
      </c>
      <c r="Y76" s="5">
        <f>[1]Emissions!X826</f>
        <v>149.35664929999999</v>
      </c>
      <c r="Z76" s="5">
        <f>[1]Emissions!Y826</f>
        <v>146.01342070000001</v>
      </c>
      <c r="AA76" s="5">
        <f>[1]Emissions!Z826</f>
        <v>142.7823602</v>
      </c>
      <c r="AB76" s="5">
        <f>[1]Emissions!AA826</f>
        <v>139.53493889999999</v>
      </c>
      <c r="AC76" s="5">
        <f>[1]Emissions!AB826</f>
        <v>136.30372639999999</v>
      </c>
      <c r="AD76" s="5">
        <f>[1]Emissions!AC826</f>
        <v>133.05833580000001</v>
      </c>
      <c r="AE76" s="5">
        <f>[1]Emissions!AD826</f>
        <v>129.7270527</v>
      </c>
      <c r="AF76" s="5">
        <f>[1]Emissions!AE826</f>
        <v>126.1933099</v>
      </c>
      <c r="AG76" s="5">
        <f>[1]Emissions!AF826</f>
        <v>122.3224113</v>
      </c>
      <c r="AH76" s="5">
        <f>[1]Emissions!AG826</f>
        <v>117.9885726</v>
      </c>
      <c r="AI76" s="5">
        <f>[1]Emissions!AH826</f>
        <v>113.06889049999999</v>
      </c>
      <c r="AJ76" s="5">
        <f>[1]Emissions!AI826</f>
        <v>107.4205723</v>
      </c>
      <c r="AK76" s="5">
        <f>[1]Emissions!AJ826</f>
        <v>100.87283100000001</v>
      </c>
      <c r="AL76" s="5">
        <f>[1]Emissions!AK826</f>
        <v>93.206776430000005</v>
      </c>
    </row>
    <row r="77" spans="1:38" x14ac:dyDescent="0.35">
      <c r="A77" s="8"/>
      <c r="B77" t="s">
        <v>51</v>
      </c>
      <c r="C77" s="5">
        <f>[1]Emissions!B827</f>
        <v>2.7534944400000001E-2</v>
      </c>
      <c r="D77" s="5">
        <f>[1]Emissions!C827</f>
        <v>2.8000835200000001E-2</v>
      </c>
      <c r="E77" s="5">
        <f>[1]Emissions!D827</f>
        <v>2.8553549800000001E-2</v>
      </c>
      <c r="F77" s="5">
        <f>[1]Emissions!E827</f>
        <v>2.9188641099999999E-2</v>
      </c>
      <c r="G77" s="5">
        <f>[1]Emissions!F827</f>
        <v>2.9889935900000001E-2</v>
      </c>
      <c r="H77" s="5">
        <f>[1]Emissions!G827</f>
        <v>3.0651199899999999E-2</v>
      </c>
      <c r="I77" s="5">
        <f>[1]Emissions!H827</f>
        <v>3.14451704E-2</v>
      </c>
      <c r="J77" s="5">
        <f>[1]Emissions!I827</f>
        <v>3.21366311E-2</v>
      </c>
      <c r="K77" s="5">
        <f>[1]Emissions!J827</f>
        <v>3.2810415799999999E-2</v>
      </c>
      <c r="L77" s="5">
        <f>[1]Emissions!K827</f>
        <v>3.3627216600000003E-2</v>
      </c>
      <c r="M77" s="5">
        <f>[1]Emissions!L827</f>
        <v>3.4445354800000001E-2</v>
      </c>
      <c r="N77" s="5">
        <f>[1]Emissions!M827</f>
        <v>3.5138975000000003E-2</v>
      </c>
      <c r="O77" s="5">
        <f>[1]Emissions!N827</f>
        <v>3.5730968600000003E-2</v>
      </c>
      <c r="P77" s="5">
        <f>[1]Emissions!O827</f>
        <v>3.6247849899999997E-2</v>
      </c>
      <c r="Q77" s="5">
        <f>[1]Emissions!P827</f>
        <v>3.6721780900000001E-2</v>
      </c>
      <c r="R77" s="5">
        <f>[1]Emissions!Q827</f>
        <v>3.71737366E-2</v>
      </c>
      <c r="S77" s="5">
        <f>[1]Emissions!R827</f>
        <v>3.7630187599999997E-2</v>
      </c>
      <c r="T77" s="5">
        <f>[1]Emissions!S827</f>
        <v>3.8103181799999997E-2</v>
      </c>
      <c r="U77" s="5">
        <f>[1]Emissions!T827</f>
        <v>3.8608974499999997E-2</v>
      </c>
      <c r="V77" s="5">
        <f>[1]Emissions!U827</f>
        <v>3.9159592700000002E-2</v>
      </c>
      <c r="W77" s="5">
        <f>[1]Emissions!V827</f>
        <v>3.9757050299999999E-2</v>
      </c>
      <c r="X77" s="5">
        <f>[1]Emissions!W827</f>
        <v>4.0421590200000003E-2</v>
      </c>
      <c r="Y77" s="5">
        <f>[1]Emissions!X827</f>
        <v>4.1163823699999998E-2</v>
      </c>
      <c r="Z77" s="5">
        <f>[1]Emissions!Y827</f>
        <v>4.1991037699999997E-2</v>
      </c>
      <c r="AA77" s="5">
        <f>[1]Emissions!Z827</f>
        <v>4.2905605100000001E-2</v>
      </c>
      <c r="AB77" s="5">
        <f>[1]Emissions!AA827</f>
        <v>4.3883629200000003E-2</v>
      </c>
      <c r="AC77" s="5">
        <f>[1]Emissions!AB827</f>
        <v>4.4940157100000003E-2</v>
      </c>
      <c r="AD77" s="5">
        <f>[1]Emissions!AC827</f>
        <v>4.6092150800000002E-2</v>
      </c>
      <c r="AE77" s="5">
        <f>[1]Emissions!AD827</f>
        <v>4.73454398E-2</v>
      </c>
      <c r="AF77" s="5">
        <f>[1]Emissions!AE827</f>
        <v>4.8694856600000003E-2</v>
      </c>
      <c r="AG77" s="5">
        <f>[1]Emissions!AF827</f>
        <v>5.0128799799999998E-2</v>
      </c>
      <c r="AH77" s="5">
        <f>[1]Emissions!AG827</f>
        <v>5.1635752299999997E-2</v>
      </c>
      <c r="AI77" s="5">
        <f>[1]Emissions!AH827</f>
        <v>5.3205833100000002E-2</v>
      </c>
      <c r="AJ77" s="5">
        <f>[1]Emissions!AI827</f>
        <v>5.4829388799999997E-2</v>
      </c>
      <c r="AK77" s="5">
        <f>[1]Emissions!AJ827</f>
        <v>5.6496634900000002E-2</v>
      </c>
      <c r="AL77" s="5">
        <f>[1]Emissions!AK827</f>
        <v>5.8197339899999999E-2</v>
      </c>
    </row>
    <row r="78" spans="1:38" x14ac:dyDescent="0.35">
      <c r="B78" t="s">
        <v>52</v>
      </c>
      <c r="C78" s="5">
        <f>[1]Emissions!B828</f>
        <v>15.22687925</v>
      </c>
      <c r="D78" s="5">
        <f>[1]Emissions!C828</f>
        <v>15.48376749</v>
      </c>
      <c r="E78" s="5">
        <f>[1]Emissions!D828</f>
        <v>15.78036777</v>
      </c>
      <c r="F78" s="5">
        <f>[1]Emissions!E828</f>
        <v>16.100835400000001</v>
      </c>
      <c r="G78" s="5">
        <f>[1]Emissions!F828</f>
        <v>16.446143209999999</v>
      </c>
      <c r="H78" s="5">
        <f>[1]Emissions!G828</f>
        <v>16.816682060000002</v>
      </c>
      <c r="I78" s="5">
        <f>[1]Emissions!H828</f>
        <v>17.20125762</v>
      </c>
      <c r="J78" s="5">
        <f>[1]Emissions!I828</f>
        <v>17.522128479999999</v>
      </c>
      <c r="K78" s="5">
        <f>[1]Emissions!J828</f>
        <v>17.818584950000002</v>
      </c>
      <c r="L78" s="5">
        <f>[1]Emissions!K828</f>
        <v>18.153539970000001</v>
      </c>
      <c r="M78" s="5">
        <f>[1]Emissions!L828</f>
        <v>18.499978630000001</v>
      </c>
      <c r="N78" s="5">
        <f>[1]Emissions!M828</f>
        <v>18.81428082</v>
      </c>
      <c r="O78" s="5">
        <f>[1]Emissions!N828</f>
        <v>19.104478969999999</v>
      </c>
      <c r="P78" s="5">
        <f>[1]Emissions!O828</f>
        <v>19.381177919999999</v>
      </c>
      <c r="Q78" s="5">
        <f>[1]Emissions!P828</f>
        <v>19.65691339</v>
      </c>
      <c r="R78" s="5">
        <f>[1]Emissions!Q828</f>
        <v>19.9402291</v>
      </c>
      <c r="S78" s="5">
        <f>[1]Emissions!R828</f>
        <v>20.236775850000001</v>
      </c>
      <c r="T78" s="5">
        <f>[1]Emissions!S828</f>
        <v>20.548704820000001</v>
      </c>
      <c r="U78" s="5">
        <f>[1]Emissions!T828</f>
        <v>20.882198899999999</v>
      </c>
      <c r="V78" s="5">
        <f>[1]Emissions!U828</f>
        <v>21.24255552</v>
      </c>
      <c r="W78" s="5">
        <f>[1]Emissions!V828</f>
        <v>21.62724274</v>
      </c>
      <c r="X78" s="5">
        <f>[1]Emissions!W828</f>
        <v>22.051586069999999</v>
      </c>
      <c r="Y78" s="5">
        <f>[1]Emissions!X828</f>
        <v>22.51696347</v>
      </c>
      <c r="Z78" s="5">
        <f>[1]Emissions!Y828</f>
        <v>23.025872620000001</v>
      </c>
      <c r="AA78" s="5">
        <f>[1]Emissions!Z828</f>
        <v>23.579419569999999</v>
      </c>
      <c r="AB78" s="5">
        <f>[1]Emissions!AA828</f>
        <v>24.157064470000002</v>
      </c>
      <c r="AC78" s="5">
        <f>[1]Emissions!AB828</f>
        <v>24.7799537</v>
      </c>
      <c r="AD78" s="5">
        <f>[1]Emissions!AC828</f>
        <v>25.451048400000001</v>
      </c>
      <c r="AE78" s="5">
        <f>[1]Emissions!AD828</f>
        <v>26.17222396</v>
      </c>
      <c r="AF78" s="5">
        <f>[1]Emissions!AE828</f>
        <v>26.942241429999999</v>
      </c>
      <c r="AG78" s="5">
        <f>[1]Emissions!AF828</f>
        <v>27.758239870000001</v>
      </c>
      <c r="AH78" s="5">
        <f>[1]Emissions!AG828</f>
        <v>28.618353800000001</v>
      </c>
      <c r="AI78" s="5">
        <f>[1]Emissions!AH828</f>
        <v>29.52221355</v>
      </c>
      <c r="AJ78" s="5">
        <f>[1]Emissions!AI828</f>
        <v>30.46992388</v>
      </c>
      <c r="AK78" s="5">
        <f>[1]Emissions!AJ828</f>
        <v>31.462434500000001</v>
      </c>
      <c r="AL78" s="5">
        <f>[1]Emissions!AK828</f>
        <v>32.50182341</v>
      </c>
    </row>
    <row r="79" spans="1:38" x14ac:dyDescent="0.35">
      <c r="B79" t="s">
        <v>13</v>
      </c>
      <c r="C79" s="6">
        <f>[1]Results!F1551</f>
        <v>1966951.8470000001</v>
      </c>
      <c r="D79" s="6">
        <f>[1]Results!G1551</f>
        <v>2004519.7749999999</v>
      </c>
      <c r="E79" s="6">
        <f>[1]Results!H1551</f>
        <v>2046281.8149999999</v>
      </c>
      <c r="F79" s="6">
        <f>[1]Results!I1551</f>
        <v>2091846.4129999999</v>
      </c>
      <c r="G79" s="6">
        <f>[1]Results!J1551</f>
        <v>2140335.9550000001</v>
      </c>
      <c r="H79" s="6">
        <f>[1]Results!K1551</f>
        <v>2191475.6439999999</v>
      </c>
      <c r="I79" s="6">
        <f>[1]Results!L1551</f>
        <v>2243515.3629999999</v>
      </c>
      <c r="J79" s="6">
        <f>[1]Results!M1551</f>
        <v>2296706.7650000001</v>
      </c>
      <c r="K79" s="6">
        <f>[1]Results!N1551</f>
        <v>2350978.108</v>
      </c>
      <c r="L79" s="6">
        <f>[1]Results!O1551</f>
        <v>2406385.702</v>
      </c>
      <c r="M79" s="6">
        <f>[1]Results!P1551</f>
        <v>2462757.4789999998</v>
      </c>
      <c r="N79" s="6">
        <f>[1]Results!Q1551</f>
        <v>2512472.9410000001</v>
      </c>
      <c r="O79" s="6">
        <f>[1]Results!R1551</f>
        <v>2558165.1570000001</v>
      </c>
      <c r="P79" s="6">
        <f>[1]Results!S1551</f>
        <v>2600710.9169999999</v>
      </c>
      <c r="Q79" s="6">
        <f>[1]Results!T1551</f>
        <v>2641241.8969999999</v>
      </c>
      <c r="R79" s="6">
        <f>[1]Results!U1551</f>
        <v>2680866.523</v>
      </c>
      <c r="S79" s="6">
        <f>[1]Results!V1551</f>
        <v>2721283.4019999998</v>
      </c>
      <c r="T79" s="6">
        <f>[1]Results!W1551</f>
        <v>2763689.7829999998</v>
      </c>
      <c r="U79" s="6">
        <f>[1]Results!X1551</f>
        <v>2808914.9890000001</v>
      </c>
      <c r="V79" s="6">
        <f>[1]Results!Y1551</f>
        <v>2857434.2579999999</v>
      </c>
      <c r="W79" s="6">
        <f>[1]Results!Z1551</f>
        <v>2908548.2239999999</v>
      </c>
      <c r="X79" s="6">
        <f>[1]Results!AA1551</f>
        <v>2964548.2850000001</v>
      </c>
      <c r="Y79" s="6">
        <f>[1]Results!AB1551</f>
        <v>3025236.702</v>
      </c>
      <c r="Z79" s="6">
        <f>[1]Results!AC1551</f>
        <v>3090896.6320000002</v>
      </c>
      <c r="AA79" s="6">
        <f>[1]Results!AD1551</f>
        <v>3161522.9130000002</v>
      </c>
      <c r="AB79" s="6">
        <f>[1]Results!AE1551</f>
        <v>3233795.29</v>
      </c>
      <c r="AC79" s="6">
        <f>[1]Results!AF1551</f>
        <v>3311796.8629999999</v>
      </c>
      <c r="AD79" s="6">
        <f>[1]Results!AG1551</f>
        <v>3394866.5529999998</v>
      </c>
      <c r="AE79" s="6">
        <f>[1]Results!AH1551</f>
        <v>3483128.3390000002</v>
      </c>
      <c r="AF79" s="6">
        <f>[1]Results!AI1551</f>
        <v>3576080.1009999998</v>
      </c>
      <c r="AG79" s="6">
        <f>[1]Results!AJ1551</f>
        <v>3672934.1519999998</v>
      </c>
      <c r="AH79" s="6">
        <f>[1]Results!AK1551</f>
        <v>3772986.074</v>
      </c>
      <c r="AI79" s="6">
        <f>[1]Results!AL1551</f>
        <v>3875642.0559999999</v>
      </c>
      <c r="AJ79" s="6">
        <f>[1]Results!AM1551</f>
        <v>3980315.2119999998</v>
      </c>
      <c r="AK79" s="6">
        <f>[1]Results!AN1551</f>
        <v>4086406.6340000001</v>
      </c>
      <c r="AL79" s="6">
        <f>[1]Results!AO1551</f>
        <v>4193296.9780000001</v>
      </c>
    </row>
    <row r="80" spans="1:3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5">
      <c r="A81" s="12" t="s">
        <v>78</v>
      </c>
      <c r="B81" t="s">
        <v>13</v>
      </c>
      <c r="C81" s="6">
        <f>[1]Results!F1551</f>
        <v>1966951.8470000001</v>
      </c>
      <c r="D81" s="6">
        <f>[1]Results!G1551</f>
        <v>2004519.7749999999</v>
      </c>
      <c r="E81" s="6">
        <f>[1]Results!H1551</f>
        <v>2046281.8149999999</v>
      </c>
      <c r="F81" s="6">
        <f>[1]Results!I1551</f>
        <v>2091846.4129999999</v>
      </c>
      <c r="G81" s="6">
        <f>[1]Results!J1551</f>
        <v>2140335.9550000001</v>
      </c>
      <c r="H81" s="6">
        <f>[1]Results!K1551</f>
        <v>2191475.6439999999</v>
      </c>
      <c r="I81" s="6">
        <f>[1]Results!L1551</f>
        <v>2243515.3629999999</v>
      </c>
      <c r="J81" s="6">
        <f>[1]Results!M1551</f>
        <v>2296706.7650000001</v>
      </c>
      <c r="K81" s="6">
        <f>[1]Results!N1551</f>
        <v>2350978.108</v>
      </c>
      <c r="L81" s="6">
        <f>[1]Results!O1551</f>
        <v>2406385.702</v>
      </c>
      <c r="M81" s="6">
        <f>[1]Results!P1551</f>
        <v>2462757.4789999998</v>
      </c>
      <c r="N81" s="6">
        <f>[1]Results!Q1551</f>
        <v>2512472.9410000001</v>
      </c>
      <c r="O81" s="6">
        <f>[1]Results!R1551</f>
        <v>2558165.1570000001</v>
      </c>
      <c r="P81" s="6">
        <f>[1]Results!S1551</f>
        <v>2600710.9169999999</v>
      </c>
      <c r="Q81" s="6">
        <f>[1]Results!T1551</f>
        <v>2641241.8969999999</v>
      </c>
      <c r="R81" s="6">
        <f>[1]Results!U1551</f>
        <v>2680866.523</v>
      </c>
      <c r="S81" s="6">
        <f>[1]Results!V1551</f>
        <v>2721283.4019999998</v>
      </c>
      <c r="T81" s="6">
        <f>[1]Results!W1551</f>
        <v>2763689.7829999998</v>
      </c>
      <c r="U81" s="6">
        <f>[1]Results!X1551</f>
        <v>2808914.9890000001</v>
      </c>
      <c r="V81" s="6">
        <f>[1]Results!Y1551</f>
        <v>2857434.2579999999</v>
      </c>
      <c r="W81" s="6">
        <f>[1]Results!Z1551</f>
        <v>2908548.2239999999</v>
      </c>
      <c r="X81" s="6">
        <f>[1]Results!AA1551</f>
        <v>2964548.2850000001</v>
      </c>
      <c r="Y81" s="6">
        <f>[1]Results!AB1551</f>
        <v>3025236.702</v>
      </c>
      <c r="Z81" s="6">
        <f>[1]Results!AC1551</f>
        <v>3090896.6320000002</v>
      </c>
      <c r="AA81" s="6">
        <f>[1]Results!AD1551</f>
        <v>3161522.9130000002</v>
      </c>
      <c r="AB81" s="6">
        <f>[1]Results!AE1551</f>
        <v>3233795.29</v>
      </c>
      <c r="AC81" s="6">
        <f>[1]Results!AF1551</f>
        <v>3311796.8629999999</v>
      </c>
      <c r="AD81" s="6">
        <f>[1]Results!AG1551</f>
        <v>3394866.5529999998</v>
      </c>
      <c r="AE81" s="6">
        <f>[1]Results!AH1551</f>
        <v>3483128.3390000002</v>
      </c>
      <c r="AF81" s="6">
        <f>[1]Results!AI1551</f>
        <v>3576080.1009999998</v>
      </c>
      <c r="AG81" s="6">
        <f>[1]Results!AJ1551</f>
        <v>3672934.1519999998</v>
      </c>
      <c r="AH81" s="6">
        <f>[1]Results!AK1551</f>
        <v>3772986.074</v>
      </c>
      <c r="AI81" s="6">
        <f>[1]Results!AL1551</f>
        <v>3875642.0559999999</v>
      </c>
      <c r="AJ81" s="6">
        <f>[1]Results!AM1551</f>
        <v>3980315.2119999998</v>
      </c>
      <c r="AK81" s="6">
        <f>[1]Results!AN1551</f>
        <v>4086406.6340000001</v>
      </c>
      <c r="AL81" s="6">
        <f>[1]Results!AO1551</f>
        <v>4193296.9780000001</v>
      </c>
    </row>
    <row r="82" spans="1:38" x14ac:dyDescent="0.35">
      <c r="A82" t="s">
        <v>38</v>
      </c>
      <c r="B82" t="s">
        <v>7</v>
      </c>
      <c r="C82" s="6">
        <f>[1]Results!F1552</f>
        <v>36098.159420000004</v>
      </c>
      <c r="D82" s="6">
        <f>[1]Results!G1552</f>
        <v>36619.22868</v>
      </c>
      <c r="E82" s="6">
        <f>[1]Results!H1552</f>
        <v>37231.917139999998</v>
      </c>
      <c r="F82" s="6">
        <f>[1]Results!I1552</f>
        <v>37935.002840000001</v>
      </c>
      <c r="G82" s="6">
        <f>[1]Results!J1552</f>
        <v>38725.811110000002</v>
      </c>
      <c r="H82" s="6">
        <f>[1]Results!K1552</f>
        <v>39587.897929999999</v>
      </c>
      <c r="I82" s="6">
        <f>[1]Results!L1552</f>
        <v>40485.681550000001</v>
      </c>
      <c r="J82" s="6">
        <f>[1]Results!M1552</f>
        <v>41410.332450000002</v>
      </c>
      <c r="K82" s="6">
        <f>[1]Results!N1552</f>
        <v>42356.503649999999</v>
      </c>
      <c r="L82" s="6">
        <f>[1]Results!O1552</f>
        <v>43322.103819999997</v>
      </c>
      <c r="M82" s="6">
        <f>[1]Results!P1552</f>
        <v>44282.047160000002</v>
      </c>
      <c r="N82" s="6">
        <f>[1]Results!Q1552</f>
        <v>45091.602740000002</v>
      </c>
      <c r="O82" s="6">
        <f>[1]Results!R1552</f>
        <v>45802.384559999999</v>
      </c>
      <c r="P82" s="6">
        <f>[1]Results!S1552</f>
        <v>46434.887900000002</v>
      </c>
      <c r="Q82" s="6">
        <f>[1]Results!T1552</f>
        <v>47014.469069999999</v>
      </c>
      <c r="R82" s="6">
        <f>[1]Results!U1552</f>
        <v>47565.688099999999</v>
      </c>
      <c r="S82" s="6">
        <f>[1]Results!V1552</f>
        <v>48125.383139999998</v>
      </c>
      <c r="T82" s="6">
        <f>[1]Results!W1552</f>
        <v>48720.429680000001</v>
      </c>
      <c r="U82" s="6">
        <f>[1]Results!X1552</f>
        <v>49369.689509999997</v>
      </c>
      <c r="V82" s="6">
        <f>[1]Results!Y1552</f>
        <v>50083.623269999996</v>
      </c>
      <c r="W82" s="6">
        <f>[1]Results!Z1552</f>
        <v>50858.858919999999</v>
      </c>
      <c r="X82" s="6">
        <f>[1]Results!AA1552</f>
        <v>51721.70523</v>
      </c>
      <c r="Y82" s="6">
        <f>[1]Results!AB1552</f>
        <v>52680.091469999999</v>
      </c>
      <c r="Z82" s="6">
        <f>[1]Results!AC1552</f>
        <v>53739.011810000004</v>
      </c>
      <c r="AA82" s="6">
        <f>[1]Results!AD1552</f>
        <v>54897.311260000002</v>
      </c>
      <c r="AB82" s="6">
        <f>[1]Results!AE1552</f>
        <v>56117.216639999999</v>
      </c>
      <c r="AC82" s="6">
        <f>[1]Results!AF1552</f>
        <v>57435.687209999996</v>
      </c>
      <c r="AD82" s="6">
        <f>[1]Results!AG1552</f>
        <v>58858.727160000002</v>
      </c>
      <c r="AE82" s="6">
        <f>[1]Results!AH1552</f>
        <v>60387.775860000002</v>
      </c>
      <c r="AF82" s="6">
        <f>[1]Results!AI1552</f>
        <v>62010.055930000002</v>
      </c>
      <c r="AG82" s="6">
        <f>[1]Results!AJ1552</f>
        <v>63706.879580000001</v>
      </c>
      <c r="AH82" s="6">
        <f>[1]Results!AK1552</f>
        <v>65462.082710000002</v>
      </c>
      <c r="AI82" s="6">
        <f>[1]Results!AL1552</f>
        <v>67262.049920000005</v>
      </c>
      <c r="AJ82" s="6">
        <f>[1]Results!AM1552</f>
        <v>69093.161959999998</v>
      </c>
      <c r="AK82" s="6">
        <f>[1]Results!AN1552</f>
        <v>70941.496929999994</v>
      </c>
      <c r="AL82" s="6">
        <f>[1]Results!AO1552</f>
        <v>72792.786259999993</v>
      </c>
    </row>
    <row r="83" spans="1:38" x14ac:dyDescent="0.35">
      <c r="B83" t="s">
        <v>30</v>
      </c>
      <c r="C83" s="6">
        <f>[1]Results!F1555</f>
        <v>331692.73849999998</v>
      </c>
      <c r="D83" s="6">
        <f>[1]Results!G1555</f>
        <v>339805.26160000003</v>
      </c>
      <c r="E83" s="6">
        <f>[1]Results!H1555</f>
        <v>348266.5698</v>
      </c>
      <c r="F83" s="6">
        <f>[1]Results!I1555</f>
        <v>357309.12070000003</v>
      </c>
      <c r="G83" s="6">
        <f>[1]Results!J1555</f>
        <v>366874.53639999998</v>
      </c>
      <c r="H83" s="6">
        <f>[1]Results!K1555</f>
        <v>376916.91720000003</v>
      </c>
      <c r="I83" s="6">
        <f>[1]Results!L1555</f>
        <v>387209.67959999997</v>
      </c>
      <c r="J83" s="6">
        <f>[1]Results!M1555</f>
        <v>397748.3603</v>
      </c>
      <c r="K83" s="6">
        <f>[1]Results!N1555</f>
        <v>408550.07410000003</v>
      </c>
      <c r="L83" s="6">
        <f>[1]Results!O1555</f>
        <v>419648.51189999998</v>
      </c>
      <c r="M83" s="6">
        <f>[1]Results!P1555</f>
        <v>430708.28840000002</v>
      </c>
      <c r="N83" s="6">
        <f>[1]Results!Q1555</f>
        <v>440177.18589999998</v>
      </c>
      <c r="O83" s="6">
        <f>[1]Results!R1555</f>
        <v>448883.70919999998</v>
      </c>
      <c r="P83" s="6">
        <f>[1]Results!S1555</f>
        <v>457101.38870000001</v>
      </c>
      <c r="Q83" s="6">
        <f>[1]Results!T1555</f>
        <v>465133.65210000001</v>
      </c>
      <c r="R83" s="6">
        <f>[1]Results!U1555</f>
        <v>473232.83750000002</v>
      </c>
      <c r="S83" s="6">
        <f>[1]Results!V1555</f>
        <v>481752.71059999999</v>
      </c>
      <c r="T83" s="6">
        <f>[1]Results!W1555</f>
        <v>490932.6495</v>
      </c>
      <c r="U83" s="6">
        <f>[1]Results!X1555</f>
        <v>500924.62089999998</v>
      </c>
      <c r="V83" s="6">
        <f>[1]Results!Y1555</f>
        <v>511791.18040000001</v>
      </c>
      <c r="W83" s="6">
        <f>[1]Results!Z1555</f>
        <v>523493.66230000003</v>
      </c>
      <c r="X83" s="6">
        <f>[1]Results!AA1555</f>
        <v>536227.28509999998</v>
      </c>
      <c r="Y83" s="6">
        <f>[1]Results!AB1555</f>
        <v>550053.58929999999</v>
      </c>
      <c r="Z83" s="6">
        <f>[1]Results!AC1555</f>
        <v>565000.85950000002</v>
      </c>
      <c r="AA83" s="6">
        <f>[1]Results!AD1555</f>
        <v>581027.95669999998</v>
      </c>
      <c r="AB83" s="6">
        <f>[1]Results!AE1555</f>
        <v>597803.09680000006</v>
      </c>
      <c r="AC83" s="6">
        <f>[1]Results!AF1555</f>
        <v>615613.92150000005</v>
      </c>
      <c r="AD83" s="6">
        <f>[1]Results!AG1555</f>
        <v>634500.92020000005</v>
      </c>
      <c r="AE83" s="6">
        <f>[1]Results!AH1555</f>
        <v>654457.74509999994</v>
      </c>
      <c r="AF83" s="6">
        <f>[1]Results!AI1555</f>
        <v>675314.45790000004</v>
      </c>
      <c r="AG83" s="6">
        <f>[1]Results!AJ1555</f>
        <v>696864.74269999994</v>
      </c>
      <c r="AH83" s="6">
        <f>[1]Results!AK1555</f>
        <v>718962.4791</v>
      </c>
      <c r="AI83" s="6">
        <f>[1]Results!AL1555</f>
        <v>741506.7905</v>
      </c>
      <c r="AJ83" s="6">
        <f>[1]Results!AM1555</f>
        <v>764400.83700000006</v>
      </c>
      <c r="AK83" s="6">
        <f>[1]Results!AN1555</f>
        <v>787545.38049999997</v>
      </c>
      <c r="AL83" s="6">
        <f>[1]Results!AO1555</f>
        <v>810835.54119999998</v>
      </c>
    </row>
    <row r="84" spans="1:38" x14ac:dyDescent="0.35">
      <c r="B84" t="s">
        <v>9</v>
      </c>
      <c r="C84" s="6">
        <f>[1]Results!F1567</f>
        <v>48475.559050000003</v>
      </c>
      <c r="D84" s="6">
        <f>[1]Results!G1567</f>
        <v>49503.378060000003</v>
      </c>
      <c r="E84" s="6">
        <f>[1]Results!H1567</f>
        <v>50549.6054</v>
      </c>
      <c r="F84" s="6">
        <f>[1]Results!I1567</f>
        <v>51650.052049999998</v>
      </c>
      <c r="G84" s="6">
        <f>[1]Results!J1567</f>
        <v>52824.77736</v>
      </c>
      <c r="H84" s="6">
        <f>[1]Results!K1567</f>
        <v>54072.425660000001</v>
      </c>
      <c r="I84" s="6">
        <f>[1]Results!L1567</f>
        <v>55349.26887</v>
      </c>
      <c r="J84" s="6">
        <f>[1]Results!M1567</f>
        <v>56648.152589999998</v>
      </c>
      <c r="K84" s="6">
        <f>[1]Results!N1567</f>
        <v>57965.137690000003</v>
      </c>
      <c r="L84" s="6">
        <f>[1]Results!O1567</f>
        <v>59300.353730000003</v>
      </c>
      <c r="M84" s="6">
        <f>[1]Results!P1567</f>
        <v>60612.638330000002</v>
      </c>
      <c r="N84" s="6">
        <f>[1]Results!Q1567</f>
        <v>61679.58023</v>
      </c>
      <c r="O84" s="6">
        <f>[1]Results!R1567</f>
        <v>62610.427479999998</v>
      </c>
      <c r="P84" s="6">
        <f>[1]Results!S1567</f>
        <v>63439.861850000001</v>
      </c>
      <c r="Q84" s="6">
        <f>[1]Results!T1567</f>
        <v>64208.902909999997</v>
      </c>
      <c r="R84" s="6">
        <f>[1]Results!U1567</f>
        <v>64954.256849999998</v>
      </c>
      <c r="S84" s="6">
        <f>[1]Results!V1567</f>
        <v>65730.594840000005</v>
      </c>
      <c r="T84" s="6">
        <f>[1]Results!W1567</f>
        <v>66574.425029999999</v>
      </c>
      <c r="U84" s="6">
        <f>[1]Results!X1567</f>
        <v>67509.084220000004</v>
      </c>
      <c r="V84" s="6">
        <f>[1]Results!Y1567</f>
        <v>68545.901809999996</v>
      </c>
      <c r="W84" s="6">
        <f>[1]Results!Z1567</f>
        <v>69678.29423</v>
      </c>
      <c r="X84" s="6">
        <f>[1]Results!AA1567</f>
        <v>70944.557190000007</v>
      </c>
      <c r="Y84" s="6">
        <f>[1]Results!AB1567</f>
        <v>72350.296300000002</v>
      </c>
      <c r="Z84" s="6">
        <f>[1]Results!AC1567</f>
        <v>73901.220149999994</v>
      </c>
      <c r="AA84" s="6">
        <f>[1]Results!AD1567</f>
        <v>75593.911489999999</v>
      </c>
      <c r="AB84" s="6">
        <f>[1]Results!AE1567</f>
        <v>77373.883040000001</v>
      </c>
      <c r="AC84" s="6">
        <f>[1]Results!AF1567</f>
        <v>79302.096879999997</v>
      </c>
      <c r="AD84" s="6">
        <f>[1]Results!AG1567</f>
        <v>81377.145669999998</v>
      </c>
      <c r="AE84" s="6">
        <f>[1]Results!AH1567</f>
        <v>83597.840379999994</v>
      </c>
      <c r="AF84" s="6">
        <f>[1]Results!AI1567</f>
        <v>85940.029620000001</v>
      </c>
      <c r="AG84" s="6">
        <f>[1]Results!AJ1567</f>
        <v>88373.096139999994</v>
      </c>
      <c r="AH84" s="6">
        <f>[1]Results!AK1567</f>
        <v>90873.01698</v>
      </c>
      <c r="AI84" s="6">
        <f>[1]Results!AL1567</f>
        <v>93421.109190000003</v>
      </c>
      <c r="AJ84" s="6">
        <f>[1]Results!AM1567</f>
        <v>95999.247210000001</v>
      </c>
      <c r="AK84" s="6">
        <f>[1]Results!AN1567</f>
        <v>98589.373879999999</v>
      </c>
      <c r="AL84" s="6">
        <f>[1]Results!AO1567</f>
        <v>101173.34600000001</v>
      </c>
    </row>
    <row r="85" spans="1:38" x14ac:dyDescent="0.35">
      <c r="B85" t="s">
        <v>10</v>
      </c>
      <c r="C85" s="6">
        <f>[1]Results!F1572</f>
        <v>1512067.868</v>
      </c>
      <c r="D85" s="6">
        <f>[1]Results!G1572</f>
        <v>1539381.7420000001</v>
      </c>
      <c r="E85" s="6">
        <f>[1]Results!H1572</f>
        <v>1570466.9539999999</v>
      </c>
      <c r="F85" s="6">
        <f>[1]Results!I1572</f>
        <v>1604583.9669999999</v>
      </c>
      <c r="G85" s="6">
        <f>[1]Results!J1572</f>
        <v>1641000.7420000001</v>
      </c>
      <c r="H85" s="6">
        <f>[1]Results!K1572</f>
        <v>1679444.4779999999</v>
      </c>
      <c r="I85" s="6">
        <f>[1]Results!L1572</f>
        <v>1718456.2139999999</v>
      </c>
      <c r="J85" s="6">
        <f>[1]Results!M1572</f>
        <v>1758300.392</v>
      </c>
      <c r="K85" s="6">
        <f>[1]Results!N1572</f>
        <v>1798907.473</v>
      </c>
      <c r="L85" s="6">
        <f>[1]Results!O1572</f>
        <v>1840307.402</v>
      </c>
      <c r="M85" s="6">
        <f>[1]Results!P1572</f>
        <v>1882745.8019999999</v>
      </c>
      <c r="N85" s="6">
        <f>[1]Results!Q1572</f>
        <v>1920655.9709999999</v>
      </c>
      <c r="O85" s="6">
        <f>[1]Results!R1572</f>
        <v>1955639.1259999999</v>
      </c>
      <c r="P85" s="6">
        <f>[1]Results!S1572</f>
        <v>1988220.145</v>
      </c>
      <c r="Q85" s="6">
        <f>[1]Results!T1572</f>
        <v>2019132.645</v>
      </c>
      <c r="R85" s="6">
        <f>[1]Results!U1572</f>
        <v>2049143.91</v>
      </c>
      <c r="S85" s="6">
        <f>[1]Results!V1572</f>
        <v>2079488.5789999999</v>
      </c>
      <c r="T85" s="6">
        <f>[1]Results!W1572</f>
        <v>2111030.8190000001</v>
      </c>
      <c r="U85" s="6">
        <f>[1]Results!X1572</f>
        <v>2144384.8739999998</v>
      </c>
      <c r="V85" s="6">
        <f>[1]Results!Y1572</f>
        <v>2179927.4109999998</v>
      </c>
      <c r="W85" s="6">
        <f>[1]Results!Z1572</f>
        <v>2217009.2889999999</v>
      </c>
      <c r="X85" s="6">
        <f>[1]Results!AA1572</f>
        <v>2257629.5240000002</v>
      </c>
      <c r="Y85" s="6">
        <f>[1]Results!AB1572</f>
        <v>2301511.1310000001</v>
      </c>
      <c r="Z85" s="6">
        <f>[1]Results!AC1572</f>
        <v>2348894.5189999999</v>
      </c>
      <c r="AA85" s="6">
        <f>[1]Results!AD1572</f>
        <v>2399820.0720000002</v>
      </c>
      <c r="AB85" s="6">
        <f>[1]Results!AE1572</f>
        <v>2451432.0989999999</v>
      </c>
      <c r="AC85" s="6">
        <f>[1]Results!AF1572</f>
        <v>2507381.7710000002</v>
      </c>
      <c r="AD85" s="6">
        <f>[1]Results!AG1572</f>
        <v>2566965.858</v>
      </c>
      <c r="AE85" s="6">
        <f>[1]Results!AH1572</f>
        <v>2630318.6</v>
      </c>
      <c r="AF85" s="6">
        <f>[1]Results!AI1572</f>
        <v>2697162.3229999999</v>
      </c>
      <c r="AG85" s="6">
        <f>[1]Results!AJ1572</f>
        <v>2766987.267</v>
      </c>
      <c r="AH85" s="6">
        <f>[1]Results!AK1572</f>
        <v>2839294.7149999999</v>
      </c>
      <c r="AI85" s="6">
        <f>[1]Results!AL1572</f>
        <v>2913639.96</v>
      </c>
      <c r="AJ85" s="6">
        <f>[1]Results!AM1572</f>
        <v>2989579.2059999998</v>
      </c>
      <c r="AK85" s="6">
        <f>[1]Results!AN1572</f>
        <v>3066658.33</v>
      </c>
      <c r="AL85" s="6">
        <f>[1]Results!AO1572</f>
        <v>3144408.0279999999</v>
      </c>
    </row>
    <row r="86" spans="1:38" x14ac:dyDescent="0.35">
      <c r="B86" t="s">
        <v>29</v>
      </c>
      <c r="C86" s="6">
        <f>C91-C87</f>
        <v>-1916.1346972000001</v>
      </c>
      <c r="D86" s="6">
        <f t="shared" ref="D86:AL86" si="6">D91-D87</f>
        <v>-1930.2740040000003</v>
      </c>
      <c r="E86" s="6">
        <f t="shared" si="6"/>
        <v>-1942.6169164999997</v>
      </c>
      <c r="F86" s="6">
        <f t="shared" si="6"/>
        <v>-1956.0157223000001</v>
      </c>
      <c r="G86" s="6">
        <f t="shared" si="6"/>
        <v>-1966.1338606000002</v>
      </c>
      <c r="H86" s="6">
        <f t="shared" si="6"/>
        <v>-1983.1178575999998</v>
      </c>
      <c r="I86" s="6">
        <f t="shared" si="6"/>
        <v>-2011.2783646000003</v>
      </c>
      <c r="J86" s="6">
        <f t="shared" si="6"/>
        <v>-2045.5949556999999</v>
      </c>
      <c r="K86" s="6">
        <f t="shared" si="6"/>
        <v>-2081.9158815999999</v>
      </c>
      <c r="L86" s="6">
        <f t="shared" si="6"/>
        <v>-2118.6968439000002</v>
      </c>
      <c r="M86" s="6">
        <f t="shared" si="6"/>
        <v>-2156.3246726999996</v>
      </c>
      <c r="N86" s="6">
        <f t="shared" si="6"/>
        <v>-2197.1546060999999</v>
      </c>
      <c r="O86" s="6">
        <f t="shared" si="6"/>
        <v>-2230.3561341</v>
      </c>
      <c r="P86" s="6">
        <f t="shared" si="6"/>
        <v>-2257.2472835000003</v>
      </c>
      <c r="Q86" s="6">
        <f t="shared" si="6"/>
        <v>-2279.6927873</v>
      </c>
      <c r="R86" s="6">
        <f t="shared" si="6"/>
        <v>-2299.5611363999997</v>
      </c>
      <c r="S86" s="6">
        <f t="shared" si="6"/>
        <v>-2313.9493093000001</v>
      </c>
      <c r="T86" s="6">
        <f t="shared" si="6"/>
        <v>-2327.6906491</v>
      </c>
      <c r="U86" s="6">
        <f t="shared" si="6"/>
        <v>-2343.6260825999998</v>
      </c>
      <c r="V86" s="6">
        <f t="shared" si="6"/>
        <v>-2362.9269586999999</v>
      </c>
      <c r="W86" s="6">
        <f t="shared" si="6"/>
        <v>-2385.9448270000003</v>
      </c>
      <c r="X86" s="6">
        <f t="shared" si="6"/>
        <v>-2411.5879324999996</v>
      </c>
      <c r="Y86" s="6">
        <f t="shared" si="6"/>
        <v>-2440.2853563999997</v>
      </c>
      <c r="Z86" s="6">
        <f t="shared" si="6"/>
        <v>-2472.1722694</v>
      </c>
      <c r="AA86" s="6">
        <f t="shared" si="6"/>
        <v>-2507.3920613</v>
      </c>
      <c r="AB86" s="6">
        <f t="shared" si="6"/>
        <v>-2546.5691769999999</v>
      </c>
      <c r="AC86" s="6">
        <f t="shared" si="6"/>
        <v>-2587.250078</v>
      </c>
      <c r="AD86" s="6">
        <f t="shared" si="6"/>
        <v>-2630.5439813000003</v>
      </c>
      <c r="AE86" s="6">
        <f t="shared" si="6"/>
        <v>-2677.0659420000002</v>
      </c>
      <c r="AF86" s="6">
        <f t="shared" si="6"/>
        <v>-2727.3608102000003</v>
      </c>
      <c r="AG86" s="6">
        <f t="shared" si="6"/>
        <v>-2781.0325973999998</v>
      </c>
      <c r="AH86" s="6">
        <f t="shared" si="6"/>
        <v>-2837.0522375</v>
      </c>
      <c r="AI86" s="6">
        <f t="shared" si="6"/>
        <v>-2894.5101366999997</v>
      </c>
      <c r="AJ86" s="6">
        <f t="shared" si="6"/>
        <v>-2952.8079319999997</v>
      </c>
      <c r="AK86" s="6">
        <f t="shared" si="6"/>
        <v>-3011.4760009000001</v>
      </c>
      <c r="AL86" s="6">
        <f t="shared" si="6"/>
        <v>-3070.0775806000001</v>
      </c>
    </row>
    <row r="87" spans="1:38" x14ac:dyDescent="0.35">
      <c r="B87" t="s">
        <v>36</v>
      </c>
      <c r="C87" s="6">
        <f>C89+C90</f>
        <v>-119.34647280000002</v>
      </c>
      <c r="D87" s="6">
        <f t="shared" ref="D87:AL87" si="7">D89+D90</f>
        <v>-123.73569899999995</v>
      </c>
      <c r="E87" s="6">
        <f t="shared" si="7"/>
        <v>-125.80758950000006</v>
      </c>
      <c r="F87" s="6">
        <f t="shared" si="7"/>
        <v>-128.01319369999999</v>
      </c>
      <c r="G87" s="6">
        <f t="shared" si="7"/>
        <v>-131.71966640000005</v>
      </c>
      <c r="H87" s="6">
        <f t="shared" si="7"/>
        <v>-137.78023540000004</v>
      </c>
      <c r="I87" s="6">
        <f t="shared" si="7"/>
        <v>-145.76685740000005</v>
      </c>
      <c r="J87" s="6">
        <f t="shared" si="7"/>
        <v>-154.8715373</v>
      </c>
      <c r="K87" s="6">
        <f t="shared" si="7"/>
        <v>-164.44773039999995</v>
      </c>
      <c r="L87" s="6">
        <f t="shared" si="7"/>
        <v>-174.18988209999998</v>
      </c>
      <c r="M87" s="6">
        <f t="shared" si="7"/>
        <v>-183.92214330000002</v>
      </c>
      <c r="N87" s="6">
        <f t="shared" si="7"/>
        <v>-193.16589090000002</v>
      </c>
      <c r="O87" s="6">
        <f t="shared" si="7"/>
        <v>-201.32903090000002</v>
      </c>
      <c r="P87" s="6">
        <f t="shared" si="7"/>
        <v>-208.48967649999997</v>
      </c>
      <c r="Q87" s="6">
        <f t="shared" si="7"/>
        <v>-214.83503470000005</v>
      </c>
      <c r="R87" s="6">
        <f t="shared" si="7"/>
        <v>-220.58195160000002</v>
      </c>
      <c r="S87" s="6">
        <f t="shared" si="7"/>
        <v>-226.03223270000001</v>
      </c>
      <c r="T87" s="6">
        <f t="shared" si="7"/>
        <v>-231.61545690000003</v>
      </c>
      <c r="U87" s="6">
        <f t="shared" si="7"/>
        <v>-237.65996540000003</v>
      </c>
      <c r="V87" s="6">
        <f t="shared" si="7"/>
        <v>-244.31537530000003</v>
      </c>
      <c r="W87" s="6">
        <f t="shared" si="7"/>
        <v>-251.59826299999997</v>
      </c>
      <c r="X87" s="6">
        <f t="shared" si="7"/>
        <v>-259.50813149999999</v>
      </c>
      <c r="Y87" s="6">
        <f t="shared" si="7"/>
        <v>-268.12397759999999</v>
      </c>
      <c r="Z87" s="6">
        <f t="shared" si="7"/>
        <v>-277.49367459999996</v>
      </c>
      <c r="AA87" s="6">
        <f t="shared" si="7"/>
        <v>-287.64946469999995</v>
      </c>
      <c r="AB87" s="6">
        <f t="shared" si="7"/>
        <v>-298.52953500000001</v>
      </c>
      <c r="AC87" s="6">
        <f t="shared" si="7"/>
        <v>-310.07499700000005</v>
      </c>
      <c r="AD87" s="6">
        <f t="shared" si="7"/>
        <v>-322.42616770000006</v>
      </c>
      <c r="AE87" s="6">
        <f t="shared" si="7"/>
        <v>-335.65381300000001</v>
      </c>
      <c r="AF87" s="6">
        <f t="shared" si="7"/>
        <v>-349.75690180000004</v>
      </c>
      <c r="AG87" s="6">
        <f t="shared" si="7"/>
        <v>-364.63787460000003</v>
      </c>
      <c r="AH87" s="6">
        <f t="shared" si="7"/>
        <v>-380.14958249999995</v>
      </c>
      <c r="AI87" s="6">
        <f t="shared" si="7"/>
        <v>-396.14218830000004</v>
      </c>
      <c r="AJ87" s="6">
        <f t="shared" si="7"/>
        <v>-412.47160900000006</v>
      </c>
      <c r="AK87" s="6">
        <f t="shared" si="7"/>
        <v>-428.99069910000003</v>
      </c>
      <c r="AL87" s="6">
        <f t="shared" si="7"/>
        <v>-445.54559440000003</v>
      </c>
    </row>
    <row r="88" spans="1:38" x14ac:dyDescent="0.35">
      <c r="B88" t="s">
        <v>33</v>
      </c>
      <c r="C88" s="6">
        <f>[1]Results!F1580</f>
        <v>40653.003349999999</v>
      </c>
      <c r="D88" s="6">
        <f>[1]Results!G1580</f>
        <v>41264.174919999998</v>
      </c>
      <c r="E88" s="6">
        <f>[1]Results!H1580</f>
        <v>41835.19298</v>
      </c>
      <c r="F88" s="6">
        <f>[1]Results!I1580</f>
        <v>42452.298560000003</v>
      </c>
      <c r="G88" s="6">
        <f>[1]Results!J1580</f>
        <v>43007.941270000003</v>
      </c>
      <c r="H88" s="6">
        <f>[1]Results!K1580</f>
        <v>43574.823700000001</v>
      </c>
      <c r="I88" s="6">
        <f>[1]Results!L1580</f>
        <v>44171.563869999998</v>
      </c>
      <c r="J88" s="6">
        <f>[1]Results!M1580</f>
        <v>44799.994420000003</v>
      </c>
      <c r="K88" s="6">
        <f>[1]Results!N1580</f>
        <v>45445.283199999998</v>
      </c>
      <c r="L88" s="6">
        <f>[1]Results!O1580</f>
        <v>46100.21774</v>
      </c>
      <c r="M88" s="6">
        <f>[1]Results!P1580</f>
        <v>46748.949710000001</v>
      </c>
      <c r="N88" s="6">
        <f>[1]Results!Q1580</f>
        <v>47258.921170000001</v>
      </c>
      <c r="O88" s="6">
        <f>[1]Results!R1580</f>
        <v>47661.194799999997</v>
      </c>
      <c r="P88" s="6">
        <f>[1]Results!S1580</f>
        <v>47980.369559999999</v>
      </c>
      <c r="Q88" s="6">
        <f>[1]Results!T1580</f>
        <v>48246.755599999997</v>
      </c>
      <c r="R88" s="6">
        <f>[1]Results!U1580</f>
        <v>48489.97421</v>
      </c>
      <c r="S88" s="6">
        <f>[1]Results!V1580</f>
        <v>48726.116560000002</v>
      </c>
      <c r="T88" s="6">
        <f>[1]Results!W1580</f>
        <v>48990.765740000003</v>
      </c>
      <c r="U88" s="6">
        <f>[1]Results!X1580</f>
        <v>49308.00563</v>
      </c>
      <c r="V88" s="6">
        <f>[1]Results!Y1580</f>
        <v>49693.382949999999</v>
      </c>
      <c r="W88" s="6">
        <f>[1]Results!Z1580</f>
        <v>50145.662669999998</v>
      </c>
      <c r="X88" s="6">
        <f>[1]Results!AA1580</f>
        <v>50696.308839999998</v>
      </c>
      <c r="Y88" s="6">
        <f>[1]Results!AB1580</f>
        <v>51350.003839999998</v>
      </c>
      <c r="Z88" s="6">
        <f>[1]Results!AC1580</f>
        <v>52110.686809999999</v>
      </c>
      <c r="AA88" s="6">
        <f>[1]Results!AD1580</f>
        <v>52978.702729999997</v>
      </c>
      <c r="AB88" s="6">
        <f>[1]Results!AE1580</f>
        <v>53914.093000000001</v>
      </c>
      <c r="AC88" s="6">
        <f>[1]Results!AF1580</f>
        <v>54960.711539999997</v>
      </c>
      <c r="AD88" s="6">
        <f>[1]Results!AG1580</f>
        <v>56116.872139999999</v>
      </c>
      <c r="AE88" s="6">
        <f>[1]Results!AH1580</f>
        <v>57379.09794</v>
      </c>
      <c r="AF88" s="6">
        <f>[1]Results!AI1580</f>
        <v>58730.351889999998</v>
      </c>
      <c r="AG88" s="6">
        <f>[1]Results!AJ1580</f>
        <v>60147.836799999997</v>
      </c>
      <c r="AH88" s="6">
        <f>[1]Results!AK1580</f>
        <v>61610.981540000001</v>
      </c>
      <c r="AI88" s="6">
        <f>[1]Results!AL1580</f>
        <v>63102.798940000001</v>
      </c>
      <c r="AJ88" s="6">
        <f>[1]Results!AM1580</f>
        <v>64608.03933</v>
      </c>
      <c r="AK88" s="6">
        <f>[1]Results!AN1580</f>
        <v>66112.52003</v>
      </c>
      <c r="AL88" s="6">
        <f>[1]Results!AO1580</f>
        <v>67602.899420000002</v>
      </c>
    </row>
    <row r="89" spans="1:38" x14ac:dyDescent="0.35">
      <c r="B89" t="s">
        <v>35</v>
      </c>
      <c r="C89" s="6">
        <f>[1]Results!F1577</f>
        <v>-612.37312850000001</v>
      </c>
      <c r="D89" s="6">
        <f>[1]Results!G1577</f>
        <v>-616.76235469999995</v>
      </c>
      <c r="E89" s="6">
        <f>[1]Results!H1577</f>
        <v>-618.83424520000005</v>
      </c>
      <c r="F89" s="6">
        <f>[1]Results!I1577</f>
        <v>-621.03984939999998</v>
      </c>
      <c r="G89" s="6">
        <f>[1]Results!J1577</f>
        <v>-624.74632210000004</v>
      </c>
      <c r="H89" s="6">
        <f>[1]Results!K1577</f>
        <v>-630.80689110000003</v>
      </c>
      <c r="I89" s="6">
        <f>[1]Results!L1577</f>
        <v>-638.79351310000004</v>
      </c>
      <c r="J89" s="6">
        <f>[1]Results!M1577</f>
        <v>-647.89819299999999</v>
      </c>
      <c r="K89" s="6">
        <f>[1]Results!N1577</f>
        <v>-657.47438609999995</v>
      </c>
      <c r="L89" s="6">
        <f>[1]Results!O1577</f>
        <v>-667.21653779999997</v>
      </c>
      <c r="M89" s="6">
        <f>[1]Results!P1577</f>
        <v>-676.94879900000001</v>
      </c>
      <c r="N89" s="6">
        <f>[1]Results!Q1577</f>
        <v>-686.19254660000001</v>
      </c>
      <c r="O89" s="6">
        <f>[1]Results!R1577</f>
        <v>-694.35568660000001</v>
      </c>
      <c r="P89" s="6">
        <f>[1]Results!S1577</f>
        <v>-701.51633219999997</v>
      </c>
      <c r="Q89" s="6">
        <f>[1]Results!T1577</f>
        <v>-707.86169040000004</v>
      </c>
      <c r="R89" s="6">
        <f>[1]Results!U1577</f>
        <v>-713.60860730000002</v>
      </c>
      <c r="S89" s="6">
        <f>[1]Results!V1577</f>
        <v>-719.0588884</v>
      </c>
      <c r="T89" s="6">
        <f>[1]Results!W1577</f>
        <v>-724.64211260000002</v>
      </c>
      <c r="U89" s="6">
        <f>[1]Results!X1577</f>
        <v>-730.68662110000002</v>
      </c>
      <c r="V89" s="6">
        <f>[1]Results!Y1577</f>
        <v>-737.34203100000002</v>
      </c>
      <c r="W89" s="6">
        <f>[1]Results!Z1577</f>
        <v>-744.62491869999997</v>
      </c>
      <c r="X89" s="6">
        <f>[1]Results!AA1577</f>
        <v>-752.53478719999998</v>
      </c>
      <c r="Y89" s="6">
        <f>[1]Results!AB1577</f>
        <v>-761.15063329999998</v>
      </c>
      <c r="Z89" s="6">
        <f>[1]Results!AC1577</f>
        <v>-770.52033029999996</v>
      </c>
      <c r="AA89" s="6">
        <f>[1]Results!AD1577</f>
        <v>-780.67612039999995</v>
      </c>
      <c r="AB89" s="6">
        <f>[1]Results!AE1577</f>
        <v>-791.5561907</v>
      </c>
      <c r="AC89" s="6">
        <f>[1]Results!AF1577</f>
        <v>-803.10165270000005</v>
      </c>
      <c r="AD89" s="6">
        <f>[1]Results!AG1577</f>
        <v>-815.45282340000006</v>
      </c>
      <c r="AE89" s="6">
        <f>[1]Results!AH1577</f>
        <v>-828.68046870000001</v>
      </c>
      <c r="AF89" s="6">
        <f>[1]Results!AI1577</f>
        <v>-842.78355750000003</v>
      </c>
      <c r="AG89" s="6">
        <f>[1]Results!AJ1577</f>
        <v>-857.66453030000002</v>
      </c>
      <c r="AH89" s="6">
        <f>[1]Results!AK1577</f>
        <v>-873.17623819999994</v>
      </c>
      <c r="AI89" s="6">
        <f>[1]Results!AL1577</f>
        <v>-889.16884400000004</v>
      </c>
      <c r="AJ89" s="6">
        <f>[1]Results!AM1577</f>
        <v>-905.49826470000005</v>
      </c>
      <c r="AK89" s="6">
        <f>[1]Results!AN1577</f>
        <v>-922.01735480000002</v>
      </c>
      <c r="AL89" s="6">
        <f>[1]Results!AO1577</f>
        <v>-938.57225010000002</v>
      </c>
    </row>
    <row r="90" spans="1:38" x14ac:dyDescent="0.35">
      <c r="B90" t="s">
        <v>34</v>
      </c>
      <c r="C90" s="6">
        <f>[1]Results!$F1579</f>
        <v>493.02665569999999</v>
      </c>
      <c r="D90" s="6">
        <f>[1]Results!$F1579</f>
        <v>493.02665569999999</v>
      </c>
      <c r="E90" s="6">
        <f>[1]Results!$F1579</f>
        <v>493.02665569999999</v>
      </c>
      <c r="F90" s="6">
        <f>[1]Results!$F1579</f>
        <v>493.02665569999999</v>
      </c>
      <c r="G90" s="6">
        <f>[1]Results!$F1579</f>
        <v>493.02665569999999</v>
      </c>
      <c r="H90" s="6">
        <f>[1]Results!$F1579</f>
        <v>493.02665569999999</v>
      </c>
      <c r="I90" s="6">
        <f>[1]Results!$F1579</f>
        <v>493.02665569999999</v>
      </c>
      <c r="J90" s="6">
        <f>[1]Results!$F1579</f>
        <v>493.02665569999999</v>
      </c>
      <c r="K90" s="6">
        <f>[1]Results!$F1579</f>
        <v>493.02665569999999</v>
      </c>
      <c r="L90" s="6">
        <f>[1]Results!$F1579</f>
        <v>493.02665569999999</v>
      </c>
      <c r="M90" s="6">
        <f>[1]Results!$F1579</f>
        <v>493.02665569999999</v>
      </c>
      <c r="N90" s="6">
        <f>[1]Results!$F1579</f>
        <v>493.02665569999999</v>
      </c>
      <c r="O90" s="6">
        <f>[1]Results!$F1579</f>
        <v>493.02665569999999</v>
      </c>
      <c r="P90" s="6">
        <f>[1]Results!$F1579</f>
        <v>493.02665569999999</v>
      </c>
      <c r="Q90" s="6">
        <f>[1]Results!$F1579</f>
        <v>493.02665569999999</v>
      </c>
      <c r="R90" s="6">
        <f>[1]Results!$F1579</f>
        <v>493.02665569999999</v>
      </c>
      <c r="S90" s="6">
        <f>[1]Results!$F1579</f>
        <v>493.02665569999999</v>
      </c>
      <c r="T90" s="6">
        <f>[1]Results!$F1579</f>
        <v>493.02665569999999</v>
      </c>
      <c r="U90" s="6">
        <f>[1]Results!$F1579</f>
        <v>493.02665569999999</v>
      </c>
      <c r="V90" s="6">
        <f>[1]Results!$F1579</f>
        <v>493.02665569999999</v>
      </c>
      <c r="W90" s="6">
        <f>[1]Results!$F1579</f>
        <v>493.02665569999999</v>
      </c>
      <c r="X90" s="6">
        <f>[1]Results!$F1579</f>
        <v>493.02665569999999</v>
      </c>
      <c r="Y90" s="6">
        <f>[1]Results!$F1579</f>
        <v>493.02665569999999</v>
      </c>
      <c r="Z90" s="6">
        <f>[1]Results!$F1579</f>
        <v>493.02665569999999</v>
      </c>
      <c r="AA90" s="6">
        <f>[1]Results!$F1579</f>
        <v>493.02665569999999</v>
      </c>
      <c r="AB90" s="6">
        <f>[1]Results!$F1579</f>
        <v>493.02665569999999</v>
      </c>
      <c r="AC90" s="6">
        <f>[1]Results!$F1579</f>
        <v>493.02665569999999</v>
      </c>
      <c r="AD90" s="6">
        <f>[1]Results!$F1579</f>
        <v>493.02665569999999</v>
      </c>
      <c r="AE90" s="6">
        <f>[1]Results!$F1579</f>
        <v>493.02665569999999</v>
      </c>
      <c r="AF90" s="6">
        <f>[1]Results!$F1579</f>
        <v>493.02665569999999</v>
      </c>
      <c r="AG90" s="6">
        <f>[1]Results!$F1579</f>
        <v>493.02665569999999</v>
      </c>
      <c r="AH90" s="6">
        <f>[1]Results!$F1579</f>
        <v>493.02665569999999</v>
      </c>
      <c r="AI90" s="6">
        <f>[1]Results!$F1579</f>
        <v>493.02665569999999</v>
      </c>
      <c r="AJ90" s="6">
        <f>[1]Results!$F1579</f>
        <v>493.02665569999999</v>
      </c>
      <c r="AK90" s="6">
        <f>[1]Results!$F1579</f>
        <v>493.02665569999999</v>
      </c>
      <c r="AL90" s="6">
        <f>[1]Results!$F1579</f>
        <v>493.02665569999999</v>
      </c>
    </row>
    <row r="91" spans="1:38" x14ac:dyDescent="0.35">
      <c r="B91" t="s">
        <v>37</v>
      </c>
      <c r="C91" s="6">
        <f>[1]Results!F1575</f>
        <v>-2035.48117</v>
      </c>
      <c r="D91" s="6">
        <f>[1]Results!G1575</f>
        <v>-2054.0097030000002</v>
      </c>
      <c r="E91" s="6">
        <f>[1]Results!H1575</f>
        <v>-2068.4245059999998</v>
      </c>
      <c r="F91" s="6">
        <f>[1]Results!I1575</f>
        <v>-2084.0289160000002</v>
      </c>
      <c r="G91" s="6">
        <f>[1]Results!J1575</f>
        <v>-2097.8535270000002</v>
      </c>
      <c r="H91" s="6">
        <f>[1]Results!K1575</f>
        <v>-2120.8980929999998</v>
      </c>
      <c r="I91" s="6">
        <f>[1]Results!L1575</f>
        <v>-2157.0452220000002</v>
      </c>
      <c r="J91" s="6">
        <f>[1]Results!M1575</f>
        <v>-2200.4664929999999</v>
      </c>
      <c r="K91" s="6">
        <f>[1]Results!N1575</f>
        <v>-2246.3636120000001</v>
      </c>
      <c r="L91" s="6">
        <f>[1]Results!O1575</f>
        <v>-2292.8867260000002</v>
      </c>
      <c r="M91" s="6">
        <f>[1]Results!P1575</f>
        <v>-2340.2468159999999</v>
      </c>
      <c r="N91" s="6">
        <f>[1]Results!Q1575</f>
        <v>-2390.3204970000002</v>
      </c>
      <c r="O91" s="6">
        <f>[1]Results!R1575</f>
        <v>-2431.6851649999999</v>
      </c>
      <c r="P91" s="6">
        <f>[1]Results!S1575</f>
        <v>-2465.7369600000002</v>
      </c>
      <c r="Q91" s="6">
        <f>[1]Results!T1575</f>
        <v>-2494.527822</v>
      </c>
      <c r="R91" s="6">
        <f>[1]Results!U1575</f>
        <v>-2520.1430879999998</v>
      </c>
      <c r="S91" s="6">
        <f>[1]Results!V1575</f>
        <v>-2539.981542</v>
      </c>
      <c r="T91" s="6">
        <f>[1]Results!W1575</f>
        <v>-2559.306106</v>
      </c>
      <c r="U91" s="6">
        <f>[1]Results!X1575</f>
        <v>-2581.2860479999999</v>
      </c>
      <c r="V91" s="6">
        <f>[1]Results!Y1575</f>
        <v>-2607.242334</v>
      </c>
      <c r="W91" s="6">
        <f>[1]Results!Z1575</f>
        <v>-2637.5430900000001</v>
      </c>
      <c r="X91" s="6">
        <f>[1]Results!AA1575</f>
        <v>-2671.0960639999998</v>
      </c>
      <c r="Y91" s="6">
        <f>[1]Results!AB1575</f>
        <v>-2708.4093339999999</v>
      </c>
      <c r="Z91" s="6">
        <f>[1]Results!AC1575</f>
        <v>-2749.6659439999999</v>
      </c>
      <c r="AA91" s="6">
        <f>[1]Results!AD1575</f>
        <v>-2795.041526</v>
      </c>
      <c r="AB91" s="6">
        <f>[1]Results!AE1575</f>
        <v>-2845.098712</v>
      </c>
      <c r="AC91" s="6">
        <f>[1]Results!AF1575</f>
        <v>-2897.3250750000002</v>
      </c>
      <c r="AD91" s="6">
        <f>[1]Results!AG1575</f>
        <v>-2952.9701490000002</v>
      </c>
      <c r="AE91" s="6">
        <f>[1]Results!AH1575</f>
        <v>-3012.7197550000001</v>
      </c>
      <c r="AF91" s="6">
        <f>[1]Results!AI1575</f>
        <v>-3077.1177120000002</v>
      </c>
      <c r="AG91" s="6">
        <f>[1]Results!AJ1575</f>
        <v>-3145.6704719999998</v>
      </c>
      <c r="AH91" s="6">
        <f>[1]Results!AK1575</f>
        <v>-3217.2018200000002</v>
      </c>
      <c r="AI91" s="6">
        <f>[1]Results!AL1575</f>
        <v>-3290.652325</v>
      </c>
      <c r="AJ91" s="6">
        <f>[1]Results!AM1575</f>
        <v>-3365.2795409999999</v>
      </c>
      <c r="AK91" s="6">
        <f>[1]Results!AN1575</f>
        <v>-3440.4666999999999</v>
      </c>
      <c r="AL91" s="6">
        <f>[1]Results!AO1575</f>
        <v>-3515.6231750000002</v>
      </c>
    </row>
    <row r="93" spans="1:38" x14ac:dyDescent="0.35">
      <c r="A93" t="s">
        <v>39</v>
      </c>
      <c r="B93" t="s">
        <v>13</v>
      </c>
      <c r="C93" s="6">
        <f>[1]Results!F1512</f>
        <v>1966951.8470000001</v>
      </c>
      <c r="D93" s="6">
        <f>[1]Results!G1512</f>
        <v>2004519.7749999999</v>
      </c>
      <c r="E93" s="6">
        <f>[1]Results!H1512</f>
        <v>2046281.8149999999</v>
      </c>
      <c r="F93" s="6">
        <f>[1]Results!I1512</f>
        <v>2091846.4129999999</v>
      </c>
      <c r="G93" s="6">
        <f>[1]Results!J1512</f>
        <v>2140335.9550000001</v>
      </c>
      <c r="H93" s="6">
        <f>[1]Results!K1512</f>
        <v>2191475.6439999999</v>
      </c>
      <c r="I93" s="6">
        <f>[1]Results!L1512</f>
        <v>2243515.3629999999</v>
      </c>
      <c r="J93" s="6">
        <f>[1]Results!M1512</f>
        <v>2291277.0649999999</v>
      </c>
      <c r="K93" s="6">
        <f>[1]Results!N1512</f>
        <v>2339909.3930000002</v>
      </c>
      <c r="L93" s="6">
        <f>[1]Results!O1512</f>
        <v>2398526.4160000002</v>
      </c>
      <c r="M93" s="6">
        <f>[1]Results!P1512</f>
        <v>2458411.5430000001</v>
      </c>
      <c r="N93" s="6">
        <f>[1]Results!Q1512</f>
        <v>2510803.12</v>
      </c>
      <c r="O93" s="6">
        <f>[1]Results!R1512</f>
        <v>2558136.969</v>
      </c>
      <c r="P93" s="6">
        <f>[1]Results!S1512</f>
        <v>2601751.7560000001</v>
      </c>
      <c r="Q93" s="6">
        <f>[1]Results!T1512</f>
        <v>2643421.5580000002</v>
      </c>
      <c r="R93" s="6">
        <f>[1]Results!U1512</f>
        <v>2684264.1189999999</v>
      </c>
      <c r="S93" s="6">
        <f>[1]Results!V1512</f>
        <v>2725119.5430000001</v>
      </c>
      <c r="T93" s="6">
        <f>[1]Results!W1512</f>
        <v>2767341.4649999999</v>
      </c>
      <c r="U93" s="6">
        <f>[1]Results!X1512</f>
        <v>2811831.574</v>
      </c>
      <c r="V93" s="6">
        <f>[1]Results!Y1512</f>
        <v>2859209.6609999998</v>
      </c>
      <c r="W93" s="6">
        <f>[1]Results!Z1512</f>
        <v>2908904.01</v>
      </c>
      <c r="X93" s="6">
        <f>[1]Results!AA1512</f>
        <v>2963315.5649999999</v>
      </c>
      <c r="Y93" s="6">
        <f>[1]Results!AB1512</f>
        <v>3022343.372</v>
      </c>
      <c r="Z93" s="6">
        <f>[1]Results!AC1512</f>
        <v>3086370.7289999998</v>
      </c>
      <c r="AA93" s="6">
        <f>[1]Results!AD1512</f>
        <v>3155502.2940000002</v>
      </c>
      <c r="AB93" s="6">
        <f>[1]Results!AE1512</f>
        <v>3226487.1349999998</v>
      </c>
      <c r="AC93" s="6">
        <f>[1]Results!AF1512</f>
        <v>3303591.923</v>
      </c>
      <c r="AD93" s="6">
        <f>[1]Results!AG1512</f>
        <v>3386167.3760000002</v>
      </c>
      <c r="AE93" s="6">
        <f>[1]Results!AH1512</f>
        <v>3474451.8829999999</v>
      </c>
      <c r="AF93" s="6">
        <f>[1]Results!AI1512</f>
        <v>3568090.0890000002</v>
      </c>
      <c r="AG93" s="6">
        <f>[1]Results!AJ1512</f>
        <v>3666420.6170000001</v>
      </c>
      <c r="AH93" s="6">
        <f>[1]Results!AK1512</f>
        <v>3768829.736</v>
      </c>
      <c r="AI93" s="6">
        <f>[1]Results!AL1512</f>
        <v>3874796.2859999998</v>
      </c>
      <c r="AJ93" s="6">
        <f>[1]Results!AM1512</f>
        <v>3983798.344</v>
      </c>
      <c r="AK93" s="6">
        <f>[1]Results!AN1512</f>
        <v>4095294.93</v>
      </c>
      <c r="AL93" s="6">
        <f>[1]Results!AO1512</f>
        <v>4208691.6909999996</v>
      </c>
    </row>
    <row r="94" spans="1:38" x14ac:dyDescent="0.35">
      <c r="B94" t="s">
        <v>7</v>
      </c>
      <c r="C94" s="6">
        <f>[1]Results!F1513</f>
        <v>36098.159420000004</v>
      </c>
      <c r="D94" s="6">
        <f>[1]Results!G1513</f>
        <v>36619.228690000004</v>
      </c>
      <c r="E94" s="6">
        <f>[1]Results!H1513</f>
        <v>37231.917139999998</v>
      </c>
      <c r="F94" s="6">
        <f>[1]Results!I1513</f>
        <v>37935.002840000001</v>
      </c>
      <c r="G94" s="6">
        <f>[1]Results!J1513</f>
        <v>38725.811110000002</v>
      </c>
      <c r="H94" s="6">
        <f>[1]Results!K1513</f>
        <v>39587.897929999999</v>
      </c>
      <c r="I94" s="6">
        <f>[1]Results!L1513</f>
        <v>40485.681550000001</v>
      </c>
      <c r="J94" s="6">
        <f>[1]Results!M1513</f>
        <v>41209.178890000003</v>
      </c>
      <c r="K94" s="6">
        <f>[1]Results!N1513</f>
        <v>41957.948819999998</v>
      </c>
      <c r="L94" s="6">
        <f>[1]Results!O1513</f>
        <v>42929.23977</v>
      </c>
      <c r="M94" s="6">
        <f>[1]Results!P1513</f>
        <v>43889.089440000003</v>
      </c>
      <c r="N94" s="6">
        <f>[1]Results!Q1513</f>
        <v>44694.960480000002</v>
      </c>
      <c r="O94" s="6">
        <f>[1]Results!R1513</f>
        <v>45391.347880000001</v>
      </c>
      <c r="P94" s="6">
        <f>[1]Results!S1513</f>
        <v>46008.210890000002</v>
      </c>
      <c r="Q94" s="6">
        <f>[1]Results!T1513</f>
        <v>46582.958339999997</v>
      </c>
      <c r="R94" s="6">
        <f>[1]Results!U1513</f>
        <v>47137.188370000003</v>
      </c>
      <c r="S94" s="6">
        <f>[1]Results!V1513</f>
        <v>47685.858240000001</v>
      </c>
      <c r="T94" s="6">
        <f>[1]Results!W1513</f>
        <v>48254.634550000002</v>
      </c>
      <c r="U94" s="6">
        <f>[1]Results!X1513</f>
        <v>48864.862430000001</v>
      </c>
      <c r="V94" s="6">
        <f>[1]Results!Y1513</f>
        <v>49530.115299999998</v>
      </c>
      <c r="W94" s="6">
        <f>[1]Results!Z1513</f>
        <v>50249.679109999997</v>
      </c>
      <c r="X94" s="6">
        <f>[1]Results!AA1513</f>
        <v>51051.657850000003</v>
      </c>
      <c r="Y94" s="6">
        <f>[1]Results!AB1513</f>
        <v>51946.019939999998</v>
      </c>
      <c r="Z94" s="6">
        <f>[1]Results!AC1513</f>
        <v>52939.977760000002</v>
      </c>
      <c r="AA94" s="6">
        <f>[1]Results!AD1513</f>
        <v>54034.864500000003</v>
      </c>
      <c r="AB94" s="6">
        <f>[1]Results!AE1513</f>
        <v>55195.003479999999</v>
      </c>
      <c r="AC94" s="6">
        <f>[1]Results!AF1513</f>
        <v>56451.371279999999</v>
      </c>
      <c r="AD94" s="6">
        <f>[1]Results!AG1513</f>
        <v>57820.120049999998</v>
      </c>
      <c r="AE94" s="6">
        <f>[1]Results!AH1513</f>
        <v>59305.203020000001</v>
      </c>
      <c r="AF94" s="6">
        <f>[1]Results!AI1513</f>
        <v>60897.762820000004</v>
      </c>
      <c r="AG94" s="6">
        <f>[1]Results!AJ1513</f>
        <v>62582.46355</v>
      </c>
      <c r="AH94" s="6">
        <f>[1]Results!AK1513</f>
        <v>64345.32344</v>
      </c>
      <c r="AI94" s="6">
        <f>[1]Results!AL1513</f>
        <v>66174.341579999993</v>
      </c>
      <c r="AJ94" s="6">
        <f>[1]Results!AM1513</f>
        <v>68057.109960000002</v>
      </c>
      <c r="AK94" s="6">
        <f>[1]Results!AN1513</f>
        <v>69980.186360000007</v>
      </c>
      <c r="AL94" s="6">
        <f>[1]Results!AO1513</f>
        <v>71928.215119999993</v>
      </c>
    </row>
    <row r="95" spans="1:38" x14ac:dyDescent="0.35">
      <c r="B95" t="s">
        <v>30</v>
      </c>
      <c r="C95" s="6">
        <f>[1]Results!F1516</f>
        <v>331692.73849999998</v>
      </c>
      <c r="D95" s="6">
        <f>[1]Results!G1516</f>
        <v>339805.26160000003</v>
      </c>
      <c r="E95" s="6">
        <f>[1]Results!H1516</f>
        <v>348266.5699</v>
      </c>
      <c r="F95" s="6">
        <f>[1]Results!I1516</f>
        <v>357309.12079999998</v>
      </c>
      <c r="G95" s="6">
        <f>[1]Results!J1516</f>
        <v>366874.53639999998</v>
      </c>
      <c r="H95" s="6">
        <f>[1]Results!K1516</f>
        <v>376916.91729999997</v>
      </c>
      <c r="I95" s="6">
        <f>[1]Results!L1516</f>
        <v>387209.67959999997</v>
      </c>
      <c r="J95" s="6">
        <f>[1]Results!M1516</f>
        <v>395841.52399999998</v>
      </c>
      <c r="K95" s="6">
        <f>[1]Results!N1516</f>
        <v>405073.33549999999</v>
      </c>
      <c r="L95" s="6">
        <f>[1]Results!O1516</f>
        <v>417180.44559999998</v>
      </c>
      <c r="M95" s="6">
        <f>[1]Results!P1516</f>
        <v>428894.06790000002</v>
      </c>
      <c r="N95" s="6">
        <f>[1]Results!Q1516</f>
        <v>438758.34580000001</v>
      </c>
      <c r="O95" s="6">
        <f>[1]Results!R1516</f>
        <v>447538.6972</v>
      </c>
      <c r="P95" s="6">
        <f>[1]Results!S1516</f>
        <v>455714.60029999999</v>
      </c>
      <c r="Q95" s="6">
        <f>[1]Results!T1516</f>
        <v>463809.48129999998</v>
      </c>
      <c r="R95" s="6">
        <f>[1]Results!U1516</f>
        <v>472077.9302</v>
      </c>
      <c r="S95" s="6">
        <f>[1]Results!V1516</f>
        <v>480597.68440000003</v>
      </c>
      <c r="T95" s="6">
        <f>[1]Results!W1516</f>
        <v>489726.6568</v>
      </c>
      <c r="U95" s="6">
        <f>[1]Results!X1516</f>
        <v>499644.48420000001</v>
      </c>
      <c r="V95" s="6">
        <f>[1]Results!Y1516</f>
        <v>510452.60720000003</v>
      </c>
      <c r="W95" s="6">
        <f>[1]Results!Z1516</f>
        <v>522150.90840000001</v>
      </c>
      <c r="X95" s="6">
        <f>[1]Results!AA1516</f>
        <v>534976.48869999999</v>
      </c>
      <c r="Y95" s="6">
        <f>[1]Results!AB1516</f>
        <v>549027.3186</v>
      </c>
      <c r="Z95" s="6">
        <f>[1]Results!AC1516</f>
        <v>564365.02419999999</v>
      </c>
      <c r="AA95" s="6">
        <f>[1]Results!AD1516</f>
        <v>580988.79749999999</v>
      </c>
      <c r="AB95" s="6">
        <f>[1]Results!AE1516</f>
        <v>598600.2182</v>
      </c>
      <c r="AC95" s="6">
        <f>[1]Results!AF1516</f>
        <v>617554.63600000006</v>
      </c>
      <c r="AD95" s="6">
        <f>[1]Results!AG1516</f>
        <v>637926.11829999997</v>
      </c>
      <c r="AE95" s="6">
        <f>[1]Results!AH1516</f>
        <v>659740.35739999998</v>
      </c>
      <c r="AF95" s="6">
        <f>[1]Results!AI1516</f>
        <v>682876.9301</v>
      </c>
      <c r="AG95" s="6">
        <f>[1]Results!AJ1516</f>
        <v>707182.29099999997</v>
      </c>
      <c r="AH95" s="6">
        <f>[1]Results!AK1516</f>
        <v>732567.58629999997</v>
      </c>
      <c r="AI95" s="6">
        <f>[1]Results!AL1516</f>
        <v>758989.86849999998</v>
      </c>
      <c r="AJ95" s="6">
        <f>[1]Results!AM1516</f>
        <v>786404.00159999996</v>
      </c>
      <c r="AK95" s="6">
        <f>[1]Results!AN1516</f>
        <v>814772.13430000003</v>
      </c>
      <c r="AL95" s="6">
        <f>[1]Results!AO1516</f>
        <v>844057.48380000005</v>
      </c>
    </row>
    <row r="96" spans="1:38" x14ac:dyDescent="0.35">
      <c r="B96" t="s">
        <v>9</v>
      </c>
      <c r="C96" s="6">
        <f>[1]Results!F1528</f>
        <v>48475.559050000003</v>
      </c>
      <c r="D96" s="6">
        <f>[1]Results!G1528</f>
        <v>49503.378060000003</v>
      </c>
      <c r="E96" s="6">
        <f>[1]Results!H1528</f>
        <v>50549.6054</v>
      </c>
      <c r="F96" s="6">
        <f>[1]Results!I1528</f>
        <v>51650.052049999998</v>
      </c>
      <c r="G96" s="6">
        <f>[1]Results!J1528</f>
        <v>52824.77736</v>
      </c>
      <c r="H96" s="6">
        <f>[1]Results!K1528</f>
        <v>54072.425660000001</v>
      </c>
      <c r="I96" s="6">
        <f>[1]Results!L1528</f>
        <v>55349.26887</v>
      </c>
      <c r="J96" s="6">
        <f>[1]Results!M1528</f>
        <v>56344.421199999997</v>
      </c>
      <c r="K96" s="6">
        <f>[1]Results!N1528</f>
        <v>57361.221490000004</v>
      </c>
      <c r="L96" s="6">
        <f>[1]Results!O1528</f>
        <v>58728.365619999997</v>
      </c>
      <c r="M96" s="6">
        <f>[1]Results!P1528</f>
        <v>60046.254229999999</v>
      </c>
      <c r="N96" s="6">
        <f>[1]Results!Q1528</f>
        <v>61120.254930000003</v>
      </c>
      <c r="O96" s="6">
        <f>[1]Results!R1528</f>
        <v>62036.684150000001</v>
      </c>
      <c r="P96" s="6">
        <f>[1]Results!S1528</f>
        <v>62846.34951</v>
      </c>
      <c r="Q96" s="6">
        <f>[1]Results!T1528</f>
        <v>63608.649989999998</v>
      </c>
      <c r="R96" s="6">
        <f>[1]Results!U1528</f>
        <v>64352.180549999997</v>
      </c>
      <c r="S96" s="6">
        <f>[1]Results!V1528</f>
        <v>65092.457240000003</v>
      </c>
      <c r="T96" s="6">
        <f>[1]Results!W1528</f>
        <v>65870.099270000006</v>
      </c>
      <c r="U96" s="6">
        <f>[1]Results!X1528</f>
        <v>66717.427880000003</v>
      </c>
      <c r="V96" s="6">
        <f>[1]Results!Y1528</f>
        <v>67654.180359999998</v>
      </c>
      <c r="W96" s="6">
        <f>[1]Results!Z1528</f>
        <v>68681.543990000006</v>
      </c>
      <c r="X96" s="6">
        <f>[1]Results!AA1528</f>
        <v>69845.932809999998</v>
      </c>
      <c r="Y96" s="6">
        <f>[1]Results!AB1528</f>
        <v>71159.748000000007</v>
      </c>
      <c r="Z96" s="6">
        <f>[1]Results!AC1528</f>
        <v>72630.574829999998</v>
      </c>
      <c r="AA96" s="6">
        <f>[1]Results!AD1528</f>
        <v>74257.022159999993</v>
      </c>
      <c r="AB96" s="6">
        <f>[1]Results!AE1528</f>
        <v>75987.748869999996</v>
      </c>
      <c r="AC96" s="6">
        <f>[1]Results!AF1528</f>
        <v>77899.587280000007</v>
      </c>
      <c r="AD96" s="6">
        <f>[1]Results!AG1528</f>
        <v>80005.768559999997</v>
      </c>
      <c r="AE96" s="6">
        <f>[1]Results!AH1528</f>
        <v>82307.695869999996</v>
      </c>
      <c r="AF96" s="6">
        <f>[1]Results!AI1528</f>
        <v>84785.152470000001</v>
      </c>
      <c r="AG96" s="6">
        <f>[1]Results!AJ1528</f>
        <v>87412.021080000006</v>
      </c>
      <c r="AH96" s="6">
        <f>[1]Results!AK1528</f>
        <v>90174.678599999999</v>
      </c>
      <c r="AI96" s="6">
        <f>[1]Results!AL1528</f>
        <v>93066.66</v>
      </c>
      <c r="AJ96" s="6">
        <f>[1]Results!AM1528</f>
        <v>96074.630910000007</v>
      </c>
      <c r="AK96" s="6">
        <f>[1]Results!AN1528</f>
        <v>99184.306169999996</v>
      </c>
      <c r="AL96" s="6">
        <f>[1]Results!AO1528</f>
        <v>102379.91620000001</v>
      </c>
    </row>
    <row r="97" spans="1:38" x14ac:dyDescent="0.35">
      <c r="B97" t="s">
        <v>10</v>
      </c>
      <c r="C97" s="6">
        <f>[1]Results!F1533</f>
        <v>1512067.868</v>
      </c>
      <c r="D97" s="6">
        <f>[1]Results!G1533</f>
        <v>1539381.7420000001</v>
      </c>
      <c r="E97" s="6">
        <f>[1]Results!H1533</f>
        <v>1570466.9550000001</v>
      </c>
      <c r="F97" s="6">
        <f>[1]Results!I1533</f>
        <v>1604583.9669999999</v>
      </c>
      <c r="G97" s="6">
        <f>[1]Results!J1533</f>
        <v>1641000.7420000001</v>
      </c>
      <c r="H97" s="6">
        <f>[1]Results!K1533</f>
        <v>1679444.4779999999</v>
      </c>
      <c r="I97" s="6">
        <f>[1]Results!L1533</f>
        <v>1718456.2150000001</v>
      </c>
      <c r="J97" s="6">
        <f>[1]Results!M1533</f>
        <v>1755235.0179999999</v>
      </c>
      <c r="K97" s="6">
        <f>[1]Results!N1533</f>
        <v>1792435.179</v>
      </c>
      <c r="L97" s="6">
        <f>[1]Results!O1533</f>
        <v>1836091.12</v>
      </c>
      <c r="M97" s="6">
        <f>[1]Results!P1533</f>
        <v>1881562.713</v>
      </c>
      <c r="N97" s="6">
        <f>[1]Results!Q1533</f>
        <v>1922129.571</v>
      </c>
      <c r="O97" s="6">
        <f>[1]Results!R1533</f>
        <v>1959205.183</v>
      </c>
      <c r="P97" s="6">
        <f>[1]Results!S1533</f>
        <v>1993494.031</v>
      </c>
      <c r="Q97" s="6">
        <f>[1]Results!T1533</f>
        <v>2026093.0549999999</v>
      </c>
      <c r="R97" s="6">
        <f>[1]Results!U1533</f>
        <v>2057787.844</v>
      </c>
      <c r="S97" s="6">
        <f>[1]Results!V1533</f>
        <v>2089289.4680000001</v>
      </c>
      <c r="T97" s="6">
        <f>[1]Results!W1533</f>
        <v>2121496.878</v>
      </c>
      <c r="U97" s="6">
        <f>[1]Results!X1533</f>
        <v>2155086.5819999999</v>
      </c>
      <c r="V97" s="6">
        <f>[1]Results!Y1533</f>
        <v>2190546.0260000001</v>
      </c>
      <c r="W97" s="6">
        <f>[1]Results!Z1533</f>
        <v>2227317.4130000002</v>
      </c>
      <c r="X97" s="6">
        <f>[1]Results!AA1533</f>
        <v>2267470.1719999998</v>
      </c>
      <c r="Y97" s="6">
        <f>[1]Results!AB1533</f>
        <v>2310793.9610000001</v>
      </c>
      <c r="Z97" s="6">
        <f>[1]Results!AC1533</f>
        <v>2357611.7080000001</v>
      </c>
      <c r="AA97" s="6">
        <f>[1]Results!AD1533</f>
        <v>2408051.5380000002</v>
      </c>
      <c r="AB97" s="6">
        <f>[1]Results!AE1533</f>
        <v>2459309.2220000001</v>
      </c>
      <c r="AC97" s="6">
        <f>[1]Results!AF1533</f>
        <v>2515155.33</v>
      </c>
      <c r="AD97" s="6">
        <f>[1]Results!AG1533</f>
        <v>2574885.2480000001</v>
      </c>
      <c r="AE97" s="6">
        <f>[1]Results!AH1533</f>
        <v>2638755.787</v>
      </c>
      <c r="AF97" s="6">
        <f>[1]Results!AI1533</f>
        <v>2706631.9849999999</v>
      </c>
      <c r="AG97" s="6">
        <f>[1]Results!AJ1533</f>
        <v>2778130.4709999999</v>
      </c>
      <c r="AH97" s="6">
        <f>[1]Results!AK1533</f>
        <v>2852843.7259999998</v>
      </c>
      <c r="AI97" s="6">
        <f>[1]Results!AL1533</f>
        <v>2930417.89</v>
      </c>
      <c r="AJ97" s="6">
        <f>[1]Results!AM1533</f>
        <v>3010538.04</v>
      </c>
      <c r="AK97" s="6">
        <f>[1]Results!AN1533</f>
        <v>3092900.8459999999</v>
      </c>
      <c r="AL97" s="6">
        <f>[1]Results!AO1533</f>
        <v>3177200.4589999998</v>
      </c>
    </row>
    <row r="98" spans="1:38" x14ac:dyDescent="0.35">
      <c r="B98" t="s">
        <v>29</v>
      </c>
      <c r="C98" s="6">
        <f>C103-C99</f>
        <v>-2005.8049440999998</v>
      </c>
      <c r="D98" s="6">
        <f t="shared" ref="D98:AL98" si="8">D103-D99</f>
        <v>-2023.1251779000002</v>
      </c>
      <c r="E98" s="6">
        <f t="shared" si="8"/>
        <v>-2042.2230451999999</v>
      </c>
      <c r="F98" s="6">
        <f t="shared" si="8"/>
        <v>-2061.2554761000001</v>
      </c>
      <c r="G98" s="6">
        <f t="shared" si="8"/>
        <v>-2081.0051634000001</v>
      </c>
      <c r="H98" s="6">
        <f t="shared" si="8"/>
        <v>-2108.9661790999999</v>
      </c>
      <c r="I98" s="6">
        <f t="shared" si="8"/>
        <v>-2142.8392335999997</v>
      </c>
      <c r="J98" s="6">
        <f t="shared" si="8"/>
        <v>-2224.8232675999998</v>
      </c>
      <c r="K98" s="6">
        <f t="shared" si="8"/>
        <v>-2099.6768978</v>
      </c>
      <c r="L98" s="6">
        <f t="shared" si="8"/>
        <v>-1951.8939100000002</v>
      </c>
      <c r="M98" s="6">
        <f t="shared" si="8"/>
        <v>-1819.6921881000003</v>
      </c>
      <c r="N98" s="6">
        <f t="shared" si="8"/>
        <v>-1690.3453853999999</v>
      </c>
      <c r="O98" s="6">
        <f t="shared" si="8"/>
        <v>-1553.2988201999999</v>
      </c>
      <c r="P98" s="6">
        <f t="shared" si="8"/>
        <v>-1407.2717210000001</v>
      </c>
      <c r="Q98" s="6">
        <f t="shared" si="8"/>
        <v>-1253.397142</v>
      </c>
      <c r="R98" s="6">
        <f t="shared" si="8"/>
        <v>-1093.6761080000001</v>
      </c>
      <c r="S98" s="6">
        <f t="shared" si="8"/>
        <v>-930.68800499999975</v>
      </c>
      <c r="T98" s="6">
        <f t="shared" si="8"/>
        <v>-759.52324199999998</v>
      </c>
      <c r="U98" s="6">
        <f t="shared" si="8"/>
        <v>-583.77135700000008</v>
      </c>
      <c r="V98" s="6">
        <f t="shared" si="8"/>
        <v>-403.70206300000018</v>
      </c>
      <c r="W98" s="6">
        <f t="shared" si="8"/>
        <v>-218.58241299999986</v>
      </c>
      <c r="X98" s="6">
        <f t="shared" si="8"/>
        <v>-27.703584999999975</v>
      </c>
      <c r="Y98" s="6">
        <f t="shared" si="8"/>
        <v>169.68790800000011</v>
      </c>
      <c r="Z98" s="6">
        <f t="shared" si="8"/>
        <v>374.57559100000026</v>
      </c>
      <c r="AA98" s="6">
        <f t="shared" si="8"/>
        <v>588.23392800000011</v>
      </c>
      <c r="AB98" s="6">
        <f t="shared" si="8"/>
        <v>812.68868799999973</v>
      </c>
      <c r="AC98" s="6">
        <f t="shared" si="8"/>
        <v>1049.3704860000003</v>
      </c>
      <c r="AD98" s="6">
        <f t="shared" si="8"/>
        <v>1297.845143</v>
      </c>
      <c r="AE98" s="6">
        <f t="shared" si="8"/>
        <v>1561.0696529999998</v>
      </c>
      <c r="AF98" s="6">
        <f t="shared" si="8"/>
        <v>1841.6406770000006</v>
      </c>
      <c r="AG98" s="6">
        <f t="shared" si="8"/>
        <v>2142.7573850000003</v>
      </c>
      <c r="AH98" s="6">
        <f t="shared" si="8"/>
        <v>2467.8602509999996</v>
      </c>
      <c r="AI98" s="6">
        <f t="shared" si="8"/>
        <v>2820.5226549999993</v>
      </c>
      <c r="AJ98" s="6">
        <f t="shared" si="8"/>
        <v>3204.8193709999996</v>
      </c>
      <c r="AK98" s="6">
        <f t="shared" si="8"/>
        <v>3625.7786240000005</v>
      </c>
      <c r="AL98" s="6">
        <f t="shared" si="8"/>
        <v>4090.2303310000007</v>
      </c>
    </row>
    <row r="99" spans="1:38" x14ac:dyDescent="0.35">
      <c r="B99" t="s">
        <v>36</v>
      </c>
      <c r="C99" s="6">
        <f>C101+C102</f>
        <v>-119.34658389999998</v>
      </c>
      <c r="D99" s="6">
        <f t="shared" ref="D99:AL99" si="9">D101+D102</f>
        <v>-120.61059310000002</v>
      </c>
      <c r="E99" s="6">
        <f t="shared" si="9"/>
        <v>-119.05224980000003</v>
      </c>
      <c r="F99" s="6">
        <f t="shared" si="9"/>
        <v>-118.02365889999993</v>
      </c>
      <c r="G99" s="6">
        <f t="shared" si="9"/>
        <v>-116.2547596</v>
      </c>
      <c r="H99" s="6">
        <f t="shared" si="9"/>
        <v>-115.30133689999991</v>
      </c>
      <c r="I99" s="6">
        <f t="shared" si="9"/>
        <v>-117.61507340000003</v>
      </c>
      <c r="J99" s="6">
        <f t="shared" si="9"/>
        <v>-98.874759400000016</v>
      </c>
      <c r="K99" s="6">
        <f t="shared" si="9"/>
        <v>-195.76385919999996</v>
      </c>
      <c r="L99" s="6">
        <f t="shared" si="9"/>
        <v>-305.65232600000002</v>
      </c>
      <c r="M99" s="6">
        <f t="shared" si="9"/>
        <v>-418.01321289999998</v>
      </c>
      <c r="N99" s="6">
        <f t="shared" si="9"/>
        <v>-532.36158160000014</v>
      </c>
      <c r="O99" s="6">
        <f t="shared" si="9"/>
        <v>-650.03426280000008</v>
      </c>
      <c r="P99" s="6">
        <f t="shared" si="9"/>
        <v>-771.64023399999996</v>
      </c>
      <c r="Q99" s="6">
        <f t="shared" si="9"/>
        <v>-897.45191399999999</v>
      </c>
      <c r="R99" s="6">
        <f t="shared" si="9"/>
        <v>-1027.9708799999999</v>
      </c>
      <c r="S99" s="6">
        <f t="shared" si="9"/>
        <v>-1162.0845150000002</v>
      </c>
      <c r="T99" s="6">
        <f t="shared" si="9"/>
        <v>-1299.7121709999999</v>
      </c>
      <c r="U99" s="6">
        <f t="shared" si="9"/>
        <v>-1441.793459</v>
      </c>
      <c r="V99" s="6">
        <f t="shared" si="9"/>
        <v>-1589.3900499999997</v>
      </c>
      <c r="W99" s="6">
        <f t="shared" si="9"/>
        <v>-1743.6067170000001</v>
      </c>
      <c r="X99" s="6">
        <f t="shared" si="9"/>
        <v>-1904.7218210000001</v>
      </c>
      <c r="Y99" s="6">
        <f t="shared" si="9"/>
        <v>-2073.9180350000001</v>
      </c>
      <c r="Z99" s="6">
        <f t="shared" si="9"/>
        <v>-2252.3352920000002</v>
      </c>
      <c r="AA99" s="6">
        <f t="shared" si="9"/>
        <v>-2441.148776</v>
      </c>
      <c r="AB99" s="6">
        <f t="shared" si="9"/>
        <v>-2642.1749639999998</v>
      </c>
      <c r="AC99" s="6">
        <f t="shared" si="9"/>
        <v>-2854.9732050000002</v>
      </c>
      <c r="AD99" s="6">
        <f t="shared" si="9"/>
        <v>-3081.3475149999999</v>
      </c>
      <c r="AE99" s="6">
        <f t="shared" si="9"/>
        <v>-3323.5142329999999</v>
      </c>
      <c r="AF99" s="6">
        <f t="shared" si="9"/>
        <v>-3583.9312740000005</v>
      </c>
      <c r="AG99" s="6">
        <f t="shared" si="9"/>
        <v>-3864.9493890000003</v>
      </c>
      <c r="AH99" s="6">
        <f t="shared" si="9"/>
        <v>-4168.7880029999997</v>
      </c>
      <c r="AI99" s="6">
        <f t="shared" si="9"/>
        <v>-4498.0753719999993</v>
      </c>
      <c r="AJ99" s="6">
        <f t="shared" si="9"/>
        <v>-4856.3073729999996</v>
      </c>
      <c r="AK99" s="6">
        <f t="shared" si="9"/>
        <v>-5247.9732300000005</v>
      </c>
      <c r="AL99" s="6">
        <f t="shared" si="9"/>
        <v>-5679.3611870000004</v>
      </c>
    </row>
    <row r="100" spans="1:38" x14ac:dyDescent="0.35">
      <c r="B100" t="s">
        <v>33</v>
      </c>
      <c r="C100" s="6">
        <f>[1]Results!F1541</f>
        <v>40653.003360000002</v>
      </c>
      <c r="D100" s="6">
        <f>[1]Results!G1541</f>
        <v>41264.174930000001</v>
      </c>
      <c r="E100" s="6">
        <f>[1]Results!H1541</f>
        <v>41835.19298</v>
      </c>
      <c r="F100" s="6">
        <f>[1]Results!I1541</f>
        <v>42452.298560000003</v>
      </c>
      <c r="G100" s="6">
        <f>[1]Results!J1541</f>
        <v>43007.941270000003</v>
      </c>
      <c r="H100" s="6">
        <f>[1]Results!K1541</f>
        <v>43574.823700000001</v>
      </c>
      <c r="I100" s="6">
        <f>[1]Results!L1541</f>
        <v>44171.563860000002</v>
      </c>
      <c r="J100" s="6">
        <f>[1]Results!M1541</f>
        <v>44859.614399999999</v>
      </c>
      <c r="K100" s="6">
        <f>[1]Results!N1541</f>
        <v>45372.913619999999</v>
      </c>
      <c r="L100" s="6">
        <f>[1]Results!O1541</f>
        <v>45968.95998</v>
      </c>
      <c r="M100" s="6">
        <f>[1]Results!P1541</f>
        <v>46491.757519999999</v>
      </c>
      <c r="N100" s="6">
        <f>[1]Results!Q1541</f>
        <v>46679.629670000002</v>
      </c>
      <c r="O100" s="6">
        <f>[1]Results!R1541</f>
        <v>46650.934730000001</v>
      </c>
      <c r="P100" s="6">
        <f>[1]Results!S1541</f>
        <v>46479.485589999997</v>
      </c>
      <c r="Q100" s="6">
        <f>[1]Results!T1541</f>
        <v>46223.763679999996</v>
      </c>
      <c r="R100" s="6">
        <f>[1]Results!U1541</f>
        <v>45914.104460000002</v>
      </c>
      <c r="S100" s="6">
        <f>[1]Results!V1541</f>
        <v>45571.537259999997</v>
      </c>
      <c r="T100" s="6">
        <f>[1]Results!W1541</f>
        <v>45221.528599999998</v>
      </c>
      <c r="U100" s="6">
        <f>[1]Results!X1541</f>
        <v>44861.454890000001</v>
      </c>
      <c r="V100" s="6">
        <f>[1]Results!Y1541</f>
        <v>44491.338049999998</v>
      </c>
      <c r="W100" s="6">
        <f>[1]Results!Z1541</f>
        <v>44098.43591</v>
      </c>
      <c r="X100" s="6">
        <f>[1]Results!AA1541</f>
        <v>43702.479619999998</v>
      </c>
      <c r="Y100" s="6">
        <f>[1]Results!AB1541</f>
        <v>43294.172509999997</v>
      </c>
      <c r="Z100" s="6">
        <f>[1]Results!AC1541</f>
        <v>42858.796280000002</v>
      </c>
      <c r="AA100" s="6">
        <f>[1]Results!AD1541</f>
        <v>42374.874709999996</v>
      </c>
      <c r="AB100" s="6">
        <f>[1]Results!AE1541</f>
        <v>41782.839010000003</v>
      </c>
      <c r="AC100" s="6">
        <f>[1]Results!AF1541</f>
        <v>41113.292990000002</v>
      </c>
      <c r="AD100" s="6">
        <f>[1]Results!AG1541</f>
        <v>40322.187960000003</v>
      </c>
      <c r="AE100" s="6">
        <f>[1]Results!AH1541</f>
        <v>39361.576110000002</v>
      </c>
      <c r="AF100" s="6">
        <f>[1]Results!AI1541</f>
        <v>38162.941599999998</v>
      </c>
      <c r="AG100" s="6">
        <f>[1]Results!AJ1541</f>
        <v>36644.841999999997</v>
      </c>
      <c r="AH100" s="6">
        <f>[1]Results!AK1541</f>
        <v>34718.570469999999</v>
      </c>
      <c r="AI100" s="6">
        <f>[1]Results!AL1541</f>
        <v>32279.970880000001</v>
      </c>
      <c r="AJ100" s="6">
        <f>[1]Results!AM1541</f>
        <v>29195.880109999998</v>
      </c>
      <c r="AK100" s="6">
        <f>[1]Results!AN1541</f>
        <v>25298.227849999999</v>
      </c>
      <c r="AL100" s="6">
        <f>[1]Results!AO1541</f>
        <v>20372.219720000001</v>
      </c>
    </row>
    <row r="101" spans="1:38" x14ac:dyDescent="0.35">
      <c r="B101" t="s">
        <v>35</v>
      </c>
      <c r="C101" s="6">
        <f>[1]Results!F1538</f>
        <v>-612.37312850000001</v>
      </c>
      <c r="D101" s="6">
        <f>[1]Results!G1538</f>
        <v>-616.76235480000003</v>
      </c>
      <c r="E101" s="6">
        <f>[1]Results!H1538</f>
        <v>-618.83424530000002</v>
      </c>
      <c r="F101" s="6">
        <f>[1]Results!I1538</f>
        <v>-621.03984949999995</v>
      </c>
      <c r="G101" s="6">
        <f>[1]Results!J1538</f>
        <v>-624.74632229999997</v>
      </c>
      <c r="H101" s="6">
        <f>[1]Results!K1538</f>
        <v>-630.80689129999996</v>
      </c>
      <c r="I101" s="6">
        <f>[1]Results!L1538</f>
        <v>-638.79351329999997</v>
      </c>
      <c r="J101" s="6">
        <f>[1]Results!M1538</f>
        <v>-695.59306660000004</v>
      </c>
      <c r="K101" s="6">
        <f>[1]Results!N1538</f>
        <v>-864.36016710000001</v>
      </c>
      <c r="L101" s="6">
        <f>[1]Results!O1538</f>
        <v>-1047.60987</v>
      </c>
      <c r="M101" s="6">
        <f>[1]Results!P1538</f>
        <v>-1233.410349</v>
      </c>
      <c r="N101" s="6">
        <f>[1]Results!Q1538</f>
        <v>-1420.4620050000001</v>
      </c>
      <c r="O101" s="6">
        <f>[1]Results!R1538</f>
        <v>-1609.3600060000001</v>
      </c>
      <c r="P101" s="6">
        <f>[1]Results!S1538</f>
        <v>-1800.8251789999999</v>
      </c>
      <c r="Q101" s="6">
        <f>[1]Results!T1538</f>
        <v>-1995.7485079999999</v>
      </c>
      <c r="R101" s="6">
        <f>[1]Results!U1538</f>
        <v>-2195.1283969999999</v>
      </c>
      <c r="S101" s="6">
        <f>[1]Results!V1538</f>
        <v>-2399.4589420000002</v>
      </c>
      <c r="T101" s="6">
        <f>[1]Results!W1538</f>
        <v>-2609.0641479999999</v>
      </c>
      <c r="U101" s="6">
        <f>[1]Results!X1538</f>
        <v>-2825.388046</v>
      </c>
      <c r="V101" s="6">
        <f>[1]Results!Y1538</f>
        <v>-3049.9671939999998</v>
      </c>
      <c r="W101" s="6">
        <f>[1]Results!Z1538</f>
        <v>-3284.1234340000001</v>
      </c>
      <c r="X101" s="6">
        <f>[1]Results!AA1538</f>
        <v>-3529.202295</v>
      </c>
      <c r="Y101" s="6">
        <f>[1]Results!AB1538</f>
        <v>-3786.9643500000002</v>
      </c>
      <c r="Z101" s="6">
        <f>[1]Results!AC1538</f>
        <v>-4059.1126220000001</v>
      </c>
      <c r="AA101" s="6">
        <f>[1]Results!AD1538</f>
        <v>-4347.2943770000002</v>
      </c>
      <c r="AB101" s="6">
        <f>[1]Results!AE1538</f>
        <v>-4652.7439029999996</v>
      </c>
      <c r="AC101" s="6">
        <f>[1]Results!AF1538</f>
        <v>-4976.8843770000003</v>
      </c>
      <c r="AD101" s="6">
        <f>[1]Results!AG1538</f>
        <v>-5322.7278269999997</v>
      </c>
      <c r="AE101" s="6">
        <f>[1]Results!AH1538</f>
        <v>-5693.3849270000001</v>
      </c>
      <c r="AF101" s="6">
        <f>[1]Results!AI1538</f>
        <v>-6091.7257600000003</v>
      </c>
      <c r="AG101" s="6">
        <f>[1]Results!AJ1538</f>
        <v>-6520.3210520000002</v>
      </c>
      <c r="AH101" s="6">
        <f>[1]Results!AK1538</f>
        <v>-6981.9112729999997</v>
      </c>
      <c r="AI101" s="6">
        <f>[1]Results!AL1538</f>
        <v>-7480.0556939999997</v>
      </c>
      <c r="AJ101" s="6">
        <f>[1]Results!AM1538</f>
        <v>-8019.4224020000001</v>
      </c>
      <c r="AK101" s="6">
        <f>[1]Results!AN1538</f>
        <v>-8606.0741450000005</v>
      </c>
      <c r="AL101" s="6">
        <f>[1]Results!AO1538</f>
        <v>-9248.4477470000002</v>
      </c>
    </row>
    <row r="102" spans="1:38" x14ac:dyDescent="0.35">
      <c r="B102" t="s">
        <v>34</v>
      </c>
      <c r="C102" s="6">
        <f>[1]Results!F1540</f>
        <v>493.02654460000002</v>
      </c>
      <c r="D102" s="6">
        <f>[1]Results!G1540</f>
        <v>496.15176170000001</v>
      </c>
      <c r="E102" s="6">
        <f>[1]Results!H1540</f>
        <v>499.78199549999999</v>
      </c>
      <c r="F102" s="6">
        <f>[1]Results!I1540</f>
        <v>503.01619060000002</v>
      </c>
      <c r="G102" s="6">
        <f>[1]Results!J1540</f>
        <v>508.49156269999997</v>
      </c>
      <c r="H102" s="6">
        <f>[1]Results!K1540</f>
        <v>515.50555440000005</v>
      </c>
      <c r="I102" s="6">
        <f>[1]Results!L1540</f>
        <v>521.17843989999994</v>
      </c>
      <c r="J102" s="6">
        <f>[1]Results!M1540</f>
        <v>596.71830720000003</v>
      </c>
      <c r="K102" s="6">
        <f>[1]Results!N1540</f>
        <v>668.59630790000006</v>
      </c>
      <c r="L102" s="6">
        <f>[1]Results!O1540</f>
        <v>741.95754399999998</v>
      </c>
      <c r="M102" s="6">
        <f>[1]Results!P1540</f>
        <v>815.39713610000001</v>
      </c>
      <c r="N102" s="6">
        <f>[1]Results!Q1540</f>
        <v>888.10042339999995</v>
      </c>
      <c r="O102" s="6">
        <f>[1]Results!R1540</f>
        <v>959.32574320000003</v>
      </c>
      <c r="P102" s="6">
        <f>[1]Results!S1540</f>
        <v>1029.184945</v>
      </c>
      <c r="Q102" s="6">
        <f>[1]Results!T1540</f>
        <v>1098.2965939999999</v>
      </c>
      <c r="R102" s="6">
        <f>[1]Results!U1540</f>
        <v>1167.1575170000001</v>
      </c>
      <c r="S102" s="6">
        <f>[1]Results!V1540</f>
        <v>1237.374427</v>
      </c>
      <c r="T102" s="6">
        <f>[1]Results!W1540</f>
        <v>1309.351977</v>
      </c>
      <c r="U102" s="6">
        <f>[1]Results!X1540</f>
        <v>1383.594587</v>
      </c>
      <c r="V102" s="6">
        <f>[1]Results!Y1540</f>
        <v>1460.5771440000001</v>
      </c>
      <c r="W102" s="6">
        <f>[1]Results!Z1540</f>
        <v>1540.516717</v>
      </c>
      <c r="X102" s="6">
        <f>[1]Results!AA1540</f>
        <v>1624.480474</v>
      </c>
      <c r="Y102" s="6">
        <f>[1]Results!AB1540</f>
        <v>1713.046315</v>
      </c>
      <c r="Z102" s="6">
        <f>[1]Results!AC1540</f>
        <v>1806.7773299999999</v>
      </c>
      <c r="AA102" s="6">
        <f>[1]Results!AD1540</f>
        <v>1906.1456009999999</v>
      </c>
      <c r="AB102" s="6">
        <f>[1]Results!AE1540</f>
        <v>2010.568939</v>
      </c>
      <c r="AC102" s="6">
        <f>[1]Results!AF1540</f>
        <v>2121.9111720000001</v>
      </c>
      <c r="AD102" s="6">
        <f>[1]Results!AG1540</f>
        <v>2241.3803119999998</v>
      </c>
      <c r="AE102" s="6">
        <f>[1]Results!AH1540</f>
        <v>2369.8706940000002</v>
      </c>
      <c r="AF102" s="6">
        <f>[1]Results!AI1540</f>
        <v>2507.7944859999998</v>
      </c>
      <c r="AG102" s="6">
        <f>[1]Results!AJ1540</f>
        <v>2655.3716629999999</v>
      </c>
      <c r="AH102" s="6">
        <f>[1]Results!AK1540</f>
        <v>2813.12327</v>
      </c>
      <c r="AI102" s="6">
        <f>[1]Results!AL1540</f>
        <v>2981.9803219999999</v>
      </c>
      <c r="AJ102" s="6">
        <f>[1]Results!AM1540</f>
        <v>3163.115029</v>
      </c>
      <c r="AK102" s="6">
        <f>[1]Results!AN1540</f>
        <v>3358.100915</v>
      </c>
      <c r="AL102" s="6">
        <f>[1]Results!AO1540</f>
        <v>3569.0865600000002</v>
      </c>
    </row>
    <row r="103" spans="1:38" x14ac:dyDescent="0.35">
      <c r="B103" t="s">
        <v>37</v>
      </c>
      <c r="C103" s="6">
        <f>[1]Results!F1537</f>
        <v>-2125.1515279999999</v>
      </c>
      <c r="D103" s="6">
        <f>[1]Results!G1537</f>
        <v>-2143.7357710000001</v>
      </c>
      <c r="E103" s="6">
        <f>[1]Results!H1537</f>
        <v>-2161.2752949999999</v>
      </c>
      <c r="F103" s="6">
        <f>[1]Results!I1537</f>
        <v>-2179.2791350000002</v>
      </c>
      <c r="G103" s="6">
        <f>[1]Results!J1537</f>
        <v>-2197.2599230000001</v>
      </c>
      <c r="H103" s="6">
        <f>[1]Results!K1537</f>
        <v>-2224.2675159999999</v>
      </c>
      <c r="I103" s="6">
        <f>[1]Results!L1537</f>
        <v>-2260.454307</v>
      </c>
      <c r="J103" s="6">
        <f>[1]Results!M1537</f>
        <v>-2323.6980269999999</v>
      </c>
      <c r="K103" s="6">
        <f>[1]Results!N1537</f>
        <v>-2295.4407569999998</v>
      </c>
      <c r="L103" s="6">
        <f>[1]Results!O1537</f>
        <v>-2257.5462360000001</v>
      </c>
      <c r="M103" s="6">
        <f>[1]Results!P1537</f>
        <v>-2237.7054010000002</v>
      </c>
      <c r="N103" s="6">
        <f>[1]Results!Q1537</f>
        <v>-2222.7069670000001</v>
      </c>
      <c r="O103" s="6">
        <f>[1]Results!R1537</f>
        <v>-2203.333083</v>
      </c>
      <c r="P103" s="6">
        <f>[1]Results!S1537</f>
        <v>-2178.911955</v>
      </c>
      <c r="Q103" s="6">
        <f>[1]Results!T1537</f>
        <v>-2150.849056</v>
      </c>
      <c r="R103" s="6">
        <f>[1]Results!U1537</f>
        <v>-2121.646988</v>
      </c>
      <c r="S103" s="6">
        <f>[1]Results!V1537</f>
        <v>-2092.77252</v>
      </c>
      <c r="T103" s="6">
        <f>[1]Results!W1537</f>
        <v>-2059.2354129999999</v>
      </c>
      <c r="U103" s="6">
        <f>[1]Results!X1537</f>
        <v>-2025.5648160000001</v>
      </c>
      <c r="V103" s="6">
        <f>[1]Results!Y1537</f>
        <v>-1993.0921129999999</v>
      </c>
      <c r="W103" s="6">
        <f>[1]Results!Z1537</f>
        <v>-1962.18913</v>
      </c>
      <c r="X103" s="6">
        <f>[1]Results!AA1537</f>
        <v>-1932.4254060000001</v>
      </c>
      <c r="Y103" s="6">
        <f>[1]Results!AB1537</f>
        <v>-1904.230127</v>
      </c>
      <c r="Z103" s="6">
        <f>[1]Results!AC1537</f>
        <v>-1877.7597009999999</v>
      </c>
      <c r="AA103" s="6">
        <f>[1]Results!AD1537</f>
        <v>-1852.9148479999999</v>
      </c>
      <c r="AB103" s="6">
        <f>[1]Results!AE1537</f>
        <v>-1829.4862760000001</v>
      </c>
      <c r="AC103" s="6">
        <f>[1]Results!AF1537</f>
        <v>-1805.602719</v>
      </c>
      <c r="AD103" s="6">
        <f>[1]Results!AG1537</f>
        <v>-1783.5023719999999</v>
      </c>
      <c r="AE103" s="6">
        <f>[1]Results!AH1537</f>
        <v>-1762.4445800000001</v>
      </c>
      <c r="AF103" s="6">
        <f>[1]Results!AI1537</f>
        <v>-1742.2905969999999</v>
      </c>
      <c r="AG103" s="6">
        <f>[1]Results!AJ1537</f>
        <v>-1722.192004</v>
      </c>
      <c r="AH103" s="6">
        <f>[1]Results!AK1537</f>
        <v>-1700.9277520000001</v>
      </c>
      <c r="AI103" s="6">
        <f>[1]Results!AL1537</f>
        <v>-1677.552717</v>
      </c>
      <c r="AJ103" s="6">
        <f>[1]Results!AM1537</f>
        <v>-1651.4880020000001</v>
      </c>
      <c r="AK103" s="6">
        <f>[1]Results!AN1537</f>
        <v>-1622.194606</v>
      </c>
      <c r="AL103" s="6">
        <f>[1]Results!AO1537</f>
        <v>-1589.130856</v>
      </c>
    </row>
    <row r="104" spans="1:3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6" spans="1:3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38" x14ac:dyDescent="0.35">
      <c r="A107" t="s">
        <v>80</v>
      </c>
      <c r="B107" t="s">
        <v>27</v>
      </c>
      <c r="C107" s="4">
        <f>(R93-R79)/R79</f>
        <v>1.2673499299017145E-3</v>
      </c>
      <c r="D107" s="10">
        <f>(AB93-AB79)/AB79</f>
        <v>-2.2599312401126851E-3</v>
      </c>
      <c r="E107" s="10">
        <f>(AL93-AL79)/AL79</f>
        <v>3.6712670437527794E-3</v>
      </c>
    </row>
    <row r="108" spans="1:38" x14ac:dyDescent="0.35">
      <c r="B108" t="s">
        <v>7</v>
      </c>
      <c r="C108" s="4">
        <f t="shared" ref="C108:C114" si="10">(R94-R82)/R82</f>
        <v>-9.0085889033947545E-3</v>
      </c>
      <c r="D108" s="4">
        <f t="shared" ref="D108:D114" si="11">(AB94-AB82)/AB82</f>
        <v>-1.6433693886069387E-2</v>
      </c>
      <c r="E108" s="4">
        <f t="shared" ref="E108:E114" si="12">(AL94-AL82)/AL82</f>
        <v>-1.1877154103044497E-2</v>
      </c>
      <c r="Q108" s="5"/>
      <c r="U108" s="5"/>
      <c r="V108" s="5"/>
      <c r="Y108" s="5"/>
      <c r="Z108" s="5"/>
      <c r="AA108" s="5"/>
    </row>
    <row r="109" spans="1:38" x14ac:dyDescent="0.35">
      <c r="B109" t="s">
        <v>30</v>
      </c>
      <c r="C109" s="4">
        <f t="shared" si="10"/>
        <v>-2.4404631472768851E-3</v>
      </c>
      <c r="D109" s="4">
        <f t="shared" si="11"/>
        <v>1.3334179837255493E-3</v>
      </c>
      <c r="E109" s="4">
        <f t="shared" si="12"/>
        <v>4.0972479512717333E-2</v>
      </c>
      <c r="Q109" s="5"/>
      <c r="U109" s="5"/>
      <c r="V109" s="5"/>
      <c r="Y109" s="5"/>
      <c r="Z109" s="5"/>
      <c r="AA109" s="5"/>
    </row>
    <row r="110" spans="1:38" x14ac:dyDescent="0.35">
      <c r="B110" t="s">
        <v>9</v>
      </c>
      <c r="C110" s="4">
        <f t="shared" si="10"/>
        <v>-9.2692354465756712E-3</v>
      </c>
      <c r="D110" s="4">
        <f t="shared" si="11"/>
        <v>-1.7914755154312401E-2</v>
      </c>
      <c r="E110" s="4">
        <f t="shared" si="12"/>
        <v>1.1925771437864691E-2</v>
      </c>
      <c r="Q110" s="5"/>
      <c r="U110" s="5"/>
      <c r="V110" s="5"/>
      <c r="Y110" s="5"/>
      <c r="Z110" s="5"/>
      <c r="AA110" s="5"/>
    </row>
    <row r="111" spans="1:38" x14ac:dyDescent="0.35">
      <c r="B111" t="s">
        <v>10</v>
      </c>
      <c r="C111" s="4">
        <f t="shared" si="10"/>
        <v>4.2183147595525024E-3</v>
      </c>
      <c r="D111" s="4">
        <f t="shared" si="11"/>
        <v>3.2132739891973399E-3</v>
      </c>
      <c r="E111" s="4">
        <f t="shared" si="12"/>
        <v>1.0428809082025365E-2</v>
      </c>
      <c r="Q111" s="5"/>
      <c r="U111" s="5"/>
      <c r="V111" s="5"/>
      <c r="Y111" s="5"/>
      <c r="Z111" s="5"/>
      <c r="AA111" s="5"/>
    </row>
    <row r="112" spans="1:38" x14ac:dyDescent="0.35">
      <c r="B112" t="s">
        <v>29</v>
      </c>
      <c r="C112" s="4">
        <f t="shared" si="10"/>
        <v>-0.5243978989346777</v>
      </c>
      <c r="D112" s="4">
        <f t="shared" si="11"/>
        <v>-1.3191308115012184</v>
      </c>
      <c r="E112" s="4">
        <f t="shared" si="12"/>
        <v>-2.3322889157089728</v>
      </c>
      <c r="Q112" s="5"/>
      <c r="U112" s="5"/>
      <c r="V112" s="5"/>
      <c r="Y112" s="5"/>
      <c r="Z112" s="5"/>
      <c r="AA112" s="5"/>
    </row>
    <row r="113" spans="1:38" x14ac:dyDescent="0.35">
      <c r="B113" t="s">
        <v>36</v>
      </c>
      <c r="C113" s="4">
        <f t="shared" si="10"/>
        <v>3.6602674087502258</v>
      </c>
      <c r="D113" s="4">
        <f t="shared" si="11"/>
        <v>7.8506316937786398</v>
      </c>
      <c r="E113" s="4">
        <f t="shared" si="12"/>
        <v>11.746980911455736</v>
      </c>
      <c r="Q113" s="5"/>
      <c r="U113" s="5"/>
      <c r="V113" s="5"/>
      <c r="Y113" s="5"/>
      <c r="Z113" s="5"/>
      <c r="AA113" s="5"/>
    </row>
    <row r="114" spans="1:38" x14ac:dyDescent="0.35">
      <c r="B114" t="s">
        <v>33</v>
      </c>
      <c r="C114" s="4">
        <f t="shared" si="10"/>
        <v>-5.3121697669799565E-2</v>
      </c>
      <c r="D114" s="4">
        <f t="shared" si="11"/>
        <v>-0.22501081470479337</v>
      </c>
      <c r="E114" s="4">
        <f t="shared" si="12"/>
        <v>-0.69864872816426904</v>
      </c>
      <c r="Q114" s="5"/>
      <c r="U114" s="5"/>
      <c r="V114" s="5"/>
      <c r="Y114" s="5"/>
      <c r="Z114" s="5"/>
      <c r="AA114" s="5"/>
    </row>
    <row r="115" spans="1:3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38" x14ac:dyDescent="0.35">
      <c r="A117" t="s">
        <v>81</v>
      </c>
      <c r="B117" t="s">
        <v>7</v>
      </c>
      <c r="C117" s="4">
        <f>R94/R82-1</f>
        <v>-9.008588903394732E-3</v>
      </c>
      <c r="D117" s="4">
        <f>AB94/AB82-1</f>
        <v>-1.6433693886069412E-2</v>
      </c>
      <c r="E117" s="4">
        <f>AL94/AL82-1</f>
        <v>-1.1877154103044463E-2</v>
      </c>
    </row>
    <row r="118" spans="1:38" x14ac:dyDescent="0.35">
      <c r="B118" t="s">
        <v>30</v>
      </c>
      <c r="C118" s="4">
        <f>R95/R83-1</f>
        <v>-2.4404631472768612E-3</v>
      </c>
      <c r="D118" s="4">
        <f>AB95/AB83-1</f>
        <v>1.3334179837256599E-3</v>
      </c>
      <c r="E118" s="4">
        <f>AL95/AL83-1</f>
        <v>4.0972479512717319E-2</v>
      </c>
    </row>
    <row r="119" spans="1:38" x14ac:dyDescent="0.35">
      <c r="B119" t="s">
        <v>9</v>
      </c>
      <c r="C119" s="4">
        <f>R96/R84-1</f>
        <v>-9.2692354465756521E-3</v>
      </c>
      <c r="D119" s="4">
        <f>AB96/AB84-1</f>
        <v>-1.7914755154312401E-2</v>
      </c>
      <c r="E119" s="4">
        <f>AL96/AL84-1</f>
        <v>1.1925771437864663E-2</v>
      </c>
    </row>
    <row r="120" spans="1:38" x14ac:dyDescent="0.35">
      <c r="B120" t="s">
        <v>10</v>
      </c>
      <c r="C120" s="4">
        <f>R97/R85-1</f>
        <v>4.2183147595524773E-3</v>
      </c>
      <c r="D120" s="4">
        <f>AB97/AB85-1</f>
        <v>3.2132739891972406E-3</v>
      </c>
      <c r="E120" s="4">
        <f>AL97/AL85-1</f>
        <v>1.0428809082025259E-2</v>
      </c>
    </row>
    <row r="121" spans="1:38" x14ac:dyDescent="0.35">
      <c r="B121" t="s">
        <v>29</v>
      </c>
      <c r="C121" s="4">
        <f>R98/R86-1</f>
        <v>-0.52439789893467759</v>
      </c>
      <c r="D121" s="4">
        <f>AB98/AB86-1</f>
        <v>-1.3191308115012184</v>
      </c>
      <c r="E121" s="4">
        <f>AL98/AL86-1</f>
        <v>-2.3322889157089728</v>
      </c>
    </row>
    <row r="122" spans="1:38" x14ac:dyDescent="0.35">
      <c r="B122" t="s">
        <v>33</v>
      </c>
      <c r="C122" s="4">
        <f>R100/R88-1</f>
        <v>-5.3121697669799572E-2</v>
      </c>
      <c r="D122" s="4">
        <f>AB100/AB88-1</f>
        <v>-0.22501081470479334</v>
      </c>
      <c r="E122" s="4">
        <f>AL100/AL88-1</f>
        <v>-0.69864872816426904</v>
      </c>
    </row>
    <row r="124" spans="1:3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</row>
    <row r="125" spans="1:38" x14ac:dyDescent="0.35">
      <c r="A125" t="s">
        <v>38</v>
      </c>
      <c r="B125" t="s">
        <v>27</v>
      </c>
      <c r="C125" s="6">
        <f>[1]Production!B3</f>
        <v>3854147.4219999998</v>
      </c>
      <c r="D125" s="6">
        <f>[1]Production!C3</f>
        <v>3927352.31</v>
      </c>
      <c r="E125" s="6">
        <f>[1]Production!D3</f>
        <v>4010775.8059999999</v>
      </c>
      <c r="F125" s="6">
        <f>[1]Production!E3</f>
        <v>4101976.574</v>
      </c>
      <c r="G125" s="6">
        <f>[1]Production!F3</f>
        <v>4199388.4079999998</v>
      </c>
      <c r="H125" s="6">
        <f>[1]Production!G3</f>
        <v>4302359.9510000004</v>
      </c>
      <c r="I125" s="6">
        <f>[1]Production!H3</f>
        <v>4407570.2520000003</v>
      </c>
      <c r="J125" s="6">
        <f>[1]Production!I3</f>
        <v>4514918.5609999998</v>
      </c>
      <c r="K125" s="6">
        <f>[1]Production!J3</f>
        <v>4624229.5599999996</v>
      </c>
      <c r="L125" s="6">
        <f>[1]Production!K3</f>
        <v>4735629.7019999996</v>
      </c>
      <c r="M125" s="6">
        <f>[1]Production!L3</f>
        <v>4848222.108</v>
      </c>
      <c r="N125" s="6">
        <f>[1]Production!M3</f>
        <v>4947587.9630000005</v>
      </c>
      <c r="O125" s="6">
        <f>[1]Production!N3</f>
        <v>5037458.0659999996</v>
      </c>
      <c r="P125" s="6">
        <f>[1]Production!O3</f>
        <v>5120054.0810000002</v>
      </c>
      <c r="Q125" s="6">
        <f>[1]Production!P3</f>
        <v>5198057.3229999999</v>
      </c>
      <c r="R125" s="6">
        <f>[1]Production!Q3</f>
        <v>5274042.3</v>
      </c>
      <c r="S125" s="6">
        <f>[1]Production!R3</f>
        <v>5351694.0769999996</v>
      </c>
      <c r="T125" s="6">
        <f>[1]Production!S3</f>
        <v>5433734.5980000002</v>
      </c>
      <c r="U125" s="6">
        <f>[1]Production!T3</f>
        <v>5522017.0889999997</v>
      </c>
      <c r="V125" s="6">
        <f>[1]Production!U3</f>
        <v>5617571.7649999997</v>
      </c>
      <c r="W125" s="6">
        <f>[1]Production!V3</f>
        <v>5719412.8039999995</v>
      </c>
      <c r="X125" s="6">
        <f>[1]Production!W3</f>
        <v>5831180.5470000003</v>
      </c>
      <c r="Y125" s="6">
        <f>[1]Production!X3</f>
        <v>5952994.0899999999</v>
      </c>
      <c r="Z125" s="6">
        <f>[1]Production!Y3</f>
        <v>6085393.5959999999</v>
      </c>
      <c r="AA125" s="6">
        <f>[1]Production!Z3</f>
        <v>6228346.5999999996</v>
      </c>
      <c r="AB125" s="6">
        <f>[1]Production!AA3</f>
        <v>6376383.4649999999</v>
      </c>
      <c r="AC125" s="6">
        <f>[1]Production!AB3</f>
        <v>6535532.6090000002</v>
      </c>
      <c r="AD125" s="6">
        <f>[1]Production!AC3</f>
        <v>6705345.8640000001</v>
      </c>
      <c r="AE125" s="6">
        <f>[1]Production!AD3</f>
        <v>6886047.7649999997</v>
      </c>
      <c r="AF125" s="6">
        <f>[1]Production!AE3</f>
        <v>7076567.0999999996</v>
      </c>
      <c r="AG125" s="6">
        <f>[1]Production!AF3</f>
        <v>7275152.9759999998</v>
      </c>
      <c r="AH125" s="6">
        <f>[1]Production!AG3</f>
        <v>7480191.6409999998</v>
      </c>
      <c r="AI125" s="6">
        <f>[1]Production!AH3</f>
        <v>7690343.9349999996</v>
      </c>
      <c r="AJ125" s="6">
        <f>[1]Production!AI3</f>
        <v>7904340.9699999997</v>
      </c>
      <c r="AK125" s="6">
        <f>[1]Production!AJ3</f>
        <v>8120914.1600000001</v>
      </c>
      <c r="AL125" s="6">
        <f>[1]Production!AK3</f>
        <v>8338763.5820000004</v>
      </c>
    </row>
    <row r="126" spans="1:38" x14ac:dyDescent="0.35">
      <c r="B126" t="s">
        <v>7</v>
      </c>
      <c r="C126" s="6">
        <f>[1]Production!B5+[1]Production!B7</f>
        <v>88284.497585000005</v>
      </c>
      <c r="D126" s="6">
        <f>[1]Production!C5+[1]Production!C7</f>
        <v>89619.04561500001</v>
      </c>
      <c r="E126" s="6">
        <f>[1]Production!D5+[1]Production!D7</f>
        <v>91213.849948000003</v>
      </c>
      <c r="F126" s="6">
        <f>[1]Production!E5+[1]Production!E7</f>
        <v>93050.488725000003</v>
      </c>
      <c r="G126" s="6">
        <f>[1]Production!F5+[1]Production!F7</f>
        <v>95113.163386999993</v>
      </c>
      <c r="H126" s="6">
        <f>[1]Production!G5+[1]Production!G7</f>
        <v>97370.173669999989</v>
      </c>
      <c r="I126" s="6">
        <f>[1]Production!H5+[1]Production!H7</f>
        <v>99732.858666999993</v>
      </c>
      <c r="J126" s="6">
        <f>[1]Production!I5+[1]Production!I7</f>
        <v>102164.69298599999</v>
      </c>
      <c r="K126" s="6">
        <f>[1]Production!J5+[1]Production!J7</f>
        <v>104645.75088599999</v>
      </c>
      <c r="L126" s="6">
        <f>[1]Production!K5+[1]Production!K7</f>
        <v>107168.20091900001</v>
      </c>
      <c r="M126" s="6">
        <f>[1]Production!L5+[1]Production!L7</f>
        <v>109672.557898</v>
      </c>
      <c r="N126" s="6">
        <f>[1]Production!M5+[1]Production!M7</f>
        <v>111823.65648799999</v>
      </c>
      <c r="O126" s="6">
        <f>[1]Production!N5+[1]Production!N7</f>
        <v>113690.98600599999</v>
      </c>
      <c r="P126" s="6">
        <f>[1]Production!O5+[1]Production!O7</f>
        <v>115328.03917800001</v>
      </c>
      <c r="Q126" s="6">
        <f>[1]Production!P5+[1]Production!P7</f>
        <v>116803.090304</v>
      </c>
      <c r="R126" s="6">
        <f>[1]Production!Q5+[1]Production!Q7</f>
        <v>118184.71260999999</v>
      </c>
      <c r="S126" s="6">
        <f>[1]Production!R5+[1]Production!R7</f>
        <v>119573.66063700001</v>
      </c>
      <c r="T126" s="6">
        <f>[1]Production!S5+[1]Production!S7</f>
        <v>121048.85108899999</v>
      </c>
      <c r="U126" s="6">
        <f>[1]Production!T5+[1]Production!T7</f>
        <v>122665.999146</v>
      </c>
      <c r="V126" s="6">
        <f>[1]Production!U5+[1]Production!U7</f>
        <v>124457.087468</v>
      </c>
      <c r="W126" s="6">
        <f>[1]Production!V5+[1]Production!V7</f>
        <v>126419.77547199999</v>
      </c>
      <c r="X126" s="6">
        <f>[1]Production!W5+[1]Production!W7</f>
        <v>128610.968308</v>
      </c>
      <c r="Y126" s="6">
        <f>[1]Production!X5+[1]Production!X7</f>
        <v>131055.70151100001</v>
      </c>
      <c r="Z126" s="6">
        <f>[1]Production!Y5+[1]Production!Y7</f>
        <v>133768.97498599999</v>
      </c>
      <c r="AA126" s="6">
        <f>[1]Production!Z5+[1]Production!Z7</f>
        <v>136750.407377</v>
      </c>
      <c r="AB126" s="6">
        <f>[1]Production!AA5+[1]Production!AA7</f>
        <v>139917.64687999999</v>
      </c>
      <c r="AC126" s="6">
        <f>[1]Production!AB5+[1]Production!AB7</f>
        <v>143339.668232</v>
      </c>
      <c r="AD126" s="6">
        <f>[1]Production!AC5+[1]Production!AC7</f>
        <v>147038.13732099999</v>
      </c>
      <c r="AE126" s="6">
        <f>[1]Production!AD5+[1]Production!AD7</f>
        <v>151019.72443599999</v>
      </c>
      <c r="AF126" s="6">
        <f>[1]Production!AE5+[1]Production!AE7</f>
        <v>155255.62047299999</v>
      </c>
      <c r="AG126" s="6">
        <f>[1]Production!AF5+[1]Production!AF7</f>
        <v>159698.034189</v>
      </c>
      <c r="AH126" s="6">
        <f>[1]Production!AG5+[1]Production!AG7</f>
        <v>164301.59956800001</v>
      </c>
      <c r="AI126" s="6">
        <f>[1]Production!AH5+[1]Production!AH7</f>
        <v>169026.914242</v>
      </c>
      <c r="AJ126" s="6">
        <f>[1]Production!AI5+[1]Production!AI7</f>
        <v>173835.57545400001</v>
      </c>
      <c r="AK126" s="6">
        <f>[1]Production!AJ5+[1]Production!AJ7</f>
        <v>178688.89038500001</v>
      </c>
      <c r="AL126" s="6">
        <f>[1]Production!AK5+[1]Production!AK7</f>
        <v>183547.543428</v>
      </c>
    </row>
    <row r="127" spans="1:3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978962.87436699995</v>
      </c>
      <c r="D127" s="6">
        <f>[1]Production!C9+[1]Production!C11+[1]Production!C13+[1]Production!C15+[1]Production!C17+[1]Production!C19+[1]Production!C21+[1]Production!C23+[1]Production!C25+[1]Production!C27+[1]Production!C41</f>
        <v>1001282.3180310002</v>
      </c>
      <c r="E127" s="6">
        <f>[1]Production!D9+[1]Production!D11+[1]Production!D13+[1]Production!D15+[1]Production!D17+[1]Production!D19+[1]Production!D21+[1]Production!D23+[1]Production!D25+[1]Production!D27+[1]Production!D41</f>
        <v>1026250.4108490001</v>
      </c>
      <c r="F127" s="6">
        <f>[1]Production!E9+[1]Production!E11+[1]Production!E13+[1]Production!E15+[1]Production!E17+[1]Production!E19+[1]Production!E21+[1]Production!E23+[1]Production!E25+[1]Production!E27+[1]Production!E41</f>
        <v>1053010.4697789999</v>
      </c>
      <c r="G127" s="6">
        <f>[1]Production!F9+[1]Production!F11+[1]Production!F13+[1]Production!F15+[1]Production!F17+[1]Production!F19+[1]Production!F21+[1]Production!F23+[1]Production!F25+[1]Production!F27+[1]Production!F41</f>
        <v>1081356.9334539999</v>
      </c>
      <c r="H127" s="6">
        <f>[1]Production!G9+[1]Production!G11+[1]Production!G13+[1]Production!G15+[1]Production!G17+[1]Production!G19+[1]Production!G21+[1]Production!G23+[1]Production!G25+[1]Production!G27+[1]Production!G41</f>
        <v>1111131.5263350001</v>
      </c>
      <c r="I127" s="6">
        <f>[1]Production!H9+[1]Production!H11+[1]Production!H13+[1]Production!H15+[1]Production!H17+[1]Production!H19+[1]Production!H21+[1]Production!H23+[1]Production!H25+[1]Production!H27+[1]Production!H41</f>
        <v>1141623.115576</v>
      </c>
      <c r="J127" s="6">
        <f>[1]Production!I9+[1]Production!I11+[1]Production!I13+[1]Production!I15+[1]Production!I17+[1]Production!I19+[1]Production!I21+[1]Production!I23+[1]Production!I25+[1]Production!I27+[1]Production!I41</f>
        <v>1172674.2125240001</v>
      </c>
      <c r="K127" s="6">
        <f>[1]Production!J9+[1]Production!J11+[1]Production!J13+[1]Production!J15+[1]Production!J17+[1]Production!J19+[1]Production!J21+[1]Production!J23+[1]Production!J25+[1]Production!J27+[1]Production!J41</f>
        <v>1204307.7965409998</v>
      </c>
      <c r="L127" s="6">
        <f>[1]Production!K9+[1]Production!K11+[1]Production!K13+[1]Production!K15+[1]Production!K17+[1]Production!K19+[1]Production!K21+[1]Production!K23+[1]Production!K25+[1]Production!K27+[1]Production!K41</f>
        <v>1236629.6071270001</v>
      </c>
      <c r="M127" s="6">
        <f>[1]Production!L9+[1]Production!L11+[1]Production!L13+[1]Production!L15+[1]Production!L17+[1]Production!L19+[1]Production!L21+[1]Production!L23+[1]Production!L25+[1]Production!L27+[1]Production!L41</f>
        <v>1268741.8065140001</v>
      </c>
      <c r="N127" s="6">
        <f>[1]Production!M9+[1]Production!M11+[1]Production!M13+[1]Production!M15+[1]Production!M17+[1]Production!M19+[1]Production!M21+[1]Production!M23+[1]Production!M25+[1]Production!M27+[1]Production!M41</f>
        <v>1296352.145671</v>
      </c>
      <c r="O127" s="6">
        <f>[1]Production!N9+[1]Production!N11+[1]Production!N13+[1]Production!N15+[1]Production!N17+[1]Production!N19+[1]Production!N21+[1]Production!N23+[1]Production!N25+[1]Production!N27+[1]Production!N41</f>
        <v>1320966.479671</v>
      </c>
      <c r="P127" s="6">
        <f>[1]Production!O9+[1]Production!O11+[1]Production!O13+[1]Production!O15+[1]Production!O17+[1]Production!O19+[1]Production!O21+[1]Production!O23+[1]Production!O25+[1]Production!O27+[1]Production!O41</f>
        <v>1343593.809621</v>
      </c>
      <c r="Q127" s="6">
        <f>[1]Production!P9+[1]Production!P11+[1]Production!P13+[1]Production!P15+[1]Production!P17+[1]Production!P19+[1]Production!P21+[1]Production!P23+[1]Production!P25+[1]Production!P27+[1]Production!P41</f>
        <v>1365302.9766079998</v>
      </c>
      <c r="R127" s="6">
        <f>[1]Production!Q9+[1]Production!Q11+[1]Production!Q13+[1]Production!Q15+[1]Production!Q17+[1]Production!Q19+[1]Production!Q21+[1]Production!Q23+[1]Production!Q25+[1]Production!Q27+[1]Production!Q41</f>
        <v>1387004.4978170001</v>
      </c>
      <c r="S127" s="6">
        <f>[1]Production!R9+[1]Production!R11+[1]Production!R13+[1]Production!R15+[1]Production!R17+[1]Production!R19+[1]Production!R21+[1]Production!R23+[1]Production!R25+[1]Production!R27+[1]Production!R41</f>
        <v>1409869.5158509999</v>
      </c>
      <c r="T127" s="6">
        <f>[1]Production!S9+[1]Production!S11+[1]Production!S13+[1]Production!S15+[1]Production!S17+[1]Production!S19+[1]Production!S21+[1]Production!S23+[1]Production!S25+[1]Production!S27+[1]Production!S41</f>
        <v>1434734.8710020001</v>
      </c>
      <c r="U127" s="6">
        <f>[1]Production!T9+[1]Production!T11+[1]Production!T13+[1]Production!T15+[1]Production!T17+[1]Production!T19+[1]Production!T21+[1]Production!T23+[1]Production!T25+[1]Production!T27+[1]Production!T41</f>
        <v>1462127.0454709998</v>
      </c>
      <c r="V127" s="6">
        <f>[1]Production!U9+[1]Production!U11+[1]Production!U13+[1]Production!U15+[1]Production!U17+[1]Production!U19+[1]Production!U21+[1]Production!U23+[1]Production!U25+[1]Production!U27+[1]Production!U41</f>
        <v>1492273.5800070001</v>
      </c>
      <c r="W127" s="6">
        <f>[1]Production!V9+[1]Production!V11+[1]Production!V13+[1]Production!V15+[1]Production!V17+[1]Production!V19+[1]Production!V21+[1]Production!V23+[1]Production!V25+[1]Production!V27+[1]Production!V41</f>
        <v>1525101.1379349998</v>
      </c>
      <c r="X127" s="6">
        <f>[1]Production!W9+[1]Production!W11+[1]Production!W13+[1]Production!W15+[1]Production!W17+[1]Production!W19+[1]Production!W21+[1]Production!W23+[1]Production!W25+[1]Production!W27+[1]Production!W41</f>
        <v>1561070.7614799999</v>
      </c>
      <c r="Y127" s="6">
        <f>[1]Production!X9+[1]Production!X11+[1]Production!X13+[1]Production!X15+[1]Production!X17+[1]Production!X19+[1]Production!X21+[1]Production!X23+[1]Production!X25+[1]Production!X27+[1]Production!X41</f>
        <v>1600399.0651720001</v>
      </c>
      <c r="Z127" s="6">
        <f>[1]Production!Y9+[1]Production!Y11+[1]Production!Y13+[1]Production!Y15+[1]Production!Y17+[1]Production!Y19+[1]Production!Y21+[1]Production!Y23+[1]Production!Y25+[1]Production!Y27+[1]Production!Y41</f>
        <v>1643184.3662409999</v>
      </c>
      <c r="AA127" s="6">
        <f>[1]Production!Z9+[1]Production!Z11+[1]Production!Z13+[1]Production!Z15+[1]Production!Z17+[1]Production!Z19+[1]Production!Z21+[1]Production!Z23+[1]Production!Z25+[1]Production!Z27+[1]Production!Z41</f>
        <v>1689322.7294420002</v>
      </c>
      <c r="AB127" s="6">
        <f>[1]Production!AA9+[1]Production!AA11+[1]Production!AA13+[1]Production!AA15+[1]Production!AA17+[1]Production!AA19+[1]Production!AA21+[1]Production!AA23+[1]Production!AA25+[1]Production!AA27+[1]Production!AA41</f>
        <v>1737965.191353</v>
      </c>
      <c r="AC127" s="6">
        <f>[1]Production!AB9+[1]Production!AB11+[1]Production!AB13+[1]Production!AB15+[1]Production!AB17+[1]Production!AB19+[1]Production!AB21+[1]Production!AB23+[1]Production!AB25+[1]Production!AB27+[1]Production!AB41</f>
        <v>1789696.9499849998</v>
      </c>
      <c r="AD127" s="6">
        <f>[1]Production!AC9+[1]Production!AC11+[1]Production!AC13+[1]Production!AC15+[1]Production!AC17+[1]Production!AC19+[1]Production!AC21+[1]Production!AC23+[1]Production!AC25+[1]Production!AC27+[1]Production!AC41</f>
        <v>1844708.915573</v>
      </c>
      <c r="AE127" s="6">
        <f>[1]Production!AD9+[1]Production!AD11+[1]Production!AD13+[1]Production!AD15+[1]Production!AD17+[1]Production!AD19+[1]Production!AD21+[1]Production!AD23+[1]Production!AD25+[1]Production!AD27+[1]Production!AD41</f>
        <v>1903012.6314590001</v>
      </c>
      <c r="AF127" s="6">
        <f>[1]Production!AE9+[1]Production!AE11+[1]Production!AE13+[1]Production!AE15+[1]Production!AE17+[1]Production!AE19+[1]Production!AE21+[1]Production!AE23+[1]Production!AE25+[1]Production!AE27+[1]Production!AE41</f>
        <v>1964134.9872389999</v>
      </c>
      <c r="AG127" s="6">
        <f>[1]Production!AF9+[1]Production!AF11+[1]Production!AF13+[1]Production!AF15+[1]Production!AF17+[1]Production!AF19+[1]Production!AF21+[1]Production!AF23+[1]Production!AF25+[1]Production!AF27+[1]Production!AF41</f>
        <v>2027417.319956</v>
      </c>
      <c r="AH127" s="6">
        <f>[1]Production!AG9+[1]Production!AG11+[1]Production!AG13+[1]Production!AG15+[1]Production!AG17+[1]Production!AG19+[1]Production!AG21+[1]Production!AG23+[1]Production!AG25+[1]Production!AG27+[1]Production!AG41</f>
        <v>2092329.9173969999</v>
      </c>
      <c r="AI127" s="6">
        <f>[1]Production!AH9+[1]Production!AH11+[1]Production!AH13+[1]Production!AH15+[1]Production!AH17+[1]Production!AH19+[1]Production!AH21+[1]Production!AH23+[1]Production!AH25+[1]Production!AH27+[1]Production!AH41</f>
        <v>2158493.7868920001</v>
      </c>
      <c r="AJ127" s="6">
        <f>[1]Production!AI9+[1]Production!AI11+[1]Production!AI13+[1]Production!AI15+[1]Production!AI17+[1]Production!AI19+[1]Production!AI21+[1]Production!AI23+[1]Production!AI25+[1]Production!AI27+[1]Production!AI41</f>
        <v>2225576.6939990004</v>
      </c>
      <c r="AK127" s="6">
        <f>[1]Production!AJ9+[1]Production!AJ11+[1]Production!AJ13+[1]Production!AJ15+[1]Production!AJ17+[1]Production!AJ19+[1]Production!AJ21+[1]Production!AJ23+[1]Production!AJ25+[1]Production!AJ27+[1]Production!AJ41</f>
        <v>2293255.0996829998</v>
      </c>
      <c r="AL127" s="6">
        <f>[1]Production!AK9+[1]Production!AK11+[1]Production!AK13+[1]Production!AK15+[1]Production!AK17+[1]Production!AK19+[1]Production!AK21+[1]Production!AK23+[1]Production!AK25+[1]Production!AK27+[1]Production!AK41</f>
        <v>2361195.920585</v>
      </c>
    </row>
    <row r="128" spans="1:38" x14ac:dyDescent="0.35">
      <c r="B128" t="s">
        <v>9</v>
      </c>
      <c r="C128" s="6">
        <f>[1]Production!B29+[1]Production!B31+[1]Production!B33+[1]Production!B35</f>
        <v>120923.387844</v>
      </c>
      <c r="D128" s="6">
        <f>[1]Production!C29+[1]Production!C31+[1]Production!C33+[1]Production!C35</f>
        <v>123477.988358</v>
      </c>
      <c r="E128" s="6">
        <f>[1]Production!D29+[1]Production!D31+[1]Production!D33+[1]Production!D35</f>
        <v>126220.064402</v>
      </c>
      <c r="F128" s="6">
        <f>[1]Production!E29+[1]Production!E31+[1]Production!E33+[1]Production!E35</f>
        <v>129091.7715</v>
      </c>
      <c r="G128" s="6">
        <f>[1]Production!F29+[1]Production!F31+[1]Production!F33+[1]Production!F35</f>
        <v>132132.61360399998</v>
      </c>
      <c r="H128" s="6">
        <f>[1]Production!G29+[1]Production!G31+[1]Production!G33+[1]Production!G35</f>
        <v>135348.148847</v>
      </c>
      <c r="I128" s="6">
        <f>[1]Production!H29+[1]Production!H31+[1]Production!H33+[1]Production!H35</f>
        <v>138643.99287700001</v>
      </c>
      <c r="J128" s="6">
        <f>[1]Production!I29+[1]Production!I31+[1]Production!I33+[1]Production!I35</f>
        <v>141987.69834</v>
      </c>
      <c r="K128" s="6">
        <f>[1]Production!J29+[1]Production!J31+[1]Production!J33+[1]Production!J35</f>
        <v>145364.214297</v>
      </c>
      <c r="L128" s="6">
        <f>[1]Production!K29+[1]Production!K31+[1]Production!K33+[1]Production!K35</f>
        <v>148772.67245400001</v>
      </c>
      <c r="M128" s="6">
        <f>[1]Production!L29+[1]Production!L31+[1]Production!L33+[1]Production!L35</f>
        <v>152103.23981100001</v>
      </c>
      <c r="N128" s="6">
        <f>[1]Production!M29+[1]Production!M31+[1]Production!M33+[1]Production!M35</f>
        <v>154809.866981</v>
      </c>
      <c r="O128" s="6">
        <f>[1]Production!N29+[1]Production!N31+[1]Production!N33+[1]Production!N35</f>
        <v>157092.76366199998</v>
      </c>
      <c r="P128" s="6">
        <f>[1]Production!O29+[1]Production!O31+[1]Production!O33+[1]Production!O35</f>
        <v>159073.78203</v>
      </c>
      <c r="Q128" s="6">
        <f>[1]Production!P29+[1]Production!P31+[1]Production!P33+[1]Production!P35</f>
        <v>160882.113717</v>
      </c>
      <c r="R128" s="6">
        <f>[1]Production!Q29+[1]Production!Q31+[1]Production!Q33+[1]Production!Q35</f>
        <v>162630.24349899997</v>
      </c>
      <c r="S128" s="6">
        <f>[1]Production!R29+[1]Production!R31+[1]Production!R33+[1]Production!R35</f>
        <v>164464.01067700001</v>
      </c>
      <c r="T128" s="6">
        <f>[1]Production!S29+[1]Production!S31+[1]Production!S33+[1]Production!S35</f>
        <v>166490.48523299998</v>
      </c>
      <c r="U128" s="6">
        <f>[1]Production!T29+[1]Production!T31+[1]Production!T33+[1]Production!T35</f>
        <v>168778.24406599998</v>
      </c>
      <c r="V128" s="6">
        <f>[1]Production!U29+[1]Production!U31+[1]Production!U33+[1]Production!U35</f>
        <v>171359.34170200001</v>
      </c>
      <c r="W128" s="6">
        <f>[1]Production!V29+[1]Production!V31+[1]Production!V33+[1]Production!V35</f>
        <v>174223.46704000002</v>
      </c>
      <c r="X128" s="6">
        <f>[1]Production!W29+[1]Production!W31+[1]Production!W33+[1]Production!W35</f>
        <v>177446.03565999999</v>
      </c>
      <c r="Y128" s="6">
        <f>[1]Production!X29+[1]Production!X31+[1]Production!X33+[1]Production!X35</f>
        <v>181047.23360099999</v>
      </c>
      <c r="Z128" s="6">
        <f>[1]Production!Y29+[1]Production!Y31+[1]Production!Y33+[1]Production!Y35</f>
        <v>185039.96403100001</v>
      </c>
      <c r="AA128" s="6">
        <f>[1]Production!Z29+[1]Production!Z31+[1]Production!Z33+[1]Production!Z35</f>
        <v>189413.98989999999</v>
      </c>
      <c r="AB128" s="6">
        <f>[1]Production!AA29+[1]Production!AA31+[1]Production!AA33+[1]Production!AA35</f>
        <v>194053.34963000001</v>
      </c>
      <c r="AC128" s="6">
        <f>[1]Production!AB29+[1]Production!AB31+[1]Production!AB33+[1]Production!AB35</f>
        <v>199068.62747000001</v>
      </c>
      <c r="AD128" s="6">
        <f>[1]Production!AC29+[1]Production!AC31+[1]Production!AC33+[1]Production!AC35</f>
        <v>204470.65261999998</v>
      </c>
      <c r="AE128" s="6">
        <f>[1]Production!AD29+[1]Production!AD31+[1]Production!AD33+[1]Production!AD35</f>
        <v>210256.93113999997</v>
      </c>
      <c r="AF128" s="6">
        <f>[1]Production!AE29+[1]Production!AE31+[1]Production!AE33+[1]Production!AE35</f>
        <v>216364.67270999996</v>
      </c>
      <c r="AG128" s="6">
        <f>[1]Production!AF29+[1]Production!AF31+[1]Production!AF33+[1]Production!AF35</f>
        <v>222707.75606000001</v>
      </c>
      <c r="AH128" s="6">
        <f>[1]Production!AG29+[1]Production!AG31+[1]Production!AG33+[1]Production!AG35</f>
        <v>229214.87465999997</v>
      </c>
      <c r="AI128" s="6">
        <f>[1]Production!AH29+[1]Production!AH31+[1]Production!AH33+[1]Production!AH35</f>
        <v>235832.16795</v>
      </c>
      <c r="AJ128" s="6">
        <f>[1]Production!AI29+[1]Production!AI31+[1]Production!AI33+[1]Production!AI35</f>
        <v>242511.37570000003</v>
      </c>
      <c r="AK128" s="6">
        <f>[1]Production!AJ29+[1]Production!AJ31+[1]Production!AJ33+[1]Production!AJ35</f>
        <v>249206.15091999999</v>
      </c>
      <c r="AL128" s="6">
        <f>[1]Production!AK29+[1]Production!AK31+[1]Production!AK33+[1]Production!AK35</f>
        <v>255870.55786</v>
      </c>
    </row>
    <row r="129" spans="1:38" x14ac:dyDescent="0.35">
      <c r="B129" t="s">
        <v>10</v>
      </c>
      <c r="C129" s="6">
        <f>[1]Production!B37+[1]Production!B39</f>
        <v>2557835.5052999998</v>
      </c>
      <c r="D129" s="6">
        <f>[1]Production!C37+[1]Production!C39</f>
        <v>2603469.9394</v>
      </c>
      <c r="E129" s="6">
        <f>[1]Production!D37+[1]Production!D39</f>
        <v>2656273.3676999998</v>
      </c>
      <c r="F129" s="6">
        <f>[1]Production!E37+[1]Production!E39</f>
        <v>2714591.9376000003</v>
      </c>
      <c r="G129" s="6">
        <f>[1]Production!F37+[1]Production!F39</f>
        <v>2777108.9160000002</v>
      </c>
      <c r="H129" s="6">
        <f>[1]Production!G37+[1]Production!G39</f>
        <v>2843265.8802</v>
      </c>
      <c r="I129" s="6">
        <f>[1]Production!H37+[1]Production!H39</f>
        <v>2910655.8411999997</v>
      </c>
      <c r="J129" s="6">
        <f>[1]Production!I37+[1]Production!I39</f>
        <v>2979432.8563999999</v>
      </c>
      <c r="K129" s="6">
        <f>[1]Production!J37+[1]Production!J39</f>
        <v>3049467.9321999997</v>
      </c>
      <c r="L129" s="6">
        <f>[1]Production!K37+[1]Production!K39</f>
        <v>3120806.7703999998</v>
      </c>
      <c r="M129" s="6">
        <f>[1]Production!L37+[1]Production!L39</f>
        <v>3193667.5477</v>
      </c>
      <c r="N129" s="6">
        <f>[1]Production!M37+[1]Production!M39</f>
        <v>3259118.8905000002</v>
      </c>
      <c r="O129" s="6">
        <f>[1]Production!N37+[1]Production!N39</f>
        <v>3319054.1896000002</v>
      </c>
      <c r="P129" s="6">
        <f>[1]Production!O37+[1]Production!O39</f>
        <v>3374447.2053</v>
      </c>
      <c r="Q129" s="6">
        <f>[1]Production!P37+[1]Production!P39</f>
        <v>3426637.2861000001</v>
      </c>
      <c r="R129" s="6">
        <f>[1]Production!Q37+[1]Production!Q39</f>
        <v>3477035.1636999999</v>
      </c>
      <c r="S129" s="6">
        <f>[1]Production!R37+[1]Production!R39</f>
        <v>3527835.1321</v>
      </c>
      <c r="T129" s="6">
        <f>[1]Production!S37+[1]Production!S39</f>
        <v>3580651.1995999999</v>
      </c>
      <c r="U129" s="6">
        <f>[1]Production!T37+[1]Production!T39</f>
        <v>3636631.4388000001</v>
      </c>
      <c r="V129" s="6">
        <f>[1]Production!U37+[1]Production!U39</f>
        <v>3696483.6166999997</v>
      </c>
      <c r="W129" s="6">
        <f>[1]Production!V37+[1]Production!V39</f>
        <v>3759311.8676999998</v>
      </c>
      <c r="X129" s="6">
        <f>[1]Production!W37+[1]Production!W39</f>
        <v>3828104.2740000002</v>
      </c>
      <c r="Y129" s="6">
        <f>[1]Production!X37+[1]Production!X39</f>
        <v>3902703.9124999996</v>
      </c>
      <c r="Z129" s="6">
        <f>[1]Production!Y37+[1]Production!Y39</f>
        <v>3983515.2307000002</v>
      </c>
      <c r="AA129" s="6">
        <f>[1]Production!Z37+[1]Production!Z39</f>
        <v>4070620.3254999998</v>
      </c>
      <c r="AB129" s="6">
        <f>[1]Production!AA37+[1]Production!AA39</f>
        <v>4159676.4687999999</v>
      </c>
      <c r="AC129" s="6">
        <f>[1]Production!AB37+[1]Production!AB39</f>
        <v>4255865.8788999999</v>
      </c>
      <c r="AD129" s="6">
        <f>[1]Production!AC37+[1]Production!AC39</f>
        <v>4358509.7577999998</v>
      </c>
      <c r="AE129" s="6">
        <f>[1]Production!AD37+[1]Production!AD39</f>
        <v>4467820.5441999994</v>
      </c>
      <c r="AF129" s="6">
        <f>[1]Production!AE37+[1]Production!AE39</f>
        <v>4583329.4047999997</v>
      </c>
      <c r="AG129" s="6">
        <f>[1]Production!AF37+[1]Production!AF39</f>
        <v>4704131.8520999998</v>
      </c>
      <c r="AH129" s="6">
        <f>[1]Production!AG37+[1]Production!AG39</f>
        <v>4829309.8237999994</v>
      </c>
      <c r="AI129" s="6">
        <f>[1]Production!AH37+[1]Production!AH39</f>
        <v>4958037.2489</v>
      </c>
      <c r="AJ129" s="6">
        <f>[1]Production!AI37+[1]Production!AI39</f>
        <v>5089501.1266999999</v>
      </c>
      <c r="AK129" s="6">
        <f>[1]Production!AJ37+[1]Production!AJ39</f>
        <v>5222876.5937999999</v>
      </c>
      <c r="AL129" s="6">
        <f>[1]Production!AK37+[1]Production!AK39</f>
        <v>5357316.1567000002</v>
      </c>
    </row>
    <row r="130" spans="1:38" x14ac:dyDescent="0.35">
      <c r="B130" t="s">
        <v>29</v>
      </c>
      <c r="C130" s="6">
        <f>[1]Production!B43+[1]Production!B47</f>
        <v>35749.017027300004</v>
      </c>
      <c r="D130" s="6">
        <f>[1]Production!C43+[1]Production!C47</f>
        <v>36070.879427100001</v>
      </c>
      <c r="E130" s="6">
        <f>[1]Production!D43+[1]Production!D47</f>
        <v>36400.271404199993</v>
      </c>
      <c r="F130" s="6">
        <f>[1]Production!E43+[1]Production!E47</f>
        <v>36752.699471799999</v>
      </c>
      <c r="G130" s="6">
        <f>[1]Production!F43+[1]Production!F47</f>
        <v>37216.645917499998</v>
      </c>
      <c r="H130" s="6">
        <f>[1]Production!G43+[1]Production!G47</f>
        <v>37779.504972899995</v>
      </c>
      <c r="I130" s="6">
        <f>[1]Production!H43+[1]Production!H47</f>
        <v>38391.540865100003</v>
      </c>
      <c r="J130" s="6">
        <f>[1]Production!I43+[1]Production!I47</f>
        <v>39021.752353800002</v>
      </c>
      <c r="K130" s="6">
        <f>[1]Production!J43+[1]Production!J47</f>
        <v>39660.330535399997</v>
      </c>
      <c r="L130" s="6">
        <f>[1]Production!K43+[1]Production!K47</f>
        <v>40304.647750399999</v>
      </c>
      <c r="M130" s="6">
        <f>[1]Production!L43+[1]Production!L47</f>
        <v>40934.196566899998</v>
      </c>
      <c r="N130" s="6">
        <f>[1]Production!M43+[1]Production!M47</f>
        <v>41454.242713799998</v>
      </c>
      <c r="O130" s="6">
        <f>[1]Production!N43+[1]Production!N47</f>
        <v>41889.706138900001</v>
      </c>
      <c r="P130" s="6">
        <f>[1]Production!O43+[1]Production!O47</f>
        <v>42262.172503200003</v>
      </c>
      <c r="Q130" s="6">
        <f>[1]Production!P43+[1]Production!P47</f>
        <v>42594.446004600002</v>
      </c>
      <c r="R130" s="6">
        <f>[1]Production!Q43+[1]Production!Q47</f>
        <v>42906.530885699998</v>
      </c>
      <c r="S130" s="6">
        <f>[1]Production!R43+[1]Production!R47</f>
        <v>43239.305530999998</v>
      </c>
      <c r="T130" s="6">
        <f>[1]Production!S43+[1]Production!S47</f>
        <v>43617.394105500003</v>
      </c>
      <c r="U130" s="6">
        <f>[1]Production!T43+[1]Production!T47</f>
        <v>44052.276235000005</v>
      </c>
      <c r="V130" s="6">
        <f>[1]Production!U43+[1]Production!U47</f>
        <v>44547.202271900002</v>
      </c>
      <c r="W130" s="6">
        <f>[1]Production!V43+[1]Production!V47</f>
        <v>45099.060838499994</v>
      </c>
      <c r="X130" s="6">
        <f>[1]Production!W43+[1]Production!W47</f>
        <v>45716.119759399997</v>
      </c>
      <c r="Y130" s="6">
        <f>[1]Production!X43+[1]Production!X47</f>
        <v>46402.0644684</v>
      </c>
      <c r="Z130" s="6">
        <f>[1]Production!Y43+[1]Production!Y47</f>
        <v>47159.330239700001</v>
      </c>
      <c r="AA130" s="6">
        <f>[1]Production!Z43+[1]Production!Z47</f>
        <v>47987.127607400005</v>
      </c>
      <c r="AB130" s="6">
        <f>[1]Production!AA43+[1]Production!AA47</f>
        <v>48871.082920000001</v>
      </c>
      <c r="AC130" s="6">
        <f>[1]Production!AB43+[1]Production!AB47</f>
        <v>49825.575999300003</v>
      </c>
      <c r="AD130" s="6">
        <f>[1]Production!AC43+[1]Production!AC47</f>
        <v>50856.296053099999</v>
      </c>
      <c r="AE130" s="6">
        <f>[1]Production!AD43+[1]Production!AD47</f>
        <v>51964.6417602</v>
      </c>
      <c r="AF130" s="6">
        <f>[1]Production!AE43+[1]Production!AE47</f>
        <v>53140.981999999996</v>
      </c>
      <c r="AG130" s="6">
        <f>[1]Production!AF43+[1]Production!AF47</f>
        <v>54370.537351700004</v>
      </c>
      <c r="AH130" s="6">
        <f>[1]Production!AG43+[1]Production!AG47</f>
        <v>55640.223716300003</v>
      </c>
      <c r="AI130" s="6">
        <f>[1]Production!AH43+[1]Production!AH47</f>
        <v>56939.417365100002</v>
      </c>
      <c r="AJ130" s="6">
        <f>[1]Production!AI43+[1]Production!AI47</f>
        <v>58258.089546400006</v>
      </c>
      <c r="AK130" s="6">
        <f>[1]Production!AJ43+[1]Production!AJ47</f>
        <v>59586.096170800003</v>
      </c>
      <c r="AL130" s="6">
        <f>[1]Production!AK43+[1]Production!AK47</f>
        <v>60912.872356499996</v>
      </c>
    </row>
    <row r="131" spans="1:38" x14ac:dyDescent="0.35">
      <c r="B131" t="s">
        <v>36</v>
      </c>
      <c r="C131" s="6">
        <f>[1]Production!B45+[1]Production!B49</f>
        <v>4478.0093014000004</v>
      </c>
      <c r="D131" s="6">
        <f>[1]Production!C45+[1]Production!C49</f>
        <v>4498.5603738999998</v>
      </c>
      <c r="E131" s="6">
        <f>[1]Production!D45+[1]Production!D49</f>
        <v>4518.5406997999999</v>
      </c>
      <c r="F131" s="6">
        <f>[1]Production!E45+[1]Production!E49</f>
        <v>4542.8290300999997</v>
      </c>
      <c r="G131" s="6">
        <f>[1]Production!F45+[1]Production!F49</f>
        <v>4582.7842693000002</v>
      </c>
      <c r="H131" s="6">
        <f>[1]Production!G45+[1]Production!G49</f>
        <v>4636.3396308000001</v>
      </c>
      <c r="I131" s="6">
        <f>[1]Production!H45+[1]Production!H49</f>
        <v>4696.1424344000006</v>
      </c>
      <c r="J131" s="6">
        <f>[1]Production!I45+[1]Production!I49</f>
        <v>4758.7475290000002</v>
      </c>
      <c r="K131" s="6">
        <f>[1]Production!J45+[1]Production!J49</f>
        <v>4822.7988905000002</v>
      </c>
      <c r="L131" s="6">
        <f>[1]Production!K45+[1]Production!K49</f>
        <v>4887.6952816000003</v>
      </c>
      <c r="M131" s="6">
        <f>[1]Production!L45+[1]Production!L49</f>
        <v>4952.1300148999999</v>
      </c>
      <c r="N131" s="6">
        <f>[1]Production!M45+[1]Production!M49</f>
        <v>5008.9016396000006</v>
      </c>
      <c r="O131" s="6">
        <f>[1]Production!N45+[1]Production!N49</f>
        <v>5058.7890535999995</v>
      </c>
      <c r="P131" s="6">
        <f>[1]Production!O45+[1]Production!O49</f>
        <v>5102.8810911</v>
      </c>
      <c r="Q131" s="6">
        <f>[1]Production!P45+[1]Production!P49</f>
        <v>5142.5738883000004</v>
      </c>
      <c r="R131" s="6">
        <f>[1]Production!Q45+[1]Production!Q49</f>
        <v>5179.2778925000002</v>
      </c>
      <c r="S131" s="6">
        <f>[1]Production!R45+[1]Production!R49</f>
        <v>5217.4680660000004</v>
      </c>
      <c r="T131" s="6">
        <f>[1]Production!S45+[1]Production!S49</f>
        <v>5259.0264543999992</v>
      </c>
      <c r="U131" s="6">
        <f>[1]Production!T45+[1]Production!T49</f>
        <v>5304.9409982999996</v>
      </c>
      <c r="V131" s="6">
        <f>[1]Production!U45+[1]Production!U49</f>
        <v>5355.5408348000001</v>
      </c>
      <c r="W131" s="6">
        <f>[1]Production!V45+[1]Production!V49</f>
        <v>5410.4508533999997</v>
      </c>
      <c r="X131" s="6">
        <f>[1]Production!W45+[1]Production!W49</f>
        <v>5470.5680739999998</v>
      </c>
      <c r="Y131" s="6">
        <f>[1]Production!X45+[1]Production!X49</f>
        <v>5536.2613104000002</v>
      </c>
      <c r="Z131" s="6">
        <f>[1]Production!Y45+[1]Production!Y49</f>
        <v>5607.858064</v>
      </c>
      <c r="AA131" s="6">
        <f>[1]Production!Z45+[1]Production!Z49</f>
        <v>5685.4842446000002</v>
      </c>
      <c r="AB131" s="6">
        <f>[1]Production!AA45+[1]Production!AA49</f>
        <v>5767.6806256</v>
      </c>
      <c r="AC131" s="6">
        <f>[1]Production!AB45+[1]Production!AB49</f>
        <v>5855.9577569000003</v>
      </c>
      <c r="AD131" s="6">
        <f>[1]Production!AC45+[1]Production!AC49</f>
        <v>5950.828426</v>
      </c>
      <c r="AE131" s="6">
        <f>[1]Production!AD45+[1]Production!AD49</f>
        <v>6052.5282312999998</v>
      </c>
      <c r="AF131" s="6">
        <f>[1]Production!AE45+[1]Production!AE49</f>
        <v>6160.5123119</v>
      </c>
      <c r="AG131" s="6">
        <f>[1]Production!AF45+[1]Production!AF49</f>
        <v>6273.7637485999994</v>
      </c>
      <c r="AH131" s="6">
        <f>[1]Production!AG45+[1]Production!AG49</f>
        <v>6391.2304603000002</v>
      </c>
      <c r="AI131" s="6">
        <f>[1]Production!AH45+[1]Production!AH49</f>
        <v>6511.9217651999998</v>
      </c>
      <c r="AJ131" s="6">
        <f>[1]Production!AI45+[1]Production!AI49</f>
        <v>6634.8285441999997</v>
      </c>
      <c r="AK131" s="6">
        <f>[1]Production!AJ45+[1]Production!AJ49</f>
        <v>6758.8902580000004</v>
      </c>
      <c r="AL131" s="6">
        <f>[1]Production!AK45+[1]Production!AK49</f>
        <v>6882.9915192999997</v>
      </c>
    </row>
    <row r="132" spans="1:3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67914.131401599996</v>
      </c>
      <c r="D132" s="6">
        <f>[1]Production!C51+[1]Production!C53+[1]Production!C55+[1]Production!C57+[1]Production!C59+[1]Production!C61+[1]Production!C63+[1]Production!C65+[1]Production!C67</f>
        <v>68933.578676299992</v>
      </c>
      <c r="E132" s="6">
        <f>[1]Production!D51+[1]Production!D53+[1]Production!D55+[1]Production!D57+[1]Production!D59+[1]Production!D61+[1]Production!D63+[1]Production!D65+[1]Production!D67</f>
        <v>69899.300598000002</v>
      </c>
      <c r="F132" s="6">
        <f>[1]Production!E51+[1]Production!E53+[1]Production!E55+[1]Production!E57+[1]Production!E59+[1]Production!E61+[1]Production!E63+[1]Production!E65+[1]Production!E67</f>
        <v>70936.377660099999</v>
      </c>
      <c r="G132" s="6">
        <f>[1]Production!F51+[1]Production!F53+[1]Production!F55+[1]Production!F57+[1]Production!F59+[1]Production!F61+[1]Production!F63+[1]Production!F65+[1]Production!F67</f>
        <v>71877.351022000003</v>
      </c>
      <c r="H132" s="6">
        <f>[1]Production!G51+[1]Production!G53+[1]Production!G55+[1]Production!G57+[1]Production!G59+[1]Production!G61+[1]Production!G63+[1]Production!G65+[1]Production!G67</f>
        <v>72828.377083400002</v>
      </c>
      <c r="I132" s="6">
        <f>[1]Production!H51+[1]Production!H53+[1]Production!H55+[1]Production!H57+[1]Production!H59+[1]Production!H61+[1]Production!H63+[1]Production!H65+[1]Production!H67</f>
        <v>73826.761214000013</v>
      </c>
      <c r="J132" s="6">
        <f>[1]Production!I51+[1]Production!I53+[1]Production!I55+[1]Production!I57+[1]Production!I59+[1]Production!I61+[1]Production!I63+[1]Production!I65+[1]Production!I67</f>
        <v>74878.600381199998</v>
      </c>
      <c r="K132" s="6">
        <f>[1]Production!J51+[1]Production!J53+[1]Production!J55+[1]Production!J57+[1]Production!J59+[1]Production!J61+[1]Production!J63+[1]Production!J65+[1]Production!J67</f>
        <v>75960.736994900013</v>
      </c>
      <c r="L132" s="6">
        <f>[1]Production!K51+[1]Production!K53+[1]Production!K55+[1]Production!K57+[1]Production!K59+[1]Production!K61+[1]Production!K63+[1]Production!K65+[1]Production!K67</f>
        <v>77060.108195699999</v>
      </c>
      <c r="M132" s="6">
        <f>[1]Production!L51+[1]Production!L53+[1]Production!L55+[1]Production!L57+[1]Production!L59+[1]Production!L61+[1]Production!L63+[1]Production!L65+[1]Production!L67</f>
        <v>78150.629439900003</v>
      </c>
      <c r="N132" s="6">
        <f>[1]Production!M51+[1]Production!M53+[1]Production!M55+[1]Production!M57+[1]Production!M59+[1]Production!M61+[1]Production!M63+[1]Production!M65+[1]Production!M67</f>
        <v>79020.258706100009</v>
      </c>
      <c r="O132" s="6">
        <f>[1]Production!N51+[1]Production!N53+[1]Production!N55+[1]Production!N57+[1]Production!N59+[1]Production!N61+[1]Production!N63+[1]Production!N65+[1]Production!N67</f>
        <v>79705.151934800015</v>
      </c>
      <c r="P132" s="6">
        <f>[1]Production!O51+[1]Production!O53+[1]Production!O55+[1]Production!O57+[1]Production!O59+[1]Production!O61+[1]Production!O63+[1]Production!O65+[1]Production!O67</f>
        <v>80246.191500000001</v>
      </c>
      <c r="Q132" s="6">
        <f>[1]Production!P51+[1]Production!P53+[1]Production!P55+[1]Production!P57+[1]Production!P59+[1]Production!P61+[1]Production!P63+[1]Production!P65+[1]Production!P67</f>
        <v>80694.836197099998</v>
      </c>
      <c r="R132" s="6">
        <f>[1]Production!Q51+[1]Production!Q53+[1]Production!Q55+[1]Production!Q57+[1]Production!Q59+[1]Production!Q61+[1]Production!Q63+[1]Production!Q65+[1]Production!Q67</f>
        <v>81101.874505999993</v>
      </c>
      <c r="S132" s="6">
        <f>[1]Production!R51+[1]Production!R53+[1]Production!R55+[1]Production!R57+[1]Production!R59+[1]Production!R61+[1]Production!R63+[1]Production!R65+[1]Production!R67</f>
        <v>81494.983767599988</v>
      </c>
      <c r="T132" s="6">
        <f>[1]Production!S51+[1]Production!S53+[1]Production!S55+[1]Production!S57+[1]Production!S59+[1]Production!S61+[1]Production!S63+[1]Production!S65+[1]Production!S67</f>
        <v>81932.7706454</v>
      </c>
      <c r="U132" s="6">
        <f>[1]Production!T51+[1]Production!T53+[1]Production!T55+[1]Production!T57+[1]Production!T59+[1]Production!T61+[1]Production!T63+[1]Production!T65+[1]Production!T67</f>
        <v>82457.143521800012</v>
      </c>
      <c r="V132" s="6">
        <f>[1]Production!U51+[1]Production!U53+[1]Production!U55+[1]Production!U57+[1]Production!U59+[1]Production!U61+[1]Production!U63+[1]Production!U65+[1]Production!U67</f>
        <v>83095.396075900004</v>
      </c>
      <c r="W132" s="6">
        <f>[1]Production!V51+[1]Production!V53+[1]Production!V55+[1]Production!V57+[1]Production!V59+[1]Production!V61+[1]Production!V63+[1]Production!V65+[1]Production!V67</f>
        <v>83847.044355099992</v>
      </c>
      <c r="X132" s="6">
        <f>[1]Production!W51+[1]Production!W53+[1]Production!W55+[1]Production!W57+[1]Production!W59+[1]Production!W61+[1]Production!W63+[1]Production!W65+[1]Production!W67</f>
        <v>84761.819314199995</v>
      </c>
      <c r="Y132" s="6">
        <f>[1]Production!X51+[1]Production!X53+[1]Production!X55+[1]Production!X57+[1]Production!X59+[1]Production!X61+[1]Production!X63+[1]Production!X65+[1]Production!X67</f>
        <v>85849.851957799998</v>
      </c>
      <c r="Z132" s="6">
        <f>[1]Production!Y51+[1]Production!Y53+[1]Production!Y55+[1]Production!Y57+[1]Production!Y59+[1]Production!Y61+[1]Production!Y63+[1]Production!Y65+[1]Production!Y67</f>
        <v>87117.872094200022</v>
      </c>
      <c r="AA132" s="6">
        <f>[1]Production!Z51+[1]Production!Z53+[1]Production!Z55+[1]Production!Z57+[1]Production!Z59+[1]Production!Z61+[1]Production!Z63+[1]Production!Z65+[1]Production!Z67</f>
        <v>88566.535455999998</v>
      </c>
      <c r="AB132" s="6">
        <f>[1]Production!AA51+[1]Production!AA53+[1]Production!AA55+[1]Production!AA57+[1]Production!AA59+[1]Production!AA61+[1]Production!AA63+[1]Production!AA65+[1]Production!AA67</f>
        <v>90132.044860499998</v>
      </c>
      <c r="AC132" s="6">
        <f>[1]Production!AB51+[1]Production!AB53+[1]Production!AB55+[1]Production!AB57+[1]Production!AB59+[1]Production!AB61+[1]Production!AB63+[1]Production!AB65+[1]Production!AB67</f>
        <v>91879.950762400011</v>
      </c>
      <c r="AD132" s="6">
        <f>[1]Production!AC51+[1]Production!AC53+[1]Production!AC55+[1]Production!AC57+[1]Production!AC59+[1]Production!AC61+[1]Production!AC63+[1]Production!AC65+[1]Production!AC67</f>
        <v>93811.275362300003</v>
      </c>
      <c r="AE132" s="6">
        <f>[1]Production!AD51+[1]Production!AD53+[1]Production!AD55+[1]Production!AD57+[1]Production!AD59+[1]Production!AD61+[1]Production!AD63+[1]Production!AD65+[1]Production!AD67</f>
        <v>95920.764506900014</v>
      </c>
      <c r="AF132" s="6">
        <f>[1]Production!AE51+[1]Production!AE53+[1]Production!AE55+[1]Production!AE57+[1]Production!AE59+[1]Production!AE61+[1]Production!AE63+[1]Production!AE65+[1]Production!AE67</f>
        <v>98180.920505999995</v>
      </c>
      <c r="AG132" s="6">
        <f>[1]Production!AF51+[1]Production!AF53+[1]Production!AF55+[1]Production!AF57+[1]Production!AF59+[1]Production!AF61+[1]Production!AF63+[1]Production!AF65+[1]Production!AF67</f>
        <v>100553.71203099999</v>
      </c>
      <c r="AH132" s="6">
        <f>[1]Production!AG51+[1]Production!AG53+[1]Production!AG55+[1]Production!AG57+[1]Production!AG59+[1]Production!AG61+[1]Production!AG63+[1]Production!AG65+[1]Production!AG67</f>
        <v>103003.97119759998</v>
      </c>
      <c r="AI132" s="6">
        <f>[1]Production!AH51+[1]Production!AH53+[1]Production!AH55+[1]Production!AH57+[1]Production!AH59+[1]Production!AH61+[1]Production!AH63+[1]Production!AH65+[1]Production!AH67</f>
        <v>105502.4780678</v>
      </c>
      <c r="AJ132" s="6">
        <f>[1]Production!AI51+[1]Production!AI53+[1]Production!AI55+[1]Production!AI57+[1]Production!AI59+[1]Production!AI61+[1]Production!AI63+[1]Production!AI65+[1]Production!AI67</f>
        <v>108023.2805489</v>
      </c>
      <c r="AK132" s="6">
        <f>[1]Production!AJ51+[1]Production!AJ53+[1]Production!AJ55+[1]Production!AJ57+[1]Production!AJ59+[1]Production!AJ61+[1]Production!AJ63+[1]Production!AJ65+[1]Production!AJ67</f>
        <v>110542.43881450003</v>
      </c>
      <c r="AL132" s="6">
        <f>[1]Production!AK51+[1]Production!AK53+[1]Production!AK55+[1]Production!AK57+[1]Production!AK59+[1]Production!AK61+[1]Production!AK63+[1]Production!AK65+[1]Production!AK67</f>
        <v>113037.53879569999</v>
      </c>
    </row>
    <row r="133" spans="1:3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</row>
    <row r="134" spans="1:38" x14ac:dyDescent="0.35">
      <c r="C134" s="2"/>
    </row>
    <row r="135" spans="1:3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</row>
    <row r="136" spans="1:38" x14ac:dyDescent="0.35">
      <c r="A136" t="s">
        <v>39</v>
      </c>
      <c r="B136" t="s">
        <v>27</v>
      </c>
      <c r="C136" s="6">
        <f>[1]Production!B2</f>
        <v>3854147.423</v>
      </c>
      <c r="D136" s="6">
        <f>[1]Production!C2</f>
        <v>3927352.31</v>
      </c>
      <c r="E136" s="6">
        <f>[1]Production!D2</f>
        <v>4010775.8059999999</v>
      </c>
      <c r="F136" s="6">
        <f>[1]Production!E2</f>
        <v>4101976.574</v>
      </c>
      <c r="G136" s="6">
        <f>[1]Production!F2</f>
        <v>4199388.4079999998</v>
      </c>
      <c r="H136" s="6">
        <f>[1]Production!G2</f>
        <v>4302359.9510000004</v>
      </c>
      <c r="I136" s="6">
        <f>[1]Production!H2</f>
        <v>4407570.2529999996</v>
      </c>
      <c r="J136" s="6">
        <f>[1]Production!I2</f>
        <v>4504520.3470000001</v>
      </c>
      <c r="K136" s="6">
        <f>[1]Production!J2</f>
        <v>4602234.9759999998</v>
      </c>
      <c r="L136" s="6">
        <f>[1]Production!K2</f>
        <v>4720047.2089999998</v>
      </c>
      <c r="M136" s="6">
        <f>[1]Production!L2</f>
        <v>4841591.773</v>
      </c>
      <c r="N136" s="6">
        <f>[1]Production!M2</f>
        <v>4949005.7759999996</v>
      </c>
      <c r="O136" s="6">
        <f>[1]Production!N2</f>
        <v>5045065.1469999999</v>
      </c>
      <c r="P136" s="6">
        <f>[1]Production!O2</f>
        <v>5132857.5580000002</v>
      </c>
      <c r="Q136" s="6">
        <f>[1]Production!P2</f>
        <v>5216534.6560000004</v>
      </c>
      <c r="R136" s="6">
        <f>[1]Production!Q2</f>
        <v>5298888.4029999999</v>
      </c>
      <c r="S136" s="6">
        <f>[1]Production!R2</f>
        <v>5381758.6670000004</v>
      </c>
      <c r="T136" s="6">
        <f>[1]Production!S2</f>
        <v>5468071.3109999998</v>
      </c>
      <c r="U136" s="6">
        <f>[1]Production!T2</f>
        <v>5559901.1550000003</v>
      </c>
      <c r="V136" s="6">
        <f>[1]Production!U2</f>
        <v>5658660.9220000003</v>
      </c>
      <c r="W136" s="6">
        <f>[1]Production!V2</f>
        <v>5763739.5460000001</v>
      </c>
      <c r="X136" s="6">
        <f>[1]Production!W2</f>
        <v>5879164.835</v>
      </c>
      <c r="Y136" s="6">
        <f>[1]Production!X2</f>
        <v>6005424.932</v>
      </c>
      <c r="Z136" s="6">
        <f>[1]Production!Y2</f>
        <v>6143427.6409999998</v>
      </c>
      <c r="AA136" s="6">
        <f>[1]Production!Z2</f>
        <v>6293542.9280000003</v>
      </c>
      <c r="AB136" s="6">
        <f>[1]Production!AA2</f>
        <v>6450620.4060000004</v>
      </c>
      <c r="AC136" s="6">
        <f>[1]Production!AB2</f>
        <v>6621419.8820000002</v>
      </c>
      <c r="AD136" s="6">
        <f>[1]Production!AC2</f>
        <v>6805926.0640000002</v>
      </c>
      <c r="AE136" s="6">
        <f>[1]Production!AD2</f>
        <v>7004968.335</v>
      </c>
      <c r="AF136" s="6">
        <f>[1]Production!AE2</f>
        <v>7218197.4910000004</v>
      </c>
      <c r="AG136" s="6">
        <f>[1]Production!AF2</f>
        <v>7444633.2070000004</v>
      </c>
      <c r="AH136" s="6">
        <f>[1]Production!AG2</f>
        <v>7683514.9610000001</v>
      </c>
      <c r="AI136" s="6">
        <f>[1]Production!AH2</f>
        <v>7934506.7029999997</v>
      </c>
      <c r="AJ136" s="6">
        <f>[1]Production!AI2</f>
        <v>8197515.0159999998</v>
      </c>
      <c r="AK136" s="6">
        <f>[1]Production!AJ2</f>
        <v>8472724.7019999996</v>
      </c>
      <c r="AL136" s="6">
        <f>[1]Production!AK2</f>
        <v>8760668.2430000007</v>
      </c>
    </row>
    <row r="137" spans="1:38" x14ac:dyDescent="0.35">
      <c r="B137" t="s">
        <v>7</v>
      </c>
      <c r="C137" s="6">
        <f>[1]Production!B4+[1]Production!B6</f>
        <v>88284.497585000005</v>
      </c>
      <c r="D137" s="6">
        <f>[1]Production!C4+[1]Production!C6</f>
        <v>89619.04561500001</v>
      </c>
      <c r="E137" s="6">
        <f>[1]Production!D4+[1]Production!D6</f>
        <v>91213.849948000003</v>
      </c>
      <c r="F137" s="6">
        <f>[1]Production!E4+[1]Production!E6</f>
        <v>93050.488725000003</v>
      </c>
      <c r="G137" s="6">
        <f>[1]Production!F4+[1]Production!F6</f>
        <v>95113.163386</v>
      </c>
      <c r="H137" s="6">
        <f>[1]Production!G4+[1]Production!G6</f>
        <v>97370.173668999996</v>
      </c>
      <c r="I137" s="6">
        <f>[1]Production!H4+[1]Production!H6</f>
        <v>99732.858666</v>
      </c>
      <c r="J137" s="6">
        <f>[1]Production!I4+[1]Production!I6</f>
        <v>101697.94042</v>
      </c>
      <c r="K137" s="6">
        <f>[1]Production!J4+[1]Production!J6</f>
        <v>103624.620805</v>
      </c>
      <c r="L137" s="6">
        <f>[1]Production!K4+[1]Production!K6</f>
        <v>106010.88475899999</v>
      </c>
      <c r="M137" s="6">
        <f>[1]Production!L4+[1]Production!L6</f>
        <v>108414.11358400001</v>
      </c>
      <c r="N137" s="6">
        <f>[1]Production!M4+[1]Production!M6</f>
        <v>110461.94934799999</v>
      </c>
      <c r="O137" s="6">
        <f>[1]Production!N4+[1]Production!N6</f>
        <v>112210.28572500001</v>
      </c>
      <c r="P137" s="6">
        <f>[1]Production!O4+[1]Production!O6</f>
        <v>113735.408669</v>
      </c>
      <c r="Q137" s="6">
        <f>[1]Production!P4+[1]Production!P6</f>
        <v>115134.91151600001</v>
      </c>
      <c r="R137" s="6">
        <f>[1]Production!Q4+[1]Production!Q6</f>
        <v>116472.591069</v>
      </c>
      <c r="S137" s="6">
        <f>[1]Production!R4+[1]Production!R6</f>
        <v>117806.82236100001</v>
      </c>
      <c r="T137" s="6">
        <f>[1]Production!S4+[1]Production!S6</f>
        <v>119191.486225</v>
      </c>
      <c r="U137" s="6">
        <f>[1]Production!T4+[1]Production!T6</f>
        <v>120679.258525</v>
      </c>
      <c r="V137" s="6">
        <f>[1]Production!U4+[1]Production!U6</f>
        <v>122307.81523400001</v>
      </c>
      <c r="W137" s="6">
        <f>[1]Production!V4+[1]Production!V6</f>
        <v>124082.511125</v>
      </c>
      <c r="X137" s="6">
        <f>[1]Production!W4+[1]Production!W6</f>
        <v>126066.93118699999</v>
      </c>
      <c r="Y137" s="6">
        <f>[1]Production!X4+[1]Production!X6</f>
        <v>128292.971064</v>
      </c>
      <c r="Z137" s="6">
        <f>[1]Production!Y4+[1]Production!Y6</f>
        <v>130782.522268</v>
      </c>
      <c r="AA137" s="6">
        <f>[1]Production!Z4+[1]Production!Z6</f>
        <v>133542.68111800001</v>
      </c>
      <c r="AB137" s="6">
        <f>[1]Production!AA4+[1]Production!AA6</f>
        <v>136497.99979099998</v>
      </c>
      <c r="AC137" s="6">
        <f>[1]Production!AB4+[1]Production!AB6</f>
        <v>139703.03448899998</v>
      </c>
      <c r="AD137" s="6">
        <f>[1]Production!AC4+[1]Production!AC6</f>
        <v>143205.79231799999</v>
      </c>
      <c r="AE137" s="6">
        <f>[1]Production!AD4+[1]Production!AD6</f>
        <v>147024.17861100001</v>
      </c>
      <c r="AF137" s="6">
        <f>[1]Production!AE4+[1]Production!AE6</f>
        <v>151142.481072</v>
      </c>
      <c r="AG137" s="6">
        <f>[1]Production!AF4+[1]Production!AF6</f>
        <v>155525.68173200003</v>
      </c>
      <c r="AH137" s="6">
        <f>[1]Production!AG4+[1]Production!AG6</f>
        <v>160139.69612899999</v>
      </c>
      <c r="AI137" s="6">
        <f>[1]Production!AH4+[1]Production!AH6</f>
        <v>164956.02115499999</v>
      </c>
      <c r="AJ137" s="6">
        <f>[1]Production!AI4+[1]Production!AI6</f>
        <v>169947.262055</v>
      </c>
      <c r="AK137" s="6">
        <f>[1]Production!AJ4+[1]Production!AJ6</f>
        <v>175086.20740299998</v>
      </c>
      <c r="AL137" s="6">
        <f>[1]Production!AK4+[1]Production!AK6</f>
        <v>180345.045694</v>
      </c>
    </row>
    <row r="138" spans="1:3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978962.87436899997</v>
      </c>
      <c r="D138" s="6">
        <f>[1]Production!C8+[1]Production!C10+[1]Production!C12+[1]Production!C14+[1]Production!C16+[1]Production!C18+[1]Production!C20+[1]Production!C22+[1]Production!C24+[1]Production!C26+[1]Production!C40</f>
        <v>1001282.318023</v>
      </c>
      <c r="E138" s="6">
        <f>[1]Production!D8+[1]Production!D10+[1]Production!D12+[1]Production!D14+[1]Production!D16+[1]Production!D18+[1]Production!D20+[1]Production!D22+[1]Production!D24+[1]Production!D26+[1]Production!D40</f>
        <v>1026250.41084</v>
      </c>
      <c r="F138" s="6">
        <f>[1]Production!E8+[1]Production!E10+[1]Production!E12+[1]Production!E14+[1]Production!E16+[1]Production!E18+[1]Production!E20+[1]Production!E22+[1]Production!E24+[1]Production!E26+[1]Production!E40</f>
        <v>1053010.4697990001</v>
      </c>
      <c r="G138" s="6">
        <f>[1]Production!F8+[1]Production!F10+[1]Production!F12+[1]Production!F14+[1]Production!F16+[1]Production!F18+[1]Production!F20+[1]Production!F22+[1]Production!F24+[1]Production!F26+[1]Production!F40</f>
        <v>1081356.9332640001</v>
      </c>
      <c r="H138" s="6">
        <f>[1]Production!G8+[1]Production!G10+[1]Production!G12+[1]Production!G14+[1]Production!G16+[1]Production!G18+[1]Production!G20+[1]Production!G22+[1]Production!G24+[1]Production!G26+[1]Production!G40</f>
        <v>1111131.5261250001</v>
      </c>
      <c r="I138" s="6">
        <f>[1]Production!H8+[1]Production!H10+[1]Production!H12+[1]Production!H14+[1]Production!H16+[1]Production!H18+[1]Production!H20+[1]Production!H22+[1]Production!H24+[1]Production!H26+[1]Production!H40</f>
        <v>1141623.1153860001</v>
      </c>
      <c r="J138" s="6">
        <f>[1]Production!I8+[1]Production!I10+[1]Production!I12+[1]Production!I14+[1]Production!I16+[1]Production!I18+[1]Production!I20+[1]Production!I22+[1]Production!I24+[1]Production!I26+[1]Production!I40</f>
        <v>1166753.2963189997</v>
      </c>
      <c r="K138" s="6">
        <f>[1]Production!J8+[1]Production!J10+[1]Production!J12+[1]Production!J14+[1]Production!J16+[1]Production!J18+[1]Production!J20+[1]Production!J22+[1]Production!J24+[1]Production!J26+[1]Production!J40</f>
        <v>1192106.307277</v>
      </c>
      <c r="L138" s="6">
        <f>[1]Production!K8+[1]Production!K10+[1]Production!K12+[1]Production!K14+[1]Production!K16+[1]Production!K18+[1]Production!K20+[1]Production!K22+[1]Production!K24+[1]Production!K26+[1]Production!K40</f>
        <v>1224914.236269</v>
      </c>
      <c r="M138" s="6">
        <f>[1]Production!L8+[1]Production!L10+[1]Production!L12+[1]Production!L14+[1]Production!L16+[1]Production!L18+[1]Production!L20+[1]Production!L22+[1]Production!L24+[1]Production!L26+[1]Production!L40</f>
        <v>1257742.526628</v>
      </c>
      <c r="N138" s="6">
        <f>[1]Production!M8+[1]Production!M10+[1]Production!M12+[1]Production!M14+[1]Production!M16+[1]Production!M18+[1]Production!M20+[1]Production!M22+[1]Production!M24+[1]Production!M26+[1]Production!M40</f>
        <v>1285611.9207989997</v>
      </c>
      <c r="O138" s="6">
        <f>[1]Production!N8+[1]Production!N10+[1]Production!N12+[1]Production!N14+[1]Production!N16+[1]Production!N18+[1]Production!N20+[1]Production!N22+[1]Production!N24+[1]Production!N26+[1]Production!N40</f>
        <v>1309645.4422529999</v>
      </c>
      <c r="P138" s="6">
        <f>[1]Production!O8+[1]Production!O10+[1]Production!O12+[1]Production!O14+[1]Production!O16+[1]Production!O18+[1]Production!O20+[1]Production!O22+[1]Production!O24+[1]Production!O26+[1]Production!O40</f>
        <v>1331327.796268</v>
      </c>
      <c r="Q138" s="6">
        <f>[1]Production!P8+[1]Production!P10+[1]Production!P12+[1]Production!P14+[1]Production!P16+[1]Production!P18+[1]Production!P20+[1]Production!P22+[1]Production!P24+[1]Production!P26+[1]Production!P40</f>
        <v>1352392.119828</v>
      </c>
      <c r="R138" s="6">
        <f>[1]Production!Q8+[1]Production!Q10+[1]Production!Q12+[1]Production!Q14+[1]Production!Q16+[1]Production!Q18+[1]Production!Q20+[1]Production!Q22+[1]Production!Q24+[1]Production!Q26+[1]Production!Q40</f>
        <v>1373855.0716359999</v>
      </c>
      <c r="S138" s="6">
        <f>[1]Production!R8+[1]Production!R10+[1]Production!R12+[1]Production!R14+[1]Production!R16+[1]Production!R18+[1]Production!R20+[1]Production!R22+[1]Production!R24+[1]Production!R26+[1]Production!R40</f>
        <v>1396068.806146</v>
      </c>
      <c r="T138" s="6">
        <f>[1]Production!S8+[1]Production!S10+[1]Production!S12+[1]Production!S14+[1]Production!S16+[1]Production!S18+[1]Production!S20+[1]Production!S22+[1]Production!S24+[1]Production!S26+[1]Production!S40</f>
        <v>1420029.7320019999</v>
      </c>
      <c r="U138" s="6">
        <f>[1]Production!T8+[1]Production!T10+[1]Production!T12+[1]Production!T14+[1]Production!T16+[1]Production!T18+[1]Production!T20+[1]Production!T22+[1]Production!T24+[1]Production!T26+[1]Production!T40</f>
        <v>1446348.2372470002</v>
      </c>
      <c r="V138" s="6">
        <f>[1]Production!U8+[1]Production!U10+[1]Production!U12+[1]Production!U14+[1]Production!U16+[1]Production!U18+[1]Production!U20+[1]Production!U22+[1]Production!U24+[1]Production!U26+[1]Production!U40</f>
        <v>1475365.450254</v>
      </c>
      <c r="W138" s="6">
        <f>[1]Production!V8+[1]Production!V10+[1]Production!V12+[1]Production!V14+[1]Production!V16+[1]Production!V18+[1]Production!V20+[1]Production!V22+[1]Production!V24+[1]Production!V26+[1]Production!V40</f>
        <v>1507124.2139030001</v>
      </c>
      <c r="X138" s="6">
        <f>[1]Production!W8+[1]Production!W10+[1]Production!W12+[1]Production!W14+[1]Production!W16+[1]Production!W18+[1]Production!W20+[1]Production!W22+[1]Production!W24+[1]Production!W26+[1]Production!W40</f>
        <v>1542208.0998689998</v>
      </c>
      <c r="Y138" s="6">
        <f>[1]Production!X8+[1]Production!X10+[1]Production!X12+[1]Production!X14+[1]Production!X16+[1]Production!X18+[1]Production!X20+[1]Production!X22+[1]Production!X24+[1]Production!X26+[1]Production!X40</f>
        <v>1580941.2457350001</v>
      </c>
      <c r="Z138" s="6">
        <f>[1]Production!Y8+[1]Production!Y10+[1]Production!Y12+[1]Production!Y14+[1]Production!Y16+[1]Production!Y18+[1]Production!Y20+[1]Production!Y22+[1]Production!Y24+[1]Production!Y26+[1]Production!Y40</f>
        <v>1623516.4948239999</v>
      </c>
      <c r="AA138" s="6">
        <f>[1]Production!Z8+[1]Production!Z10+[1]Production!Z12+[1]Production!Z14+[1]Production!Z16+[1]Production!Z18+[1]Production!Z20+[1]Production!Z22+[1]Production!Z24+[1]Production!Z26+[1]Production!Z40</f>
        <v>1669940.0808289999</v>
      </c>
      <c r="AB138" s="6">
        <f>[1]Production!AA8+[1]Production!AA10+[1]Production!AA12+[1]Production!AA14+[1]Production!AA16+[1]Production!AA18+[1]Production!AA20+[1]Production!AA22+[1]Production!AA24+[1]Production!AA26+[1]Production!AA40</f>
        <v>1719463.1470559998</v>
      </c>
      <c r="AC138" s="6">
        <f>[1]Production!AB8+[1]Production!AB10+[1]Production!AB12+[1]Production!AB14+[1]Production!AB16+[1]Production!AB18+[1]Production!AB20+[1]Production!AB22+[1]Production!AB24+[1]Production!AB26+[1]Production!AB40</f>
        <v>1772877.5004960001</v>
      </c>
      <c r="AD138" s="6">
        <f>[1]Production!AC8+[1]Production!AC10+[1]Production!AC12+[1]Production!AC14+[1]Production!AC16+[1]Production!AC18+[1]Production!AC20+[1]Production!AC22+[1]Production!AC24+[1]Production!AC26+[1]Production!AC40</f>
        <v>1830475.6148899999</v>
      </c>
      <c r="AE138" s="6">
        <f>[1]Production!AD8+[1]Production!AD10+[1]Production!AD12+[1]Production!AD14+[1]Production!AD16+[1]Production!AD18+[1]Production!AD20+[1]Production!AD22+[1]Production!AD24+[1]Production!AD26+[1]Production!AD40</f>
        <v>1892364.0606760001</v>
      </c>
      <c r="AF138" s="6">
        <f>[1]Production!AE8+[1]Production!AE10+[1]Production!AE12+[1]Production!AE14+[1]Production!AE16+[1]Production!AE18+[1]Production!AE20+[1]Production!AE22+[1]Production!AE24+[1]Production!AE26+[1]Production!AE40</f>
        <v>1958215.26834</v>
      </c>
      <c r="AG138" s="6">
        <f>[1]Production!AF8+[1]Production!AF10+[1]Production!AF12+[1]Production!AF14+[1]Production!AF16+[1]Production!AF18+[1]Production!AF20+[1]Production!AF22+[1]Production!AF24+[1]Production!AF26+[1]Production!AF40</f>
        <v>2027539.719884</v>
      </c>
      <c r="AH138" s="6">
        <f>[1]Production!AG8+[1]Production!AG10+[1]Production!AG12+[1]Production!AG14+[1]Production!AG16+[1]Production!AG18+[1]Production!AG20+[1]Production!AG22+[1]Production!AG24+[1]Production!AG26+[1]Production!AG40</f>
        <v>2100000.8409130001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2175426.7219479997</v>
      </c>
      <c r="AJ138" s="6">
        <f>[1]Production!AI8+[1]Production!AI10+[1]Production!AI12+[1]Production!AI14+[1]Production!AI16+[1]Production!AI18+[1]Production!AI20+[1]Production!AI22+[1]Production!AI24+[1]Production!AI26+[1]Production!AI40</f>
        <v>2253687.1139599998</v>
      </c>
      <c r="AK138" s="6">
        <f>[1]Production!AJ8+[1]Production!AJ10+[1]Production!AJ12+[1]Production!AJ14+[1]Production!AJ16+[1]Production!AJ18+[1]Production!AJ20+[1]Production!AJ22+[1]Production!AJ24+[1]Production!AJ26+[1]Production!AJ40</f>
        <v>2334703.0877100001</v>
      </c>
      <c r="AL138" s="6">
        <f>[1]Production!AK8+[1]Production!AK10+[1]Production!AK12+[1]Production!AK14+[1]Production!AK16+[1]Production!AK18+[1]Production!AK20+[1]Production!AK22+[1]Production!AK24+[1]Production!AK26+[1]Production!AK40</f>
        <v>2418447.7139080004</v>
      </c>
    </row>
    <row r="139" spans="1:38" x14ac:dyDescent="0.35">
      <c r="B139" t="s">
        <v>9</v>
      </c>
      <c r="C139" s="6">
        <f>[1]Production!B28+[1]Production!B30+[1]Production!B32+[1]Production!B34</f>
        <v>120923.387844</v>
      </c>
      <c r="D139" s="6">
        <f>[1]Production!C28+[1]Production!C30+[1]Production!C32+[1]Production!C34</f>
        <v>123477.988359</v>
      </c>
      <c r="E139" s="6">
        <f>[1]Production!D28+[1]Production!D30+[1]Production!D32+[1]Production!D34</f>
        <v>126220.06441199999</v>
      </c>
      <c r="F139" s="6">
        <f>[1]Production!E28+[1]Production!E30+[1]Production!E32+[1]Production!E34</f>
        <v>129091.77151000001</v>
      </c>
      <c r="G139" s="6">
        <f>[1]Production!F28+[1]Production!F30+[1]Production!F32+[1]Production!F34</f>
        <v>132132.613614</v>
      </c>
      <c r="H139" s="6">
        <f>[1]Production!G28+[1]Production!G30+[1]Production!G32+[1]Production!G34</f>
        <v>135348.14885699999</v>
      </c>
      <c r="I139" s="6">
        <f>[1]Production!H28+[1]Production!H30+[1]Production!H32+[1]Production!H34</f>
        <v>138643.99286700002</v>
      </c>
      <c r="J139" s="6">
        <f>[1]Production!I28+[1]Production!I30+[1]Production!I32+[1]Production!I34</f>
        <v>141274.87294</v>
      </c>
      <c r="K139" s="6">
        <f>[1]Production!J28+[1]Production!J30+[1]Production!J32+[1]Production!J34</f>
        <v>143913.08004299999</v>
      </c>
      <c r="L139" s="6">
        <f>[1]Production!K28+[1]Production!K30+[1]Production!K32+[1]Production!K34</f>
        <v>147449.56321699999</v>
      </c>
      <c r="M139" s="6">
        <f>[1]Production!L28+[1]Production!L30+[1]Production!L32+[1]Production!L34</f>
        <v>151010.89983499999</v>
      </c>
      <c r="N139" s="6">
        <f>[1]Production!M28+[1]Production!M30+[1]Production!M32+[1]Production!M34</f>
        <v>153977.34327899999</v>
      </c>
      <c r="O139" s="6">
        <f>[1]Production!N28+[1]Production!N30+[1]Production!N32+[1]Production!N34</f>
        <v>156433.01926599999</v>
      </c>
      <c r="P139" s="6">
        <f>[1]Production!O28+[1]Production!O30+[1]Production!O32+[1]Production!O34</f>
        <v>158515.90856899999</v>
      </c>
      <c r="Q139" s="6">
        <f>[1]Production!P28+[1]Production!P30+[1]Production!P32+[1]Production!P34</f>
        <v>160409.96320999999</v>
      </c>
      <c r="R139" s="6">
        <f>[1]Production!Q28+[1]Production!Q30+[1]Production!Q32+[1]Production!Q34</f>
        <v>162224.60325700001</v>
      </c>
      <c r="S139" s="6">
        <f>[1]Production!R28+[1]Production!R30+[1]Production!R32+[1]Production!R34</f>
        <v>164039.203687</v>
      </c>
      <c r="T139" s="6">
        <f>[1]Production!S28+[1]Production!S30+[1]Production!S32+[1]Production!S34</f>
        <v>165969.022577</v>
      </c>
      <c r="U139" s="6">
        <f>[1]Production!T28+[1]Production!T30+[1]Production!T32+[1]Production!T34</f>
        <v>168106.20120700001</v>
      </c>
      <c r="V139" s="6">
        <f>[1]Production!U28+[1]Production!U30+[1]Production!U32+[1]Production!U34</f>
        <v>170504.20434500001</v>
      </c>
      <c r="W139" s="6">
        <f>[1]Production!V28+[1]Production!V30+[1]Production!V32+[1]Production!V34</f>
        <v>173172.37440199999</v>
      </c>
      <c r="X139" s="6">
        <f>[1]Production!W28+[1]Production!W30+[1]Production!W32+[1]Production!W34</f>
        <v>176209.826822</v>
      </c>
      <c r="Y139" s="6">
        <f>[1]Production!X28+[1]Production!X30+[1]Production!X32+[1]Production!X34</f>
        <v>179658.05118900002</v>
      </c>
      <c r="Z139" s="6">
        <f>[1]Production!Y28+[1]Production!Y30+[1]Production!Y32+[1]Production!Y34</f>
        <v>183534.60690899999</v>
      </c>
      <c r="AA139" s="6">
        <f>[1]Production!Z28+[1]Production!Z30+[1]Production!Z32+[1]Production!Z34</f>
        <v>187830.39884000001</v>
      </c>
      <c r="AB139" s="6">
        <f>[1]Production!AA28+[1]Production!AA30+[1]Production!AA32+[1]Production!AA34</f>
        <v>192433.37182999999</v>
      </c>
      <c r="AC139" s="6">
        <f>[1]Production!AB28+[1]Production!AB30+[1]Production!AB32+[1]Production!AB34</f>
        <v>197500.74932</v>
      </c>
      <c r="AD139" s="6">
        <f>[1]Production!AC28+[1]Production!AC30+[1]Production!AC32+[1]Production!AC34</f>
        <v>203101.18570999999</v>
      </c>
      <c r="AE139" s="6">
        <f>[1]Production!AD28+[1]Production!AD30+[1]Production!AD32+[1]Production!AD34</f>
        <v>209248.27359</v>
      </c>
      <c r="AF139" s="6">
        <f>[1]Production!AE28+[1]Production!AE30+[1]Production!AE32+[1]Production!AE34</f>
        <v>215887.74445</v>
      </c>
      <c r="AG139" s="6">
        <f>[1]Production!AF28+[1]Production!AF30+[1]Production!AF32+[1]Production!AF34</f>
        <v>222942.21806000001</v>
      </c>
      <c r="AH139" s="6">
        <f>[1]Production!AG28+[1]Production!AG30+[1]Production!AG32+[1]Production!AG34</f>
        <v>230371.65973000001</v>
      </c>
      <c r="AI139" s="6">
        <f>[1]Production!AH28+[1]Production!AH30+[1]Production!AH32+[1]Production!AH34</f>
        <v>238167.36278999998</v>
      </c>
      <c r="AJ139" s="6">
        <f>[1]Production!AI28+[1]Production!AI30+[1]Production!AI32+[1]Production!AI34</f>
        <v>246306.77735000002</v>
      </c>
      <c r="AK139" s="6">
        <f>[1]Production!AJ28+[1]Production!AJ30+[1]Production!AJ32+[1]Production!AJ34</f>
        <v>254764.90205</v>
      </c>
      <c r="AL139" s="6">
        <f>[1]Production!AK28+[1]Production!AK30+[1]Production!AK32+[1]Production!AK34</f>
        <v>263518.16090000002</v>
      </c>
    </row>
    <row r="140" spans="1:38" x14ac:dyDescent="0.35">
      <c r="B140" t="s">
        <v>10</v>
      </c>
      <c r="C140" s="6">
        <f>[1]Production!B36+[1]Production!B38</f>
        <v>2557835.5052999998</v>
      </c>
      <c r="D140" s="6">
        <f>[1]Production!C36+[1]Production!C38</f>
        <v>2603469.9394</v>
      </c>
      <c r="E140" s="6">
        <f>[1]Production!D36+[1]Production!D38</f>
        <v>2656273.3676999998</v>
      </c>
      <c r="F140" s="6">
        <f>[1]Production!E36+[1]Production!E38</f>
        <v>2714591.9386999998</v>
      </c>
      <c r="G140" s="6">
        <f>[1]Production!F36+[1]Production!F38</f>
        <v>2777108.9169999999</v>
      </c>
      <c r="H140" s="6">
        <f>[1]Production!G36+[1]Production!G38</f>
        <v>2843265.8802</v>
      </c>
      <c r="I140" s="6">
        <f>[1]Production!H36+[1]Production!H38</f>
        <v>2910655.8411999997</v>
      </c>
      <c r="J140" s="6">
        <f>[1]Production!I36+[1]Production!I38</f>
        <v>2974042.9553999999</v>
      </c>
      <c r="K140" s="6">
        <f>[1]Production!J36+[1]Production!J38</f>
        <v>3037643.8340000003</v>
      </c>
      <c r="L140" s="6">
        <f>[1]Production!K36+[1]Production!K38</f>
        <v>3111898.7237999998</v>
      </c>
      <c r="M140" s="6">
        <f>[1]Production!L36+[1]Production!L38</f>
        <v>3189639.9607000002</v>
      </c>
      <c r="N140" s="6">
        <f>[1]Production!M36+[1]Production!M38</f>
        <v>3259546.1836999999</v>
      </c>
      <c r="O140" s="6">
        <f>[1]Production!N36+[1]Production!N38</f>
        <v>3322983.2947</v>
      </c>
      <c r="P140" s="6">
        <f>[1]Production!O36+[1]Production!O38</f>
        <v>3381181.6990999999</v>
      </c>
      <c r="Q140" s="6">
        <f>[1]Production!P36+[1]Production!P38</f>
        <v>3436114.1842</v>
      </c>
      <c r="R140" s="6">
        <f>[1]Production!Q36+[1]Production!Q38</f>
        <v>3489271.9800000004</v>
      </c>
      <c r="S140" s="6">
        <f>[1]Production!R36+[1]Production!R38</f>
        <v>3541962.8903999999</v>
      </c>
      <c r="T140" s="6">
        <f>[1]Production!S36+[1]Production!S38</f>
        <v>3595785.2705000001</v>
      </c>
      <c r="U140" s="6">
        <f>[1]Production!T36+[1]Production!T38</f>
        <v>3651980.7969</v>
      </c>
      <c r="V140" s="6">
        <f>[1]Production!U36+[1]Production!U38</f>
        <v>3711449.0041999999</v>
      </c>
      <c r="W140" s="6">
        <f>[1]Production!V36+[1]Production!V38</f>
        <v>3773464.4939999999</v>
      </c>
      <c r="X140" s="6">
        <f>[1]Production!W36+[1]Production!W38</f>
        <v>3841148.6498000002</v>
      </c>
      <c r="Y140" s="6">
        <f>[1]Production!X36+[1]Production!X38</f>
        <v>3914469.4089000002</v>
      </c>
      <c r="Z140" s="6">
        <f>[1]Production!Y36+[1]Production!Y38</f>
        <v>3993978.852</v>
      </c>
      <c r="AA140" s="6">
        <f>[1]Production!Z36+[1]Production!Z38</f>
        <v>4079916.7439999999</v>
      </c>
      <c r="AB140" s="6">
        <f>[1]Production!AA36+[1]Production!AA38</f>
        <v>4168043.4976999997</v>
      </c>
      <c r="AC140" s="6">
        <f>[1]Production!AB36+[1]Production!AB38</f>
        <v>4263752.3655000003</v>
      </c>
      <c r="AD140" s="6">
        <f>[1]Production!AC36+[1]Production!AC38</f>
        <v>4366386.4994999999</v>
      </c>
      <c r="AE140" s="6">
        <f>[1]Production!AD36+[1]Production!AD38</f>
        <v>4476368.7752</v>
      </c>
      <c r="AF140" s="6">
        <f>[1]Production!AE36+[1]Production!AE38</f>
        <v>4593488.4962999998</v>
      </c>
      <c r="AG140" s="6">
        <f>[1]Production!AF36+[1]Production!AF38</f>
        <v>4717079.9825999998</v>
      </c>
      <c r="AH140" s="6">
        <f>[1]Production!AG36+[1]Production!AG38</f>
        <v>4846409.5921999998</v>
      </c>
      <c r="AI140" s="6">
        <f>[1]Production!AH36+[1]Production!AH38</f>
        <v>4980835.0531000001</v>
      </c>
      <c r="AJ140" s="6">
        <f>[1]Production!AI36+[1]Production!AI38</f>
        <v>5119791.5321000004</v>
      </c>
      <c r="AK140" s="6">
        <f>[1]Production!AJ36+[1]Production!AJ38</f>
        <v>5262749.9934</v>
      </c>
      <c r="AL140" s="6">
        <f>[1]Production!AK36+[1]Production!AK38</f>
        <v>5409196.7817000002</v>
      </c>
    </row>
    <row r="141" spans="1:38" x14ac:dyDescent="0.35">
      <c r="B141" t="s">
        <v>29</v>
      </c>
      <c r="C141" s="6">
        <f>[1]Production!B42+[1]Production!B46</f>
        <v>35749.017159999996</v>
      </c>
      <c r="D141" s="6">
        <f>[1]Production!C42+[1]Production!C46</f>
        <v>36070.879558799999</v>
      </c>
      <c r="E141" s="6">
        <f>[1]Production!D42+[1]Production!D46</f>
        <v>36400.271525199998</v>
      </c>
      <c r="F141" s="6">
        <f>[1]Production!E42+[1]Production!E46</f>
        <v>36752.699591899996</v>
      </c>
      <c r="G141" s="6">
        <f>[1]Production!F42+[1]Production!F46</f>
        <v>37216.6460372</v>
      </c>
      <c r="H141" s="6">
        <f>[1]Production!G42+[1]Production!G46</f>
        <v>37779.505092500003</v>
      </c>
      <c r="I141" s="6">
        <f>[1]Production!H42+[1]Production!H46</f>
        <v>38391.540984699997</v>
      </c>
      <c r="J141" s="6">
        <f>[1]Production!I42+[1]Production!I46</f>
        <v>38076.494405599995</v>
      </c>
      <c r="K141" s="6">
        <f>[1]Production!J42+[1]Production!J46</f>
        <v>37738.985963300001</v>
      </c>
      <c r="L141" s="6">
        <f>[1]Production!K42+[1]Production!K46</f>
        <v>37542.581438600006</v>
      </c>
      <c r="M141" s="6">
        <f>[1]Production!L42+[1]Production!L46</f>
        <v>37334.144461999997</v>
      </c>
      <c r="N141" s="6">
        <f>[1]Production!M42+[1]Production!M46</f>
        <v>37044.617151599996</v>
      </c>
      <c r="O141" s="6">
        <f>[1]Production!N42+[1]Production!N46</f>
        <v>36680.068266900002</v>
      </c>
      <c r="P141" s="6">
        <f>[1]Production!O42+[1]Production!O46</f>
        <v>36260.490249800001</v>
      </c>
      <c r="Q141" s="6">
        <f>[1]Production!P42+[1]Production!P46</f>
        <v>35813.074668600006</v>
      </c>
      <c r="R141" s="6">
        <f>[1]Production!Q42+[1]Production!Q46</f>
        <v>35351.272695400003</v>
      </c>
      <c r="S141" s="6">
        <f>[1]Production!R42+[1]Production!R46</f>
        <v>34834.822986400002</v>
      </c>
      <c r="T141" s="6">
        <f>[1]Production!S42+[1]Production!S46</f>
        <v>34313.786257</v>
      </c>
      <c r="U141" s="6">
        <f>[1]Production!T42+[1]Production!T46</f>
        <v>33799.6868512</v>
      </c>
      <c r="V141" s="6">
        <f>[1]Production!U42+[1]Production!U46</f>
        <v>33297.126135499995</v>
      </c>
      <c r="W141" s="6">
        <f>[1]Production!V42+[1]Production!V46</f>
        <v>32805.221021700003</v>
      </c>
      <c r="X141" s="6">
        <f>[1]Production!W42+[1]Production!W46</f>
        <v>32330.638512499998</v>
      </c>
      <c r="Y141" s="6">
        <f>[1]Production!X42+[1]Production!X46</f>
        <v>31875.482119799999</v>
      </c>
      <c r="Z141" s="6">
        <f>[1]Production!Y42+[1]Production!Y46</f>
        <v>31438.4538273</v>
      </c>
      <c r="AA141" s="6">
        <f>[1]Production!Z42+[1]Production!Z46</f>
        <v>31014.8891515</v>
      </c>
      <c r="AB141" s="6">
        <f>[1]Production!AA42+[1]Production!AA46</f>
        <v>30591.471933800003</v>
      </c>
      <c r="AC141" s="6">
        <f>[1]Production!AB42+[1]Production!AB46</f>
        <v>30188.658311800002</v>
      </c>
      <c r="AD141" s="6">
        <f>[1]Production!AC42+[1]Production!AC46</f>
        <v>29796.349816800001</v>
      </c>
      <c r="AE141" s="6">
        <f>[1]Production!AD42+[1]Production!AD46</f>
        <v>29410.452859100002</v>
      </c>
      <c r="AF141" s="6">
        <f>[1]Production!AE42+[1]Production!AE46</f>
        <v>29018.207821399999</v>
      </c>
      <c r="AG141" s="6">
        <f>[1]Production!AF42+[1]Production!AF46</f>
        <v>28603.818672900001</v>
      </c>
      <c r="AH141" s="6">
        <f>[1]Production!AG42+[1]Production!AG46</f>
        <v>28154.37346884</v>
      </c>
      <c r="AI141" s="6">
        <f>[1]Production!AH42+[1]Production!AH46</f>
        <v>27659.687841390001</v>
      </c>
      <c r="AJ141" s="6">
        <f>[1]Production!AI42+[1]Production!AI46</f>
        <v>27109.277595359999</v>
      </c>
      <c r="AK141" s="6">
        <f>[1]Production!AJ42+[1]Production!AJ46</f>
        <v>26492.239010720001</v>
      </c>
      <c r="AL141" s="6">
        <f>[1]Production!AK42+[1]Production!AK46</f>
        <v>25797.149830820003</v>
      </c>
    </row>
    <row r="142" spans="1:38" x14ac:dyDescent="0.35">
      <c r="B142" t="s">
        <v>36</v>
      </c>
      <c r="C142" s="6">
        <f>+[1]Production!B44+[1]Production!B48</f>
        <v>4478.0091768000002</v>
      </c>
      <c r="D142" s="6">
        <f>+[1]Production!C44+[1]Production!C48</f>
        <v>4498.5602479999998</v>
      </c>
      <c r="E142" s="6">
        <f>+[1]Production!D44+[1]Production!D48</f>
        <v>4518.5405717000003</v>
      </c>
      <c r="F142" s="6">
        <f>+[1]Production!E44+[1]Production!E48</f>
        <v>4542.8288997</v>
      </c>
      <c r="G142" s="6">
        <f>+[1]Production!F44+[1]Production!F48</f>
        <v>4582.7841364999995</v>
      </c>
      <c r="H142" s="6">
        <f>+[1]Production!G44+[1]Production!G48</f>
        <v>4636.3394957</v>
      </c>
      <c r="I142" s="6">
        <f>+[1]Production!H44+[1]Production!H48</f>
        <v>4696.1422975999994</v>
      </c>
      <c r="J142" s="6">
        <f>+[1]Production!I44+[1]Production!I48</f>
        <v>5706.0318193999992</v>
      </c>
      <c r="K142" s="6">
        <f>+[1]Production!J44+[1]Production!J48</f>
        <v>6748.0668122999996</v>
      </c>
      <c r="L142" s="6">
        <f>+[1]Production!K44+[1]Production!K48</f>
        <v>7837.4596602999991</v>
      </c>
      <c r="M142" s="6">
        <f>+[1]Production!L44+[1]Production!L48</f>
        <v>8968.8379669999995</v>
      </c>
      <c r="N142" s="6">
        <f>+[1]Production!M44+[1]Production!M48</f>
        <v>10140.832429</v>
      </c>
      <c r="O142" s="6">
        <f>+[1]Production!N44+[1]Production!N48</f>
        <v>11351.103243000001</v>
      </c>
      <c r="P142" s="6">
        <f>+[1]Production!O44+[1]Production!O48</f>
        <v>12599.426885000001</v>
      </c>
      <c r="Q142" s="6">
        <f>+[1]Production!P44+[1]Production!P48</f>
        <v>13888.082945</v>
      </c>
      <c r="R142" s="6">
        <f>+[1]Production!Q44+[1]Production!Q48</f>
        <v>15219.228021999999</v>
      </c>
      <c r="S142" s="6">
        <f>+[1]Production!R44+[1]Production!R48</f>
        <v>16590.600735</v>
      </c>
      <c r="T142" s="6">
        <f>+[1]Production!S44+[1]Production!S48</f>
        <v>18008.564716999997</v>
      </c>
      <c r="U142" s="6">
        <f>+[1]Production!T44+[1]Production!T48</f>
        <v>19480.590631999999</v>
      </c>
      <c r="V142" s="6">
        <f>+[1]Production!U44+[1]Production!U48</f>
        <v>21013.969132999999</v>
      </c>
      <c r="W142" s="6">
        <f>+[1]Production!V44+[1]Production!V48</f>
        <v>22614.397581000001</v>
      </c>
      <c r="X142" s="6">
        <f>+[1]Production!W44+[1]Production!W48</f>
        <v>24292.914036000002</v>
      </c>
      <c r="Y142" s="6">
        <f>+[1]Production!X44+[1]Production!X48</f>
        <v>26059.724882999999</v>
      </c>
      <c r="Z142" s="6">
        <f>+[1]Production!Y44+[1]Production!Y48</f>
        <v>27925.133398000002</v>
      </c>
      <c r="AA142" s="6">
        <f>+[1]Production!Z44+[1]Production!Z48</f>
        <v>29899.26338</v>
      </c>
      <c r="AB142" s="6">
        <f>+[1]Production!AA44+[1]Production!AA48</f>
        <v>31985.492451999999</v>
      </c>
      <c r="AC142" s="6">
        <f>+[1]Production!AB44+[1]Production!AB48</f>
        <v>34203.631743999998</v>
      </c>
      <c r="AD142" s="6">
        <f>+[1]Production!AC44+[1]Production!AC48</f>
        <v>36573.198388000004</v>
      </c>
      <c r="AE142" s="6">
        <f>+[1]Production!AD44+[1]Production!AD48</f>
        <v>39112.883180999997</v>
      </c>
      <c r="AF142" s="6">
        <f>+[1]Production!AE44+[1]Production!AE48</f>
        <v>41838.996418000002</v>
      </c>
      <c r="AG142" s="6">
        <f>+[1]Production!AF44+[1]Production!AF48</f>
        <v>44767.441804000002</v>
      </c>
      <c r="AH142" s="6">
        <f>+[1]Production!AG44+[1]Production!AG48</f>
        <v>47918.367598000004</v>
      </c>
      <c r="AI142" s="6">
        <f>+[1]Production!AH44+[1]Production!AH48</f>
        <v>51318.418681999996</v>
      </c>
      <c r="AJ142" s="6">
        <f>+[1]Production!AI44+[1]Production!AI48</f>
        <v>55000.718030999997</v>
      </c>
      <c r="AK142" s="6">
        <f>+[1]Production!AJ44+[1]Production!AJ48</f>
        <v>59009.414301999997</v>
      </c>
      <c r="AL142" s="6">
        <f>+[1]Production!AK44+[1]Production!AK48</f>
        <v>63407.724839000002</v>
      </c>
    </row>
    <row r="143" spans="1:3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67914.131414000003</v>
      </c>
      <c r="D143" s="6">
        <f>[1]Production!C50+[1]Production!C52+[1]Production!C54+[1]Production!C56+[1]Production!C58+[1]Production!C60+[1]Production!C62+[1]Production!C64+[1]Production!C66</f>
        <v>68933.578685600005</v>
      </c>
      <c r="E143" s="6">
        <f>[1]Production!D50+[1]Production!D52+[1]Production!D54+[1]Production!D56+[1]Production!D58+[1]Production!D60+[1]Production!D62+[1]Production!D64+[1]Production!D66</f>
        <v>69899.300603399999</v>
      </c>
      <c r="F143" s="6">
        <f>[1]Production!E50+[1]Production!E52+[1]Production!E54+[1]Production!E56+[1]Production!E58+[1]Production!E60+[1]Production!E62+[1]Production!E64+[1]Production!E66</f>
        <v>70936.377661599996</v>
      </c>
      <c r="G143" s="6">
        <f>[1]Production!F50+[1]Production!F52+[1]Production!F54+[1]Production!F56+[1]Production!F58+[1]Production!F60+[1]Production!F62+[1]Production!F64+[1]Production!F66</f>
        <v>71877.351017499997</v>
      </c>
      <c r="H143" s="6">
        <f>[1]Production!G50+[1]Production!G52+[1]Production!G54+[1]Production!G56+[1]Production!G58+[1]Production!G60+[1]Production!G62+[1]Production!G64+[1]Production!G66</f>
        <v>72828.377076899997</v>
      </c>
      <c r="I143" s="6">
        <f>[1]Production!H50+[1]Production!H52+[1]Production!H54+[1]Production!H56+[1]Production!H58+[1]Production!H60+[1]Production!H62+[1]Production!H64+[1]Production!H66</f>
        <v>73826.761205200004</v>
      </c>
      <c r="J143" s="6">
        <f>[1]Production!I50+[1]Production!I52+[1]Production!I54+[1]Production!I56+[1]Production!I58+[1]Production!I60+[1]Production!I62+[1]Production!I64+[1]Production!I66</f>
        <v>76968.755712500002</v>
      </c>
      <c r="K143" s="6">
        <f>[1]Production!J50+[1]Production!J52+[1]Production!J54+[1]Production!J56+[1]Production!J58+[1]Production!J60+[1]Production!J62+[1]Production!J64+[1]Production!J66</f>
        <v>80460.081372699991</v>
      </c>
      <c r="L143" s="6">
        <f>[1]Production!K50+[1]Production!K52+[1]Production!K54+[1]Production!K56+[1]Production!K58+[1]Production!K60+[1]Production!K62+[1]Production!K64+[1]Production!K66</f>
        <v>84393.759653400004</v>
      </c>
      <c r="M143" s="6">
        <f>[1]Production!L50+[1]Production!L52+[1]Production!L54+[1]Production!L56+[1]Production!L58+[1]Production!L60+[1]Production!L62+[1]Production!L64+[1]Production!L66</f>
        <v>88481.289571400004</v>
      </c>
      <c r="N143" s="6">
        <f>[1]Production!M50+[1]Production!M52+[1]Production!M54+[1]Production!M56+[1]Production!M58+[1]Production!M60+[1]Production!M62+[1]Production!M64+[1]Production!M66</f>
        <v>92222.929690200006</v>
      </c>
      <c r="O143" s="6">
        <f>[1]Production!N50+[1]Production!N52+[1]Production!N54+[1]Production!N56+[1]Production!N58+[1]Production!N60+[1]Production!N62+[1]Production!N64+[1]Production!N66</f>
        <v>95761.933449300006</v>
      </c>
      <c r="P143" s="6">
        <f>[1]Production!O50+[1]Production!O52+[1]Production!O54+[1]Production!O56+[1]Production!O58+[1]Production!O60+[1]Production!O62+[1]Production!O64+[1]Production!O66</f>
        <v>99236.827967699995</v>
      </c>
      <c r="Q143" s="6">
        <f>[1]Production!P50+[1]Production!P52+[1]Production!P54+[1]Production!P56+[1]Production!P58+[1]Production!P60+[1]Production!P62+[1]Production!P64+[1]Production!P66</f>
        <v>102782.31963290001</v>
      </c>
      <c r="R143" s="6">
        <f>[1]Production!Q50+[1]Production!Q52+[1]Production!Q54+[1]Production!Q56+[1]Production!Q58+[1]Production!Q60+[1]Production!Q62+[1]Production!Q64+[1]Production!Q66</f>
        <v>106493.65621389999</v>
      </c>
      <c r="S143" s="6">
        <f>[1]Production!R50+[1]Production!R52+[1]Production!R54+[1]Production!R56+[1]Production!R58+[1]Production!R60+[1]Production!R62+[1]Production!R64+[1]Production!R66</f>
        <v>110455.52010990001</v>
      </c>
      <c r="T143" s="6">
        <f>[1]Production!S50+[1]Production!S52+[1]Production!S54+[1]Production!S56+[1]Production!S58+[1]Production!S60+[1]Production!S62+[1]Production!S64+[1]Production!S66</f>
        <v>114773.44843499998</v>
      </c>
      <c r="U143" s="6">
        <f>[1]Production!T50+[1]Production!T52+[1]Production!T54+[1]Production!T56+[1]Production!T58+[1]Production!T60+[1]Production!T62+[1]Production!T64+[1]Production!T66</f>
        <v>119506.38363430001</v>
      </c>
      <c r="V143" s="6">
        <f>[1]Production!U50+[1]Production!U52+[1]Production!U54+[1]Production!U56+[1]Production!U58+[1]Production!U60+[1]Production!U62+[1]Production!U64+[1]Production!U66</f>
        <v>124723.3520537</v>
      </c>
      <c r="W143" s="6">
        <f>[1]Production!V50+[1]Production!V52+[1]Production!V54+[1]Production!V56+[1]Production!V58+[1]Production!V60+[1]Production!V62+[1]Production!V64+[1]Production!V66</f>
        <v>130476.33393960002</v>
      </c>
      <c r="X143" s="6">
        <f>[1]Production!W50+[1]Production!W52+[1]Production!W54+[1]Production!W56+[1]Production!W58+[1]Production!W60+[1]Production!W62+[1]Production!W64+[1]Production!W66</f>
        <v>136907.7751725</v>
      </c>
      <c r="Y143" s="6">
        <f>[1]Production!X50+[1]Production!X52+[1]Production!X54+[1]Production!X56+[1]Production!X58+[1]Production!X60+[1]Production!X62+[1]Production!X64+[1]Production!X66</f>
        <v>144128.04835689996</v>
      </c>
      <c r="Z143" s="6">
        <f>[1]Production!Y50+[1]Production!Y52+[1]Production!Y54+[1]Production!Y56+[1]Production!Y58+[1]Production!Y60+[1]Production!Y62+[1]Production!Y64+[1]Production!Y66</f>
        <v>152251.57778700002</v>
      </c>
      <c r="AA143" s="6">
        <f>[1]Production!Z50+[1]Production!Z52+[1]Production!Z54+[1]Production!Z56+[1]Production!Z58+[1]Production!Z60+[1]Production!Z62+[1]Production!Z64+[1]Production!Z66</f>
        <v>161398.87062839998</v>
      </c>
      <c r="AB143" s="6">
        <f>[1]Production!AA50+[1]Production!AA52+[1]Production!AA54+[1]Production!AA56+[1]Production!AA58+[1]Production!AA60+[1]Production!AA62+[1]Production!AA64+[1]Production!AA66</f>
        <v>171605.4255361</v>
      </c>
      <c r="AC143" s="6">
        <f>[1]Production!AB50+[1]Production!AB52+[1]Production!AB54+[1]Production!AB56+[1]Production!AB58+[1]Production!AB60+[1]Production!AB62+[1]Production!AB64+[1]Production!AB66</f>
        <v>183193.94253110004</v>
      </c>
      <c r="AD143" s="6">
        <f>[1]Production!AC50+[1]Production!AC52+[1]Production!AC54+[1]Production!AC56+[1]Production!AC58+[1]Production!AC60+[1]Production!AC62+[1]Production!AC64+[1]Production!AC66</f>
        <v>196387.42325520003</v>
      </c>
      <c r="AE143" s="6">
        <f>[1]Production!AD50+[1]Production!AD52+[1]Production!AD54+[1]Production!AD56+[1]Production!AD58+[1]Production!AD60+[1]Production!AD62+[1]Production!AD64+[1]Production!AD66</f>
        <v>211439.71153900001</v>
      </c>
      <c r="AF143" s="6">
        <f>[1]Production!AE50+[1]Production!AE52+[1]Production!AE54+[1]Production!AE56+[1]Production!AE58+[1]Production!AE60+[1]Production!AE62+[1]Production!AE64+[1]Production!AE66</f>
        <v>228606.29669400002</v>
      </c>
      <c r="AG143" s="6">
        <f>[1]Production!AF50+[1]Production!AF52+[1]Production!AF54+[1]Production!AF56+[1]Production!AF58+[1]Production!AF60+[1]Production!AF62+[1]Production!AF64+[1]Production!AF66</f>
        <v>248174.34438709999</v>
      </c>
      <c r="AH143" s="6">
        <f>[1]Production!AG50+[1]Production!AG52+[1]Production!AG54+[1]Production!AG56+[1]Production!AG58+[1]Production!AG60+[1]Production!AG62+[1]Production!AG64+[1]Production!AG66</f>
        <v>270520.43097009999</v>
      </c>
      <c r="AI143" s="6">
        <f>[1]Production!AH50+[1]Production!AH52+[1]Production!AH54+[1]Production!AH56+[1]Production!AH58+[1]Production!AH60+[1]Production!AH62+[1]Production!AH64+[1]Production!AH66</f>
        <v>296143.43739519996</v>
      </c>
      <c r="AJ143" s="6">
        <f>[1]Production!AI50+[1]Production!AI52+[1]Production!AI54+[1]Production!AI56+[1]Production!AI58+[1]Production!AI60+[1]Production!AI62+[1]Production!AI64+[1]Production!AI66</f>
        <v>325672.33491039998</v>
      </c>
      <c r="AK143" s="6">
        <f>[1]Production!AJ50+[1]Production!AJ52+[1]Production!AJ54+[1]Production!AJ56+[1]Production!AJ58+[1]Production!AJ60+[1]Production!AJ62+[1]Production!AJ64+[1]Production!AJ66</f>
        <v>359918.85826030001</v>
      </c>
      <c r="AL143" s="6">
        <f>[1]Production!AK50+[1]Production!AK52+[1]Production!AK54+[1]Production!AK56+[1]Production!AK58+[1]Production!AK60+[1]Production!AK62+[1]Production!AK64+[1]Production!AK66</f>
        <v>399955.665515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13">(R136-R125)/R125</f>
        <v>4.7110170125105218E-3</v>
      </c>
      <c r="D146" s="4">
        <f t="shared" ref="D146:D153" si="14">(S135-S124)/S124</f>
        <v>0</v>
      </c>
      <c r="E146" s="4">
        <f t="shared" ref="E146:E153" si="15">(AL136-AL125)/AL125</f>
        <v>5.0595589723963504E-2</v>
      </c>
    </row>
    <row r="147" spans="1:5" x14ac:dyDescent="0.35">
      <c r="B147" t="s">
        <v>7</v>
      </c>
      <c r="C147" s="4">
        <f t="shared" si="13"/>
        <v>-1.4486827468539427E-2</v>
      </c>
      <c r="D147" s="4">
        <f t="shared" si="14"/>
        <v>5.617770666154015E-3</v>
      </c>
      <c r="E147" s="4">
        <f t="shared" si="15"/>
        <v>-1.7447783142116771E-2</v>
      </c>
    </row>
    <row r="148" spans="1:5" x14ac:dyDescent="0.35">
      <c r="B148" t="s">
        <v>30</v>
      </c>
      <c r="C148" s="4">
        <f t="shared" si="13"/>
        <v>-9.4804495599661084E-3</v>
      </c>
      <c r="D148" s="4">
        <f t="shared" si="14"/>
        <v>-1.4776149417752937E-2</v>
      </c>
      <c r="E148" s="4">
        <f t="shared" si="15"/>
        <v>2.4246947415026858E-2</v>
      </c>
    </row>
    <row r="149" spans="1:5" x14ac:dyDescent="0.35">
      <c r="B149" t="s">
        <v>9</v>
      </c>
      <c r="C149" s="4">
        <f t="shared" si="13"/>
        <v>-2.494248506751201E-3</v>
      </c>
      <c r="D149" s="4">
        <f t="shared" si="14"/>
        <v>-9.7886432395622638E-3</v>
      </c>
      <c r="E149" s="4">
        <f t="shared" si="15"/>
        <v>2.9888562029025689E-2</v>
      </c>
    </row>
    <row r="150" spans="1:5" x14ac:dyDescent="0.35">
      <c r="B150" t="s">
        <v>10</v>
      </c>
      <c r="C150" s="4">
        <f t="shared" si="13"/>
        <v>3.5193248626738155E-3</v>
      </c>
      <c r="D150" s="4">
        <f t="shared" si="14"/>
        <v>-2.5829784172922421E-3</v>
      </c>
      <c r="E150" s="4">
        <f t="shared" si="15"/>
        <v>9.6840700609234585E-3</v>
      </c>
    </row>
    <row r="151" spans="1:5" x14ac:dyDescent="0.35">
      <c r="B151" t="s">
        <v>29</v>
      </c>
      <c r="C151" s="4">
        <f t="shared" si="13"/>
        <v>-0.17608643799301033</v>
      </c>
      <c r="D151" s="4">
        <f t="shared" si="14"/>
        <v>4.0046537808557103E-3</v>
      </c>
      <c r="E151" s="4">
        <f t="shared" si="15"/>
        <v>-0.5764909971764417</v>
      </c>
    </row>
    <row r="152" spans="1:5" x14ac:dyDescent="0.35">
      <c r="B152" t="s">
        <v>36</v>
      </c>
      <c r="C152" s="4">
        <f t="shared" si="13"/>
        <v>1.9384845412598217</v>
      </c>
      <c r="D152" s="4">
        <f t="shared" si="14"/>
        <v>-0.19437135822115562</v>
      </c>
      <c r="E152" s="4">
        <f t="shared" si="15"/>
        <v>8.2122334687183471</v>
      </c>
    </row>
    <row r="153" spans="1:5" x14ac:dyDescent="0.35">
      <c r="B153" t="s">
        <v>33</v>
      </c>
      <c r="C153" s="4">
        <f t="shared" si="13"/>
        <v>0.31308501637679764</v>
      </c>
      <c r="D153" s="4">
        <f t="shared" si="14"/>
        <v>2.1798183573204448</v>
      </c>
      <c r="E153" s="4">
        <f t="shared" si="15"/>
        <v>2.538255253751283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-1.4486827468539465E-2</v>
      </c>
      <c r="D156" s="4">
        <f>AB137/AB126-1</f>
        <v>-2.4440427388925823E-2</v>
      </c>
      <c r="E156" s="4">
        <f>AL137/AL126-1</f>
        <v>-1.7447783142116813E-2</v>
      </c>
    </row>
    <row r="157" spans="1:5" x14ac:dyDescent="0.35">
      <c r="B157" t="s">
        <v>8</v>
      </c>
      <c r="C157" s="4">
        <f>R138/R127-1</f>
        <v>-9.4804495599660754E-3</v>
      </c>
      <c r="D157" s="4">
        <f>AB138/AB127-1</f>
        <v>-1.0645808321740002E-2</v>
      </c>
      <c r="E157" s="4">
        <f>AL138/AL127-1</f>
        <v>2.4246947415026865E-2</v>
      </c>
    </row>
    <row r="158" spans="1:5" x14ac:dyDescent="0.35">
      <c r="B158" t="s">
        <v>9</v>
      </c>
      <c r="C158" s="4">
        <f>R139/R128-1</f>
        <v>-2.4942485067511733E-3</v>
      </c>
      <c r="D158" s="4">
        <f>AB139/AB128-1</f>
        <v>-8.3481053178872111E-3</v>
      </c>
      <c r="E158" s="4">
        <f>AL139/AL128-1</f>
        <v>2.9888562029025678E-2</v>
      </c>
    </row>
    <row r="159" spans="1:5" x14ac:dyDescent="0.35">
      <c r="B159" t="s">
        <v>10</v>
      </c>
      <c r="C159" s="4">
        <f>R140/R129-1</f>
        <v>3.5193248626739226E-3</v>
      </c>
      <c r="D159" s="4">
        <f>AB140/AB129-1</f>
        <v>2.0114614592643409E-3</v>
      </c>
      <c r="E159" s="4">
        <f>AL140/AL129-1</f>
        <v>9.6840700609235331E-3</v>
      </c>
    </row>
    <row r="160" spans="1:5" x14ac:dyDescent="0.35">
      <c r="B160" t="s">
        <v>12</v>
      </c>
      <c r="C160" s="4">
        <f>R141/R130-1</f>
        <v>-0.17608643799301038</v>
      </c>
      <c r="D160" s="4">
        <f>AB141/AB130-1</f>
        <v>-0.37403736307875535</v>
      </c>
      <c r="E160" s="4">
        <f>AL141/AL130-1</f>
        <v>-0.5764909971764417</v>
      </c>
    </row>
    <row r="161" spans="1:38" x14ac:dyDescent="0.35">
      <c r="B161" t="s">
        <v>11</v>
      </c>
      <c r="C161" s="4">
        <f>R143/R132-1</f>
        <v>0.31308501637679753</v>
      </c>
      <c r="D161" s="4">
        <f>AB143/AB132-1</f>
        <v>0.90393356548937431</v>
      </c>
      <c r="E161" s="4">
        <f>AL143/AL132-1</f>
        <v>2.5382552537512835</v>
      </c>
    </row>
    <row r="162" spans="1:38" x14ac:dyDescent="0.35">
      <c r="C162" s="4"/>
      <c r="D162" s="4"/>
      <c r="E162" s="4"/>
    </row>
    <row r="163" spans="1:38" x14ac:dyDescent="0.35">
      <c r="A163" s="12" t="s">
        <v>41</v>
      </c>
      <c r="C163" s="4"/>
      <c r="D163" s="4"/>
      <c r="E163" s="4"/>
    </row>
    <row r="164" spans="1:38" x14ac:dyDescent="0.35">
      <c r="A164" t="s">
        <v>38</v>
      </c>
      <c r="B164" t="s">
        <v>40</v>
      </c>
      <c r="C164" s="6">
        <f>[1]Capital!B3</f>
        <v>5223867.193</v>
      </c>
      <c r="D164" s="6">
        <f>[1]Capital!C3</f>
        <v>5286916.0070000002</v>
      </c>
      <c r="E164" s="6">
        <f>[1]Capital!D3</f>
        <v>5355143.6749999998</v>
      </c>
      <c r="F164" s="6">
        <f>[1]Capital!E3</f>
        <v>5429612.477</v>
      </c>
      <c r="G164" s="6">
        <f>[1]Capital!F3</f>
        <v>5511098.0760000004</v>
      </c>
      <c r="H164" s="6">
        <f>[1]Capital!G3</f>
        <v>5600136.2300000004</v>
      </c>
      <c r="I164" s="6">
        <f>[1]Capital!H3</f>
        <v>5696868.7390000001</v>
      </c>
      <c r="J164" s="6">
        <f>[1]Capital!I3</f>
        <v>5801309.0769999996</v>
      </c>
      <c r="K164" s="6">
        <f>[1]Capital!J3</f>
        <v>5913466.3550000004</v>
      </c>
      <c r="L164" s="6">
        <f>[1]Capital!K3</f>
        <v>6033396.8279999997</v>
      </c>
      <c r="M164" s="6">
        <f>[1]Capital!L3</f>
        <v>6161110.5350000001</v>
      </c>
      <c r="N164" s="6">
        <f>[1]Capital!M3</f>
        <v>6295506.9289999995</v>
      </c>
      <c r="O164" s="6">
        <f>[1]Capital!N3</f>
        <v>6435447.7790000001</v>
      </c>
      <c r="P164" s="6">
        <f>[1]Capital!O3</f>
        <v>6580007.784</v>
      </c>
      <c r="Q164" s="6">
        <f>[1]Capital!P3</f>
        <v>6728560.057</v>
      </c>
      <c r="R164" s="6">
        <f>[1]Capital!Q3</f>
        <v>6880772.9199999999</v>
      </c>
      <c r="S164" s="6">
        <f>[1]Capital!R3</f>
        <v>7036749.3039999995</v>
      </c>
      <c r="T164" s="6">
        <f>[1]Capital!S3</f>
        <v>7196924.7759999996</v>
      </c>
      <c r="U164" s="6">
        <f>[1]Capital!T3</f>
        <v>7361932.4280000003</v>
      </c>
      <c r="V164" s="6">
        <f>[1]Capital!U3</f>
        <v>7532480.8509999998</v>
      </c>
      <c r="W164" s="6">
        <f>[1]Capital!V3</f>
        <v>7709154.5190000003</v>
      </c>
      <c r="X164" s="6">
        <f>[1]Capital!W3</f>
        <v>7892712.7050000001</v>
      </c>
      <c r="Y164" s="6">
        <f>[1]Capital!X3</f>
        <v>8083948.8329999996</v>
      </c>
      <c r="Z164" s="6">
        <f>[1]Capital!Y3</f>
        <v>8283659.6270000003</v>
      </c>
      <c r="AA164" s="6">
        <f>[1]Capital!Z3</f>
        <v>8492582.6809999999</v>
      </c>
      <c r="AB164" s="6">
        <f>[1]Capital!AA3</f>
        <v>8710938.4849999994</v>
      </c>
      <c r="AC164" s="6">
        <f>[1]Capital!AB3</f>
        <v>8939191.7740000002</v>
      </c>
      <c r="AD164" s="6">
        <f>[1]Capital!AC3</f>
        <v>9177874.9570000004</v>
      </c>
      <c r="AE164" s="6">
        <f>[1]Capital!AD3</f>
        <v>9427562.0189999994</v>
      </c>
      <c r="AF164" s="6">
        <f>[1]Capital!AE3</f>
        <v>9688771.7609999999</v>
      </c>
      <c r="AG164" s="6">
        <f>[1]Capital!AF3</f>
        <v>9961881.8399999999</v>
      </c>
      <c r="AH164" s="6">
        <f>[1]Capital!AG3</f>
        <v>10247118.6</v>
      </c>
      <c r="AI164" s="6">
        <f>[1]Capital!AH3</f>
        <v>10544580.66</v>
      </c>
      <c r="AJ164" s="6">
        <f>[1]Capital!AI3</f>
        <v>10854251.380000001</v>
      </c>
      <c r="AK164" s="6">
        <f>[1]Capital!AJ3</f>
        <v>11175999.35</v>
      </c>
      <c r="AL164" s="6">
        <f>[1]Capital!AK3</f>
        <v>11509570.73</v>
      </c>
    </row>
    <row r="165" spans="1:38" x14ac:dyDescent="0.35">
      <c r="B165" t="s">
        <v>7</v>
      </c>
      <c r="C165" s="5">
        <f>[1]Capital!B5+[1]Capital!B7</f>
        <v>49062.307435000002</v>
      </c>
      <c r="D165" s="5">
        <f>[1]Capital!C5+[1]Capital!C7</f>
        <v>49656.289690999998</v>
      </c>
      <c r="E165" s="5">
        <f>[1]Capital!D5+[1]Capital!D7</f>
        <v>50295.135636999999</v>
      </c>
      <c r="F165" s="5">
        <f>[1]Capital!E5+[1]Capital!E7</f>
        <v>50993.112819000002</v>
      </c>
      <c r="G165" s="5">
        <f>[1]Capital!F5+[1]Capital!F7</f>
        <v>51757.373412000001</v>
      </c>
      <c r="H165" s="5">
        <f>[1]Capital!G5+[1]Capital!G7</f>
        <v>52593.098606</v>
      </c>
      <c r="I165" s="5">
        <f>[1]Capital!H5+[1]Capital!H7</f>
        <v>53502.868438000005</v>
      </c>
      <c r="J165" s="5">
        <f>[1]Capital!I5+[1]Capital!I7</f>
        <v>54487.975129999999</v>
      </c>
      <c r="K165" s="5">
        <f>[1]Capital!J5+[1]Capital!J7</f>
        <v>55548.839206999997</v>
      </c>
      <c r="L165" s="5">
        <f>[1]Capital!K5+[1]Capital!K7</f>
        <v>56685.591643</v>
      </c>
      <c r="M165" s="5">
        <f>[1]Capital!L5+[1]Capital!L7</f>
        <v>57896.297355999995</v>
      </c>
      <c r="N165" s="5">
        <f>[1]Capital!M5+[1]Capital!M7</f>
        <v>59166.677773000003</v>
      </c>
      <c r="O165" s="5">
        <f>[1]Capital!N5+[1]Capital!N7</f>
        <v>60481.801824000002</v>
      </c>
      <c r="P165" s="5">
        <f>[1]Capital!O5+[1]Capital!O7</f>
        <v>61829.095961999999</v>
      </c>
      <c r="Q165" s="5">
        <f>[1]Capital!P5+[1]Capital!P7</f>
        <v>63199.409348000001</v>
      </c>
      <c r="R165" s="5">
        <f>[1]Capital!Q5+[1]Capital!Q7</f>
        <v>64587.129878</v>
      </c>
      <c r="S165" s="5">
        <f>[1]Capital!R5+[1]Capital!R7</f>
        <v>65990.359387999997</v>
      </c>
      <c r="T165" s="5">
        <f>[1]Capital!S5+[1]Capital!S7</f>
        <v>67411.017322999993</v>
      </c>
      <c r="U165" s="5">
        <f>[1]Capital!T5+[1]Capital!T7</f>
        <v>68853.726318999994</v>
      </c>
      <c r="V165" s="5">
        <f>[1]Capital!U5+[1]Capital!U7</f>
        <v>70324.547740000009</v>
      </c>
      <c r="W165" s="5">
        <f>[1]Capital!V5+[1]Capital!V7</f>
        <v>71829.256051999997</v>
      </c>
      <c r="X165" s="5">
        <f>[1]Capital!W5+[1]Capital!W7</f>
        <v>73375.273476000002</v>
      </c>
      <c r="Y165" s="5">
        <f>[1]Capital!X5+[1]Capital!X7</f>
        <v>74971.045599000005</v>
      </c>
      <c r="Z165" s="5">
        <f>[1]Capital!Y5+[1]Capital!Y7</f>
        <v>76625.383427999986</v>
      </c>
      <c r="AA165" s="5">
        <f>[1]Capital!Z5+[1]Capital!Z7</f>
        <v>78346.571842000005</v>
      </c>
      <c r="AB165" s="5">
        <f>[1]Capital!AA5+[1]Capital!AA7</f>
        <v>80138.805271999998</v>
      </c>
      <c r="AC165" s="5">
        <f>[1]Capital!AB5+[1]Capital!AB7</f>
        <v>82007.437995999993</v>
      </c>
      <c r="AD165" s="5">
        <f>[1]Capital!AC5+[1]Capital!AC7</f>
        <v>83958.963841999997</v>
      </c>
      <c r="AE165" s="5">
        <f>[1]Capital!AD5+[1]Capital!AD7</f>
        <v>86000.42709099999</v>
      </c>
      <c r="AF165" s="5">
        <f>[1]Capital!AE5+[1]Capital!AE7</f>
        <v>88138.071065000011</v>
      </c>
      <c r="AG165" s="5">
        <f>[1]Capital!AF5+[1]Capital!AF7</f>
        <v>90376.204990999991</v>
      </c>
      <c r="AH165" s="5">
        <f>[1]Capital!AG5+[1]Capital!AG7</f>
        <v>92717.038576999999</v>
      </c>
      <c r="AI165" s="5">
        <f>[1]Capital!AH5+[1]Capital!AH7</f>
        <v>95160.932337999999</v>
      </c>
      <c r="AJ165" s="5">
        <f>[1]Capital!AI5+[1]Capital!AI7</f>
        <v>97706.541255000004</v>
      </c>
      <c r="AK165" s="5">
        <f>[1]Capital!AJ5+[1]Capital!AJ7</f>
        <v>100350.86401400001</v>
      </c>
      <c r="AL165" s="5">
        <f>[1]Capital!AK5+[1]Capital!AK7</f>
        <v>103089.24614800001</v>
      </c>
    </row>
    <row r="166" spans="1:3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2595513.2715759999</v>
      </c>
      <c r="D166" s="5">
        <f>[1]Capital!C9+[1]Capital!C11+[1]Capital!C13+[1]Capital!C15+[1]Capital!C17+[1]Capital!C19+[1]Capital!C21+[1]Capital!C23+[1]Capital!C25+[1]Capital!C27+[1]Capital!C41</f>
        <v>2627040.1639730004</v>
      </c>
      <c r="E166" s="5">
        <f>[1]Capital!D9+[1]Capital!D11+[1]Capital!D13+[1]Capital!D15+[1]Capital!D17+[1]Capital!D19+[1]Capital!D21+[1]Capital!D23+[1]Capital!D25+[1]Capital!D27+[1]Capital!D41</f>
        <v>2661452.1269330001</v>
      </c>
      <c r="F166" s="5">
        <f>[1]Capital!E9+[1]Capital!E11+[1]Capital!E13+[1]Capital!E15+[1]Capital!E17+[1]Capital!E19+[1]Capital!E21+[1]Capital!E23+[1]Capital!E25+[1]Capital!E27+[1]Capital!E41</f>
        <v>2699321.9522820003</v>
      </c>
      <c r="G166" s="5">
        <f>[1]Capital!F9+[1]Capital!F11+[1]Capital!F13+[1]Capital!F15+[1]Capital!F17+[1]Capital!F19+[1]Capital!F21+[1]Capital!F23+[1]Capital!F25+[1]Capital!F27+[1]Capital!F41</f>
        <v>2741056.0736710001</v>
      </c>
      <c r="H166" s="5">
        <f>[1]Capital!G9+[1]Capital!G11+[1]Capital!G13+[1]Capital!G15+[1]Capital!G17+[1]Capital!G19+[1]Capital!G21+[1]Capital!G23+[1]Capital!G25+[1]Capital!G27+[1]Capital!G41</f>
        <v>2786946.6333650001</v>
      </c>
      <c r="I166" s="5">
        <f>[1]Capital!H9+[1]Capital!H11+[1]Capital!H13+[1]Capital!H15+[1]Capital!H17+[1]Capital!H19+[1]Capital!H21+[1]Capital!H23+[1]Capital!H25+[1]Capital!H27+[1]Capital!H41</f>
        <v>2837120.844457</v>
      </c>
      <c r="J166" s="5">
        <f>[1]Capital!I9+[1]Capital!I11+[1]Capital!I13+[1]Capital!I15+[1]Capital!I17+[1]Capital!I19+[1]Capital!I21+[1]Capital!I23+[1]Capital!I25+[1]Capital!I27+[1]Capital!I41</f>
        <v>2891634.4400200001</v>
      </c>
      <c r="K166" s="5">
        <f>[1]Capital!J9+[1]Capital!J11+[1]Capital!J13+[1]Capital!J15+[1]Capital!J17+[1]Capital!J19+[1]Capital!J21+[1]Capital!J23+[1]Capital!J25+[1]Capital!J27+[1]Capital!J41</f>
        <v>2950542.6435299995</v>
      </c>
      <c r="L166" s="5">
        <f>[1]Capital!K9+[1]Capital!K11+[1]Capital!K13+[1]Capital!K15+[1]Capital!K17+[1]Capital!K19+[1]Capital!K21+[1]Capital!K23+[1]Capital!K25+[1]Capital!K27+[1]Capital!K41</f>
        <v>3013931.4699510001</v>
      </c>
      <c r="M166" s="5">
        <f>[1]Capital!L9+[1]Capital!L11+[1]Capital!L13+[1]Capital!L15+[1]Capital!L17+[1]Capital!L19+[1]Capital!L21+[1]Capital!L23+[1]Capital!L25+[1]Capital!L27+[1]Capital!L41</f>
        <v>3081827.6191509995</v>
      </c>
      <c r="N166" s="5">
        <f>[1]Capital!M9+[1]Capital!M11+[1]Capital!M13+[1]Capital!M15+[1]Capital!M17+[1]Capital!M19+[1]Capital!M21+[1]Capital!M23+[1]Capital!M25+[1]Capital!M27+[1]Capital!M41</f>
        <v>3153708.412424</v>
      </c>
      <c r="O166" s="5">
        <f>[1]Capital!N9+[1]Capital!N11+[1]Capital!N13+[1]Capital!N15+[1]Capital!N17+[1]Capital!N19+[1]Capital!N21+[1]Capital!N23+[1]Capital!N25+[1]Capital!N27+[1]Capital!N41</f>
        <v>3229030.7789689996</v>
      </c>
      <c r="P166" s="5">
        <f>[1]Capital!O9+[1]Capital!O11+[1]Capital!O13+[1]Capital!O15+[1]Capital!O17+[1]Capital!O19+[1]Capital!O21+[1]Capital!O23+[1]Capital!O25+[1]Capital!O27+[1]Capital!O41</f>
        <v>3307371.3693909994</v>
      </c>
      <c r="Q166" s="5">
        <f>[1]Capital!P9+[1]Capital!P11+[1]Capital!P13+[1]Capital!P15+[1]Capital!P17+[1]Capital!P19+[1]Capital!P21+[1]Capital!P23+[1]Capital!P25+[1]Capital!P27+[1]Capital!P41</f>
        <v>3388474.0222430001</v>
      </c>
      <c r="R166" s="5">
        <f>[1]Capital!Q9+[1]Capital!Q11+[1]Capital!Q13+[1]Capital!Q15+[1]Capital!Q17+[1]Capital!Q19+[1]Capital!Q21+[1]Capital!Q23+[1]Capital!Q25+[1]Capital!Q27+[1]Capital!Q41</f>
        <v>3472242.8416599999</v>
      </c>
      <c r="S166" s="5">
        <f>[1]Capital!R9+[1]Capital!R11+[1]Capital!R13+[1]Capital!R15+[1]Capital!R17+[1]Capital!R19+[1]Capital!R21+[1]Capital!R23+[1]Capital!R25+[1]Capital!R27+[1]Capital!R41</f>
        <v>3558798.854359</v>
      </c>
      <c r="T166" s="5">
        <f>[1]Capital!S9+[1]Capital!S11+[1]Capital!S13+[1]Capital!S15+[1]Capital!S17+[1]Capital!S19+[1]Capital!S21+[1]Capital!S23+[1]Capital!S25+[1]Capital!S27+[1]Capital!S41</f>
        <v>3648438.3503860002</v>
      </c>
      <c r="U166" s="5">
        <f>[1]Capital!T9+[1]Capital!T11+[1]Capital!T13+[1]Capital!T15+[1]Capital!T17+[1]Capital!T19+[1]Capital!T21+[1]Capital!T23+[1]Capital!T25+[1]Capital!T27+[1]Capital!T41</f>
        <v>3741562.3808850003</v>
      </c>
      <c r="V166" s="5">
        <f>[1]Capital!U9+[1]Capital!U11+[1]Capital!U13+[1]Capital!U15+[1]Capital!U17+[1]Capital!U19+[1]Capital!U21+[1]Capital!U23+[1]Capital!U25+[1]Capital!U27+[1]Capital!U41</f>
        <v>3838609.1011630003</v>
      </c>
      <c r="W166" s="5">
        <f>[1]Capital!V9+[1]Capital!V11+[1]Capital!V13+[1]Capital!V15+[1]Capital!V17+[1]Capital!V19+[1]Capital!V21+[1]Capital!V23+[1]Capital!V25+[1]Capital!V27+[1]Capital!V41</f>
        <v>3939970.9979370004</v>
      </c>
      <c r="X166" s="5">
        <f>[1]Capital!W9+[1]Capital!W11+[1]Capital!W13+[1]Capital!W15+[1]Capital!W17+[1]Capital!W19+[1]Capital!W21+[1]Capital!W23+[1]Capital!W25+[1]Capital!W27+[1]Capital!W41</f>
        <v>4046079.891849</v>
      </c>
      <c r="Y166" s="5">
        <f>[1]Capital!X9+[1]Capital!X11+[1]Capital!X13+[1]Capital!X15+[1]Capital!X17+[1]Capital!X19+[1]Capital!X21+[1]Capital!X23+[1]Capital!X25+[1]Capital!X27+[1]Capital!X41</f>
        <v>4157387.0992690003</v>
      </c>
      <c r="Z166" s="5">
        <f>[1]Capital!Y9+[1]Capital!Y11+[1]Capital!Y13+[1]Capital!Y15+[1]Capital!Y17+[1]Capital!Y19+[1]Capital!Y21+[1]Capital!Y23+[1]Capital!Y25+[1]Capital!Y27+[1]Capital!Y41</f>
        <v>4274342.0695980005</v>
      </c>
      <c r="AA166" s="5">
        <f>[1]Capital!Z9+[1]Capital!Z11+[1]Capital!Z13+[1]Capital!Z15+[1]Capital!Z17+[1]Capital!Z19+[1]Capital!Z21+[1]Capital!Z23+[1]Capital!Z25+[1]Capital!Z27+[1]Capital!Z41</f>
        <v>4397356.1428430006</v>
      </c>
      <c r="AB166" s="5">
        <f>[1]Capital!AA9+[1]Capital!AA11+[1]Capital!AA13+[1]Capital!AA15+[1]Capital!AA17+[1]Capital!AA19+[1]Capital!AA21+[1]Capital!AA23+[1]Capital!AA25+[1]Capital!AA27+[1]Capital!AA41</f>
        <v>4526632.8447989998</v>
      </c>
      <c r="AC166" s="5">
        <f>[1]Capital!AB9+[1]Capital!AB11+[1]Capital!AB13+[1]Capital!AB15+[1]Capital!AB17+[1]Capital!AB19+[1]Capital!AB21+[1]Capital!AB23+[1]Capital!AB25+[1]Capital!AB27+[1]Capital!AB41</f>
        <v>4662400.6511999993</v>
      </c>
      <c r="AD166" s="5">
        <f>[1]Capital!AC9+[1]Capital!AC11+[1]Capital!AC13+[1]Capital!AC15+[1]Capital!AC17+[1]Capital!AC19+[1]Capital!AC21+[1]Capital!AC23+[1]Capital!AC25+[1]Capital!AC27+[1]Capital!AC41</f>
        <v>4804920.3249059999</v>
      </c>
      <c r="AE166" s="5">
        <f>[1]Capital!AD9+[1]Capital!AD11+[1]Capital!AD13+[1]Capital!AD15+[1]Capital!AD17+[1]Capital!AD19+[1]Capital!AD21+[1]Capital!AD23+[1]Capital!AD25+[1]Capital!AD27+[1]Capital!AD41</f>
        <v>4954470.3623819994</v>
      </c>
      <c r="AF166" s="5">
        <f>[1]Capital!AE9+[1]Capital!AE11+[1]Capital!AE13+[1]Capital!AE15+[1]Capital!AE17+[1]Capital!AE19+[1]Capital!AE21+[1]Capital!AE23+[1]Capital!AE25+[1]Capital!AE27+[1]Capital!AE41</f>
        <v>5111292.4387720004</v>
      </c>
      <c r="AG166" s="5">
        <f>[1]Capital!AF9+[1]Capital!AF11+[1]Capital!AF13+[1]Capital!AF15+[1]Capital!AF17+[1]Capital!AF19+[1]Capital!AF21+[1]Capital!AF23+[1]Capital!AF25+[1]Capital!AF27+[1]Capital!AF41</f>
        <v>5275547.9724269994</v>
      </c>
      <c r="AH166" s="5">
        <f>[1]Capital!AG9+[1]Capital!AG11+[1]Capital!AG13+[1]Capital!AG15+[1]Capital!AG17+[1]Capital!AG19+[1]Capital!AG21+[1]Capital!AG23+[1]Capital!AG25+[1]Capital!AG27+[1]Capital!AG41</f>
        <v>5447318.0108309994</v>
      </c>
      <c r="AI166" s="5">
        <f>[1]Capital!AH9+[1]Capital!AH11+[1]Capital!AH13+[1]Capital!AH15+[1]Capital!AH17+[1]Capital!AH19+[1]Capital!AH21+[1]Capital!AH23+[1]Capital!AH25+[1]Capital!AH27+[1]Capital!AH41</f>
        <v>5626620.9534019995</v>
      </c>
      <c r="AJ166" s="5">
        <f>[1]Capital!AI9+[1]Capital!AI11+[1]Capital!AI13+[1]Capital!AI15+[1]Capital!AI17+[1]Capital!AI19+[1]Capital!AI21+[1]Capital!AI23+[1]Capital!AI25+[1]Capital!AI27+[1]Capital!AI41</f>
        <v>5813422.1872400008</v>
      </c>
      <c r="AK166" s="5">
        <f>[1]Capital!AJ9+[1]Capital!AJ11+[1]Capital!AJ13+[1]Capital!AJ15+[1]Capital!AJ17+[1]Capital!AJ19+[1]Capital!AJ21+[1]Capital!AJ23+[1]Capital!AJ25+[1]Capital!AJ27+[1]Capital!AJ41</f>
        <v>6007635.1579200001</v>
      </c>
      <c r="AL166" s="5">
        <f>[1]Capital!AK9+[1]Capital!AK11+[1]Capital!AK13+[1]Capital!AK15+[1]Capital!AK17+[1]Capital!AK19+[1]Capital!AK21+[1]Capital!AK23+[1]Capital!AK25+[1]Capital!AK27+[1]Capital!AK41</f>
        <v>6209116.3812199999</v>
      </c>
    </row>
    <row r="167" spans="1:38" x14ac:dyDescent="0.35">
      <c r="B167" t="s">
        <v>9</v>
      </c>
      <c r="C167" s="5">
        <f>[1]Capital!B29+[1]Capital!B31+[1]Capital!B33+[1]Capital!B35</f>
        <v>88549.631506999998</v>
      </c>
      <c r="D167" s="5">
        <f>[1]Capital!C29+[1]Capital!C31+[1]Capital!C33+[1]Capital!C35</f>
        <v>89648.06582399999</v>
      </c>
      <c r="E167" s="5">
        <f>[1]Capital!D29+[1]Capital!D31+[1]Capital!D33+[1]Capital!D35</f>
        <v>90865.356268999996</v>
      </c>
      <c r="F167" s="5">
        <f>[1]Capital!E29+[1]Capital!E31+[1]Capital!E33+[1]Capital!E35</f>
        <v>92212.095199999996</v>
      </c>
      <c r="G167" s="5">
        <f>[1]Capital!F29+[1]Capital!F31+[1]Capital!F33+[1]Capital!F35</f>
        <v>93693.151311999987</v>
      </c>
      <c r="H167" s="5">
        <f>[1]Capital!G29+[1]Capital!G31+[1]Capital!G33+[1]Capital!G35</f>
        <v>95312.163777999987</v>
      </c>
      <c r="I167" s="5">
        <f>[1]Capital!H29+[1]Capital!H31+[1]Capital!H33+[1]Capital!H35</f>
        <v>97068.516641000009</v>
      </c>
      <c r="J167" s="5">
        <f>[1]Capital!I29+[1]Capital!I31+[1]Capital!I33+[1]Capital!I35</f>
        <v>98959.77677299999</v>
      </c>
      <c r="K167" s="5">
        <f>[1]Capital!J29+[1]Capital!J31+[1]Capital!J33+[1]Capital!J35</f>
        <v>100982.836153</v>
      </c>
      <c r="L167" s="5">
        <f>[1]Capital!K29+[1]Capital!K31+[1]Capital!K33+[1]Capital!K35</f>
        <v>103134.84010999999</v>
      </c>
      <c r="M167" s="5">
        <f>[1]Capital!L29+[1]Capital!L31+[1]Capital!L33+[1]Capital!L35</f>
        <v>105405.85302800001</v>
      </c>
      <c r="N167" s="5">
        <f>[1]Capital!M29+[1]Capital!M31+[1]Capital!M33+[1]Capital!M35</f>
        <v>107754.166883</v>
      </c>
      <c r="O167" s="5">
        <f>[1]Capital!N29+[1]Capital!N31+[1]Capital!N33+[1]Capital!N35</f>
        <v>110142.63081800001</v>
      </c>
      <c r="P167" s="5">
        <f>[1]Capital!O29+[1]Capital!O31+[1]Capital!O33+[1]Capital!O35</f>
        <v>112544.65500499999</v>
      </c>
      <c r="Q167" s="5">
        <f>[1]Capital!P29+[1]Capital!P31+[1]Capital!P33+[1]Capital!P35</f>
        <v>114945.28279299999</v>
      </c>
      <c r="R167" s="5">
        <f>[1]Capital!Q29+[1]Capital!Q31+[1]Capital!Q33+[1]Capital!Q35</f>
        <v>117339.640778</v>
      </c>
      <c r="S167" s="5">
        <f>[1]Capital!R29+[1]Capital!R31+[1]Capital!R33+[1]Capital!R35</f>
        <v>119733.40614500002</v>
      </c>
      <c r="T167" s="5">
        <f>[1]Capital!S29+[1]Capital!S31+[1]Capital!S33+[1]Capital!S35</f>
        <v>122140.205218</v>
      </c>
      <c r="U167" s="5">
        <f>[1]Capital!T29+[1]Capital!T31+[1]Capital!T33+[1]Capital!T35</f>
        <v>124578.539774</v>
      </c>
      <c r="V167" s="5">
        <f>[1]Capital!U29+[1]Capital!U31+[1]Capital!U33+[1]Capital!U35</f>
        <v>127068.591138</v>
      </c>
      <c r="W167" s="5">
        <f>[1]Capital!V29+[1]Capital!V31+[1]Capital!V33+[1]Capital!V35</f>
        <v>129629.53383100001</v>
      </c>
      <c r="X167" s="5">
        <f>[1]Capital!W29+[1]Capital!W31+[1]Capital!W33+[1]Capital!W35</f>
        <v>132282.22023199999</v>
      </c>
      <c r="Y167" s="5">
        <f>[1]Capital!X29+[1]Capital!X31+[1]Capital!X33+[1]Capital!X35</f>
        <v>135048.20152</v>
      </c>
      <c r="Z167" s="5">
        <f>[1]Capital!Y29+[1]Capital!Y31+[1]Capital!Y33+[1]Capital!Y35</f>
        <v>137948.69115300002</v>
      </c>
      <c r="AA167" s="5">
        <f>[1]Capital!Z29+[1]Capital!Z31+[1]Capital!Z33+[1]Capital!Z35</f>
        <v>141002.78574600001</v>
      </c>
      <c r="AB167" s="5">
        <f>[1]Capital!AA29+[1]Capital!AA31+[1]Capital!AA33+[1]Capital!AA35</f>
        <v>144222.859707</v>
      </c>
      <c r="AC167" s="5">
        <f>[1]Capital!AB29+[1]Capital!AB31+[1]Capital!AB33+[1]Capital!AB35</f>
        <v>147623.05230700001</v>
      </c>
      <c r="AD167" s="5">
        <f>[1]Capital!AC29+[1]Capital!AC31+[1]Capital!AC33+[1]Capital!AC35</f>
        <v>151218.65844100001</v>
      </c>
      <c r="AE167" s="5">
        <f>[1]Capital!AD29+[1]Capital!AD31+[1]Capital!AD33+[1]Capital!AD35</f>
        <v>155024.737502</v>
      </c>
      <c r="AF167" s="5">
        <f>[1]Capital!AE29+[1]Capital!AE31+[1]Capital!AE33+[1]Capital!AE35</f>
        <v>159052.22429400001</v>
      </c>
      <c r="AG167" s="5">
        <f>[1]Capital!AF29+[1]Capital!AF31+[1]Capital!AF33+[1]Capital!AF35</f>
        <v>163305.59429700003</v>
      </c>
      <c r="AH167" s="5">
        <f>[1]Capital!AG29+[1]Capital!AG31+[1]Capital!AG33+[1]Capital!AG35</f>
        <v>167783.54309799999</v>
      </c>
      <c r="AI167" s="5">
        <f>[1]Capital!AH29+[1]Capital!AH31+[1]Capital!AH33+[1]Capital!AH35</f>
        <v>172480.60537099998</v>
      </c>
      <c r="AJ167" s="5">
        <f>[1]Capital!AI29+[1]Capital!AI31+[1]Capital!AI33+[1]Capital!AI35</f>
        <v>177388.13136100001</v>
      </c>
      <c r="AK167" s="5">
        <f>[1]Capital!AJ29+[1]Capital!AJ31+[1]Capital!AJ33+[1]Capital!AJ35</f>
        <v>182494.752912</v>
      </c>
      <c r="AL167" s="5">
        <f>[1]Capital!AK29+[1]Capital!AK31+[1]Capital!AK33+[1]Capital!AK35</f>
        <v>187786.560815</v>
      </c>
    </row>
    <row r="168" spans="1:38" x14ac:dyDescent="0.35">
      <c r="B168" t="s">
        <v>10</v>
      </c>
      <c r="C168" s="5">
        <f>[1]Capital!B37+[1]Capital!B39</f>
        <v>2425571.3405999998</v>
      </c>
      <c r="D168" s="5">
        <f>[1]Capital!C37+[1]Capital!C39</f>
        <v>2454645.2724000001</v>
      </c>
      <c r="E168" s="5">
        <f>[1]Capital!D37+[1]Capital!D39</f>
        <v>2485837.1874000002</v>
      </c>
      <c r="F168" s="5">
        <f>[1]Capital!E37+[1]Capital!E39</f>
        <v>2519608.9303000001</v>
      </c>
      <c r="G168" s="5">
        <f>[1]Capital!F37+[1]Capital!F39</f>
        <v>2556316.0735999998</v>
      </c>
      <c r="H168" s="5">
        <f>[1]Capital!G37+[1]Capital!G39</f>
        <v>2596188.8716000002</v>
      </c>
      <c r="I168" s="5">
        <f>[1]Capital!H37+[1]Capital!H39</f>
        <v>2639235.5323000001</v>
      </c>
      <c r="J168" s="5">
        <f>[1]Capital!I37+[1]Capital!I39</f>
        <v>2685411.7716000001</v>
      </c>
      <c r="K168" s="5">
        <f>[1]Capital!J37+[1]Capital!J39</f>
        <v>2734672.7546000001</v>
      </c>
      <c r="L168" s="5">
        <f>[1]Capital!K37+[1]Capital!K39</f>
        <v>2786991.2353000003</v>
      </c>
      <c r="M168" s="5">
        <f>[1]Capital!L37+[1]Capital!L39</f>
        <v>2842364.4568000003</v>
      </c>
      <c r="N168" s="5">
        <f>[1]Capital!M37+[1]Capital!M39</f>
        <v>2900285.3041000003</v>
      </c>
      <c r="O168" s="5">
        <f>[1]Capital!N37+[1]Capital!N39</f>
        <v>2960226.7794999997</v>
      </c>
      <c r="P168" s="5">
        <f>[1]Capital!O37+[1]Capital!O39</f>
        <v>3021739.6527</v>
      </c>
      <c r="Q168" s="5">
        <f>[1]Capital!P37+[1]Capital!P39</f>
        <v>3084486.7779000001</v>
      </c>
      <c r="R168" s="5">
        <f>[1]Capital!Q37+[1]Capital!Q39</f>
        <v>3148247.9786</v>
      </c>
      <c r="S168" s="5">
        <f>[1]Capital!R37+[1]Capital!R39</f>
        <v>3213002.0604999997</v>
      </c>
      <c r="T168" s="5">
        <f>[1]Capital!S37+[1]Capital!S39</f>
        <v>3278868.7318000002</v>
      </c>
      <c r="U168" s="5">
        <f>[1]Capital!T37+[1]Capital!T39</f>
        <v>3346049.4191000001</v>
      </c>
      <c r="V168" s="5">
        <f>[1]Capital!U37+[1]Capital!U39</f>
        <v>3414778.7590999999</v>
      </c>
      <c r="W168" s="5">
        <f>[1]Capital!V37+[1]Capital!V39</f>
        <v>3485213.9898000001</v>
      </c>
      <c r="X168" s="5">
        <f>[1]Capital!W37+[1]Capital!W39</f>
        <v>3557642.4415000002</v>
      </c>
      <c r="Y168" s="5">
        <f>[1]Capital!X37+[1]Capital!X39</f>
        <v>3632363.5123999999</v>
      </c>
      <c r="Z168" s="5">
        <f>[1]Capital!Y37+[1]Capital!Y39</f>
        <v>3709681.4738999996</v>
      </c>
      <c r="AA168" s="5">
        <f>[1]Capital!Z37+[1]Capital!Z39</f>
        <v>3789882.5062000002</v>
      </c>
      <c r="AB168" s="5">
        <f>[1]Capital!AA37+[1]Capital!AA39</f>
        <v>3872957.7782000001</v>
      </c>
      <c r="AC168" s="5">
        <f>[1]Capital!AB37+[1]Capital!AB39</f>
        <v>3959113.1148000001</v>
      </c>
      <c r="AD168" s="5">
        <f>[1]Capital!AC37+[1]Capital!AC39</f>
        <v>4048586.8987000003</v>
      </c>
      <c r="AE168" s="5">
        <f>[1]Capital!AD37+[1]Capital!AD39</f>
        <v>4141641.3307999996</v>
      </c>
      <c r="AF168" s="5">
        <f>[1]Capital!AE37+[1]Capital!AE39</f>
        <v>4238527.0113000004</v>
      </c>
      <c r="AG168" s="5">
        <f>[1]Capital!AF37+[1]Capital!AF39</f>
        <v>4339444.9606999997</v>
      </c>
      <c r="AH168" s="5">
        <f>[1]Capital!AG37+[1]Capital!AG39</f>
        <v>4444536.1419000002</v>
      </c>
      <c r="AI168" s="5">
        <f>[1]Capital!AH37+[1]Capital!AH39</f>
        <v>4553885.1116000004</v>
      </c>
      <c r="AJ168" s="5">
        <f>[1]Capital!AI37+[1]Capital!AI39</f>
        <v>4667521.4399999995</v>
      </c>
      <c r="AK168" s="5">
        <f>[1]Capital!AJ37+[1]Capital!AJ39</f>
        <v>4785418.4033000004</v>
      </c>
      <c r="AL168" s="5">
        <f>[1]Capital!AK37+[1]Capital!AK39</f>
        <v>4907490.0053000003</v>
      </c>
    </row>
    <row r="169" spans="1:38" x14ac:dyDescent="0.35">
      <c r="B169" t="s">
        <v>29</v>
      </c>
      <c r="C169" s="5">
        <f>[1]Capital!B43+[1]Capital!B47</f>
        <v>22925.318520599998</v>
      </c>
      <c r="D169" s="5">
        <f>[1]Capital!C43+[1]Capital!C47</f>
        <v>23181.470496200003</v>
      </c>
      <c r="E169" s="5">
        <f>[1]Capital!D43+[1]Capital!D47</f>
        <v>23435.8094212</v>
      </c>
      <c r="F169" s="5">
        <f>[1]Capital!E43+[1]Capital!E47</f>
        <v>23689.159915699998</v>
      </c>
      <c r="G169" s="5">
        <f>[1]Capital!F43+[1]Capital!F47</f>
        <v>23946.293413300002</v>
      </c>
      <c r="H169" s="5">
        <f>[1]Capital!G43+[1]Capital!G47</f>
        <v>24212.547203900001</v>
      </c>
      <c r="I169" s="5">
        <f>[1]Capital!H43+[1]Capital!H47</f>
        <v>24491.171587299999</v>
      </c>
      <c r="J169" s="5">
        <f>[1]Capital!I43+[1]Capital!I47</f>
        <v>24783.452836</v>
      </c>
      <c r="K169" s="5">
        <f>[1]Capital!J43+[1]Capital!J47</f>
        <v>25089.659498199999</v>
      </c>
      <c r="L169" s="5">
        <f>[1]Capital!K43+[1]Capital!K47</f>
        <v>25409.638720200001</v>
      </c>
      <c r="M169" s="5">
        <f>[1]Capital!L43+[1]Capital!L47</f>
        <v>25742.281705900001</v>
      </c>
      <c r="N169" s="5">
        <f>[1]Capital!M43+[1]Capital!M47</f>
        <v>26082.355987899999</v>
      </c>
      <c r="O169" s="5">
        <f>[1]Capital!N43+[1]Capital!N47</f>
        <v>26424.4465065</v>
      </c>
      <c r="P169" s="5">
        <f>[1]Capital!O43+[1]Capital!O47</f>
        <v>26764.1133735</v>
      </c>
      <c r="Q169" s="5">
        <f>[1]Capital!P43+[1]Capital!P47</f>
        <v>27098.265411299999</v>
      </c>
      <c r="R169" s="5">
        <f>[1]Capital!Q43+[1]Capital!Q47</f>
        <v>27425.131101800001</v>
      </c>
      <c r="S169" s="5">
        <f>[1]Capital!R43+[1]Capital!R47</f>
        <v>27745.1218128</v>
      </c>
      <c r="T169" s="5">
        <f>[1]Capital!S43+[1]Capital!S47</f>
        <v>28060.308993499999</v>
      </c>
      <c r="U169" s="5">
        <f>[1]Capital!T43+[1]Capital!T47</f>
        <v>28373.683480799999</v>
      </c>
      <c r="V169" s="5">
        <f>[1]Capital!U43+[1]Capital!U47</f>
        <v>28688.568688299998</v>
      </c>
      <c r="W169" s="5">
        <f>[1]Capital!V43+[1]Capital!V47</f>
        <v>29008.171119400002</v>
      </c>
      <c r="X169" s="5">
        <f>[1]Capital!W43+[1]Capital!W47</f>
        <v>29335.9104634</v>
      </c>
      <c r="Y169" s="5">
        <f>[1]Capital!X43+[1]Capital!X47</f>
        <v>29675.3295105</v>
      </c>
      <c r="Z169" s="5">
        <f>[1]Capital!Y43+[1]Capital!Y47</f>
        <v>30030.0080131</v>
      </c>
      <c r="AA169" s="5">
        <f>[1]Capital!Z43+[1]Capital!Z47</f>
        <v>30403.403000399998</v>
      </c>
      <c r="AB169" s="5">
        <f>[1]Capital!AA43+[1]Capital!AA47</f>
        <v>30798.246546200004</v>
      </c>
      <c r="AC169" s="5">
        <f>[1]Capital!AB43+[1]Capital!AB47</f>
        <v>31217.547996599998</v>
      </c>
      <c r="AD169" s="5">
        <f>[1]Capital!AC43+[1]Capital!AC47</f>
        <v>31664.553302599998</v>
      </c>
      <c r="AE169" s="5">
        <f>[1]Capital!AD43+[1]Capital!AD47</f>
        <v>32142.546985199999</v>
      </c>
      <c r="AF169" s="5">
        <f>[1]Capital!AE43+[1]Capital!AE47</f>
        <v>32654.343031</v>
      </c>
      <c r="AG169" s="5">
        <f>[1]Capital!AF43+[1]Capital!AF47</f>
        <v>33201.922547499998</v>
      </c>
      <c r="AH169" s="5">
        <f>[1]Capital!AG43+[1]Capital!AG47</f>
        <v>33786.404255399997</v>
      </c>
      <c r="AI169" s="5">
        <f>[1]Capital!AH43+[1]Capital!AH47</f>
        <v>34408.151383099997</v>
      </c>
      <c r="AJ169" s="5">
        <f>[1]Capital!AI43+[1]Capital!AI47</f>
        <v>35066.841748399995</v>
      </c>
      <c r="AK169" s="5">
        <f>[1]Capital!AJ43+[1]Capital!AJ47</f>
        <v>35761.494707799997</v>
      </c>
      <c r="AL169" s="5">
        <f>[1]Capital!AK43+[1]Capital!AK47</f>
        <v>36490.471617199997</v>
      </c>
    </row>
    <row r="170" spans="1:38" x14ac:dyDescent="0.35">
      <c r="B170" t="s">
        <v>36</v>
      </c>
      <c r="C170" s="5">
        <f>[1]Capital!B45+[1]Capital!B49</f>
        <v>1941.7266724000001</v>
      </c>
      <c r="D170" s="5">
        <f>[1]Capital!C45+[1]Capital!C49</f>
        <v>1962.8742778999999</v>
      </c>
      <c r="E170" s="5">
        <f>[1]Capital!D45+[1]Capital!D49</f>
        <v>1983.1563286000001</v>
      </c>
      <c r="F170" s="5">
        <f>[1]Capital!E45+[1]Capital!E49</f>
        <v>2002.6310013999998</v>
      </c>
      <c r="G170" s="5">
        <f>[1]Capital!F45+[1]Capital!F49</f>
        <v>2021.7803088000001</v>
      </c>
      <c r="H170" s="5">
        <f>[1]Capital!G45+[1]Capital!G49</f>
        <v>2041.1323075</v>
      </c>
      <c r="I170" s="5">
        <f>[1]Capital!H45+[1]Capital!H49</f>
        <v>2060.9782414000001</v>
      </c>
      <c r="J170" s="5">
        <f>[1]Capital!I45+[1]Capital!I49</f>
        <v>2081.4467146000002</v>
      </c>
      <c r="K170" s="5">
        <f>[1]Capital!J45+[1]Capital!J49</f>
        <v>2102.5879116999999</v>
      </c>
      <c r="L170" s="5">
        <f>[1]Capital!K45+[1]Capital!K49</f>
        <v>2124.4165993000001</v>
      </c>
      <c r="M170" s="5">
        <f>[1]Capital!L45+[1]Capital!L49</f>
        <v>2146.903382</v>
      </c>
      <c r="N170" s="5">
        <f>[1]Capital!M45+[1]Capital!M49</f>
        <v>2169.8060659000002</v>
      </c>
      <c r="O170" s="5">
        <f>[1]Capital!N45+[1]Capital!N49</f>
        <v>2192.8494090999998</v>
      </c>
      <c r="P170" s="5">
        <f>[1]Capital!O45+[1]Capital!O49</f>
        <v>2215.7899883</v>
      </c>
      <c r="Q170" s="5">
        <f>[1]Capital!P45+[1]Capital!P49</f>
        <v>2238.4407200000001</v>
      </c>
      <c r="R170" s="5">
        <f>[1]Capital!Q45+[1]Capital!Q49</f>
        <v>2260.6756740000001</v>
      </c>
      <c r="S170" s="5">
        <f>[1]Capital!R45+[1]Capital!R49</f>
        <v>2282.5337046999998</v>
      </c>
      <c r="T170" s="5">
        <f>[1]Capital!S45+[1]Capital!S49</f>
        <v>2304.1451468</v>
      </c>
      <c r="U170" s="5">
        <f>[1]Capital!T45+[1]Capital!T49</f>
        <v>2325.6845026000001</v>
      </c>
      <c r="V170" s="5">
        <f>[1]Capital!U45+[1]Capital!U49</f>
        <v>2347.3384597999998</v>
      </c>
      <c r="W170" s="5">
        <f>[1]Capital!V45+[1]Capital!V49</f>
        <v>2369.2772709999999</v>
      </c>
      <c r="X170" s="5">
        <f>[1]Capital!W45+[1]Capital!W49</f>
        <v>2391.6838364999999</v>
      </c>
      <c r="Y170" s="5">
        <f>[1]Capital!X45+[1]Capital!X49</f>
        <v>2414.7476087</v>
      </c>
      <c r="Z170" s="5">
        <f>[1]Capital!Y45+[1]Capital!Y49</f>
        <v>2438.6614696000001</v>
      </c>
      <c r="AA170" s="5">
        <f>[1]Capital!Z45+[1]Capital!Z49</f>
        <v>2463.6150794999999</v>
      </c>
      <c r="AB170" s="5">
        <f>[1]Capital!AA45+[1]Capital!AA49</f>
        <v>2489.7487326999999</v>
      </c>
      <c r="AC170" s="5">
        <f>[1]Capital!AB45+[1]Capital!AB49</f>
        <v>2517.2256143</v>
      </c>
      <c r="AD170" s="5">
        <f>[1]Capital!AC45+[1]Capital!AC49</f>
        <v>2546.2258989000002</v>
      </c>
      <c r="AE170" s="5">
        <f>[1]Capital!AD45+[1]Capital!AD49</f>
        <v>2576.9366964000001</v>
      </c>
      <c r="AF170" s="5">
        <f>[1]Capital!AE45+[1]Capital!AE49</f>
        <v>2609.5280830000002</v>
      </c>
      <c r="AG170" s="5">
        <f>[1]Capital!AF45+[1]Capital!AF49</f>
        <v>2644.1329807000002</v>
      </c>
      <c r="AH170" s="5">
        <f>[1]Capital!AG45+[1]Capital!AG49</f>
        <v>2680.8410727</v>
      </c>
      <c r="AI170" s="5">
        <f>[1]Capital!AH45+[1]Capital!AH49</f>
        <v>2719.6996682999998</v>
      </c>
      <c r="AJ170" s="5">
        <f>[1]Capital!AI45+[1]Capital!AI49</f>
        <v>2760.7143139</v>
      </c>
      <c r="AK170" s="5">
        <f>[1]Capital!AJ45+[1]Capital!AJ49</f>
        <v>2803.8482199999999</v>
      </c>
      <c r="AL170" s="5">
        <f>[1]Capital!AK45+[1]Capital!AK49</f>
        <v>2849.0211661000003</v>
      </c>
    </row>
    <row r="171" spans="1:38" x14ac:dyDescent="0.35">
      <c r="B171" t="s">
        <v>33</v>
      </c>
      <c r="C171" s="5">
        <f>[1]Capital!B51+[1]Capital!B53+[1]Capital!B55+[1]Capital!B57+[1]Capital!B59+[1]Capital!B61+[1]Capital!B63+[1]Capital!B65+[1]Capital!B67</f>
        <v>40303.597149629997</v>
      </c>
      <c r="D171" s="5">
        <f>[1]Capital!C51+[1]Capital!C53+[1]Capital!C55+[1]Capital!C57+[1]Capital!C59+[1]Capital!C61+[1]Capital!C63+[1]Capital!C65+[1]Capital!C67</f>
        <v>40781.869830019998</v>
      </c>
      <c r="E171" s="5">
        <f>[1]Capital!D51+[1]Capital!D53+[1]Capital!D55+[1]Capital!D57+[1]Capital!D59+[1]Capital!D61+[1]Capital!D63+[1]Capital!D65+[1]Capital!D67</f>
        <v>41274.903248289993</v>
      </c>
      <c r="F171" s="5">
        <f>[1]Capital!E51+[1]Capital!E53+[1]Capital!E55+[1]Capital!E57+[1]Capital!E59+[1]Capital!E61+[1]Capital!E63+[1]Capital!E65+[1]Capital!E67</f>
        <v>41784.596170019999</v>
      </c>
      <c r="G171" s="5">
        <f>[1]Capital!F51+[1]Capital!F53+[1]Capital!F55+[1]Capital!F57+[1]Capital!F59+[1]Capital!F61+[1]Capital!F63+[1]Capital!F65+[1]Capital!F67</f>
        <v>42307.330254230001</v>
      </c>
      <c r="H171" s="5">
        <f>[1]Capital!G51+[1]Capital!G53+[1]Capital!G55+[1]Capital!G57+[1]Capital!G59+[1]Capital!G61+[1]Capital!G63+[1]Capital!G65+[1]Capital!G67</f>
        <v>42841.783060059999</v>
      </c>
      <c r="I171" s="5">
        <f>[1]Capital!H51+[1]Capital!H53+[1]Capital!H55+[1]Capital!H57+[1]Capital!H59+[1]Capital!H61+[1]Capital!H63+[1]Capital!H65+[1]Capital!H67</f>
        <v>43388.826924720001</v>
      </c>
      <c r="J171" s="5">
        <f>[1]Capital!I51+[1]Capital!I53+[1]Capital!I55+[1]Capital!I57+[1]Capital!I59+[1]Capital!I61+[1]Capital!I63+[1]Capital!I65+[1]Capital!I67</f>
        <v>43950.213471529998</v>
      </c>
      <c r="K171" s="5">
        <f>[1]Capital!J51+[1]Capital!J53+[1]Capital!J55+[1]Capital!J57+[1]Capital!J59+[1]Capital!J61+[1]Capital!J63+[1]Capital!J65+[1]Capital!J67</f>
        <v>44527.034136150003</v>
      </c>
      <c r="L171" s="5">
        <f>[1]Capital!K51+[1]Capital!K53+[1]Capital!K55+[1]Capital!K57+[1]Capital!K59+[1]Capital!K61+[1]Capital!K63+[1]Capital!K65+[1]Capital!K67</f>
        <v>45119.635103530003</v>
      </c>
      <c r="M171" s="5">
        <f>[1]Capital!L51+[1]Capital!L53+[1]Capital!L55+[1]Capital!L57+[1]Capital!L59+[1]Capital!L61+[1]Capital!L63+[1]Capital!L65+[1]Capital!L67</f>
        <v>45727.123978460004</v>
      </c>
      <c r="N171" s="5">
        <f>[1]Capital!M51+[1]Capital!M53+[1]Capital!M55+[1]Capital!M57+[1]Capital!M59+[1]Capital!M61+[1]Capital!M63+[1]Capital!M65+[1]Capital!M67</f>
        <v>46340.206134040003</v>
      </c>
      <c r="O171" s="5">
        <f>[1]Capital!N51+[1]Capital!N53+[1]Capital!N55+[1]Capital!N57+[1]Capital!N59+[1]Capital!N61+[1]Capital!N63+[1]Capital!N65+[1]Capital!N67</f>
        <v>46948.491900030007</v>
      </c>
      <c r="P171" s="5">
        <f>[1]Capital!O51+[1]Capital!O53+[1]Capital!O55+[1]Capital!O57+[1]Capital!O59+[1]Capital!O61+[1]Capital!O63+[1]Capital!O65+[1]Capital!O67</f>
        <v>47543.106655449999</v>
      </c>
      <c r="Q171" s="5">
        <f>[1]Capital!P51+[1]Capital!P53+[1]Capital!P55+[1]Capital!P57+[1]Capital!P59+[1]Capital!P61+[1]Capital!P63+[1]Capital!P65+[1]Capital!P67</f>
        <v>48117.859137279986</v>
      </c>
      <c r="R171" s="5">
        <f>[1]Capital!Q51+[1]Capital!Q53+[1]Capital!Q55+[1]Capital!Q57+[1]Capital!Q59+[1]Capital!Q61+[1]Capital!Q63+[1]Capital!Q65+[1]Capital!Q67</f>
        <v>48669.522362119998</v>
      </c>
      <c r="S171" s="5">
        <f>[1]Capital!R51+[1]Capital!R53+[1]Capital!R55+[1]Capital!R57+[1]Capital!R59+[1]Capital!R61+[1]Capital!R63+[1]Capital!R65+[1]Capital!R67</f>
        <v>49196.968358960003</v>
      </c>
      <c r="T171" s="5">
        <f>[1]Capital!S51+[1]Capital!S53+[1]Capital!S55+[1]Capital!S57+[1]Capital!S59+[1]Capital!S61+[1]Capital!S63+[1]Capital!S65+[1]Capital!S67</f>
        <v>49702.017664609994</v>
      </c>
      <c r="U171" s="5">
        <f>[1]Capital!T51+[1]Capital!T53+[1]Capital!T55+[1]Capital!T57+[1]Capital!T59+[1]Capital!T61+[1]Capital!T63+[1]Capital!T65+[1]Capital!T67</f>
        <v>50188.994047960005</v>
      </c>
      <c r="V171" s="5">
        <f>[1]Capital!U51+[1]Capital!U53+[1]Capital!U55+[1]Capital!U57+[1]Capital!U59+[1]Capital!U61+[1]Capital!U63+[1]Capital!U65+[1]Capital!U67</f>
        <v>50663.94530960999</v>
      </c>
      <c r="W171" s="5">
        <f>[1]Capital!V51+[1]Capital!V53+[1]Capital!V55+[1]Capital!V57+[1]Capital!V59+[1]Capital!V61+[1]Capital!V63+[1]Capital!V65+[1]Capital!V67</f>
        <v>51133.29337023</v>
      </c>
      <c r="X171" s="5">
        <f>[1]Capital!W51+[1]Capital!W53+[1]Capital!W55+[1]Capital!W57+[1]Capital!W59+[1]Capital!W61+[1]Capital!W63+[1]Capital!W65+[1]Capital!W67</f>
        <v>51605.283690729993</v>
      </c>
      <c r="Y171" s="5">
        <f>[1]Capital!X51+[1]Capital!X53+[1]Capital!X55+[1]Capital!X57+[1]Capital!X59+[1]Capital!X61+[1]Capital!X63+[1]Capital!X65+[1]Capital!X67</f>
        <v>52088.896565800009</v>
      </c>
      <c r="Z171" s="5">
        <f>[1]Capital!Y51+[1]Capital!Y53+[1]Capital!Y55+[1]Capital!Y57+[1]Capital!Y59+[1]Capital!Y61+[1]Capital!Y63+[1]Capital!Y65+[1]Capital!Y67</f>
        <v>52593.339523740004</v>
      </c>
      <c r="AA171" s="5">
        <f>[1]Capital!Z51+[1]Capital!Z53+[1]Capital!Z55+[1]Capital!Z57+[1]Capital!Z59+[1]Capital!Z61+[1]Capital!Z63+[1]Capital!Z65+[1]Capital!Z67</f>
        <v>53127.656589319995</v>
      </c>
      <c r="AB171" s="5">
        <f>[1]Capital!AA51+[1]Capital!AA53+[1]Capital!AA55+[1]Capital!AA57+[1]Capital!AA59+[1]Capital!AA61+[1]Capital!AA63+[1]Capital!AA65+[1]Capital!AA67</f>
        <v>53698.20210201999</v>
      </c>
      <c r="AC171" s="5">
        <f>[1]Capital!AB51+[1]Capital!AB53+[1]Capital!AB55+[1]Capital!AB57+[1]Capital!AB59+[1]Capital!AB61+[1]Capital!AB63+[1]Capital!AB65+[1]Capital!AB67</f>
        <v>54312.74303261999</v>
      </c>
      <c r="AD171" s="5">
        <f>[1]Capital!AC51+[1]Capital!AC53+[1]Capital!AC55+[1]Capital!AC57+[1]Capital!AC59+[1]Capital!AC61+[1]Capital!AC63+[1]Capital!AC65+[1]Capital!AC67</f>
        <v>54979.331110070001</v>
      </c>
      <c r="AE171" s="5">
        <f>[1]Capital!AD51+[1]Capital!AD53+[1]Capital!AD55+[1]Capital!AD57+[1]Capital!AD59+[1]Capital!AD61+[1]Capital!AD63+[1]Capital!AD65+[1]Capital!AD67</f>
        <v>55705.678060640006</v>
      </c>
      <c r="AF171" s="5">
        <f>[1]Capital!AE51+[1]Capital!AE53+[1]Capital!AE55+[1]Capital!AE57+[1]Capital!AE59+[1]Capital!AE61+[1]Capital!AE63+[1]Capital!AE65+[1]Capital!AE67</f>
        <v>56498.143962319999</v>
      </c>
      <c r="AG171" s="5">
        <f>[1]Capital!AF51+[1]Capital!AF53+[1]Capital!AF55+[1]Capital!AF57+[1]Capital!AF59+[1]Capital!AF61+[1]Capital!AF63+[1]Capital!AF65+[1]Capital!AF67</f>
        <v>57361.052423500005</v>
      </c>
      <c r="AH171" s="5">
        <f>[1]Capital!AG51+[1]Capital!AG53+[1]Capital!AG55+[1]Capital!AG57+[1]Capital!AG59+[1]Capital!AG61+[1]Capital!AG63+[1]Capital!AG65+[1]Capital!AG67</f>
        <v>58296.622377919994</v>
      </c>
      <c r="AI171" s="5">
        <f>[1]Capital!AH51+[1]Capital!AH53+[1]Capital!AH55+[1]Capital!AH57+[1]Capital!AH59+[1]Capital!AH61+[1]Capital!AH63+[1]Capital!AH65+[1]Capital!AH67</f>
        <v>59305.208194119994</v>
      </c>
      <c r="AJ171" s="5">
        <f>[1]Capital!AI51+[1]Capital!AI53+[1]Capital!AI55+[1]Capital!AI57+[1]Capital!AI59+[1]Capital!AI61+[1]Capital!AI63+[1]Capital!AI65+[1]Capital!AI67</f>
        <v>60385.527661640001</v>
      </c>
      <c r="AK171" s="5">
        <f>[1]Capital!AJ51+[1]Capital!AJ53+[1]Capital!AJ55+[1]Capital!AJ57+[1]Capital!AJ59+[1]Capital!AJ61+[1]Capital!AJ63+[1]Capital!AJ65+[1]Capital!AJ67</f>
        <v>61534.832336399988</v>
      </c>
      <c r="AL171" s="5">
        <f>[1]Capital!AK51+[1]Capital!AK53+[1]Capital!AK55+[1]Capital!AK57+[1]Capital!AK59+[1]Capital!AK61+[1]Capital!AK63+[1]Capital!AK65+[1]Capital!AK67</f>
        <v>62749.039098800007</v>
      </c>
    </row>
    <row r="172" spans="1:3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x14ac:dyDescent="0.35">
      <c r="A174" t="s">
        <v>39</v>
      </c>
      <c r="B174" t="s">
        <v>40</v>
      </c>
      <c r="C174" s="5">
        <f>[1]Capital!B2</f>
        <v>5223867.193</v>
      </c>
      <c r="D174" s="5">
        <f>[1]Capital!C2</f>
        <v>5286916.0070000002</v>
      </c>
      <c r="E174" s="5">
        <f>[1]Capital!D2</f>
        <v>5355143.6749999998</v>
      </c>
      <c r="F174" s="5">
        <f>[1]Capital!E2</f>
        <v>5429612.4780000001</v>
      </c>
      <c r="G174" s="5">
        <f>[1]Capital!F2</f>
        <v>5511098.0769999996</v>
      </c>
      <c r="H174" s="5">
        <f>[1]Capital!G2</f>
        <v>5600136.2300000004</v>
      </c>
      <c r="I174" s="5">
        <f>[1]Capital!H2</f>
        <v>5696868.7390000001</v>
      </c>
      <c r="J174" s="5">
        <f>[1]Capital!I2</f>
        <v>5799941.2779999999</v>
      </c>
      <c r="K174" s="5">
        <f>[1]Capital!J2</f>
        <v>5909008.8849999998</v>
      </c>
      <c r="L174" s="5">
        <f>[1]Capital!K2</f>
        <v>6025643.3310000002</v>
      </c>
      <c r="M174" s="5">
        <f>[1]Capital!L2</f>
        <v>6150662.7980000004</v>
      </c>
      <c r="N174" s="5">
        <f>[1]Capital!M2</f>
        <v>6283378.5209999997</v>
      </c>
      <c r="O174" s="5">
        <f>[1]Capital!N2</f>
        <v>6422769.1809999999</v>
      </c>
      <c r="P174" s="5">
        <f>[1]Capital!O2</f>
        <v>6567963.8569999998</v>
      </c>
      <c r="Q174" s="5">
        <f>[1]Capital!P2</f>
        <v>6718479.8080000002</v>
      </c>
      <c r="R174" s="5">
        <f>[1]Capital!Q2</f>
        <v>6874173.3909999998</v>
      </c>
      <c r="S174" s="5">
        <f>[1]Capital!R2</f>
        <v>7035060.0650000004</v>
      </c>
      <c r="T174" s="5">
        <f>[1]Capital!S2</f>
        <v>7201483.5439999998</v>
      </c>
      <c r="U174" s="5">
        <f>[1]Capital!T2</f>
        <v>7374047.0769999996</v>
      </c>
      <c r="V174" s="5">
        <f>[1]Capital!U2</f>
        <v>7553513.3310000002</v>
      </c>
      <c r="W174" s="5">
        <f>[1]Capital!V2</f>
        <v>7740600.5099999998</v>
      </c>
      <c r="X174" s="5">
        <f>[1]Capital!W2</f>
        <v>7936265.3219999997</v>
      </c>
      <c r="Y174" s="5">
        <f>[1]Capital!X2</f>
        <v>8141553.1519999998</v>
      </c>
      <c r="Z174" s="5">
        <f>[1]Capital!Y2</f>
        <v>8357573.2630000003</v>
      </c>
      <c r="AA174" s="5">
        <f>[1]Capital!Z2</f>
        <v>8585436.7740000002</v>
      </c>
      <c r="AB174" s="5">
        <f>[1]Capital!AA2</f>
        <v>8825776.7760000005</v>
      </c>
      <c r="AC174" s="5">
        <f>[1]Capital!AB2</f>
        <v>9079523.5669999998</v>
      </c>
      <c r="AD174" s="5">
        <f>[1]Capital!AC2</f>
        <v>9347654.4289999995</v>
      </c>
      <c r="AE174" s="5">
        <f>[1]Capital!AD2</f>
        <v>9631225.5700000003</v>
      </c>
      <c r="AF174" s="5">
        <f>[1]Capital!AE2</f>
        <v>9931302.8609999996</v>
      </c>
      <c r="AG174" s="5">
        <f>[1]Capital!AF2</f>
        <v>10248885.85</v>
      </c>
      <c r="AH174" s="5">
        <f>[1]Capital!AG2</f>
        <v>10584889</v>
      </c>
      <c r="AI174" s="5">
        <f>[1]Capital!AH2</f>
        <v>10940173.41</v>
      </c>
      <c r="AJ174" s="5">
        <f>[1]Capital!AI2</f>
        <v>11315604.43</v>
      </c>
      <c r="AK174" s="5">
        <f>[1]Capital!AJ2</f>
        <v>11712098.279999999</v>
      </c>
      <c r="AL174" s="5">
        <f>[1]Capital!AK2</f>
        <v>12130665.85</v>
      </c>
    </row>
    <row r="175" spans="1:38" x14ac:dyDescent="0.35">
      <c r="B175" t="s">
        <v>7</v>
      </c>
      <c r="C175" s="5">
        <f>[1]Capital!B4+[1]Capital!B6</f>
        <v>49062.307435000002</v>
      </c>
      <c r="D175" s="5">
        <f>[1]Capital!C4+[1]Capital!C6</f>
        <v>49656.289690999998</v>
      </c>
      <c r="E175" s="5">
        <f>[1]Capital!D4+[1]Capital!D6</f>
        <v>50295.135636999999</v>
      </c>
      <c r="F175" s="5">
        <f>[1]Capital!E4+[1]Capital!E6</f>
        <v>50993.112819000002</v>
      </c>
      <c r="G175" s="5">
        <f>[1]Capital!F4+[1]Capital!F6</f>
        <v>51757.373412000001</v>
      </c>
      <c r="H175" s="5">
        <f>[1]Capital!G4+[1]Capital!G6</f>
        <v>52593.098615999996</v>
      </c>
      <c r="I175" s="5">
        <f>[1]Capital!H4+[1]Capital!H6</f>
        <v>53502.868438000005</v>
      </c>
      <c r="J175" s="5">
        <f>[1]Capital!I4+[1]Capital!I6</f>
        <v>54490.180643</v>
      </c>
      <c r="K175" s="5">
        <f>[1]Capital!J4+[1]Capital!J6</f>
        <v>55556.802719000007</v>
      </c>
      <c r="L175" s="5">
        <f>[1]Capital!K4+[1]Capital!K6</f>
        <v>56723.046239000003</v>
      </c>
      <c r="M175" s="5">
        <f>[1]Capital!L4+[1]Capital!L6</f>
        <v>57997.415869000004</v>
      </c>
      <c r="N175" s="5">
        <f>[1]Capital!M4+[1]Capital!M6</f>
        <v>59363.980957</v>
      </c>
      <c r="O175" s="5">
        <f>[1]Capital!N4+[1]Capital!N6</f>
        <v>60804.249441</v>
      </c>
      <c r="P175" s="5">
        <f>[1]Capital!O4+[1]Capital!O6</f>
        <v>62302.416762999994</v>
      </c>
      <c r="Q175" s="5">
        <f>[1]Capital!P4+[1]Capital!P6</f>
        <v>63847.504622</v>
      </c>
      <c r="R175" s="5">
        <f>[1]Capital!Q4+[1]Capital!Q6</f>
        <v>65432.535436000006</v>
      </c>
      <c r="S175" s="5">
        <f>[1]Capital!R4+[1]Capital!R6</f>
        <v>67056.809030999997</v>
      </c>
      <c r="T175" s="5">
        <f>[1]Capital!S4+[1]Capital!S6</f>
        <v>68721.621010999996</v>
      </c>
      <c r="U175" s="5">
        <f>[1]Capital!T4+[1]Capital!T6</f>
        <v>70430.231985000006</v>
      </c>
      <c r="V175" s="5">
        <f>[1]Capital!U4+[1]Capital!U6</f>
        <v>72187.113848000008</v>
      </c>
      <c r="W175" s="5">
        <f>[1]Capital!V4+[1]Capital!V6</f>
        <v>73996.242996000001</v>
      </c>
      <c r="X175" s="5">
        <f>[1]Capital!W4+[1]Capital!W6</f>
        <v>75863.049569999988</v>
      </c>
      <c r="Y175" s="5">
        <f>[1]Capital!X4+[1]Capital!X6</f>
        <v>77793.753116000007</v>
      </c>
      <c r="Z175" s="5">
        <f>[1]Capital!Y4+[1]Capital!Y6</f>
        <v>79794.822437999988</v>
      </c>
      <c r="AA175" s="5">
        <f>[1]Capital!Z4+[1]Capital!Z6</f>
        <v>81871.986998000008</v>
      </c>
      <c r="AB175" s="5">
        <f>[1]Capital!AA4+[1]Capital!AA6</f>
        <v>84026.122579000003</v>
      </c>
      <c r="AC175" s="5">
        <f>[1]Capital!AB4+[1]Capital!AB6</f>
        <v>86257.359417</v>
      </c>
      <c r="AD175" s="5">
        <f>[1]Capital!AC4+[1]Capital!AC6</f>
        <v>88566.685350999993</v>
      </c>
      <c r="AE175" s="5">
        <f>[1]Capital!AD4+[1]Capital!AD6</f>
        <v>90955.72981199999</v>
      </c>
      <c r="AF175" s="5">
        <f>[1]Capital!AE4+[1]Capital!AE6</f>
        <v>93425.326551999999</v>
      </c>
      <c r="AG175" s="5">
        <f>[1]Capital!AF4+[1]Capital!AF6</f>
        <v>95974.108777000001</v>
      </c>
      <c r="AH175" s="5">
        <f>[1]Capital!AG4+[1]Capital!AG6</f>
        <v>98597.878475999998</v>
      </c>
      <c r="AI175" s="5">
        <f>[1]Capital!AH4+[1]Capital!AH6</f>
        <v>101289.66441400001</v>
      </c>
      <c r="AJ175" s="5">
        <f>[1]Capital!AI4+[1]Capital!AI6</f>
        <v>104040.06277399999</v>
      </c>
      <c r="AK175" s="5">
        <f>[1]Capital!AJ4+[1]Capital!AJ6</f>
        <v>106837.24193</v>
      </c>
      <c r="AL175" s="5">
        <f>[1]Capital!AK4+[1]Capital!AK6</f>
        <v>109666.747801</v>
      </c>
    </row>
    <row r="176" spans="1:3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2595513.2715759999</v>
      </c>
      <c r="D176" s="5">
        <f>[1]Capital!C8+[1]Capital!C10+[1]Capital!C13+[1]Capital!C14+[1]Capital!C16+[1]Capital!C18+[1]Capital!C20+[1]Capital!C22+[1]Capital!C24+[1]Capital!C26+[1]Capital!C40</f>
        <v>2627040.1639930001</v>
      </c>
      <c r="E176" s="5">
        <f>[1]Capital!D8+[1]Capital!D10+[1]Capital!D13+[1]Capital!D14+[1]Capital!D16+[1]Capital!D18+[1]Capital!D20+[1]Capital!D22+[1]Capital!D24+[1]Capital!D26+[1]Capital!D40</f>
        <v>2661452.1269430001</v>
      </c>
      <c r="F176" s="5">
        <f>[1]Capital!E8+[1]Capital!E10+[1]Capital!E13+[1]Capital!E14+[1]Capital!E16+[1]Capital!E18+[1]Capital!E20+[1]Capital!E22+[1]Capital!E24+[1]Capital!E26+[1]Capital!E40</f>
        <v>2699321.9522930002</v>
      </c>
      <c r="G176" s="5">
        <f>[1]Capital!F8+[1]Capital!F10+[1]Capital!F13+[1]Capital!F14+[1]Capital!F16+[1]Capital!F18+[1]Capital!F20+[1]Capital!F22+[1]Capital!F24+[1]Capital!F26+[1]Capital!F40</f>
        <v>2741056.0737010003</v>
      </c>
      <c r="H176" s="5">
        <f>[1]Capital!G8+[1]Capital!G10+[1]Capital!G13+[1]Capital!G14+[1]Capital!G16+[1]Capital!G18+[1]Capital!G20+[1]Capital!G22+[1]Capital!G24+[1]Capital!G26+[1]Capital!G40</f>
        <v>2786946.633405</v>
      </c>
      <c r="I176" s="5">
        <f>[1]Capital!H8+[1]Capital!H10+[1]Capital!H13+[1]Capital!H14+[1]Capital!H16+[1]Capital!H18+[1]Capital!H20+[1]Capital!H22+[1]Capital!H24+[1]Capital!H26+[1]Capital!H40</f>
        <v>2837120.844517</v>
      </c>
      <c r="J176" s="5">
        <f>[1]Capital!I8+[1]Capital!I10+[1]Capital!I13+[1]Capital!I14+[1]Capital!I16+[1]Capital!I18+[1]Capital!I20+[1]Capital!I22+[1]Capital!I24+[1]Capital!I26+[1]Capital!I40</f>
        <v>2890844.2783829998</v>
      </c>
      <c r="K176" s="5">
        <f>[1]Capital!J8+[1]Capital!J10+[1]Capital!J13+[1]Capital!J14+[1]Capital!J16+[1]Capital!J18+[1]Capital!J20+[1]Capital!J22+[1]Capital!J24+[1]Capital!J26+[1]Capital!J40</f>
        <v>2947920.2768889996</v>
      </c>
      <c r="L176" s="5">
        <f>[1]Capital!K8+[1]Capital!K10+[1]Capital!K13+[1]Capital!K14+[1]Capital!K16+[1]Capital!K18+[1]Capital!K20+[1]Capital!K22+[1]Capital!K24+[1]Capital!K26+[1]Capital!K40</f>
        <v>3009236.1271450003</v>
      </c>
      <c r="M176" s="5">
        <f>[1]Capital!L8+[1]Capital!L10+[1]Capital!L13+[1]Capital!L14+[1]Capital!L16+[1]Capital!L18+[1]Capital!L20+[1]Capital!L22+[1]Capital!L24+[1]Capital!L26+[1]Capital!L40</f>
        <v>3075218.5939100003</v>
      </c>
      <c r="N176" s="5">
        <f>[1]Capital!M8+[1]Capital!M10+[1]Capital!M13+[1]Capital!M14+[1]Capital!M16+[1]Capital!M18+[1]Capital!M20+[1]Capital!M22+[1]Capital!M24+[1]Capital!M26+[1]Capital!M40</f>
        <v>3145548.7766760001</v>
      </c>
      <c r="O176" s="5">
        <f>[1]Capital!N8+[1]Capital!N10+[1]Capital!N13+[1]Capital!N14+[1]Capital!N16+[1]Capital!N18+[1]Capital!N20+[1]Capital!N22+[1]Capital!N24+[1]Capital!N26+[1]Capital!N40</f>
        <v>3219745.2644489999</v>
      </c>
      <c r="P176" s="5">
        <f>[1]Capital!O8+[1]Capital!O10+[1]Capital!O13+[1]Capital!O14+[1]Capital!O16+[1]Capital!O18+[1]Capital!O20+[1]Capital!O22+[1]Capital!O24+[1]Capital!O26+[1]Capital!O40</f>
        <v>3297430.9208740001</v>
      </c>
      <c r="Q176" s="5">
        <f>[1]Capital!P8+[1]Capital!P10+[1]Capital!P13+[1]Capital!P14+[1]Capital!P16+[1]Capital!P18+[1]Capital!P20+[1]Capital!P22+[1]Capital!P24+[1]Capital!P26+[1]Capital!P40</f>
        <v>3378462.9488260001</v>
      </c>
      <c r="R176" s="5">
        <f>[1]Capital!Q8+[1]Capital!Q10+[1]Capital!Q13+[1]Capital!Q14+[1]Capital!Q16+[1]Capital!Q18+[1]Capital!Q20+[1]Capital!Q22+[1]Capital!Q24+[1]Capital!Q26+[1]Capital!Q40</f>
        <v>3462895.2554039997</v>
      </c>
      <c r="S176" s="5">
        <f>[1]Capital!R8+[1]Capital!R10+[1]Capital!R13+[1]Capital!R14+[1]Capital!R16+[1]Capital!R18+[1]Capital!R20+[1]Capital!R22+[1]Capital!R24+[1]Capital!R26+[1]Capital!R40</f>
        <v>3550837.80271</v>
      </c>
      <c r="T176" s="5">
        <f>[1]Capital!S8+[1]Capital!S10+[1]Capital!S13+[1]Capital!S14+[1]Capital!S16+[1]Capital!S18+[1]Capital!S20+[1]Capital!S22+[1]Capital!S24+[1]Capital!S26+[1]Capital!S40</f>
        <v>3642577.724624</v>
      </c>
      <c r="U176" s="5">
        <f>[1]Capital!T8+[1]Capital!T10+[1]Capital!T13+[1]Capital!T14+[1]Capital!T16+[1]Capital!T18+[1]Capital!T20+[1]Capital!T22+[1]Capital!T24+[1]Capital!T26+[1]Capital!T40</f>
        <v>3738541.5367860002</v>
      </c>
      <c r="V176" s="5">
        <f>[1]Capital!U8+[1]Capital!U10+[1]Capital!U13+[1]Capital!U14+[1]Capital!U16+[1]Capital!U18+[1]Capital!U20+[1]Capital!U22+[1]Capital!U24+[1]Capital!U26+[1]Capital!U40</f>
        <v>3839239.8080370002</v>
      </c>
      <c r="W176" s="5">
        <f>[1]Capital!V8+[1]Capital!V10+[1]Capital!V13+[1]Capital!V14+[1]Capital!V16+[1]Capital!V18+[1]Capital!V20+[1]Capital!V22+[1]Capital!V24+[1]Capital!V26+[1]Capital!V40</f>
        <v>3945185.1695550005</v>
      </c>
      <c r="X176" s="5">
        <f>[1]Capital!W8+[1]Capital!W10+[1]Capital!W13+[1]Capital!W14+[1]Capital!W16+[1]Capital!W18+[1]Capital!W20+[1]Capital!W22+[1]Capital!W24+[1]Capital!W26+[1]Capital!W40</f>
        <v>4056970.9736730005</v>
      </c>
      <c r="Y176" s="5">
        <f>[1]Capital!X8+[1]Capital!X10+[1]Capital!X13+[1]Capital!X14+[1]Capital!X16+[1]Capital!X18+[1]Capital!X20+[1]Capital!X22+[1]Capital!X24+[1]Capital!X26+[1]Capital!X40</f>
        <v>4175246.555412</v>
      </c>
      <c r="Z176" s="5">
        <f>[1]Capital!Y8+[1]Capital!Y10+[1]Capital!Y13+[1]Capital!Y14+[1]Capital!Y16+[1]Capital!Y18+[1]Capital!Y20+[1]Capital!Y22+[1]Capital!Y24+[1]Capital!Y26+[1]Capital!Y40</f>
        <v>4300698.8783280002</v>
      </c>
      <c r="AA176" s="5">
        <f>[1]Capital!Z8+[1]Capital!Z10+[1]Capital!Z13+[1]Capital!Z14+[1]Capital!Z16+[1]Capital!Z18+[1]Capital!Z20+[1]Capital!Z22+[1]Capital!Z24+[1]Capital!Z26+[1]Capital!Z40</f>
        <v>4434018.4843449993</v>
      </c>
      <c r="AB176" s="5">
        <f>[1]Capital!AA8+[1]Capital!AA10+[1]Capital!AA13+[1]Capital!AA14+[1]Capital!AA16+[1]Capital!AA18+[1]Capital!AA20+[1]Capital!AA22+[1]Capital!AA24+[1]Capital!AA26+[1]Capital!AA40</f>
        <v>4575721.3255850002</v>
      </c>
      <c r="AC176" s="5">
        <f>[1]Capital!AB8+[1]Capital!AB10+[1]Capital!AB13+[1]Capital!AB14+[1]Capital!AB16+[1]Capital!AB18+[1]Capital!AB20+[1]Capital!AB22+[1]Capital!AB24+[1]Capital!AB26+[1]Capital!AB40</f>
        <v>4726395.8253730005</v>
      </c>
      <c r="AD176" s="5">
        <f>[1]Capital!AC8+[1]Capital!AC10+[1]Capital!AC13+[1]Capital!AC14+[1]Capital!AC16+[1]Capital!AC18+[1]Capital!AC20+[1]Capital!AC22+[1]Capital!AC24+[1]Capital!AC26+[1]Capital!AC40</f>
        <v>4886648.7982930001</v>
      </c>
      <c r="AE176" s="5">
        <f>[1]Capital!AD8+[1]Capital!AD10+[1]Capital!AD13+[1]Capital!AD14+[1]Capital!AD16+[1]Capital!AD18+[1]Capital!AD20+[1]Capital!AD22+[1]Capital!AD24+[1]Capital!AD26+[1]Capital!AD40</f>
        <v>5057119.1526020002</v>
      </c>
      <c r="AF176" s="5">
        <f>[1]Capital!AE8+[1]Capital!AE10+[1]Capital!AE13+[1]Capital!AE14+[1]Capital!AE16+[1]Capital!AE18+[1]Capital!AE20+[1]Capital!AE22+[1]Capital!AE24+[1]Capital!AE26+[1]Capital!AE40</f>
        <v>5238442.2151899999</v>
      </c>
      <c r="AG176" s="5">
        <f>[1]Capital!AF8+[1]Capital!AF10+[1]Capital!AF13+[1]Capital!AF14+[1]Capital!AF16+[1]Capital!AF18+[1]Capital!AF20+[1]Capital!AF22+[1]Capital!AF24+[1]Capital!AF26+[1]Capital!AF40</f>
        <v>5431216.0896570003</v>
      </c>
      <c r="AH176" s="5">
        <f>[1]Capital!AG8+[1]Capital!AG10+[1]Capital!AG13+[1]Capital!AG14+[1]Capital!AG16+[1]Capital!AG18+[1]Capital!AG20+[1]Capital!AG22+[1]Capital!AG24+[1]Capital!AG26+[1]Capital!AG40</f>
        <v>5635998.998908001</v>
      </c>
      <c r="AI176" s="5">
        <f>[1]Capital!AH8+[1]Capital!AH10+[1]Capital!AH13+[1]Capital!AH14+[1]Capital!AH16+[1]Capital!AH18+[1]Capital!AH20+[1]Capital!AH22+[1]Capital!AH24+[1]Capital!AH26+[1]Capital!AH40</f>
        <v>5853328.8703140002</v>
      </c>
      <c r="AJ176" s="5">
        <f>[1]Capital!AI8+[1]Capital!AI10+[1]Capital!AI13+[1]Capital!AI14+[1]Capital!AI16+[1]Capital!AI18+[1]Capital!AI20+[1]Capital!AI22+[1]Capital!AI24+[1]Capital!AI26+[1]Capital!AI40</f>
        <v>6083753.8984879991</v>
      </c>
      <c r="AK176" s="5">
        <f>[1]Capital!AJ8+[1]Capital!AJ10+[1]Capital!AJ13+[1]Capital!AJ14+[1]Capital!AJ16+[1]Capital!AJ18+[1]Capital!AJ20+[1]Capital!AJ22+[1]Capital!AJ24+[1]Capital!AJ26+[1]Capital!AJ40</f>
        <v>6327858.6913919998</v>
      </c>
      <c r="AL176" s="5">
        <f>[1]Capital!AK8+[1]Capital!AK10+[1]Capital!AK13+[1]Capital!AK14+[1]Capital!AK16+[1]Capital!AK18+[1]Capital!AK20+[1]Capital!AK22+[1]Capital!AK24+[1]Capital!AK26+[1]Capital!AK40</f>
        <v>6586287.5896310005</v>
      </c>
    </row>
    <row r="177" spans="1:38" x14ac:dyDescent="0.35">
      <c r="B177" t="s">
        <v>9</v>
      </c>
      <c r="C177" s="5">
        <f>[1]Capital!B28+[1]Capital!B30+[1]Capital!B32+[1]Capital!B34</f>
        <v>88549.631506999998</v>
      </c>
      <c r="D177" s="5">
        <f>[1]Capital!C28+[1]Capital!C30+[1]Capital!C32+[1]Capital!C34</f>
        <v>89648.065814000001</v>
      </c>
      <c r="E177" s="5">
        <f>[1]Capital!D28+[1]Capital!D30+[1]Capital!D32+[1]Capital!D34</f>
        <v>90865.356268999996</v>
      </c>
      <c r="F177" s="5">
        <f>[1]Capital!E28+[1]Capital!E30+[1]Capital!E32+[1]Capital!E34</f>
        <v>92212.095199999996</v>
      </c>
      <c r="G177" s="5">
        <f>[1]Capital!F28+[1]Capital!F30+[1]Capital!F32+[1]Capital!F34</f>
        <v>93693.151311999987</v>
      </c>
      <c r="H177" s="5">
        <f>[1]Capital!G28+[1]Capital!G30+[1]Capital!G32+[1]Capital!G34</f>
        <v>95312.163767999999</v>
      </c>
      <c r="I177" s="5">
        <f>[1]Capital!H28+[1]Capital!H30+[1]Capital!H32+[1]Capital!H34</f>
        <v>97068.516621000002</v>
      </c>
      <c r="J177" s="5">
        <f>[1]Capital!I28+[1]Capital!I30+[1]Capital!I32+[1]Capital!I34</f>
        <v>98932.654512000008</v>
      </c>
      <c r="K177" s="5">
        <f>[1]Capital!J28+[1]Capital!J30+[1]Capital!J32+[1]Capital!J34</f>
        <v>100905.271836</v>
      </c>
      <c r="L177" s="5">
        <f>[1]Capital!K28+[1]Capital!K30+[1]Capital!K32+[1]Capital!K34</f>
        <v>103047.14699499999</v>
      </c>
      <c r="M177" s="5">
        <f>[1]Capital!L28+[1]Capital!L30+[1]Capital!L32+[1]Capital!L34</f>
        <v>105380.872011</v>
      </c>
      <c r="N177" s="5">
        <f>[1]Capital!M28+[1]Capital!M30+[1]Capital!M32+[1]Capital!M34</f>
        <v>107874.95341100001</v>
      </c>
      <c r="O177" s="5">
        <f>[1]Capital!N28+[1]Capital!N30+[1]Capital!N32+[1]Capital!N34</f>
        <v>110485.159589</v>
      </c>
      <c r="P177" s="5">
        <f>[1]Capital!O28+[1]Capital!O30+[1]Capital!O32+[1]Capital!O34</f>
        <v>113172.27201399999</v>
      </c>
      <c r="Q177" s="5">
        <f>[1]Capital!P28+[1]Capital!P30+[1]Capital!P32+[1]Capital!P34</f>
        <v>115910.77834200001</v>
      </c>
      <c r="R177" s="5">
        <f>[1]Capital!Q28+[1]Capital!Q30+[1]Capital!Q32+[1]Capital!Q34</f>
        <v>118686.32748500002</v>
      </c>
      <c r="S177" s="5">
        <f>[1]Capital!R28+[1]Capital!R30+[1]Capital!R32+[1]Capital!R34</f>
        <v>121496.66817200001</v>
      </c>
      <c r="T177" s="5">
        <f>[1]Capital!S28+[1]Capital!S30+[1]Capital!S32+[1]Capital!S34</f>
        <v>124349.04443300002</v>
      </c>
      <c r="U177" s="5">
        <f>[1]Capital!T28+[1]Capital!T30+[1]Capital!T32+[1]Capital!T34</f>
        <v>127258.264646</v>
      </c>
      <c r="V177" s="5">
        <f>[1]Capital!U28+[1]Capital!U30+[1]Capital!U32+[1]Capital!U34</f>
        <v>130242.91986999998</v>
      </c>
      <c r="W177" s="5">
        <f>[1]Capital!V28+[1]Capital!V30+[1]Capital!V32+[1]Capital!V34</f>
        <v>133322.086858</v>
      </c>
      <c r="X177" s="5">
        <f>[1]Capital!W28+[1]Capital!W30+[1]Capital!W32+[1]Capital!W34</f>
        <v>136518.336874</v>
      </c>
      <c r="Y177" s="5">
        <f>[1]Capital!X28+[1]Capital!X30+[1]Capital!X32+[1]Capital!X34</f>
        <v>139856.63230199998</v>
      </c>
      <c r="Z177" s="5">
        <f>[1]Capital!Y28+[1]Capital!Y30+[1]Capital!Y32+[1]Capital!Y34</f>
        <v>143361.64351299999</v>
      </c>
      <c r="AA177" s="5">
        <f>[1]Capital!Z28+[1]Capital!Z30+[1]Capital!Z32+[1]Capital!Z34</f>
        <v>147054.77487299999</v>
      </c>
      <c r="AB177" s="5">
        <f>[1]Capital!AA28+[1]Capital!AA30+[1]Capital!AA32+[1]Capital!AA34</f>
        <v>150948.994515</v>
      </c>
      <c r="AC177" s="5">
        <f>[1]Capital!AB28+[1]Capital!AB30+[1]Capital!AB32+[1]Capital!AB34</f>
        <v>155061.29829599999</v>
      </c>
      <c r="AD177" s="5">
        <f>[1]Capital!AC28+[1]Capital!AC30+[1]Capital!AC32+[1]Capital!AC34</f>
        <v>159414.76331500002</v>
      </c>
      <c r="AE177" s="5">
        <f>[1]Capital!AD28+[1]Capital!AD30+[1]Capital!AD32+[1]Capital!AD34</f>
        <v>164033.822247</v>
      </c>
      <c r="AF177" s="5">
        <f>[1]Capital!AE28+[1]Capital!AE30+[1]Capital!AE32+[1]Capital!AE34</f>
        <v>168937.73886000001</v>
      </c>
      <c r="AG177" s="5">
        <f>[1]Capital!AF28+[1]Capital!AF30+[1]Capital!AF32+[1]Capital!AF34</f>
        <v>174137.15313699999</v>
      </c>
      <c r="AH177" s="5">
        <f>[1]Capital!AG28+[1]Capital!AG30+[1]Capital!AG32+[1]Capital!AG34</f>
        <v>179636.571677</v>
      </c>
      <c r="AI177" s="5">
        <f>[1]Capital!AH28+[1]Capital!AH30+[1]Capital!AH32+[1]Capital!AH34</f>
        <v>185438.03190500004</v>
      </c>
      <c r="AJ177" s="5">
        <f>[1]Capital!AI28+[1]Capital!AI30+[1]Capital!AI32+[1]Capital!AI34</f>
        <v>191540.83000599997</v>
      </c>
      <c r="AK177" s="5">
        <f>[1]Capital!AJ28+[1]Capital!AJ30+[1]Capital!AJ32+[1]Capital!AJ34</f>
        <v>197940.79495499999</v>
      </c>
      <c r="AL177" s="5">
        <f>[1]Capital!AK28+[1]Capital!AK30+[1]Capital!AK32+[1]Capital!AK34</f>
        <v>204629.81225700001</v>
      </c>
    </row>
    <row r="178" spans="1:38" x14ac:dyDescent="0.35">
      <c r="B178" t="s">
        <v>10</v>
      </c>
      <c r="C178" s="5">
        <f>[1]Capital!B36+[1]Capital!B38</f>
        <v>2425571.3405999998</v>
      </c>
      <c r="D178" s="5">
        <f>[1]Capital!C36+[1]Capital!C38</f>
        <v>2454645.2724000001</v>
      </c>
      <c r="E178" s="5">
        <f>[1]Capital!D36+[1]Capital!D38</f>
        <v>2485837.1874000002</v>
      </c>
      <c r="F178" s="5">
        <f>[1]Capital!E36+[1]Capital!E38</f>
        <v>2519608.9303000001</v>
      </c>
      <c r="G178" s="5">
        <f>[1]Capital!F36+[1]Capital!F38</f>
        <v>2556316.0735999998</v>
      </c>
      <c r="H178" s="5">
        <f>[1]Capital!G36+[1]Capital!G38</f>
        <v>2596188.8717</v>
      </c>
      <c r="I178" s="5">
        <f>[1]Capital!H36+[1]Capital!H38</f>
        <v>2639235.5323999999</v>
      </c>
      <c r="J178" s="5">
        <f>[1]Capital!I36+[1]Capital!I38</f>
        <v>2684798.1727</v>
      </c>
      <c r="K178" s="5">
        <f>[1]Capital!J36+[1]Capital!J38</f>
        <v>2732692.6014</v>
      </c>
      <c r="L178" s="5">
        <f>[1]Capital!K36+[1]Capital!K38</f>
        <v>2783481.3152999999</v>
      </c>
      <c r="M178" s="5">
        <f>[1]Capital!L36+[1]Capital!L38</f>
        <v>2837502.7796999998</v>
      </c>
      <c r="N178" s="5">
        <f>[1]Capital!M36+[1]Capital!M38</f>
        <v>2894442.5526999999</v>
      </c>
      <c r="O178" s="5">
        <f>[1]Capital!N36+[1]Capital!N38</f>
        <v>2953834.4497999996</v>
      </c>
      <c r="P178" s="5">
        <f>[1]Capital!O36+[1]Capital!O38</f>
        <v>3015245.1078000003</v>
      </c>
      <c r="Q178" s="5">
        <f>[1]Capital!P36+[1]Capital!P38</f>
        <v>3078368.0218000002</v>
      </c>
      <c r="R178" s="5">
        <f>[1]Capital!Q36+[1]Capital!Q38</f>
        <v>3143017.1801</v>
      </c>
      <c r="S178" s="5">
        <f>[1]Capital!R36+[1]Capital!R38</f>
        <v>3209086.7064</v>
      </c>
      <c r="T178" s="5">
        <f>[1]Capital!S36+[1]Capital!S38</f>
        <v>3276604.4141999995</v>
      </c>
      <c r="U178" s="5">
        <f>[1]Capital!T36+[1]Capital!T38</f>
        <v>3345704.1612</v>
      </c>
      <c r="V178" s="5">
        <f>[1]Capital!U36+[1]Capital!U38</f>
        <v>3416585.7750999997</v>
      </c>
      <c r="W178" s="5">
        <f>[1]Capital!V36+[1]Capital!V38</f>
        <v>3489399.1617000001</v>
      </c>
      <c r="X178" s="5">
        <f>[1]Capital!W36+[1]Capital!W38</f>
        <v>3564439.5592999998</v>
      </c>
      <c r="Y178" s="5">
        <f>[1]Capital!X36+[1]Capital!X38</f>
        <v>3642024.3454999998</v>
      </c>
      <c r="Z178" s="5">
        <f>[1]Capital!Y36+[1]Capital!Y38</f>
        <v>3722489.7280000001</v>
      </c>
      <c r="AA178" s="5">
        <f>[1]Capital!Z36+[1]Capital!Z38</f>
        <v>3806166.5337</v>
      </c>
      <c r="AB178" s="5">
        <f>[1]Capital!AA36+[1]Capital!AA38</f>
        <v>3893092.2747</v>
      </c>
      <c r="AC178" s="5">
        <f>[1]Capital!AB36+[1]Capital!AB38</f>
        <v>3983509.4616999999</v>
      </c>
      <c r="AD178" s="5">
        <f>[1]Capital!AC36+[1]Capital!AC38</f>
        <v>4077665.84</v>
      </c>
      <c r="AE178" s="5">
        <f>[1]Capital!AD36+[1]Capital!AD38</f>
        <v>4175836.0011</v>
      </c>
      <c r="AF178" s="5">
        <f>[1]Capital!AE36+[1]Capital!AE38</f>
        <v>4278295.3045000006</v>
      </c>
      <c r="AG178" s="5">
        <f>[1]Capital!AF36+[1]Capital!AF38</f>
        <v>4385280.5764000006</v>
      </c>
      <c r="AH178" s="5">
        <f>[1]Capital!AG36+[1]Capital!AG38</f>
        <v>4496966.5176999997</v>
      </c>
      <c r="AI178" s="5">
        <f>[1]Capital!AH36+[1]Capital!AH38</f>
        <v>4613465.0612000003</v>
      </c>
      <c r="AJ178" s="5">
        <f>[1]Capital!AI36+[1]Capital!AI38</f>
        <v>4734841.4511000002</v>
      </c>
      <c r="AK178" s="5">
        <f>[1]Capital!AJ36+[1]Capital!AJ38</f>
        <v>4861120.6354999999</v>
      </c>
      <c r="AL178" s="5">
        <f>[1]Capital!AK36+[1]Capital!AK38</f>
        <v>4992287.3815000001</v>
      </c>
    </row>
    <row r="179" spans="1:38" x14ac:dyDescent="0.35">
      <c r="B179" t="s">
        <v>29</v>
      </c>
      <c r="C179" s="5">
        <f>[1]Capital!B42+[1]Capital!B46</f>
        <v>22925.318532499998</v>
      </c>
      <c r="D179" s="5">
        <f>[1]Capital!C42+[1]Capital!C46</f>
        <v>23181.470510500003</v>
      </c>
      <c r="E179" s="5">
        <f>[1]Capital!D42+[1]Capital!D46</f>
        <v>23435.809437899999</v>
      </c>
      <c r="F179" s="5">
        <f>[1]Capital!E42+[1]Capital!E46</f>
        <v>23689.1599446</v>
      </c>
      <c r="G179" s="5">
        <f>[1]Capital!F42+[1]Capital!F46</f>
        <v>23946.293444399998</v>
      </c>
      <c r="H179" s="5">
        <f>[1]Capital!G42+[1]Capital!G46</f>
        <v>24212.547246900001</v>
      </c>
      <c r="I179" s="5">
        <f>[1]Capital!H42+[1]Capital!H46</f>
        <v>24491.171642199999</v>
      </c>
      <c r="J179" s="5">
        <f>[1]Capital!I42+[1]Capital!I46</f>
        <v>24744.4105805</v>
      </c>
      <c r="K179" s="5">
        <f>[1]Capital!J42+[1]Capital!J46</f>
        <v>24960.042200100001</v>
      </c>
      <c r="L179" s="5">
        <f>[1]Capital!K42+[1]Capital!K46</f>
        <v>25141.312016799999</v>
      </c>
      <c r="M179" s="5">
        <f>[1]Capital!L42+[1]Capital!L46</f>
        <v>25289.864819499999</v>
      </c>
      <c r="N179" s="5">
        <f>[1]Capital!M42+[1]Capital!M46</f>
        <v>25404.033068000001</v>
      </c>
      <c r="O179" s="5">
        <f>[1]Capital!N42+[1]Capital!N46</f>
        <v>25481.490708400001</v>
      </c>
      <c r="P179" s="5">
        <f>[1]Capital!O42+[1]Capital!O46</f>
        <v>25520.687671799998</v>
      </c>
      <c r="Q179" s="5">
        <f>[1]Capital!P42+[1]Capital!P46</f>
        <v>25521.536554099999</v>
      </c>
      <c r="R179" s="5">
        <f>[1]Capital!Q42+[1]Capital!Q46</f>
        <v>25485.010136100002</v>
      </c>
      <c r="S179" s="5">
        <f>[1]Capital!R42+[1]Capital!R46</f>
        <v>25410.865371399999</v>
      </c>
      <c r="T179" s="5">
        <f>[1]Capital!S42+[1]Capital!S46</f>
        <v>25300.5256224</v>
      </c>
      <c r="U179" s="5">
        <f>[1]Capital!T42+[1]Capital!T46</f>
        <v>25156.389270699998</v>
      </c>
      <c r="V179" s="5">
        <f>[1]Capital!U42+[1]Capital!U46</f>
        <v>24981.282661199999</v>
      </c>
      <c r="W179" s="5">
        <f>[1]Capital!V42+[1]Capital!V46</f>
        <v>24778.060406500001</v>
      </c>
      <c r="X179" s="5">
        <f>[1]Capital!W42+[1]Capital!W46</f>
        <v>24549.7660822</v>
      </c>
      <c r="Y179" s="5">
        <f>[1]Capital!X42+[1]Capital!X46</f>
        <v>24299.488211100001</v>
      </c>
      <c r="Z179" s="5">
        <f>[1]Capital!Y42+[1]Capital!Y46</f>
        <v>24030.1775619</v>
      </c>
      <c r="AA179" s="5">
        <f>[1]Capital!Z42+[1]Capital!Z46</f>
        <v>23744.466488999999</v>
      </c>
      <c r="AB179" s="5">
        <f>[1]Capital!AA42+[1]Capital!AA46</f>
        <v>23444.306618800001</v>
      </c>
      <c r="AC179" s="5">
        <f>[1]Capital!AB42+[1]Capital!AB46</f>
        <v>23132.115054900001</v>
      </c>
      <c r="AD179" s="5">
        <f>[1]Capital!AC42+[1]Capital!AC46</f>
        <v>22809.990155</v>
      </c>
      <c r="AE179" s="5">
        <f>[1]Capital!AD42+[1]Capital!AD46</f>
        <v>22479.697429299998</v>
      </c>
      <c r="AF179" s="5">
        <f>[1]Capital!AE42+[1]Capital!AE46</f>
        <v>22142.377917799997</v>
      </c>
      <c r="AG179" s="5">
        <f>[1]Capital!AF42+[1]Capital!AF46</f>
        <v>21798.3840614</v>
      </c>
      <c r="AH179" s="5">
        <f>[1]Capital!AG42+[1]Capital!AG46</f>
        <v>21447.370175600001</v>
      </c>
      <c r="AI179" s="5">
        <f>[1]Capital!AH42+[1]Capital!AH46</f>
        <v>21088.449110900001</v>
      </c>
      <c r="AJ179" s="5">
        <f>[1]Capital!AI42+[1]Capital!AI46</f>
        <v>20720.258184300001</v>
      </c>
      <c r="AK179" s="5">
        <f>[1]Capital!AJ42+[1]Capital!AJ46</f>
        <v>20340.9926166</v>
      </c>
      <c r="AL179" s="5">
        <f>[1]Capital!AK42+[1]Capital!AK46</f>
        <v>19948.428154100002</v>
      </c>
    </row>
    <row r="180" spans="1:38" x14ac:dyDescent="0.35">
      <c r="B180" t="s">
        <v>36</v>
      </c>
      <c r="C180" s="5">
        <f>[1]Capital!B44+[1]Capital!B48</f>
        <v>1941.7266677</v>
      </c>
      <c r="D180" s="5">
        <f>[1]Capital!C44+[1]Capital!C48</f>
        <v>1962.8742671</v>
      </c>
      <c r="E180" s="5">
        <f>[1]Capital!D44+[1]Capital!D48</f>
        <v>1983.1563113000002</v>
      </c>
      <c r="F180" s="5">
        <f>[1]Capital!E44+[1]Capital!E48</f>
        <v>2002.6309775999998</v>
      </c>
      <c r="G180" s="5">
        <f>[1]Capital!F44+[1]Capital!F48</f>
        <v>2021.7802787000001</v>
      </c>
      <c r="H180" s="5">
        <f>[1]Capital!G44+[1]Capital!G48</f>
        <v>2041.1322711</v>
      </c>
      <c r="I180" s="5">
        <f>[1]Capital!H44+[1]Capital!H48</f>
        <v>2060.9781990000001</v>
      </c>
      <c r="J180" s="5">
        <f>[1]Capital!I44+[1]Capital!I48</f>
        <v>2106.0337133000003</v>
      </c>
      <c r="K180" s="5">
        <f>[1]Capital!J44+[1]Capital!J48</f>
        <v>2184.9406082999999</v>
      </c>
      <c r="L180" s="5">
        <f>[1]Capital!K44+[1]Capital!K48</f>
        <v>2301.6545876999999</v>
      </c>
      <c r="M180" s="5">
        <f>[1]Capital!L44+[1]Capital!L48</f>
        <v>2458.5278555999998</v>
      </c>
      <c r="N180" s="5">
        <f>[1]Capital!M44+[1]Capital!M48</f>
        <v>2657.4131563999999</v>
      </c>
      <c r="O180" s="5">
        <f>[1]Capital!N44+[1]Capital!N48</f>
        <v>2899.9291240000002</v>
      </c>
      <c r="P180" s="5">
        <f>[1]Capital!O44+[1]Capital!O48</f>
        <v>3187.5700222999999</v>
      </c>
      <c r="Q180" s="5">
        <f>[1]Capital!P44+[1]Capital!P48</f>
        <v>3521.7740926000001</v>
      </c>
      <c r="R180" s="5">
        <f>[1]Capital!Q44+[1]Capital!Q48</f>
        <v>3903.9093199999998</v>
      </c>
      <c r="S180" s="5">
        <f>[1]Capital!R44+[1]Capital!R48</f>
        <v>4335.1089049000002</v>
      </c>
      <c r="T180" s="5">
        <f>[1]Capital!S44+[1]Capital!S48</f>
        <v>4816.4598180000003</v>
      </c>
      <c r="U180" s="5">
        <f>[1]Capital!T44+[1]Capital!T48</f>
        <v>5349.1015385000001</v>
      </c>
      <c r="V180" s="5">
        <f>[1]Capital!U44+[1]Capital!U48</f>
        <v>5934.2539907</v>
      </c>
      <c r="W180" s="5">
        <f>[1]Capital!V44+[1]Capital!V48</f>
        <v>6573.1718708000008</v>
      </c>
      <c r="X180" s="5">
        <f>[1]Capital!W44+[1]Capital!W48</f>
        <v>7267.3206040000005</v>
      </c>
      <c r="Y180" s="5">
        <f>[1]Capital!X44+[1]Capital!X48</f>
        <v>8018.412746</v>
      </c>
      <c r="Z180" s="5">
        <f>[1]Capital!Y44+[1]Capital!Y48</f>
        <v>8828.4290313999991</v>
      </c>
      <c r="AA180" s="5">
        <f>[1]Capital!Z44+[1]Capital!Z48</f>
        <v>9699.617123</v>
      </c>
      <c r="AB180" s="5">
        <f>[1]Capital!AA44+[1]Capital!AA48</f>
        <v>10634.229969</v>
      </c>
      <c r="AC180" s="5">
        <f>[1]Capital!AB44+[1]Capital!AB48</f>
        <v>11635.055695000001</v>
      </c>
      <c r="AD180" s="5">
        <f>[1]Capital!AC44+[1]Capital!AC48</f>
        <v>12705.588745999999</v>
      </c>
      <c r="AE180" s="5">
        <f>[1]Capital!AD44+[1]Capital!AD48</f>
        <v>13850.058935000001</v>
      </c>
      <c r="AF180" s="5">
        <f>[1]Capital!AE44+[1]Capital!AE48</f>
        <v>15073.337486</v>
      </c>
      <c r="AG180" s="5">
        <f>[1]Capital!AF44+[1]Capital!AF48</f>
        <v>16380.870937</v>
      </c>
      <c r="AH180" s="5">
        <f>[1]Capital!AG44+[1]Capital!AG48</f>
        <v>17778.803524000003</v>
      </c>
      <c r="AI180" s="5">
        <f>[1]Capital!AH44+[1]Capital!AH48</f>
        <v>19274.256034000002</v>
      </c>
      <c r="AJ180" s="5">
        <f>[1]Capital!AI44+[1]Capital!AI48</f>
        <v>20875.659792999999</v>
      </c>
      <c r="AK180" s="5">
        <f>[1]Capital!AJ44+[1]Capital!AJ48</f>
        <v>22593.274052000001</v>
      </c>
      <c r="AL180" s="5">
        <f>[1]Capital!AK44+[1]Capital!AK48</f>
        <v>24440.075647999998</v>
      </c>
    </row>
    <row r="181" spans="1:38" x14ac:dyDescent="0.35">
      <c r="B181" t="s">
        <v>33</v>
      </c>
      <c r="C181" s="5">
        <f>[1]Capital!B50+[1]Capital!B52+[1]Capital!B54+[1]Capital!B56+[1]Capital!B58+[1]Capital!B60+[1]Capital!B62+[1]Capital!B64+[1]Capital!B66</f>
        <v>40303.597149629997</v>
      </c>
      <c r="D181" s="5">
        <f>[1]Capital!C50+[1]Capital!C52+[1]Capital!C54+[1]Capital!C56+[1]Capital!C58+[1]Capital!C60+[1]Capital!C62+[1]Capital!C64+[1]Capital!C66</f>
        <v>40781.869830019998</v>
      </c>
      <c r="E181" s="5">
        <f>[1]Capital!D50+[1]Capital!D52+[1]Capital!D54+[1]Capital!D56+[1]Capital!D58+[1]Capital!D60+[1]Capital!D62+[1]Capital!D64+[1]Capital!D66</f>
        <v>41274.903248289993</v>
      </c>
      <c r="F181" s="5">
        <f>[1]Capital!E50+[1]Capital!E52+[1]Capital!E54+[1]Capital!E56+[1]Capital!E58+[1]Capital!E60+[1]Capital!E62+[1]Capital!E64+[1]Capital!E66</f>
        <v>41784.596170029996</v>
      </c>
      <c r="G181" s="5">
        <f>[1]Capital!F50+[1]Capital!F52+[1]Capital!F54+[1]Capital!F56+[1]Capital!F58+[1]Capital!F60+[1]Capital!F62+[1]Capital!F64+[1]Capital!F66</f>
        <v>42307.330253339998</v>
      </c>
      <c r="H181" s="5">
        <f>[1]Capital!G50+[1]Capital!G52+[1]Capital!G54+[1]Capital!G56+[1]Capital!G58+[1]Capital!G60+[1]Capital!G62+[1]Capital!G64+[1]Capital!G66</f>
        <v>42841.78305826</v>
      </c>
      <c r="I181" s="5">
        <f>[1]Capital!H50+[1]Capital!H52+[1]Capital!H54+[1]Capital!H56+[1]Capital!H58+[1]Capital!H60+[1]Capital!H62+[1]Capital!H64+[1]Capital!H66</f>
        <v>43388.826922930006</v>
      </c>
      <c r="J181" s="5">
        <f>[1]Capital!I50+[1]Capital!I52+[1]Capital!I54+[1]Capital!I56+[1]Capital!I58+[1]Capital!I60+[1]Capital!I62+[1]Capital!I64+[1]Capital!I66</f>
        <v>44026.196947310003</v>
      </c>
      <c r="K181" s="5">
        <f>[1]Capital!J50+[1]Capital!J52+[1]Capital!J54+[1]Capital!J56+[1]Capital!J58+[1]Capital!J60+[1]Capital!J62+[1]Capital!J64+[1]Capital!J66</f>
        <v>44792.330292839986</v>
      </c>
      <c r="L181" s="5">
        <f>[1]Capital!K50+[1]Capital!K52+[1]Capital!K54+[1]Capital!K56+[1]Capital!K58+[1]Capital!K60+[1]Capital!K62+[1]Capital!K64+[1]Capital!K66</f>
        <v>45716.472304160001</v>
      </c>
      <c r="M181" s="5">
        <f>[1]Capital!L50+[1]Capital!L52+[1]Capital!L54+[1]Capital!L56+[1]Capital!L58+[1]Capital!L60+[1]Capital!L62+[1]Capital!L64+[1]Capital!L66</f>
        <v>46813.924377610005</v>
      </c>
      <c r="N181" s="5">
        <f>[1]Capital!M50+[1]Capital!M52+[1]Capital!M54+[1]Capital!M56+[1]Capital!M58+[1]Capital!M60+[1]Capital!M62+[1]Capital!M64+[1]Capital!M66</f>
        <v>48076.456280180006</v>
      </c>
      <c r="O181" s="5">
        <f>[1]Capital!N50+[1]Capital!N52+[1]Capital!N54+[1]Capital!N56+[1]Capital!N58+[1]Capital!N60+[1]Capital!N62+[1]Capital!N64+[1]Capital!N66</f>
        <v>49493.481441119991</v>
      </c>
      <c r="P181" s="5">
        <f>[1]Capital!O50+[1]Capital!O52+[1]Capital!O54+[1]Capital!O56+[1]Capital!O58+[1]Capital!O60+[1]Capital!O62+[1]Capital!O64+[1]Capital!O66</f>
        <v>51059.009324160019</v>
      </c>
      <c r="Q181" s="5">
        <f>[1]Capital!P50+[1]Capital!P52+[1]Capital!P54+[1]Capital!P56+[1]Capital!P58+[1]Capital!P60+[1]Capital!P62+[1]Capital!P64+[1]Capital!P66</f>
        <v>52773.631377179998</v>
      </c>
      <c r="R181" s="5">
        <f>[1]Capital!Q50+[1]Capital!Q52+[1]Capital!Q54+[1]Capital!Q56+[1]Capital!Q58+[1]Capital!Q60+[1]Capital!Q62+[1]Capital!Q64+[1]Capital!Q66</f>
        <v>54643.568967949999</v>
      </c>
      <c r="S181" s="5">
        <f>[1]Capital!R50+[1]Capital!R52+[1]Capital!R54+[1]Capital!R56+[1]Capital!R58+[1]Capital!R60+[1]Capital!R62+[1]Capital!R64+[1]Capital!R66</f>
        <v>56679.92050321</v>
      </c>
      <c r="T181" s="5">
        <f>[1]Capital!S50+[1]Capital!S52+[1]Capital!S54+[1]Capital!S56+[1]Capital!S58+[1]Capital!S60+[1]Capital!S62+[1]Capital!S64+[1]Capital!S66</f>
        <v>58899.331987269987</v>
      </c>
      <c r="U181" s="5">
        <f>[1]Capital!T50+[1]Capital!T52+[1]Capital!T54+[1]Capital!T56+[1]Capital!T58+[1]Capital!T60+[1]Capital!T62+[1]Capital!T64+[1]Capital!T66</f>
        <v>61322.360118519995</v>
      </c>
      <c r="V181" s="5">
        <f>[1]Capital!U50+[1]Capital!U52+[1]Capital!U54+[1]Capital!U56+[1]Capital!U58+[1]Capital!U60+[1]Capital!U62+[1]Capital!U64+[1]Capital!U66</f>
        <v>63973.378820179998</v>
      </c>
      <c r="W181" s="5">
        <f>[1]Capital!V50+[1]Capital!V52+[1]Capital!V54+[1]Capital!V56+[1]Capital!V58+[1]Capital!V60+[1]Capital!V62+[1]Capital!V64+[1]Capital!V66</f>
        <v>66879.892332770003</v>
      </c>
      <c r="X181" s="5">
        <f>[1]Capital!W50+[1]Capital!W52+[1]Capital!W54+[1]Capital!W56+[1]Capital!W58+[1]Capital!W60+[1]Capital!W62+[1]Capital!W64+[1]Capital!W66</f>
        <v>70076.252431399989</v>
      </c>
      <c r="Y181" s="5">
        <f>[1]Capital!X50+[1]Capital!X52+[1]Capital!X54+[1]Capital!X56+[1]Capital!X58+[1]Capital!X60+[1]Capital!X62+[1]Capital!X64+[1]Capital!X66</f>
        <v>73603.667602090005</v>
      </c>
      <c r="Z181" s="5">
        <f>[1]Capital!Y50+[1]Capital!Y52+[1]Capital!Y54+[1]Capital!Y56+[1]Capital!Y58+[1]Capital!Y60+[1]Capital!Y62+[1]Capital!Y64+[1]Capital!Y66</f>
        <v>77510.448773290002</v>
      </c>
      <c r="AA181" s="5">
        <f>[1]Capital!Z50+[1]Capital!Z52+[1]Capital!Z54+[1]Capital!Z56+[1]Capital!Z58+[1]Capital!Z60+[1]Capital!Z62+[1]Capital!Z64+[1]Capital!Z66</f>
        <v>81852.45715686999</v>
      </c>
      <c r="AB181" s="5">
        <f>[1]Capital!AA50+[1]Capital!AA52+[1]Capital!AA54+[1]Capital!AA56+[1]Capital!AA58+[1]Capital!AA60+[1]Capital!AA62+[1]Capital!AA64+[1]Capital!AA66</f>
        <v>86689.447984489991</v>
      </c>
      <c r="AC181" s="5">
        <f>[1]Capital!AB50+[1]Capital!AB52+[1]Capital!AB54+[1]Capital!AB56+[1]Capital!AB58+[1]Capital!AB60+[1]Capital!AB62+[1]Capital!AB64+[1]Capital!AB66</f>
        <v>92097.180041489992</v>
      </c>
      <c r="AD181" s="5">
        <f>[1]Capital!AC50+[1]Capital!AC52+[1]Capital!AC54+[1]Capital!AC56+[1]Capital!AC58+[1]Capital!AC60+[1]Capital!AC62+[1]Capital!AC64+[1]Capital!AC66</f>
        <v>98167.262423560009</v>
      </c>
      <c r="AE181" s="5">
        <f>[1]Capital!AD50+[1]Capital!AD52+[1]Capital!AD54+[1]Capital!AD56+[1]Capital!AD58+[1]Capital!AD60+[1]Capital!AD62+[1]Capital!AD64+[1]Capital!AD66</f>
        <v>105008.68947846</v>
      </c>
      <c r="AF181" s="5">
        <f>[1]Capital!AE50+[1]Capital!AE52+[1]Capital!AE54+[1]Capital!AE56+[1]Capital!AE58+[1]Capital!AE60+[1]Capital!AE62+[1]Capital!AE64+[1]Capital!AE66</f>
        <v>112748.66820665999</v>
      </c>
      <c r="AG181" s="5">
        <f>[1]Capital!AF50+[1]Capital!AF52+[1]Capital!AF54+[1]Capital!AF56+[1]Capital!AF58+[1]Capital!AF60+[1]Capital!AF62+[1]Capital!AF64+[1]Capital!AF66</f>
        <v>121534.66425615999</v>
      </c>
      <c r="AH181" s="5">
        <f>[1]Capital!AG50+[1]Capital!AG52+[1]Capital!AG54+[1]Capital!AG56+[1]Capital!AG58+[1]Capital!AG60+[1]Capital!AG62+[1]Capital!AG64+[1]Capital!AG66</f>
        <v>131539.87186069999</v>
      </c>
      <c r="AI181" s="5">
        <f>[1]Capital!AH50+[1]Capital!AH52+[1]Capital!AH54+[1]Capital!AH56+[1]Capital!AH58+[1]Capital!AH60+[1]Capital!AH62+[1]Capital!AH64+[1]Capital!AH66</f>
        <v>142971.7822817</v>
      </c>
      <c r="AJ181" s="5">
        <f>[1]Capital!AI50+[1]Capital!AI52+[1]Capital!AI54+[1]Capital!AI56+[1]Capital!AI58+[1]Capital!AI60+[1]Capital!AI62+[1]Capital!AI64+[1]Capital!AI66</f>
        <v>156082.514222</v>
      </c>
      <c r="AK181" s="5">
        <f>[1]Capital!AJ50+[1]Capital!AJ52+[1]Capital!AJ54+[1]Capital!AJ56+[1]Capital!AJ58+[1]Capital!AJ60+[1]Capital!AJ62+[1]Capital!AJ64+[1]Capital!AJ66</f>
        <v>171182.88611579998</v>
      </c>
      <c r="AL181" s="5">
        <f>[1]Capital!AK50+[1]Capital!AK52+[1]Capital!AK54+[1]Capital!AK56+[1]Capital!AK58+[1]Capital!AK60+[1]Capital!AK62+[1]Capital!AK64+[1]Capital!AK66</f>
        <v>188662.3922232</v>
      </c>
    </row>
    <row r="182" spans="1:3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</row>
    <row r="184" spans="1:38" x14ac:dyDescent="0.35">
      <c r="A184" s="12" t="s">
        <v>42</v>
      </c>
      <c r="B184" t="s">
        <v>40</v>
      </c>
      <c r="C184" s="9">
        <f t="shared" ref="C184:AL184" si="16">C174/C136/(C164/C125)-1</f>
        <v>-2.5946067516713356E-10</v>
      </c>
      <c r="D184" s="9">
        <f t="shared" si="16"/>
        <v>0</v>
      </c>
      <c r="E184" s="9">
        <f t="shared" si="16"/>
        <v>0</v>
      </c>
      <c r="F184" s="9">
        <f t="shared" si="16"/>
        <v>1.8417511959967214E-10</v>
      </c>
      <c r="G184" s="9">
        <f t="shared" si="16"/>
        <v>1.8145196456487156E-10</v>
      </c>
      <c r="H184" s="9">
        <f t="shared" si="16"/>
        <v>0</v>
      </c>
      <c r="I184" s="9">
        <f t="shared" si="16"/>
        <v>-2.2688229073253297E-10</v>
      </c>
      <c r="J184" s="9">
        <f t="shared" si="16"/>
        <v>2.0720769303559372E-3</v>
      </c>
      <c r="K184" s="9">
        <f t="shared" si="16"/>
        <v>4.0217239637467816E-3</v>
      </c>
      <c r="L184" s="9">
        <f t="shared" si="16"/>
        <v>2.0120035964383831E-3</v>
      </c>
      <c r="M184" s="9">
        <f t="shared" si="16"/>
        <v>-3.286242045562604E-4</v>
      </c>
      <c r="N184" s="9">
        <f t="shared" si="16"/>
        <v>-2.2124505851079945E-3</v>
      </c>
      <c r="O184" s="9">
        <f t="shared" si="16"/>
        <v>-3.47497453083212E-3</v>
      </c>
      <c r="P184" s="9">
        <f t="shared" si="16"/>
        <v>-4.3202311674989113E-3</v>
      </c>
      <c r="Q184" s="9">
        <f t="shared" si="16"/>
        <v>-5.0348926337291378E-3</v>
      </c>
      <c r="R184" s="9">
        <f t="shared" si="16"/>
        <v>-5.6435562382127769E-3</v>
      </c>
      <c r="S184" s="9">
        <f t="shared" si="16"/>
        <v>-5.8251061241207935E-3</v>
      </c>
      <c r="T184" s="9">
        <f t="shared" si="16"/>
        <v>-5.6500374048217283E-3</v>
      </c>
      <c r="U184" s="9">
        <f t="shared" si="16"/>
        <v>-5.1794346948812464E-3</v>
      </c>
      <c r="V184" s="9">
        <f t="shared" si="16"/>
        <v>-4.4893234376700564E-3</v>
      </c>
      <c r="W184" s="9">
        <f t="shared" si="16"/>
        <v>-3.6429470051990709E-3</v>
      </c>
      <c r="X184" s="9">
        <f t="shared" si="16"/>
        <v>-2.688710046118703E-3</v>
      </c>
      <c r="Y184" s="9">
        <f t="shared" si="16"/>
        <v>-1.6670270071964532E-3</v>
      </c>
      <c r="Z184" s="9">
        <f t="shared" si="16"/>
        <v>-6.0799115280463223E-4</v>
      </c>
      <c r="AA184" s="9">
        <f t="shared" si="16"/>
        <v>4.6104753127185205E-4</v>
      </c>
      <c r="AB184" s="9">
        <f t="shared" si="16"/>
        <v>1.5230129054926156E-3</v>
      </c>
      <c r="AC184" s="9">
        <f t="shared" si="16"/>
        <v>2.5237345195294747E-3</v>
      </c>
      <c r="AD184" s="9">
        <f t="shared" si="16"/>
        <v>3.4470702167470613E-3</v>
      </c>
      <c r="AE184" s="9">
        <f t="shared" si="16"/>
        <v>4.2596434936175154E-3</v>
      </c>
      <c r="AF184" s="9">
        <f t="shared" si="16"/>
        <v>4.9197221370893551E-3</v>
      </c>
      <c r="AG184" s="9">
        <f t="shared" si="16"/>
        <v>5.3889194454128653E-3</v>
      </c>
      <c r="AH184" s="9">
        <f t="shared" si="16"/>
        <v>5.6279342187219861E-3</v>
      </c>
      <c r="AI184" s="9">
        <f t="shared" si="16"/>
        <v>5.5894873382100752E-3</v>
      </c>
      <c r="AJ184" s="9">
        <f t="shared" si="16"/>
        <v>5.2204770004207202E-3</v>
      </c>
      <c r="AK184" s="9">
        <f t="shared" si="16"/>
        <v>4.4542592721010799E-3</v>
      </c>
      <c r="AL184" s="9">
        <f t="shared" si="16"/>
        <v>3.2055828965578126E-3</v>
      </c>
    </row>
    <row r="185" spans="1:38" x14ac:dyDescent="0.35">
      <c r="A185" t="s">
        <v>85</v>
      </c>
      <c r="B185" t="s">
        <v>7</v>
      </c>
      <c r="C185" s="9">
        <f t="shared" ref="C185:AL185" si="17">C175/C137/(C165/C126)-1</f>
        <v>0</v>
      </c>
      <c r="D185" s="9">
        <f t="shared" si="17"/>
        <v>0</v>
      </c>
      <c r="E185" s="9">
        <f t="shared" si="17"/>
        <v>0</v>
      </c>
      <c r="F185" s="9">
        <f t="shared" si="17"/>
        <v>0</v>
      </c>
      <c r="G185" s="9">
        <f t="shared" si="17"/>
        <v>1.0513812043200232E-11</v>
      </c>
      <c r="H185" s="9">
        <f t="shared" si="17"/>
        <v>2.0040880066574118E-10</v>
      </c>
      <c r="I185" s="9">
        <f t="shared" si="17"/>
        <v>1.0026646179994714E-11</v>
      </c>
      <c r="J185" s="9">
        <f t="shared" si="17"/>
        <v>4.6302598694798469E-3</v>
      </c>
      <c r="K185" s="9">
        <f t="shared" si="17"/>
        <v>9.9988993454283026E-3</v>
      </c>
      <c r="L185" s="9">
        <f t="shared" si="17"/>
        <v>1.1584912048548057E-2</v>
      </c>
      <c r="M185" s="9">
        <f t="shared" si="17"/>
        <v>1.3374572459211587E-2</v>
      </c>
      <c r="N185" s="9">
        <f t="shared" si="17"/>
        <v>1.570319569579337E-2</v>
      </c>
      <c r="O185" s="9">
        <f t="shared" si="17"/>
        <v>1.8597429606459048E-2</v>
      </c>
      <c r="P185" s="9">
        <f t="shared" si="17"/>
        <v>2.1765448871491344E-2</v>
      </c>
      <c r="Q185" s="9">
        <f t="shared" si="17"/>
        <v>2.4892253190753166E-2</v>
      </c>
      <c r="R185" s="9">
        <f t="shared" si="17"/>
        <v>2.7981572799479881E-2</v>
      </c>
      <c r="S185" s="9">
        <f t="shared" si="17"/>
        <v>3.1400821157064662E-2</v>
      </c>
      <c r="T185" s="9">
        <f t="shared" si="17"/>
        <v>3.5327978586933595E-2</v>
      </c>
      <c r="U185" s="9">
        <f t="shared" si="17"/>
        <v>3.9736373717858431E-2</v>
      </c>
      <c r="V185" s="9">
        <f t="shared" si="17"/>
        <v>4.4523356060916841E-2</v>
      </c>
      <c r="W185" s="9">
        <f t="shared" si="17"/>
        <v>4.9573222731396083E-2</v>
      </c>
      <c r="X185" s="9">
        <f t="shared" si="17"/>
        <v>5.4769081260433783E-2</v>
      </c>
      <c r="Y185" s="9">
        <f t="shared" si="17"/>
        <v>5.999596736759516E-2</v>
      </c>
      <c r="Z185" s="9">
        <f t="shared" si="17"/>
        <v>6.5142570164229641E-2</v>
      </c>
      <c r="AA185" s="9">
        <f t="shared" si="17"/>
        <v>7.0098782829413508E-2</v>
      </c>
      <c r="AB185" s="9">
        <f t="shared" si="17"/>
        <v>7.4775269913960773E-2</v>
      </c>
      <c r="AC185" s="9">
        <f t="shared" si="17"/>
        <v>7.9203810695191335E-2</v>
      </c>
      <c r="AD185" s="9">
        <f t="shared" si="17"/>
        <v>8.311040782673107E-2</v>
      </c>
      <c r="AE185" s="9">
        <f t="shared" si="17"/>
        <v>8.6361501286460252E-2</v>
      </c>
      <c r="AF185" s="9">
        <f t="shared" si="17"/>
        <v>8.8834484778034017E-2</v>
      </c>
      <c r="AG185" s="9">
        <f t="shared" si="17"/>
        <v>9.0429126891677036E-2</v>
      </c>
      <c r="AH185" s="9">
        <f t="shared" si="17"/>
        <v>9.1065466867921607E-2</v>
      </c>
      <c r="AI185" s="9">
        <f t="shared" si="17"/>
        <v>9.067192557406023E-2</v>
      </c>
      <c r="AJ185" s="9">
        <f t="shared" si="17"/>
        <v>8.9184501821015338E-2</v>
      </c>
      <c r="AK185" s="9">
        <f t="shared" si="17"/>
        <v>8.6543625824890169E-2</v>
      </c>
      <c r="AL185" s="9">
        <f t="shared" si="17"/>
        <v>8.2694575460444453E-2</v>
      </c>
    </row>
    <row r="186" spans="1:38" x14ac:dyDescent="0.35">
      <c r="B186" t="s">
        <v>30</v>
      </c>
      <c r="C186" s="9">
        <f t="shared" ref="C186:AL186" si="18">C176/C138/(C166/C127)-1</f>
        <v>-2.0430324099152131E-12</v>
      </c>
      <c r="D186" s="9">
        <f t="shared" si="18"/>
        <v>1.5602852343477025E-11</v>
      </c>
      <c r="E186" s="9">
        <f t="shared" si="18"/>
        <v>1.2527312520660416E-11</v>
      </c>
      <c r="F186" s="9">
        <f t="shared" si="18"/>
        <v>-1.4918399848795616E-11</v>
      </c>
      <c r="G186" s="9">
        <f t="shared" si="18"/>
        <v>1.8664958467695669E-10</v>
      </c>
      <c r="H186" s="9">
        <f t="shared" si="18"/>
        <v>2.0334911532415845E-10</v>
      </c>
      <c r="I186" s="9">
        <f t="shared" si="18"/>
        <v>1.8757773112554332E-10</v>
      </c>
      <c r="J186" s="9">
        <f t="shared" si="18"/>
        <v>4.8000497266986741E-3</v>
      </c>
      <c r="K186" s="9">
        <f t="shared" si="18"/>
        <v>9.3373647203032206E-3</v>
      </c>
      <c r="L186" s="9">
        <f t="shared" si="18"/>
        <v>7.9914579686668485E-3</v>
      </c>
      <c r="M186" s="9">
        <f t="shared" si="18"/>
        <v>6.5819863807583534E-3</v>
      </c>
      <c r="N186" s="9">
        <f t="shared" si="18"/>
        <v>5.7452439174714431E-3</v>
      </c>
      <c r="O186" s="9">
        <f t="shared" si="18"/>
        <v>5.7438597415384596E-3</v>
      </c>
      <c r="P186" s="9">
        <f t="shared" si="18"/>
        <v>6.1801336505469262E-3</v>
      </c>
      <c r="Q186" s="9">
        <f t="shared" si="18"/>
        <v>6.564027359016178E-3</v>
      </c>
      <c r="R186" s="9">
        <f t="shared" si="18"/>
        <v>6.8533333864209123E-3</v>
      </c>
      <c r="S186" s="9">
        <f t="shared" si="18"/>
        <v>7.6262890323437471E-3</v>
      </c>
      <c r="T186" s="9">
        <f t="shared" si="18"/>
        <v>8.7325422431128175E-3</v>
      </c>
      <c r="U186" s="9">
        <f t="shared" si="18"/>
        <v>1.0093228558385903E-2</v>
      </c>
      <c r="V186" s="9">
        <f t="shared" si="18"/>
        <v>1.1626488471426333E-2</v>
      </c>
      <c r="W186" s="9">
        <f t="shared" si="18"/>
        <v>1.3267153504940898E-2</v>
      </c>
      <c r="X186" s="9">
        <f t="shared" si="18"/>
        <v>1.4955628678890998E-2</v>
      </c>
      <c r="Y186" s="9">
        <f t="shared" si="18"/>
        <v>1.6656452333191796E-2</v>
      </c>
      <c r="Z186" s="9">
        <f t="shared" si="18"/>
        <v>1.8355350007059679E-2</v>
      </c>
      <c r="AA186" s="9">
        <f t="shared" si="18"/>
        <v>2.004092294118931E-2</v>
      </c>
      <c r="AB186" s="9">
        <f t="shared" si="18"/>
        <v>2.1721420257521107E-2</v>
      </c>
      <c r="AC186" s="9">
        <f t="shared" si="18"/>
        <v>2.3343107504642635E-2</v>
      </c>
      <c r="AD186" s="9">
        <f t="shared" si="18"/>
        <v>2.4917328713117692E-2</v>
      </c>
      <c r="AE186" s="9">
        <f t="shared" si="18"/>
        <v>2.6462129491126918E-2</v>
      </c>
      <c r="AF186" s="9">
        <f t="shared" si="18"/>
        <v>2.7974466396341935E-2</v>
      </c>
      <c r="AG186" s="9">
        <f t="shared" si="18"/>
        <v>2.9445328260019332E-2</v>
      </c>
      <c r="AH186" s="9">
        <f t="shared" si="18"/>
        <v>3.085806667699531E-2</v>
      </c>
      <c r="AI186" s="9">
        <f t="shared" si="18"/>
        <v>3.2194666156592833E-2</v>
      </c>
      <c r="AJ186" s="9">
        <f t="shared" si="18"/>
        <v>3.3448209181514699E-2</v>
      </c>
      <c r="AK186" s="9">
        <f t="shared" si="18"/>
        <v>3.4603473998870982E-2</v>
      </c>
      <c r="AL186" s="9">
        <f t="shared" si="18"/>
        <v>3.5633789722797848E-2</v>
      </c>
    </row>
    <row r="187" spans="1:38" x14ac:dyDescent="0.35">
      <c r="B187" t="s">
        <v>9</v>
      </c>
      <c r="C187" s="9">
        <f t="shared" ref="C187:AL187" si="19">C177/C139/(C167/C128)-1</f>
        <v>0</v>
      </c>
      <c r="D187" s="9">
        <f t="shared" si="19"/>
        <v>-1.1964573776168663E-10</v>
      </c>
      <c r="E187" s="9">
        <f t="shared" si="19"/>
        <v>-7.9226625260275796E-11</v>
      </c>
      <c r="F187" s="9">
        <f t="shared" si="19"/>
        <v>-7.7464257230985822E-11</v>
      </c>
      <c r="G187" s="9">
        <f t="shared" si="19"/>
        <v>-7.5681572120345209E-11</v>
      </c>
      <c r="H187" s="9">
        <f t="shared" si="19"/>
        <v>-1.7880175118278885E-10</v>
      </c>
      <c r="I187" s="9">
        <f t="shared" si="19"/>
        <v>-1.3391299180653959E-10</v>
      </c>
      <c r="J187" s="9">
        <f t="shared" si="19"/>
        <v>4.7702065354282563E-3</v>
      </c>
      <c r="K187" s="9">
        <f t="shared" si="19"/>
        <v>9.3075685928050156E-3</v>
      </c>
      <c r="L187" s="9">
        <f t="shared" si="19"/>
        <v>8.1153943529255201E-3</v>
      </c>
      <c r="M187" s="9">
        <f t="shared" si="19"/>
        <v>6.994804711944802E-3</v>
      </c>
      <c r="N187" s="9">
        <f t="shared" si="19"/>
        <v>6.5337995506942192E-3</v>
      </c>
      <c r="O187" s="9">
        <f t="shared" si="19"/>
        <v>7.3404053195642582E-3</v>
      </c>
      <c r="P187" s="9">
        <f t="shared" si="19"/>
        <v>9.1155835000813479E-3</v>
      </c>
      <c r="Q187" s="9">
        <f t="shared" si="19"/>
        <v>1.1367732307806744E-2</v>
      </c>
      <c r="R187" s="9">
        <f t="shared" si="19"/>
        <v>1.4006009545185716E-2</v>
      </c>
      <c r="S187" s="9">
        <f t="shared" si="19"/>
        <v>1.7354371377888755E-2</v>
      </c>
      <c r="T187" s="9">
        <f t="shared" si="19"/>
        <v>2.1283204064629579E-2</v>
      </c>
      <c r="U187" s="9">
        <f t="shared" si="19"/>
        <v>2.5594045323752646E-2</v>
      </c>
      <c r="V187" s="9">
        <f t="shared" si="19"/>
        <v>3.0121856511932554E-2</v>
      </c>
      <c r="W187" s="9">
        <f t="shared" si="19"/>
        <v>3.472795850850896E-2</v>
      </c>
      <c r="X187" s="9">
        <f t="shared" si="19"/>
        <v>3.9263537015145067E-2</v>
      </c>
      <c r="Y187" s="9">
        <f t="shared" si="19"/>
        <v>4.3612975629762518E-2</v>
      </c>
      <c r="Z187" s="9">
        <f t="shared" si="19"/>
        <v>4.7762754451706746E-2</v>
      </c>
      <c r="AA187" s="9">
        <f t="shared" si="19"/>
        <v>5.1713889122468215E-2</v>
      </c>
      <c r="AB187" s="9">
        <f t="shared" si="19"/>
        <v>5.5448083979940055E-2</v>
      </c>
      <c r="AC187" s="9">
        <f t="shared" si="19"/>
        <v>5.8725344427293269E-2</v>
      </c>
      <c r="AD187" s="9">
        <f t="shared" si="19"/>
        <v>6.130859697140445E-2</v>
      </c>
      <c r="AE187" s="9">
        <f t="shared" si="19"/>
        <v>6.3214370317498547E-2</v>
      </c>
      <c r="AF187" s="9">
        <f t="shared" si="19"/>
        <v>6.4499087010257306E-2</v>
      </c>
      <c r="AG187" s="9">
        <f t="shared" si="19"/>
        <v>6.5205504972047912E-2</v>
      </c>
      <c r="AH187" s="9">
        <f t="shared" si="19"/>
        <v>6.5268641829427709E-2</v>
      </c>
      <c r="AI187" s="9">
        <f t="shared" si="19"/>
        <v>6.4582535267778018E-2</v>
      </c>
      <c r="AJ187" s="9">
        <f t="shared" si="19"/>
        <v>6.3145143069772924E-2</v>
      </c>
      <c r="AK187" s="9">
        <f t="shared" si="19"/>
        <v>6.0972405496848348E-2</v>
      </c>
      <c r="AL187" s="9">
        <f t="shared" si="19"/>
        <v>5.8069419965075086E-2</v>
      </c>
    </row>
    <row r="188" spans="1:38" x14ac:dyDescent="0.35">
      <c r="B188" t="s">
        <v>10</v>
      </c>
      <c r="C188" s="9">
        <f t="shared" ref="C188:AL188" si="20">C178/C140/(C168/C129)-1</f>
        <v>0</v>
      </c>
      <c r="D188" s="9">
        <f t="shared" si="20"/>
        <v>0</v>
      </c>
      <c r="E188" s="9">
        <f t="shared" si="20"/>
        <v>0</v>
      </c>
      <c r="F188" s="9">
        <f t="shared" si="20"/>
        <v>-4.052173041557694E-10</v>
      </c>
      <c r="G188" s="9">
        <f t="shared" si="20"/>
        <v>-3.6008662718245432E-10</v>
      </c>
      <c r="H188" s="9">
        <f t="shared" si="20"/>
        <v>3.8517855571740256E-11</v>
      </c>
      <c r="I188" s="9">
        <f t="shared" si="20"/>
        <v>3.7889691384407342E-11</v>
      </c>
      <c r="J188" s="9">
        <f t="shared" si="20"/>
        <v>1.583406927730957E-3</v>
      </c>
      <c r="K188" s="9">
        <f t="shared" si="20"/>
        <v>3.1656128974635322E-3</v>
      </c>
      <c r="L188" s="9">
        <f t="shared" si="20"/>
        <v>1.5995769028995799E-3</v>
      </c>
      <c r="M188" s="9">
        <f t="shared" si="20"/>
        <v>-4.4988491015840459E-4</v>
      </c>
      <c r="N188" s="9">
        <f t="shared" si="20"/>
        <v>-2.1453693661298567E-3</v>
      </c>
      <c r="O188" s="9">
        <f t="shared" si="20"/>
        <v>-3.3392550199092819E-3</v>
      </c>
      <c r="P188" s="9">
        <f t="shared" si="20"/>
        <v>-4.1367500873544794E-3</v>
      </c>
      <c r="Q188" s="9">
        <f t="shared" si="20"/>
        <v>-4.7362758949863748E-3</v>
      </c>
      <c r="R188" s="9">
        <f t="shared" si="20"/>
        <v>-5.1626508884483613E-3</v>
      </c>
      <c r="S188" s="9">
        <f t="shared" si="20"/>
        <v>-5.2024167250466213E-3</v>
      </c>
      <c r="T188" s="9">
        <f t="shared" si="20"/>
        <v>-4.8965084908136891E-3</v>
      </c>
      <c r="U188" s="9">
        <f t="shared" si="20"/>
        <v>-4.3057727339366192E-3</v>
      </c>
      <c r="V188" s="9">
        <f t="shared" si="20"/>
        <v>-3.5051809361039687E-3</v>
      </c>
      <c r="W188" s="9">
        <f t="shared" si="20"/>
        <v>-2.5542330397296809E-3</v>
      </c>
      <c r="X188" s="9">
        <f t="shared" si="20"/>
        <v>-1.4918772482861442E-3</v>
      </c>
      <c r="Y188" s="9">
        <f t="shared" si="20"/>
        <v>-3.539818577840137E-4</v>
      </c>
      <c r="Z188" s="9">
        <f t="shared" si="20"/>
        <v>8.2376164040787181E-4</v>
      </c>
      <c r="AA188" s="9">
        <f t="shared" si="20"/>
        <v>2.0083395363508227E-3</v>
      </c>
      <c r="AB188" s="9">
        <f t="shared" si="20"/>
        <v>3.1808792867189517E-3</v>
      </c>
      <c r="AC188" s="9">
        <f t="shared" si="20"/>
        <v>4.3010173055406664E-3</v>
      </c>
      <c r="AD188" s="9">
        <f t="shared" si="20"/>
        <v>5.3655850043943243E-3</v>
      </c>
      <c r="AE188" s="9">
        <f t="shared" si="20"/>
        <v>6.3309072766835062E-3</v>
      </c>
      <c r="AF188" s="9">
        <f t="shared" si="20"/>
        <v>7.1501943866634221E-3</v>
      </c>
      <c r="AG188" s="9">
        <f t="shared" si="20"/>
        <v>7.7886128309214708E-3</v>
      </c>
      <c r="AH188" s="9">
        <f t="shared" si="20"/>
        <v>8.226631377168836E-3</v>
      </c>
      <c r="AI188" s="9">
        <f t="shared" si="20"/>
        <v>8.4463343767491317E-3</v>
      </c>
      <c r="AJ188" s="9">
        <f t="shared" si="20"/>
        <v>8.4214074023816199E-3</v>
      </c>
      <c r="AK188" s="9">
        <f t="shared" si="20"/>
        <v>8.1229659465524851E-3</v>
      </c>
      <c r="AL188" s="9">
        <f t="shared" si="20"/>
        <v>7.5222583704399604E-3</v>
      </c>
    </row>
    <row r="189" spans="1:38" x14ac:dyDescent="0.35">
      <c r="B189" t="s">
        <v>29</v>
      </c>
      <c r="C189" s="9">
        <f t="shared" ref="C189:AL189" si="21">(C179+C180)/(C141+C142)/((C169+C170)/(C130+C131))-1</f>
        <v>8.8183016444531859E-11</v>
      </c>
      <c r="D189" s="9">
        <f t="shared" si="21"/>
        <v>-3.7685410347876314E-12</v>
      </c>
      <c r="E189" s="9">
        <f t="shared" si="21"/>
        <v>1.4990964025685116E-10</v>
      </c>
      <c r="F189" s="9">
        <f t="shared" si="21"/>
        <v>4.4792902720303118E-10</v>
      </c>
      <c r="G189" s="9">
        <f t="shared" si="21"/>
        <v>3.5191005665069497E-10</v>
      </c>
      <c r="H189" s="9">
        <f t="shared" si="21"/>
        <v>6.1682281504715775E-10</v>
      </c>
      <c r="I189" s="9">
        <f t="shared" si="21"/>
        <v>8.6995766146458209E-10</v>
      </c>
      <c r="J189" s="9">
        <f t="shared" si="21"/>
        <v>-5.8432932596597098E-4</v>
      </c>
      <c r="K189" s="9">
        <f t="shared" si="21"/>
        <v>-1.8262021180658339E-3</v>
      </c>
      <c r="L189" s="9">
        <f t="shared" si="21"/>
        <v>-7.4306738363609792E-3</v>
      </c>
      <c r="M189" s="9">
        <f t="shared" si="21"/>
        <v>-1.4001319868423456E-2</v>
      </c>
      <c r="N189" s="9">
        <f t="shared" si="21"/>
        <v>-2.1954946918627871E-2</v>
      </c>
      <c r="O189" s="9">
        <f t="shared" si="21"/>
        <v>-3.0597755523324222E-2</v>
      </c>
      <c r="P189" s="9">
        <f t="shared" si="21"/>
        <v>-3.9681688820759953E-2</v>
      </c>
      <c r="Q189" s="9">
        <f t="shared" si="21"/>
        <v>-4.9124694223517618E-2</v>
      </c>
      <c r="R189" s="9">
        <f t="shared" si="21"/>
        <v>-5.8642832638306053E-2</v>
      </c>
      <c r="S189" s="9">
        <f t="shared" si="21"/>
        <v>-6.6566488807876523E-2</v>
      </c>
      <c r="T189" s="9">
        <f t="shared" si="21"/>
        <v>-7.3472819788934829E-2</v>
      </c>
      <c r="U189" s="9">
        <f t="shared" si="21"/>
        <v>-7.948097164927781E-2</v>
      </c>
      <c r="V189" s="9">
        <f t="shared" si="21"/>
        <v>-8.4732157927807861E-2</v>
      </c>
      <c r="W189" s="9">
        <f t="shared" si="21"/>
        <v>-8.9360196679741599E-2</v>
      </c>
      <c r="X189" s="9">
        <f t="shared" si="21"/>
        <v>-9.3467909211961686E-2</v>
      </c>
      <c r="Y189" s="9">
        <f t="shared" si="21"/>
        <v>-9.7145498022013888E-2</v>
      </c>
      <c r="Z189" s="9">
        <f t="shared" si="21"/>
        <v>-0.10044345594399384</v>
      </c>
      <c r="AA189" s="9">
        <f t="shared" si="21"/>
        <v>-0.10341076516944236</v>
      </c>
      <c r="AB189" s="9">
        <f t="shared" si="21"/>
        <v>-0.10611908085469435</v>
      </c>
      <c r="AC189" s="9">
        <f t="shared" si="21"/>
        <v>-0.1088129454107728</v>
      </c>
      <c r="AD189" s="9">
        <f t="shared" si="21"/>
        <v>-0.1114336202937537</v>
      </c>
      <c r="AE189" s="9">
        <f t="shared" si="21"/>
        <v>-0.11405396342485585</v>
      </c>
      <c r="AF189" s="9">
        <f t="shared" si="21"/>
        <v>-0.11676146080758376</v>
      </c>
      <c r="AG189" s="9">
        <f t="shared" si="21"/>
        <v>-0.11966069653943312</v>
      </c>
      <c r="AH189" s="9">
        <f t="shared" si="21"/>
        <v>-0.12288631801560457</v>
      </c>
      <c r="AI189" s="9">
        <f t="shared" si="21"/>
        <v>-0.12659730628069965</v>
      </c>
      <c r="AJ189" s="9">
        <f t="shared" si="21"/>
        <v>-0.13095212008240442</v>
      </c>
      <c r="AK189" s="9">
        <f t="shared" si="21"/>
        <v>-0.13614580043465097</v>
      </c>
      <c r="AL189" s="9">
        <f t="shared" si="21"/>
        <v>-0.14245609984927521</v>
      </c>
    </row>
    <row r="190" spans="1:38" x14ac:dyDescent="0.35">
      <c r="B190" t="s">
        <v>33</v>
      </c>
      <c r="C190" s="9">
        <f t="shared" ref="C190:AL190" si="22">C181/C143/(C171/C132)-1</f>
        <v>-1.8258361489387198E-10</v>
      </c>
      <c r="D190" s="9">
        <f t="shared" si="22"/>
        <v>-1.3491263661791209E-10</v>
      </c>
      <c r="E190" s="9">
        <f t="shared" si="22"/>
        <v>-7.7253869967819355E-11</v>
      </c>
      <c r="F190" s="9">
        <f t="shared" si="22"/>
        <v>-2.090649875441386E-11</v>
      </c>
      <c r="G190" s="9">
        <f t="shared" si="22"/>
        <v>4.1570302755644661E-11</v>
      </c>
      <c r="H190" s="9">
        <f t="shared" si="22"/>
        <v>4.723599289491176E-11</v>
      </c>
      <c r="I190" s="9">
        <f t="shared" si="22"/>
        <v>7.794342948841404E-11</v>
      </c>
      <c r="J190" s="9">
        <f t="shared" si="22"/>
        <v>-2.5473988641922962E-2</v>
      </c>
      <c r="K190" s="9">
        <f t="shared" si="22"/>
        <v>-5.0295292585060603E-2</v>
      </c>
      <c r="L190" s="9">
        <f t="shared" si="22"/>
        <v>-7.4819625051227745E-2</v>
      </c>
      <c r="M190" s="9">
        <f t="shared" si="22"/>
        <v>-9.5763156185474707E-2</v>
      </c>
      <c r="N190" s="9">
        <f t="shared" si="22"/>
        <v>-0.11105678468061086</v>
      </c>
      <c r="O190" s="9">
        <f t="shared" si="22"/>
        <v>-0.12255511717445644</v>
      </c>
      <c r="P190" s="9">
        <f t="shared" si="22"/>
        <v>-0.1315668696959803</v>
      </c>
      <c r="Q190" s="9">
        <f t="shared" si="22"/>
        <v>-0.13893088465867787</v>
      </c>
      <c r="R190" s="9">
        <f t="shared" si="22"/>
        <v>-0.1449546939710924</v>
      </c>
      <c r="S190" s="9">
        <f t="shared" si="22"/>
        <v>-0.14996982327728725</v>
      </c>
      <c r="T190" s="9">
        <f t="shared" si="22"/>
        <v>-0.15403467815913185</v>
      </c>
      <c r="U190" s="9">
        <f t="shared" si="22"/>
        <v>-0.15696122225310161</v>
      </c>
      <c r="V190" s="9">
        <f t="shared" si="22"/>
        <v>-0.15874148965069834</v>
      </c>
      <c r="W190" s="9">
        <f t="shared" si="22"/>
        <v>-0.1594804635330751</v>
      </c>
      <c r="X190" s="9">
        <f t="shared" si="22"/>
        <v>-0.15928488545924446</v>
      </c>
      <c r="Y190" s="9">
        <f t="shared" si="22"/>
        <v>-0.15832322701118839</v>
      </c>
      <c r="Z190" s="9">
        <f t="shared" si="22"/>
        <v>-0.15671386414996602</v>
      </c>
      <c r="AA190" s="9">
        <f t="shared" si="22"/>
        <v>-0.15456499445878114</v>
      </c>
      <c r="AB190" s="9">
        <f t="shared" si="22"/>
        <v>-0.15208034578381457</v>
      </c>
      <c r="AC190" s="9">
        <f t="shared" si="22"/>
        <v>-0.14953931873012172</v>
      </c>
      <c r="AD190" s="9">
        <f t="shared" si="22"/>
        <v>-0.14707941415121273</v>
      </c>
      <c r="AE190" s="9">
        <f t="shared" si="22"/>
        <v>-0.14483120048443132</v>
      </c>
      <c r="AF190" s="9">
        <f t="shared" si="22"/>
        <v>-0.14293028183937717</v>
      </c>
      <c r="AG190" s="9">
        <f t="shared" si="22"/>
        <v>-0.1415316681869685</v>
      </c>
      <c r="AH190" s="9">
        <f t="shared" si="22"/>
        <v>-0.14085212655197754</v>
      </c>
      <c r="AI190" s="9">
        <f t="shared" si="22"/>
        <v>-0.14114856860959224</v>
      </c>
      <c r="AJ190" s="9">
        <f t="shared" si="22"/>
        <v>-0.14265053552465745</v>
      </c>
      <c r="AK190" s="9">
        <f t="shared" si="22"/>
        <v>-0.14559503776086125</v>
      </c>
      <c r="AL190" s="9">
        <f t="shared" si="22"/>
        <v>-0.15025406228800109</v>
      </c>
    </row>
    <row r="192" spans="1:38" x14ac:dyDescent="0.35">
      <c r="A192" s="12" t="s">
        <v>86</v>
      </c>
      <c r="B192" t="s">
        <v>27</v>
      </c>
      <c r="C192" s="5">
        <f>[1]Results!F1434</f>
        <v>27379.147679999998</v>
      </c>
      <c r="D192" s="5">
        <f>[1]Results!G1434</f>
        <v>27521.377069999999</v>
      </c>
      <c r="E192" s="5">
        <f>[1]Results!H1434</f>
        <v>27744.535469999999</v>
      </c>
      <c r="F192" s="5">
        <f>[1]Results!I1434</f>
        <v>28034.663069999999</v>
      </c>
      <c r="G192" s="5">
        <f>[1]Results!J1434</f>
        <v>28371.42038</v>
      </c>
      <c r="H192" s="5">
        <f>[1]Results!K1434</f>
        <v>28741.539410000001</v>
      </c>
      <c r="I192" s="5">
        <f>[1]Results!L1434</f>
        <v>29124.39703</v>
      </c>
      <c r="J192" s="5">
        <f>[1]Results!M1434</f>
        <v>29488.539150000001</v>
      </c>
      <c r="K192" s="5">
        <f>[1]Results!N1434</f>
        <v>29835.073069999999</v>
      </c>
      <c r="L192" s="5">
        <f>[1]Results!O1434</f>
        <v>30226.698120000001</v>
      </c>
      <c r="M192" s="5">
        <f>[1]Results!P1434</f>
        <v>30647.909080000001</v>
      </c>
      <c r="N192" s="5">
        <f>[1]Results!Q1434</f>
        <v>31019.679800000002</v>
      </c>
      <c r="O192" s="5">
        <f>[1]Results!R1434</f>
        <v>31312.34476</v>
      </c>
      <c r="P192" s="5">
        <f>[1]Results!S1434</f>
        <v>31522.817419999999</v>
      </c>
      <c r="Q192" s="5">
        <f>[1]Results!T1434</f>
        <v>31665.741839999999</v>
      </c>
      <c r="R192" s="5">
        <f>[1]Results!U1434</f>
        <v>31760.456750000001</v>
      </c>
      <c r="S192" s="5">
        <f>[1]Results!V1434</f>
        <v>31826.60497</v>
      </c>
      <c r="T192" s="5">
        <f>[1]Results!W1434</f>
        <v>31883.066060000001</v>
      </c>
      <c r="U192" s="5">
        <f>[1]Results!X1434</f>
        <v>31945.540369999999</v>
      </c>
      <c r="V192" s="5">
        <f>[1]Results!Y1434</f>
        <v>32025.744119999999</v>
      </c>
      <c r="W192" s="5">
        <f>[1]Results!Z1434</f>
        <v>32124.88091</v>
      </c>
      <c r="X192" s="5">
        <f>[1]Results!AA1434</f>
        <v>32258.152859999998</v>
      </c>
      <c r="Y192" s="5">
        <f>[1]Results!AB1434</f>
        <v>32431.565689999999</v>
      </c>
      <c r="Z192" s="5">
        <f>[1]Results!AC1434</f>
        <v>32649.04364</v>
      </c>
      <c r="AA192" s="5">
        <f>[1]Results!AD1434</f>
        <v>32911.882019999997</v>
      </c>
      <c r="AB192" s="5">
        <f>[1]Results!AE1434</f>
        <v>33199.332130000003</v>
      </c>
      <c r="AC192" s="5">
        <f>[1]Results!AF1434</f>
        <v>33525.448929999999</v>
      </c>
      <c r="AD192" s="5">
        <f>[1]Results!AG1434</f>
        <v>33893.575340000003</v>
      </c>
      <c r="AE192" s="5">
        <f>[1]Results!AH1434</f>
        <v>34305.559090000002</v>
      </c>
      <c r="AF192" s="5">
        <f>[1]Results!AI1434</f>
        <v>34759.170030000001</v>
      </c>
      <c r="AG192" s="5">
        <f>[1]Results!AJ1434</f>
        <v>35248.271540000002</v>
      </c>
      <c r="AH192" s="5">
        <f>[1]Results!AK1434</f>
        <v>35765.191559999999</v>
      </c>
      <c r="AI192" s="5">
        <f>[1]Results!AL1434</f>
        <v>36302.535539999997</v>
      </c>
      <c r="AJ192" s="5">
        <f>[1]Results!AM1434</f>
        <v>36853.57763</v>
      </c>
      <c r="AK192" s="5">
        <f>[1]Results!AN1434</f>
        <v>37412.464520000001</v>
      </c>
      <c r="AL192" s="5">
        <f>[1]Results!AO1434</f>
        <v>37974.377070000002</v>
      </c>
    </row>
    <row r="193" spans="1:38" x14ac:dyDescent="0.35">
      <c r="A193" t="s">
        <v>39</v>
      </c>
      <c r="B193" t="s">
        <v>7</v>
      </c>
      <c r="C193" s="5">
        <f>[1]Results!F1435</f>
        <v>760.78110530000004</v>
      </c>
      <c r="D193" s="5">
        <f>[1]Results!G1435</f>
        <v>763.93580229999998</v>
      </c>
      <c r="E193" s="5">
        <f>[1]Results!H1435</f>
        <v>769.20196410000005</v>
      </c>
      <c r="F193" s="5">
        <f>[1]Results!I1435</f>
        <v>776.6902341</v>
      </c>
      <c r="G193" s="5">
        <f>[1]Results!J1435</f>
        <v>786.00634179999997</v>
      </c>
      <c r="H193" s="5">
        <f>[1]Results!K1435</f>
        <v>796.80099329999996</v>
      </c>
      <c r="I193" s="5">
        <f>[1]Results!L1435</f>
        <v>808.47248119999995</v>
      </c>
      <c r="J193" s="5">
        <f>[1]Results!M1435</f>
        <v>819.15814980000005</v>
      </c>
      <c r="K193" s="5">
        <f>[1]Results!N1435</f>
        <v>828.94714009999996</v>
      </c>
      <c r="L193" s="5">
        <f>[1]Results!O1435</f>
        <v>840.23768789999997</v>
      </c>
      <c r="M193" s="5">
        <f>[1]Results!P1435</f>
        <v>852.06197529999997</v>
      </c>
      <c r="N193" s="5">
        <f>[1]Results!Q1435</f>
        <v>861.81472210000004</v>
      </c>
      <c r="O193" s="5">
        <f>[1]Results!R1435</f>
        <v>868.53083070000002</v>
      </c>
      <c r="P193" s="5">
        <f>[1]Results!S1435</f>
        <v>872.23726199999999</v>
      </c>
      <c r="Q193" s="5">
        <f>[1]Results!T1435</f>
        <v>873.55739289999997</v>
      </c>
      <c r="R193" s="5">
        <f>[1]Results!U1435</f>
        <v>873.21884590000002</v>
      </c>
      <c r="S193" s="5">
        <f>[1]Results!V1435</f>
        <v>872.03935000000001</v>
      </c>
      <c r="T193" s="5">
        <f>[1]Results!W1435</f>
        <v>870.62559080000005</v>
      </c>
      <c r="U193" s="5">
        <f>[1]Results!X1435</f>
        <v>869.47942790000002</v>
      </c>
      <c r="V193" s="5">
        <f>[1]Results!Y1435</f>
        <v>868.97501420000003</v>
      </c>
      <c r="W193" s="5">
        <f>[1]Results!Z1435</f>
        <v>869.2761534</v>
      </c>
      <c r="X193" s="5">
        <f>[1]Results!AA1435</f>
        <v>870.68235960000004</v>
      </c>
      <c r="Y193" s="5">
        <f>[1]Results!AB1435</f>
        <v>873.42253040000003</v>
      </c>
      <c r="Z193" s="5">
        <f>[1]Results!AC1435</f>
        <v>877.63830859999996</v>
      </c>
      <c r="AA193" s="5">
        <f>[1]Results!AD1435</f>
        <v>883.36353829999996</v>
      </c>
      <c r="AB193" s="5">
        <f>[1]Results!AE1435</f>
        <v>890.25585779999994</v>
      </c>
      <c r="AC193" s="5">
        <f>[1]Results!AF1435</f>
        <v>898.29816370000003</v>
      </c>
      <c r="AD193" s="5">
        <f>[1]Results!AG1435</f>
        <v>907.63329490000001</v>
      </c>
      <c r="AE193" s="5">
        <f>[1]Results!AH1435</f>
        <v>918.34320639999999</v>
      </c>
      <c r="AF193" s="5">
        <f>[1]Results!AI1435</f>
        <v>930.34014209999998</v>
      </c>
      <c r="AG193" s="5">
        <f>[1]Results!AJ1435</f>
        <v>943.37906220000002</v>
      </c>
      <c r="AH193" s="5">
        <f>[1]Results!AK1435</f>
        <v>957.15092900000002</v>
      </c>
      <c r="AI193" s="5">
        <f>[1]Results!AL1435</f>
        <v>971.34900630000004</v>
      </c>
      <c r="AJ193" s="5">
        <f>[1]Results!AM1435</f>
        <v>985.68022150000002</v>
      </c>
      <c r="AK193" s="5">
        <f>[1]Results!AN1435</f>
        <v>999.86850530000004</v>
      </c>
      <c r="AL193" s="5">
        <f>[1]Results!AO1435</f>
        <v>1013.655187</v>
      </c>
    </row>
    <row r="194" spans="1:38" x14ac:dyDescent="0.35">
      <c r="B194" t="s">
        <v>8</v>
      </c>
      <c r="C194" s="5">
        <f>[1]Results!F1438</f>
        <v>4368.3707029999996</v>
      </c>
      <c r="D194" s="5">
        <f>[1]Results!G1438</f>
        <v>4397.8110210000004</v>
      </c>
      <c r="E194" s="5">
        <f>[1]Results!H1438</f>
        <v>4444.1906630000003</v>
      </c>
      <c r="F194" s="5">
        <f>[1]Results!I1438</f>
        <v>4503.8279169999996</v>
      </c>
      <c r="G194" s="5">
        <f>[1]Results!J1438</f>
        <v>4572.4158269999998</v>
      </c>
      <c r="H194" s="5">
        <f>[1]Results!K1438</f>
        <v>4647.4741210000002</v>
      </c>
      <c r="I194" s="5">
        <f>[1]Results!L1438</f>
        <v>4726.3223660000003</v>
      </c>
      <c r="J194" s="5">
        <f>[1]Results!M1438</f>
        <v>4800.672536</v>
      </c>
      <c r="K194" s="5">
        <f>[1]Results!N1438</f>
        <v>4872.2059149999995</v>
      </c>
      <c r="L194" s="5">
        <f>[1]Results!O1438</f>
        <v>4955.8657050000002</v>
      </c>
      <c r="M194" s="5">
        <f>[1]Results!P1438</f>
        <v>5045.4125709999998</v>
      </c>
      <c r="N194" s="5">
        <f>[1]Results!Q1438</f>
        <v>5125.0093360000001</v>
      </c>
      <c r="O194" s="5">
        <f>[1]Results!R1438</f>
        <v>5188.2821670000003</v>
      </c>
      <c r="P194" s="5">
        <f>[1]Results!S1438</f>
        <v>5235.2913630000003</v>
      </c>
      <c r="Q194" s="5">
        <f>[1]Results!T1438</f>
        <v>5270.1327179999998</v>
      </c>
      <c r="R194" s="5">
        <f>[1]Results!U1438</f>
        <v>5297.5603149999997</v>
      </c>
      <c r="S194" s="5">
        <f>[1]Results!V1438</f>
        <v>5321.6948510000002</v>
      </c>
      <c r="T194" s="5">
        <f>[1]Results!W1438</f>
        <v>5346.5093040000002</v>
      </c>
      <c r="U194" s="5">
        <f>[1]Results!X1438</f>
        <v>5375.1856850000004</v>
      </c>
      <c r="V194" s="5">
        <f>[1]Results!Y1438</f>
        <v>5409.9832239999996</v>
      </c>
      <c r="W194" s="5">
        <f>[1]Results!Z1438</f>
        <v>5451.9331439999996</v>
      </c>
      <c r="X194" s="5">
        <f>[1]Results!AA1438</f>
        <v>5502.7027779999999</v>
      </c>
      <c r="Y194" s="5">
        <f>[1]Results!AB1438</f>
        <v>5563.5934880000004</v>
      </c>
      <c r="Z194" s="5">
        <f>[1]Results!AC1438</f>
        <v>5635.4202249999998</v>
      </c>
      <c r="AA194" s="5">
        <f>[1]Results!AD1438</f>
        <v>5718.4120839999996</v>
      </c>
      <c r="AB194" s="5">
        <f>[1]Results!AE1438</f>
        <v>5810.7955060000004</v>
      </c>
      <c r="AC194" s="5">
        <f>[1]Results!AF1438</f>
        <v>5913.0214999999998</v>
      </c>
      <c r="AD194" s="5">
        <f>[1]Results!AG1438</f>
        <v>6025.8219220000001</v>
      </c>
      <c r="AE194" s="5">
        <f>[1]Results!AH1438</f>
        <v>6149.5188159999998</v>
      </c>
      <c r="AF194" s="5">
        <f>[1]Results!AI1438</f>
        <v>6283.4563369999996</v>
      </c>
      <c r="AG194" s="5">
        <f>[1]Results!AJ1438</f>
        <v>6426.1821950000003</v>
      </c>
      <c r="AH194" s="5">
        <f>[1]Results!AK1438</f>
        <v>6576.1098739999998</v>
      </c>
      <c r="AI194" s="5">
        <f>[1]Results!AL1438</f>
        <v>6731.8951280000001</v>
      </c>
      <c r="AJ194" s="5">
        <f>[1]Results!AM1438</f>
        <v>6892.382861</v>
      </c>
      <c r="AK194" s="5">
        <f>[1]Results!AN1438</f>
        <v>7056.6386839999996</v>
      </c>
      <c r="AL194" s="5">
        <f>[1]Results!AO1438</f>
        <v>7224.000352</v>
      </c>
    </row>
    <row r="195" spans="1:38" x14ac:dyDescent="0.35">
      <c r="B195" t="s">
        <v>28</v>
      </c>
      <c r="C195" s="5">
        <f>[1]Results!F1450</f>
        <v>868.27520900000002</v>
      </c>
      <c r="D195" s="5">
        <f>[1]Results!G1450</f>
        <v>872.68702059999998</v>
      </c>
      <c r="E195" s="5">
        <f>[1]Results!H1450</f>
        <v>879.36434329999997</v>
      </c>
      <c r="F195" s="5">
        <f>[1]Results!I1450</f>
        <v>887.65135829999997</v>
      </c>
      <c r="G195" s="5">
        <f>[1]Results!J1450</f>
        <v>897.12032899999997</v>
      </c>
      <c r="H195" s="5">
        <f>[1]Results!K1450</f>
        <v>907.50722389999999</v>
      </c>
      <c r="I195" s="5">
        <f>[1]Results!L1450</f>
        <v>918.23195599999997</v>
      </c>
      <c r="J195" s="5">
        <f>[1]Results!M1450</f>
        <v>926.61190780000004</v>
      </c>
      <c r="K195" s="5">
        <f>[1]Results!N1450</f>
        <v>933.16504499999996</v>
      </c>
      <c r="L195" s="5">
        <f>[1]Results!O1450</f>
        <v>940.96154420000005</v>
      </c>
      <c r="M195" s="5">
        <f>[1]Results!P1450</f>
        <v>949.13349270000003</v>
      </c>
      <c r="N195" s="5">
        <f>[1]Results!Q1450</f>
        <v>955.24574729999995</v>
      </c>
      <c r="O195" s="5">
        <f>[1]Results!R1450</f>
        <v>958.47573920000002</v>
      </c>
      <c r="P195" s="5">
        <f>[1]Results!S1450</f>
        <v>958.95708979999995</v>
      </c>
      <c r="Q195" s="5">
        <f>[1]Results!T1450</f>
        <v>957.41359629999999</v>
      </c>
      <c r="R195" s="5">
        <f>[1]Results!U1450</f>
        <v>954.6266832</v>
      </c>
      <c r="S195" s="5">
        <f>[1]Results!V1450</f>
        <v>951.23446049999995</v>
      </c>
      <c r="T195" s="5">
        <f>[1]Results!W1450</f>
        <v>947.85923600000001</v>
      </c>
      <c r="U195" s="5">
        <f>[1]Results!X1450</f>
        <v>945.04267319999997</v>
      </c>
      <c r="V195" s="5">
        <f>[1]Results!Y1450</f>
        <v>943.17453269999999</v>
      </c>
      <c r="W195" s="5">
        <f>[1]Results!Z1450</f>
        <v>942.39058299999999</v>
      </c>
      <c r="X195" s="5">
        <f>[1]Results!AA1450</f>
        <v>943.03040229999999</v>
      </c>
      <c r="Y195" s="5">
        <f>[1]Results!AB1450</f>
        <v>945.28894200000002</v>
      </c>
      <c r="Z195" s="5">
        <f>[1]Results!AC1450</f>
        <v>949.26630320000004</v>
      </c>
      <c r="AA195" s="5">
        <f>[1]Results!AD1450</f>
        <v>954.95442920000005</v>
      </c>
      <c r="AB195" s="5">
        <f>[1]Results!AE1450</f>
        <v>961.91514830000006</v>
      </c>
      <c r="AC195" s="5">
        <f>[1]Results!AF1450</f>
        <v>970.34473349999996</v>
      </c>
      <c r="AD195" s="5">
        <f>[1]Results!AG1450</f>
        <v>980.36533069999996</v>
      </c>
      <c r="AE195" s="5">
        <f>[1]Results!AH1450</f>
        <v>992.01787049999996</v>
      </c>
      <c r="AF195" s="5">
        <f>[1]Results!AI1450</f>
        <v>1005.158398</v>
      </c>
      <c r="AG195" s="5">
        <f>[1]Results!AJ1450</f>
        <v>1019.491908</v>
      </c>
      <c r="AH195" s="5">
        <f>[1]Results!AK1450</f>
        <v>1034.6986509999999</v>
      </c>
      <c r="AI195" s="5">
        <f>[1]Results!AL1450</f>
        <v>1050.5061880000001</v>
      </c>
      <c r="AJ195" s="5">
        <f>[1]Results!AM1450</f>
        <v>1066.675391</v>
      </c>
      <c r="AK195" s="5">
        <f>[1]Results!AN1450</f>
        <v>1082.99683</v>
      </c>
      <c r="AL195" s="5">
        <f>[1]Results!AO1450</f>
        <v>1099.2913269999999</v>
      </c>
    </row>
    <row r="196" spans="1:38" x14ac:dyDescent="0.35">
      <c r="B196" t="s">
        <v>10</v>
      </c>
      <c r="C196" s="5">
        <f>[1]Results!F1455</f>
        <v>21276.68795</v>
      </c>
      <c r="D196" s="5">
        <f>[1]Results!G1455</f>
        <v>21381.63334</v>
      </c>
      <c r="E196" s="5">
        <f>[1]Results!H1455</f>
        <v>21546.214650000002</v>
      </c>
      <c r="F196" s="5">
        <f>[1]Results!I1455</f>
        <v>21760.64086</v>
      </c>
      <c r="G196" s="5">
        <f>[1]Results!J1455</f>
        <v>22009.7729</v>
      </c>
      <c r="H196" s="5">
        <f>[1]Results!K1455</f>
        <v>22283.397929999999</v>
      </c>
      <c r="I196" s="5">
        <f>[1]Results!L1455</f>
        <v>22564.730780000002</v>
      </c>
      <c r="J196" s="5">
        <f>[1]Results!M1455</f>
        <v>22833.05588</v>
      </c>
      <c r="K196" s="5">
        <f>[1]Results!N1455</f>
        <v>23087.9611</v>
      </c>
      <c r="L196" s="5">
        <f>[1]Results!O1455</f>
        <v>23372.018909999999</v>
      </c>
      <c r="M196" s="5">
        <f>[1]Results!P1455</f>
        <v>23678.264520000001</v>
      </c>
      <c r="N196" s="5">
        <f>[1]Results!Q1455</f>
        <v>23949.21703</v>
      </c>
      <c r="O196" s="5">
        <f>[1]Results!R1455</f>
        <v>24163.652040000001</v>
      </c>
      <c r="P196" s="5">
        <f>[1]Results!S1455</f>
        <v>24318.297269999999</v>
      </c>
      <c r="Q196" s="5">
        <f>[1]Results!T1455</f>
        <v>24422.247579999999</v>
      </c>
      <c r="R196" s="5">
        <f>[1]Results!U1455</f>
        <v>24488.43218</v>
      </c>
      <c r="S196" s="5">
        <f>[1]Results!V1455</f>
        <v>24530.779170000002</v>
      </c>
      <c r="T196" s="5">
        <f>[1]Results!W1455</f>
        <v>24562.811799999999</v>
      </c>
      <c r="U196" s="5">
        <f>[1]Results!X1455</f>
        <v>24595.886310000002</v>
      </c>
      <c r="V196" s="5">
        <f>[1]Results!Y1455</f>
        <v>24638.59765</v>
      </c>
      <c r="W196" s="5">
        <f>[1]Results!Z1455</f>
        <v>24690.749189999999</v>
      </c>
      <c r="X196" s="5">
        <f>[1]Results!AA1455</f>
        <v>24765.125489999999</v>
      </c>
      <c r="Y196" s="5">
        <f>[1]Results!AB1455</f>
        <v>24865.900389999999</v>
      </c>
      <c r="Z196" s="5">
        <f>[1]Results!AC1455</f>
        <v>24995.840100000001</v>
      </c>
      <c r="AA196" s="5">
        <f>[1]Results!AD1455</f>
        <v>25155.88838</v>
      </c>
      <c r="AB196" s="5">
        <f>[1]Results!AE1455</f>
        <v>25327.814979999999</v>
      </c>
      <c r="AC196" s="5">
        <f>[1]Results!AF1455</f>
        <v>25524.865320000001</v>
      </c>
      <c r="AD196" s="5">
        <f>[1]Results!AG1455</f>
        <v>25749.199499999999</v>
      </c>
      <c r="AE196" s="5">
        <f>[1]Results!AH1455</f>
        <v>26002.023679999998</v>
      </c>
      <c r="AF196" s="5">
        <f>[1]Results!AI1455</f>
        <v>26281.804909999999</v>
      </c>
      <c r="AG196" s="5">
        <f>[1]Results!AJ1455</f>
        <v>26584.205809999999</v>
      </c>
      <c r="AH196" s="5">
        <f>[1]Results!AK1455</f>
        <v>26903.535609999999</v>
      </c>
      <c r="AI196" s="5">
        <f>[1]Results!AL1455</f>
        <v>27234.012930000001</v>
      </c>
      <c r="AJ196" s="5">
        <f>[1]Results!AM1455</f>
        <v>27570.196189999999</v>
      </c>
      <c r="AK196" s="5">
        <f>[1]Results!AN1455</f>
        <v>27907.125380000001</v>
      </c>
      <c r="AL196" s="5">
        <f>[1]Results!AO1455</f>
        <v>28240.384480000001</v>
      </c>
    </row>
    <row r="197" spans="1:38" x14ac:dyDescent="0.35">
      <c r="B197" t="s">
        <v>29</v>
      </c>
      <c r="C197" s="5">
        <f>C202-C198</f>
        <v>10.5730635677</v>
      </c>
      <c r="D197" s="5">
        <f t="shared" ref="D197:AL197" si="23">D202-D198</f>
        <v>10.559345718899998</v>
      </c>
      <c r="E197" s="5">
        <f t="shared" si="23"/>
        <v>10.539841109999999</v>
      </c>
      <c r="F197" s="5">
        <f t="shared" si="23"/>
        <v>10.520479755</v>
      </c>
      <c r="G197" s="5">
        <f t="shared" si="23"/>
        <v>10.5206138304</v>
      </c>
      <c r="H197" s="5">
        <f t="shared" si="23"/>
        <v>10.546420224199998</v>
      </c>
      <c r="I197" s="5">
        <f t="shared" si="23"/>
        <v>10.587998344499997</v>
      </c>
      <c r="J197" s="5">
        <f t="shared" si="23"/>
        <v>10.456585053400001</v>
      </c>
      <c r="K197" s="5">
        <f t="shared" si="23"/>
        <v>10.237139028100001</v>
      </c>
      <c r="L197" s="5">
        <f t="shared" si="23"/>
        <v>10.0048601837</v>
      </c>
      <c r="M197" s="5">
        <f t="shared" si="23"/>
        <v>9.7728044560000011</v>
      </c>
      <c r="N197" s="5">
        <f t="shared" si="23"/>
        <v>9.5351841220000004</v>
      </c>
      <c r="O197" s="5">
        <f t="shared" si="23"/>
        <v>9.2887528099999983</v>
      </c>
      <c r="P197" s="5">
        <f t="shared" si="23"/>
        <v>9.0345759939999972</v>
      </c>
      <c r="Q197" s="5">
        <f t="shared" si="23"/>
        <v>8.7770979879999977</v>
      </c>
      <c r="R197" s="5">
        <f t="shared" si="23"/>
        <v>8.5202969520000025</v>
      </c>
      <c r="S197" s="5">
        <f t="shared" si="23"/>
        <v>8.2612182179999998</v>
      </c>
      <c r="T197" s="5">
        <f t="shared" si="23"/>
        <v>8.004585407999997</v>
      </c>
      <c r="U197" s="5">
        <f t="shared" si="23"/>
        <v>7.753883553999998</v>
      </c>
      <c r="V197" s="5">
        <f t="shared" si="23"/>
        <v>7.5109971619999989</v>
      </c>
      <c r="W197" s="5">
        <f t="shared" si="23"/>
        <v>7.2762487150000013</v>
      </c>
      <c r="X197" s="5">
        <f t="shared" si="23"/>
        <v>7.0503510149999968</v>
      </c>
      <c r="Y197" s="5">
        <f t="shared" si="23"/>
        <v>6.8335262399999976</v>
      </c>
      <c r="Z197" s="5">
        <f t="shared" si="23"/>
        <v>6.6253648419999962</v>
      </c>
      <c r="AA197" s="5">
        <f t="shared" si="23"/>
        <v>6.4247866420000008</v>
      </c>
      <c r="AB197" s="5">
        <f t="shared" si="23"/>
        <v>6.2293542359999989</v>
      </c>
      <c r="AC197" s="5">
        <f t="shared" si="23"/>
        <v>6.040240746000002</v>
      </c>
      <c r="AD197" s="5">
        <f t="shared" si="23"/>
        <v>5.8567631269999936</v>
      </c>
      <c r="AE197" s="5">
        <f t="shared" si="23"/>
        <v>5.6779533959999995</v>
      </c>
      <c r="AF197" s="5">
        <f t="shared" si="23"/>
        <v>5.5017691000000042</v>
      </c>
      <c r="AG197" s="5">
        <f t="shared" si="23"/>
        <v>5.325428211000002</v>
      </c>
      <c r="AH197" s="5">
        <f t="shared" si="23"/>
        <v>5.1462760739999993</v>
      </c>
      <c r="AI197" s="5">
        <f t="shared" si="23"/>
        <v>4.9621639999999942</v>
      </c>
      <c r="AJ197" s="5">
        <f t="shared" si="23"/>
        <v>4.7712542439999979</v>
      </c>
      <c r="AK197" s="5">
        <f t="shared" si="23"/>
        <v>4.5718923409999945</v>
      </c>
      <c r="AL197" s="5">
        <f t="shared" si="23"/>
        <v>4.362512866000003</v>
      </c>
    </row>
    <row r="198" spans="1:38" x14ac:dyDescent="0.35">
      <c r="B198" t="s">
        <v>36</v>
      </c>
      <c r="C198" s="5">
        <f>C200+C201</f>
        <v>7.3981974023000001</v>
      </c>
      <c r="D198" s="5">
        <f t="shared" ref="D198:AL198" si="24">D200+D201</f>
        <v>7.3710568611000005</v>
      </c>
      <c r="E198" s="5">
        <f t="shared" si="24"/>
        <v>7.3288083900000007</v>
      </c>
      <c r="F198" s="5">
        <f t="shared" si="24"/>
        <v>7.2844108850000007</v>
      </c>
      <c r="G198" s="5">
        <f t="shared" si="24"/>
        <v>7.2543170095999994</v>
      </c>
      <c r="H198" s="5">
        <f t="shared" si="24"/>
        <v>7.2442787258000001</v>
      </c>
      <c r="I198" s="5">
        <f t="shared" si="24"/>
        <v>7.2496947455000003</v>
      </c>
      <c r="J198" s="5">
        <f t="shared" si="24"/>
        <v>8.1089350465999992</v>
      </c>
      <c r="K198" s="5">
        <f t="shared" si="24"/>
        <v>9.4317005218999999</v>
      </c>
      <c r="L198" s="5">
        <f t="shared" si="24"/>
        <v>11.032518646300002</v>
      </c>
      <c r="M198" s="5">
        <f t="shared" si="24"/>
        <v>12.784881583999999</v>
      </c>
      <c r="N198" s="5">
        <f t="shared" si="24"/>
        <v>14.601400288000001</v>
      </c>
      <c r="O198" s="5">
        <f t="shared" si="24"/>
        <v>16.425804710000001</v>
      </c>
      <c r="P198" s="5">
        <f t="shared" si="24"/>
        <v>18.228211036000001</v>
      </c>
      <c r="Q198" s="5">
        <f t="shared" si="24"/>
        <v>19.999040262000001</v>
      </c>
      <c r="R198" s="5">
        <f t="shared" si="24"/>
        <v>21.740508767999998</v>
      </c>
      <c r="S198" s="5">
        <f t="shared" si="24"/>
        <v>23.456418492000001</v>
      </c>
      <c r="T198" s="5">
        <f t="shared" si="24"/>
        <v>25.157677882000002</v>
      </c>
      <c r="U198" s="5">
        <f t="shared" si="24"/>
        <v>26.858504906</v>
      </c>
      <c r="V198" s="5">
        <f t="shared" si="24"/>
        <v>28.573233988000002</v>
      </c>
      <c r="W198" s="5">
        <f t="shared" si="24"/>
        <v>30.313601224999999</v>
      </c>
      <c r="X198" s="5">
        <f t="shared" si="24"/>
        <v>32.093081515000002</v>
      </c>
      <c r="Y198" s="5">
        <f t="shared" si="24"/>
        <v>33.92450281</v>
      </c>
      <c r="Z198" s="5">
        <f t="shared" si="24"/>
        <v>35.819546068000001</v>
      </c>
      <c r="AA198" s="5">
        <f t="shared" si="24"/>
        <v>37.788412168000001</v>
      </c>
      <c r="AB198" s="5">
        <f t="shared" si="24"/>
        <v>39.835050824</v>
      </c>
      <c r="AC198" s="5">
        <f t="shared" si="24"/>
        <v>41.971785663999995</v>
      </c>
      <c r="AD198" s="5">
        <f t="shared" si="24"/>
        <v>44.214505483000003</v>
      </c>
      <c r="AE198" s="5">
        <f t="shared" si="24"/>
        <v>46.579440274</v>
      </c>
      <c r="AF198" s="5">
        <f t="shared" si="24"/>
        <v>49.080388229999997</v>
      </c>
      <c r="AG198" s="5">
        <f t="shared" si="24"/>
        <v>51.728778069000001</v>
      </c>
      <c r="AH198" s="5">
        <f t="shared" si="24"/>
        <v>54.537038226</v>
      </c>
      <c r="AI198" s="5">
        <f t="shared" si="24"/>
        <v>57.521782780000002</v>
      </c>
      <c r="AJ198" s="5">
        <f t="shared" si="24"/>
        <v>60.705043146000001</v>
      </c>
      <c r="AK198" s="5">
        <f t="shared" si="24"/>
        <v>64.117497209000007</v>
      </c>
      <c r="AL198" s="5">
        <f t="shared" si="24"/>
        <v>67.804850063999993</v>
      </c>
    </row>
    <row r="199" spans="1:38" x14ac:dyDescent="0.35">
      <c r="B199" t="s">
        <v>11</v>
      </c>
      <c r="C199" s="5">
        <f>[1]Results!F1463</f>
        <v>87.061451860000005</v>
      </c>
      <c r="D199" s="5">
        <f>[1]Results!G1463</f>
        <v>87.379484140000002</v>
      </c>
      <c r="E199" s="5">
        <f>[1]Results!H1463</f>
        <v>87.695193380000006</v>
      </c>
      <c r="F199" s="5">
        <f>[1]Results!I1463</f>
        <v>88.047810749999996</v>
      </c>
      <c r="G199" s="5">
        <f>[1]Results!J1463</f>
        <v>88.330049860000003</v>
      </c>
      <c r="H199" s="5">
        <f>[1]Results!K1463</f>
        <v>88.568438209999997</v>
      </c>
      <c r="I199" s="5">
        <f>[1]Results!L1463</f>
        <v>88.801750900000002</v>
      </c>
      <c r="J199" s="5">
        <f>[1]Results!M1463</f>
        <v>90.475149000000002</v>
      </c>
      <c r="K199" s="5">
        <f>[1]Results!N1463</f>
        <v>93.125030969999997</v>
      </c>
      <c r="L199" s="5">
        <f>[1]Results!O1463</f>
        <v>96.576899760000003</v>
      </c>
      <c r="M199" s="5">
        <f>[1]Results!P1463</f>
        <v>100.4788334</v>
      </c>
      <c r="N199" s="5">
        <f>[1]Results!Q1463</f>
        <v>104.2563803</v>
      </c>
      <c r="O199" s="5">
        <f>[1]Results!R1463</f>
        <v>107.68942300000001</v>
      </c>
      <c r="P199" s="5">
        <f>[1]Results!S1463</f>
        <v>110.77165170000001</v>
      </c>
      <c r="Q199" s="5">
        <f>[1]Results!T1463</f>
        <v>113.61442</v>
      </c>
      <c r="R199" s="5">
        <f>[1]Results!U1463</f>
        <v>116.3579198</v>
      </c>
      <c r="S199" s="5">
        <f>[1]Results!V1463</f>
        <v>119.13949940000001</v>
      </c>
      <c r="T199" s="5">
        <f>[1]Results!W1463</f>
        <v>122.0978623</v>
      </c>
      <c r="U199" s="5">
        <f>[1]Results!X1463</f>
        <v>125.33388859999999</v>
      </c>
      <c r="V199" s="5">
        <f>[1]Results!Y1463</f>
        <v>128.92946710000001</v>
      </c>
      <c r="W199" s="5">
        <f>[1]Results!Z1463</f>
        <v>132.94199380000001</v>
      </c>
      <c r="X199" s="5">
        <f>[1]Results!AA1463</f>
        <v>137.46839510000001</v>
      </c>
      <c r="Y199" s="5">
        <f>[1]Results!AB1463</f>
        <v>142.60230999999999</v>
      </c>
      <c r="Z199" s="5">
        <f>[1]Results!AC1463</f>
        <v>148.4337932</v>
      </c>
      <c r="AA199" s="5">
        <f>[1]Results!AD1463</f>
        <v>155.05038669999999</v>
      </c>
      <c r="AB199" s="5">
        <f>[1]Results!AE1463</f>
        <v>162.48623459999999</v>
      </c>
      <c r="AC199" s="5">
        <f>[1]Results!AF1463</f>
        <v>170.9071873</v>
      </c>
      <c r="AD199" s="5">
        <f>[1]Results!AG1463</f>
        <v>180.48402060000001</v>
      </c>
      <c r="AE199" s="5">
        <f>[1]Results!AH1463</f>
        <v>191.39812570000001</v>
      </c>
      <c r="AF199" s="5">
        <f>[1]Results!AI1463</f>
        <v>203.82807969999999</v>
      </c>
      <c r="AG199" s="5">
        <f>[1]Results!AJ1463</f>
        <v>217.95835589999999</v>
      </c>
      <c r="AH199" s="5">
        <f>[1]Results!AK1463</f>
        <v>234.01318319999999</v>
      </c>
      <c r="AI199" s="5">
        <f>[1]Results!AL1463</f>
        <v>252.28835029999999</v>
      </c>
      <c r="AJ199" s="5">
        <f>[1]Results!AM1463</f>
        <v>273.1666725</v>
      </c>
      <c r="AK199" s="5">
        <f>[1]Results!AN1463</f>
        <v>297.14573799999999</v>
      </c>
      <c r="AL199" s="5">
        <f>[1]Results!AO1463</f>
        <v>324.87836019999997</v>
      </c>
    </row>
    <row r="200" spans="1:38" x14ac:dyDescent="0.35">
      <c r="B200" t="s">
        <v>35</v>
      </c>
      <c r="C200" s="5">
        <f>[1]Results!F1460</f>
        <v>6.6796781279999999</v>
      </c>
      <c r="D200" s="5">
        <f>[1]Results!G1460</f>
        <v>6.6547604170000003</v>
      </c>
      <c r="E200" s="5">
        <f>[1]Results!H1460</f>
        <v>6.6151538380000003</v>
      </c>
      <c r="F200" s="5">
        <f>[1]Results!I1460</f>
        <v>6.5738545540000004</v>
      </c>
      <c r="G200" s="5">
        <f>[1]Results!J1460</f>
        <v>6.5452438849999997</v>
      </c>
      <c r="H200" s="5">
        <f>[1]Results!K1460</f>
        <v>6.5346272550000002</v>
      </c>
      <c r="I200" s="5">
        <f>[1]Results!L1460</f>
        <v>6.53960133</v>
      </c>
      <c r="J200" s="5">
        <f>[1]Results!M1460</f>
        <v>7.3438118689999996</v>
      </c>
      <c r="K200" s="5">
        <f>[1]Results!N1460</f>
        <v>8.5863787089999999</v>
      </c>
      <c r="L200" s="5">
        <f>[1]Results!O1460</f>
        <v>10.094142420000001</v>
      </c>
      <c r="M200" s="5">
        <f>[1]Results!P1460</f>
        <v>11.749064949999999</v>
      </c>
      <c r="N200" s="5">
        <f>[1]Results!Q1460</f>
        <v>13.46955707</v>
      </c>
      <c r="O200" s="5">
        <f>[1]Results!R1460</f>
        <v>15.2030546</v>
      </c>
      <c r="P200" s="5">
        <f>[1]Results!S1460</f>
        <v>16.921247860000001</v>
      </c>
      <c r="Q200" s="5">
        <f>[1]Results!T1460</f>
        <v>18.614435230000002</v>
      </c>
      <c r="R200" s="5">
        <f>[1]Results!U1460</f>
        <v>20.283908709999999</v>
      </c>
      <c r="S200" s="5">
        <f>[1]Results!V1460</f>
        <v>21.931381720000001</v>
      </c>
      <c r="T200" s="5">
        <f>[1]Results!W1460</f>
        <v>23.566160780000001</v>
      </c>
      <c r="U200" s="5">
        <f>[1]Results!X1460</f>
        <v>25.201192509999998</v>
      </c>
      <c r="V200" s="5">
        <f>[1]Results!Y1460</f>
        <v>26.849817590000001</v>
      </c>
      <c r="W200" s="5">
        <f>[1]Results!Z1460</f>
        <v>28.523161229999999</v>
      </c>
      <c r="X200" s="5">
        <f>[1]Results!AA1460</f>
        <v>30.233735729999999</v>
      </c>
      <c r="Y200" s="5">
        <f>[1]Results!AB1460</f>
        <v>31.993594680000001</v>
      </c>
      <c r="Z200" s="5">
        <f>[1]Results!AC1460</f>
        <v>33.813798380000001</v>
      </c>
      <c r="AA200" s="5">
        <f>[1]Results!AD1460</f>
        <v>35.704092500000002</v>
      </c>
      <c r="AB200" s="5">
        <f>[1]Results!AE1460</f>
        <v>37.668748479999998</v>
      </c>
      <c r="AC200" s="5">
        <f>[1]Results!AF1460</f>
        <v>39.719236029999998</v>
      </c>
      <c r="AD200" s="5">
        <f>[1]Results!AG1460</f>
        <v>41.870415000000001</v>
      </c>
      <c r="AE200" s="5">
        <f>[1]Results!AH1460</f>
        <v>44.137675989999998</v>
      </c>
      <c r="AF200" s="5">
        <f>[1]Results!AI1460</f>
        <v>46.53443601</v>
      </c>
      <c r="AG200" s="5">
        <f>[1]Results!AJ1460</f>
        <v>49.072128630000002</v>
      </c>
      <c r="AH200" s="5">
        <f>[1]Results!AK1460</f>
        <v>51.76320845</v>
      </c>
      <c r="AI200" s="5">
        <f>[1]Results!AL1460</f>
        <v>54.624085700000002</v>
      </c>
      <c r="AJ200" s="5">
        <f>[1]Results!AM1460</f>
        <v>57.676360070000001</v>
      </c>
      <c r="AK200" s="5">
        <f>[1]Results!AN1460</f>
        <v>60.949972600000002</v>
      </c>
      <c r="AL200" s="5">
        <f>[1]Results!AO1460</f>
        <v>64.489462279999998</v>
      </c>
    </row>
    <row r="201" spans="1:38" x14ac:dyDescent="0.35">
      <c r="B201" t="s">
        <v>34</v>
      </c>
      <c r="C201" s="5">
        <f>[1]Results!F1462</f>
        <v>0.71851927429999995</v>
      </c>
      <c r="D201" s="5">
        <f>[1]Results!G1462</f>
        <v>0.71629644410000004</v>
      </c>
      <c r="E201" s="5">
        <f>[1]Results!H1462</f>
        <v>0.71365455200000005</v>
      </c>
      <c r="F201" s="5">
        <f>[1]Results!I1462</f>
        <v>0.71055633100000004</v>
      </c>
      <c r="G201" s="5">
        <f>[1]Results!J1462</f>
        <v>0.70907312460000005</v>
      </c>
      <c r="H201" s="5">
        <f>[1]Results!K1462</f>
        <v>0.70965147080000002</v>
      </c>
      <c r="I201" s="5">
        <f>[1]Results!L1462</f>
        <v>0.71009341550000005</v>
      </c>
      <c r="J201" s="5">
        <f>[1]Results!M1462</f>
        <v>0.76512317760000004</v>
      </c>
      <c r="K201" s="5">
        <f>[1]Results!N1462</f>
        <v>0.84532181289999997</v>
      </c>
      <c r="L201" s="5">
        <f>[1]Results!O1462</f>
        <v>0.93837622629999995</v>
      </c>
      <c r="M201" s="5">
        <f>[1]Results!P1462</f>
        <v>1.0358166339999999</v>
      </c>
      <c r="N201" s="5">
        <f>[1]Results!Q1462</f>
        <v>1.131843218</v>
      </c>
      <c r="O201" s="5">
        <f>[1]Results!R1462</f>
        <v>1.22275011</v>
      </c>
      <c r="P201" s="5">
        <f>[1]Results!S1462</f>
        <v>1.306963176</v>
      </c>
      <c r="Q201" s="5">
        <f>[1]Results!T1462</f>
        <v>1.3846050320000001</v>
      </c>
      <c r="R201" s="5">
        <f>[1]Results!U1462</f>
        <v>1.456600058</v>
      </c>
      <c r="S201" s="5">
        <f>[1]Results!V1462</f>
        <v>1.525036772</v>
      </c>
      <c r="T201" s="5">
        <f>[1]Results!W1462</f>
        <v>1.5915171020000001</v>
      </c>
      <c r="U201" s="5">
        <f>[1]Results!X1462</f>
        <v>1.657312396</v>
      </c>
      <c r="V201" s="5">
        <f>[1]Results!Y1462</f>
        <v>1.7234163979999999</v>
      </c>
      <c r="W201" s="5">
        <f>[1]Results!Z1462</f>
        <v>1.7904399950000001</v>
      </c>
      <c r="X201" s="5">
        <f>[1]Results!AA1462</f>
        <v>1.8593457849999999</v>
      </c>
      <c r="Y201" s="5">
        <f>[1]Results!AB1462</f>
        <v>1.9309081299999999</v>
      </c>
      <c r="Z201" s="5">
        <f>[1]Results!AC1462</f>
        <v>2.005747688</v>
      </c>
      <c r="AA201" s="5">
        <f>[1]Results!AD1462</f>
        <v>2.084319668</v>
      </c>
      <c r="AB201" s="5">
        <f>[1]Results!AE1462</f>
        <v>2.166302344</v>
      </c>
      <c r="AC201" s="5">
        <f>[1]Results!AF1462</f>
        <v>2.2525496340000002</v>
      </c>
      <c r="AD201" s="5">
        <f>[1]Results!AG1462</f>
        <v>2.344090483</v>
      </c>
      <c r="AE201" s="5">
        <f>[1]Results!AH1462</f>
        <v>2.441764284</v>
      </c>
      <c r="AF201" s="5">
        <f>[1]Results!AI1462</f>
        <v>2.5459522200000002</v>
      </c>
      <c r="AG201" s="5">
        <f>[1]Results!AJ1462</f>
        <v>2.6566494390000002</v>
      </c>
      <c r="AH201" s="5">
        <f>[1]Results!AK1462</f>
        <v>2.7738297759999999</v>
      </c>
      <c r="AI201" s="5">
        <f>[1]Results!AL1462</f>
        <v>2.8976970799999999</v>
      </c>
      <c r="AJ201" s="5">
        <f>[1]Results!AM1462</f>
        <v>3.0286830760000001</v>
      </c>
      <c r="AK201" s="5">
        <f>[1]Results!AN1462</f>
        <v>3.167524609</v>
      </c>
      <c r="AL201" s="5">
        <f>[1]Results!AO1462</f>
        <v>3.3153877839999999</v>
      </c>
    </row>
    <row r="202" spans="1:38" x14ac:dyDescent="0.35">
      <c r="B202" t="s">
        <v>37</v>
      </c>
      <c r="C202" s="5">
        <f>[1]Results!F1458</f>
        <v>17.971260969999999</v>
      </c>
      <c r="D202" s="5">
        <f>[1]Results!G1458</f>
        <v>17.930402579999999</v>
      </c>
      <c r="E202" s="5">
        <f>[1]Results!H1458</f>
        <v>17.8686495</v>
      </c>
      <c r="F202" s="5">
        <f>[1]Results!I1458</f>
        <v>17.80489064</v>
      </c>
      <c r="G202" s="5">
        <f>[1]Results!J1458</f>
        <v>17.77493084</v>
      </c>
      <c r="H202" s="5">
        <f>[1]Results!K1458</f>
        <v>17.790698949999999</v>
      </c>
      <c r="I202" s="5">
        <f>[1]Results!L1458</f>
        <v>17.837693089999998</v>
      </c>
      <c r="J202" s="5">
        <f>[1]Results!M1458</f>
        <v>18.565520100000001</v>
      </c>
      <c r="K202" s="5">
        <f>[1]Results!N1458</f>
        <v>19.668839550000001</v>
      </c>
      <c r="L202" s="5">
        <f>[1]Results!O1458</f>
        <v>21.037378830000002</v>
      </c>
      <c r="M202" s="5">
        <f>[1]Results!P1458</f>
        <v>22.55768604</v>
      </c>
      <c r="N202" s="5">
        <f>[1]Results!Q1458</f>
        <v>24.136584410000001</v>
      </c>
      <c r="O202" s="5">
        <f>[1]Results!R1458</f>
        <v>25.71455752</v>
      </c>
      <c r="P202" s="5">
        <f>[1]Results!S1458</f>
        <v>27.262787029999998</v>
      </c>
      <c r="Q202" s="5">
        <f>[1]Results!T1458</f>
        <v>28.776138249999999</v>
      </c>
      <c r="R202" s="5">
        <f>[1]Results!U1458</f>
        <v>30.26080572</v>
      </c>
      <c r="S202" s="5">
        <f>[1]Results!V1458</f>
        <v>31.717636710000001</v>
      </c>
      <c r="T202" s="5">
        <f>[1]Results!W1458</f>
        <v>33.162263289999999</v>
      </c>
      <c r="U202" s="5">
        <f>[1]Results!X1458</f>
        <v>34.612388459999998</v>
      </c>
      <c r="V202" s="5">
        <f>[1]Results!Y1458</f>
        <v>36.084231150000001</v>
      </c>
      <c r="W202" s="5">
        <f>[1]Results!Z1458</f>
        <v>37.589849940000001</v>
      </c>
      <c r="X202" s="5">
        <f>[1]Results!AA1458</f>
        <v>39.143432529999998</v>
      </c>
      <c r="Y202" s="5">
        <f>[1]Results!AB1458</f>
        <v>40.758029049999998</v>
      </c>
      <c r="Z202" s="5">
        <f>[1]Results!AC1458</f>
        <v>42.444910909999997</v>
      </c>
      <c r="AA202" s="5">
        <f>[1]Results!AD1458</f>
        <v>44.213198810000002</v>
      </c>
      <c r="AB202" s="5">
        <f>[1]Results!AE1458</f>
        <v>46.064405059999999</v>
      </c>
      <c r="AC202" s="5">
        <f>[1]Results!AF1458</f>
        <v>48.012026409999997</v>
      </c>
      <c r="AD202" s="5">
        <f>[1]Results!AG1458</f>
        <v>50.071268609999997</v>
      </c>
      <c r="AE202" s="5">
        <f>[1]Results!AH1458</f>
        <v>52.257393669999999</v>
      </c>
      <c r="AF202" s="5">
        <f>[1]Results!AI1458</f>
        <v>54.582157330000001</v>
      </c>
      <c r="AG202" s="5">
        <f>[1]Results!AJ1458</f>
        <v>57.054206280000002</v>
      </c>
      <c r="AH202" s="5">
        <f>[1]Results!AK1458</f>
        <v>59.683314299999999</v>
      </c>
      <c r="AI202" s="5">
        <f>[1]Results!AL1458</f>
        <v>62.483946779999997</v>
      </c>
      <c r="AJ202" s="5">
        <f>[1]Results!AM1458</f>
        <v>65.476297389999999</v>
      </c>
      <c r="AK202" s="5">
        <f>[1]Results!AN1458</f>
        <v>68.689389550000001</v>
      </c>
      <c r="AL202" s="5">
        <f>[1]Results!AO1458</f>
        <v>72.167362929999996</v>
      </c>
    </row>
    <row r="203" spans="1:3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x14ac:dyDescent="0.35">
      <c r="A204" s="12" t="s">
        <v>86</v>
      </c>
      <c r="B204" t="s">
        <v>27</v>
      </c>
      <c r="C204" s="3">
        <f>[1]Results!F1473</f>
        <v>27379.147679999998</v>
      </c>
      <c r="D204" s="3">
        <f>[1]Results!G1473</f>
        <v>27521.377069999999</v>
      </c>
      <c r="E204" s="3">
        <f>[1]Results!H1473</f>
        <v>27744.535469999999</v>
      </c>
      <c r="F204" s="3">
        <f>[1]Results!I1473</f>
        <v>28034.663059999999</v>
      </c>
      <c r="G204" s="3">
        <f>[1]Results!J1473</f>
        <v>28371.42038</v>
      </c>
      <c r="H204" s="3">
        <f>[1]Results!K1473</f>
        <v>28741.539410000001</v>
      </c>
      <c r="I204" s="3">
        <f>[1]Results!L1473</f>
        <v>29124.39703</v>
      </c>
      <c r="J204" s="3">
        <f>[1]Results!M1473</f>
        <v>29510.44901</v>
      </c>
      <c r="K204" s="3">
        <f>[1]Results!N1473</f>
        <v>29893.984700000001</v>
      </c>
      <c r="L204" s="3">
        <f>[1]Results!O1473</f>
        <v>30272.444769999998</v>
      </c>
      <c r="M204" s="3">
        <f>[1]Results!P1473</f>
        <v>30645.179339999999</v>
      </c>
      <c r="N204" s="3">
        <f>[1]Results!Q1473</f>
        <v>30959.468840000001</v>
      </c>
      <c r="O204" s="3">
        <f>[1]Results!R1473</f>
        <v>31202.001769999999</v>
      </c>
      <c r="P204" s="3">
        <f>[1]Results!S1473</f>
        <v>31374.623660000001</v>
      </c>
      <c r="Q204" s="3">
        <f>[1]Results!T1473</f>
        <v>31488.876499999998</v>
      </c>
      <c r="R204" s="3">
        <f>[1]Results!U1473</f>
        <v>31560.781660000001</v>
      </c>
      <c r="S204" s="3">
        <f>[1]Results!V1473</f>
        <v>31610.2634</v>
      </c>
      <c r="T204" s="3">
        <f>[1]Results!W1473</f>
        <v>31656.46774</v>
      </c>
      <c r="U204" s="3">
        <f>[1]Results!X1473</f>
        <v>31715.045969999999</v>
      </c>
      <c r="V204" s="3">
        <f>[1]Results!Y1473</f>
        <v>31796.88004</v>
      </c>
      <c r="W204" s="3">
        <f>[1]Results!Z1473</f>
        <v>31901.888620000002</v>
      </c>
      <c r="X204" s="3">
        <f>[1]Results!AA1473</f>
        <v>32043.658790000001</v>
      </c>
      <c r="Y204" s="3">
        <f>[1]Results!AB1473</f>
        <v>32226.51612</v>
      </c>
      <c r="Z204" s="3">
        <f>[1]Results!AC1473</f>
        <v>32452.759689999999</v>
      </c>
      <c r="AA204" s="3">
        <f>[1]Results!AD1473</f>
        <v>32722.06652</v>
      </c>
      <c r="AB204" s="3">
        <f>[1]Results!AE1473</f>
        <v>33012.317770000001</v>
      </c>
      <c r="AC204" s="3">
        <f>[1]Results!AF1473</f>
        <v>33335.453280000002</v>
      </c>
      <c r="AD204" s="3">
        <f>[1]Results!AG1473</f>
        <v>33692.767699999997</v>
      </c>
      <c r="AE204" s="3">
        <f>[1]Results!AH1473</f>
        <v>34084.09906</v>
      </c>
      <c r="AF204" s="3">
        <f>[1]Results!AI1473</f>
        <v>34505.107790000002</v>
      </c>
      <c r="AG204" s="3">
        <f>[1]Results!AJ1473</f>
        <v>34947.559359999999</v>
      </c>
      <c r="AH204" s="3">
        <f>[1]Results!AK1473</f>
        <v>35401.694770000002</v>
      </c>
      <c r="AI204" s="3">
        <f>[1]Results!AL1473</f>
        <v>35857.983249999997</v>
      </c>
      <c r="AJ204" s="3">
        <f>[1]Results!AM1473</f>
        <v>36307.57447</v>
      </c>
      <c r="AK204" s="3">
        <f>[1]Results!AN1473</f>
        <v>36742.359470000003</v>
      </c>
      <c r="AL204" s="3">
        <f>[1]Results!AO1473</f>
        <v>37154.966269999997</v>
      </c>
    </row>
    <row r="205" spans="1:38" x14ac:dyDescent="0.35">
      <c r="A205" t="s">
        <v>38</v>
      </c>
      <c r="B205" t="s">
        <v>7</v>
      </c>
      <c r="C205" s="3">
        <f>[1]Results!F1474</f>
        <v>760.78110530000004</v>
      </c>
      <c r="D205" s="3">
        <f>[1]Results!G1474</f>
        <v>763.93580229999998</v>
      </c>
      <c r="E205" s="3">
        <f>[1]Results!H1474</f>
        <v>769.20196399999998</v>
      </c>
      <c r="F205" s="3">
        <f>[1]Results!I1474</f>
        <v>776.6902341</v>
      </c>
      <c r="G205" s="3">
        <f>[1]Results!J1474</f>
        <v>786.00634170000001</v>
      </c>
      <c r="H205" s="3">
        <f>[1]Results!K1474</f>
        <v>796.80099329999996</v>
      </c>
      <c r="I205" s="3">
        <f>[1]Results!L1474</f>
        <v>808.47248109999998</v>
      </c>
      <c r="J205" s="3">
        <f>[1]Results!M1474</f>
        <v>820.54339930000003</v>
      </c>
      <c r="K205" s="3">
        <f>[1]Results!N1474</f>
        <v>832.67013810000003</v>
      </c>
      <c r="L205" s="3">
        <f>[1]Results!O1474</f>
        <v>844.6462477</v>
      </c>
      <c r="M205" s="3">
        <f>[1]Results!P1474</f>
        <v>856.08910590000005</v>
      </c>
      <c r="N205" s="3">
        <f>[1]Results!Q1474</f>
        <v>865.23915509999995</v>
      </c>
      <c r="O205" s="3">
        <f>[1]Results!R1474</f>
        <v>871.58620610000003</v>
      </c>
      <c r="P205" s="3">
        <f>[1]Results!S1474</f>
        <v>875.22369939999999</v>
      </c>
      <c r="Q205" s="3">
        <f>[1]Results!T1474</f>
        <v>876.61804519999998</v>
      </c>
      <c r="R205" s="3">
        <f>[1]Results!U1474</f>
        <v>876.39953479999997</v>
      </c>
      <c r="S205" s="3">
        <f>[1]Results!V1474</f>
        <v>875.33506220000004</v>
      </c>
      <c r="T205" s="3">
        <f>[1]Results!W1474</f>
        <v>874.16581340000005</v>
      </c>
      <c r="U205" s="3">
        <f>[1]Results!X1474</f>
        <v>873.49537889999999</v>
      </c>
      <c r="V205" s="3">
        <f>[1]Results!Y1474</f>
        <v>873.7338919</v>
      </c>
      <c r="W205" s="3">
        <f>[1]Results!Z1474</f>
        <v>875.03432559999999</v>
      </c>
      <c r="X205" s="3">
        <f>[1]Results!AA1474</f>
        <v>877.65749029999995</v>
      </c>
      <c r="Y205" s="3">
        <f>[1]Results!AB1474</f>
        <v>881.78149719999999</v>
      </c>
      <c r="Z205" s="3">
        <f>[1]Results!AC1474</f>
        <v>887.49544990000004</v>
      </c>
      <c r="AA205" s="3">
        <f>[1]Results!AD1474</f>
        <v>894.78053490000002</v>
      </c>
      <c r="AB205" s="3">
        <f>[1]Results!AE1474</f>
        <v>903.24991769999997</v>
      </c>
      <c r="AC205" s="3">
        <f>[1]Results!AF1474</f>
        <v>912.92342399999995</v>
      </c>
      <c r="AD205" s="3">
        <f>[1]Results!AG1474</f>
        <v>923.84808050000004</v>
      </c>
      <c r="AE205" s="3">
        <f>[1]Results!AH1474</f>
        <v>936.02189339999995</v>
      </c>
      <c r="AF205" s="3">
        <f>[1]Results!AI1474</f>
        <v>949.28001410000002</v>
      </c>
      <c r="AG205" s="3">
        <f>[1]Results!AJ1474</f>
        <v>963.30979609999997</v>
      </c>
      <c r="AH205" s="3">
        <f>[1]Results!AK1474</f>
        <v>977.74595109999996</v>
      </c>
      <c r="AI205" s="3">
        <f>[1]Results!AL1474</f>
        <v>992.23570859999995</v>
      </c>
      <c r="AJ205" s="3">
        <f>[1]Results!AM1474</f>
        <v>1006.452805</v>
      </c>
      <c r="AK205" s="3">
        <f>[1]Results!AN1474</f>
        <v>1020.098785</v>
      </c>
      <c r="AL205" s="3">
        <f>[1]Results!AO1474</f>
        <v>1032.902979</v>
      </c>
    </row>
    <row r="206" spans="1:38" x14ac:dyDescent="0.35">
      <c r="B206" t="s">
        <v>30</v>
      </c>
      <c r="C206" s="3">
        <f>[1]Results!F1477</f>
        <v>4368.3707029999996</v>
      </c>
      <c r="D206" s="3">
        <f>[1]Results!G1477</f>
        <v>4397.8110210000004</v>
      </c>
      <c r="E206" s="3">
        <f>[1]Results!H1477</f>
        <v>4444.190662</v>
      </c>
      <c r="F206" s="3">
        <f>[1]Results!I1477</f>
        <v>4503.8279160000002</v>
      </c>
      <c r="G206" s="3">
        <f>[1]Results!J1477</f>
        <v>4572.4158269999998</v>
      </c>
      <c r="H206" s="3">
        <f>[1]Results!K1477</f>
        <v>4647.4741199999999</v>
      </c>
      <c r="I206" s="3">
        <f>[1]Results!L1477</f>
        <v>4726.322365</v>
      </c>
      <c r="J206" s="3">
        <f>[1]Results!M1477</f>
        <v>4807.1251430000002</v>
      </c>
      <c r="K206" s="3">
        <f>[1]Results!N1477</f>
        <v>4888.7331469999999</v>
      </c>
      <c r="L206" s="3">
        <f>[1]Results!O1477</f>
        <v>4970.6131960000002</v>
      </c>
      <c r="M206" s="3">
        <f>[1]Results!P1477</f>
        <v>5050.8657499999999</v>
      </c>
      <c r="N206" s="3">
        <f>[1]Results!Q1477</f>
        <v>5119.6215560000001</v>
      </c>
      <c r="O206" s="3">
        <f>[1]Results!R1477</f>
        <v>5174.2857670000003</v>
      </c>
      <c r="P206" s="3">
        <f>[1]Results!S1477</f>
        <v>5215.6812129999998</v>
      </c>
      <c r="Q206" s="3">
        <f>[1]Results!T1477</f>
        <v>5246.6830650000002</v>
      </c>
      <c r="R206" s="3">
        <f>[1]Results!U1477</f>
        <v>5270.9220299999997</v>
      </c>
      <c r="S206" s="3">
        <f>[1]Results!V1477</f>
        <v>5292.3394209999997</v>
      </c>
      <c r="T206" s="3">
        <f>[1]Results!W1477</f>
        <v>5314.7737180000004</v>
      </c>
      <c r="U206" s="3">
        <f>[1]Results!X1477</f>
        <v>5341.3989330000004</v>
      </c>
      <c r="V206" s="3">
        <f>[1]Results!Y1477</f>
        <v>5374.3820910000004</v>
      </c>
      <c r="W206" s="3">
        <f>[1]Results!Z1477</f>
        <v>5414.5422019999996</v>
      </c>
      <c r="X206" s="3">
        <f>[1]Results!AA1477</f>
        <v>5463.1812870000003</v>
      </c>
      <c r="Y206" s="3">
        <f>[1]Results!AB1477</f>
        <v>5521.1744829999998</v>
      </c>
      <c r="Z206" s="3">
        <f>[1]Results!AC1477</f>
        <v>5588.937261</v>
      </c>
      <c r="AA206" s="3">
        <f>[1]Results!AD1477</f>
        <v>5666.2928590000001</v>
      </c>
      <c r="AB206" s="3">
        <f>[1]Results!AE1477</f>
        <v>5751.0871980000002</v>
      </c>
      <c r="AC206" s="3">
        <f>[1]Results!AF1477</f>
        <v>5843.1902</v>
      </c>
      <c r="AD206" s="3">
        <f>[1]Results!AG1477</f>
        <v>5942.6004000000003</v>
      </c>
      <c r="AE206" s="3">
        <f>[1]Results!AH1477</f>
        <v>6049.0764440000003</v>
      </c>
      <c r="AF206" s="3">
        <f>[1]Results!AI1477</f>
        <v>6161.439284</v>
      </c>
      <c r="AG206" s="3">
        <f>[1]Results!AJ1477</f>
        <v>6277.701881</v>
      </c>
      <c r="AH206" s="3">
        <f>[1]Results!AK1477</f>
        <v>6395.6591820000003</v>
      </c>
      <c r="AI206" s="3">
        <f>[1]Results!AL1477</f>
        <v>6513.27646</v>
      </c>
      <c r="AJ206" s="3">
        <f>[1]Results!AM1477</f>
        <v>6628.7491140000002</v>
      </c>
      <c r="AK206" s="3">
        <f>[1]Results!AN1477</f>
        <v>6740.4740009999996</v>
      </c>
      <c r="AL206" s="3">
        <f>[1]Results!AO1477</f>
        <v>6847.0137480000003</v>
      </c>
    </row>
    <row r="207" spans="1:38" x14ac:dyDescent="0.35">
      <c r="B207" t="s">
        <v>28</v>
      </c>
      <c r="C207" s="3">
        <f>[1]Results!F1489</f>
        <v>868.27520900000002</v>
      </c>
      <c r="D207" s="3">
        <f>[1]Results!G1489</f>
        <v>872.68702050000002</v>
      </c>
      <c r="E207" s="3">
        <f>[1]Results!H1489</f>
        <v>879.36434320000001</v>
      </c>
      <c r="F207" s="3">
        <f>[1]Results!I1489</f>
        <v>887.65135829999997</v>
      </c>
      <c r="G207" s="3">
        <f>[1]Results!J1489</f>
        <v>897.12032899999997</v>
      </c>
      <c r="H207" s="3">
        <f>[1]Results!K1489</f>
        <v>907.50722380000002</v>
      </c>
      <c r="I207" s="3">
        <f>[1]Results!L1489</f>
        <v>918.2319559</v>
      </c>
      <c r="J207" s="3">
        <f>[1]Results!M1489</f>
        <v>928.89171969999995</v>
      </c>
      <c r="K207" s="3">
        <f>[1]Results!N1489</f>
        <v>939.2470892</v>
      </c>
      <c r="L207" s="3">
        <f>[1]Results!O1489</f>
        <v>949.19721660000005</v>
      </c>
      <c r="M207" s="3">
        <f>[1]Results!P1489</f>
        <v>958.4588086</v>
      </c>
      <c r="N207" s="3">
        <f>[1]Results!Q1489</f>
        <v>965.1655217</v>
      </c>
      <c r="O207" s="3">
        <f>[1]Results!R1489</f>
        <v>968.96195580000006</v>
      </c>
      <c r="P207" s="3">
        <f>[1]Results!S1489</f>
        <v>970.11912740000002</v>
      </c>
      <c r="Q207" s="3">
        <f>[1]Results!T1489</f>
        <v>969.25027139999997</v>
      </c>
      <c r="R207" s="3">
        <f>[1]Results!U1489</f>
        <v>967.07425149999995</v>
      </c>
      <c r="S207" s="3">
        <f>[1]Results!V1489</f>
        <v>964.44304260000001</v>
      </c>
      <c r="T207" s="3">
        <f>[1]Results!W1489</f>
        <v>962.11236359999998</v>
      </c>
      <c r="U207" s="3">
        <f>[1]Results!X1489</f>
        <v>960.63921679999999</v>
      </c>
      <c r="V207" s="3">
        <f>[1]Results!Y1489</f>
        <v>960.35539089999997</v>
      </c>
      <c r="W207" s="3">
        <f>[1]Results!Z1489</f>
        <v>961.30658470000003</v>
      </c>
      <c r="X207" s="3">
        <f>[1]Results!AA1489</f>
        <v>963.73293799999999</v>
      </c>
      <c r="Y207" s="3">
        <f>[1]Results!AB1489</f>
        <v>967.73488750000001</v>
      </c>
      <c r="Z207" s="3">
        <f>[1]Results!AC1489</f>
        <v>973.3394763</v>
      </c>
      <c r="AA207" s="3">
        <f>[1]Results!AD1489</f>
        <v>980.4795398</v>
      </c>
      <c r="AB207" s="3">
        <f>[1]Results!AE1489</f>
        <v>988.66295920000005</v>
      </c>
      <c r="AC207" s="3">
        <f>[1]Results!AF1489</f>
        <v>997.99778779999997</v>
      </c>
      <c r="AD207" s="3">
        <f>[1]Results!AG1489</f>
        <v>1008.502489</v>
      </c>
      <c r="AE207" s="3">
        <f>[1]Results!AH1489</f>
        <v>1020.137581</v>
      </c>
      <c r="AF207" s="3">
        <f>[1]Results!AI1489</f>
        <v>1032.6908719999999</v>
      </c>
      <c r="AG207" s="3">
        <f>[1]Results!AJ1489</f>
        <v>1045.8068350000001</v>
      </c>
      <c r="AH207" s="3">
        <f>[1]Results!AK1489</f>
        <v>1059.097593</v>
      </c>
      <c r="AI207" s="3">
        <f>[1]Results!AL1489</f>
        <v>1072.2130010000001</v>
      </c>
      <c r="AJ207" s="3">
        <f>[1]Results!AM1489</f>
        <v>1084.850261</v>
      </c>
      <c r="AK207" s="3">
        <f>[1]Results!AN1489</f>
        <v>1096.7487570000001</v>
      </c>
      <c r="AL207" s="3">
        <f>[1]Results!AO1489</f>
        <v>1107.6842389999999</v>
      </c>
    </row>
    <row r="208" spans="1:38" x14ac:dyDescent="0.35">
      <c r="B208" t="s">
        <v>10</v>
      </c>
      <c r="C208" s="3">
        <f>[1]Results!F1494</f>
        <v>21276.68795</v>
      </c>
      <c r="D208" s="3">
        <f>[1]Results!G1494</f>
        <v>21381.63334</v>
      </c>
      <c r="E208" s="3">
        <f>[1]Results!H1494</f>
        <v>21546.214650000002</v>
      </c>
      <c r="F208" s="3">
        <f>[1]Results!I1494</f>
        <v>21760.64085</v>
      </c>
      <c r="G208" s="3">
        <f>[1]Results!J1494</f>
        <v>22009.7729</v>
      </c>
      <c r="H208" s="3">
        <f>[1]Results!K1494</f>
        <v>22283.397929999999</v>
      </c>
      <c r="I208" s="3">
        <f>[1]Results!L1494</f>
        <v>22564.730780000002</v>
      </c>
      <c r="J208" s="3">
        <f>[1]Results!M1494</f>
        <v>22846.93507</v>
      </c>
      <c r="K208" s="3">
        <f>[1]Results!N1494</f>
        <v>23126.04796</v>
      </c>
      <c r="L208" s="3">
        <f>[1]Results!O1494</f>
        <v>23400.36865</v>
      </c>
      <c r="M208" s="3">
        <f>[1]Results!P1494</f>
        <v>23671.84388</v>
      </c>
      <c r="N208" s="3">
        <f>[1]Results!Q1494</f>
        <v>23901.42988</v>
      </c>
      <c r="O208" s="3">
        <f>[1]Results!R1494</f>
        <v>24079.330399999999</v>
      </c>
      <c r="P208" s="3">
        <f>[1]Results!S1494</f>
        <v>24206.189030000001</v>
      </c>
      <c r="Q208" s="3">
        <f>[1]Results!T1494</f>
        <v>24289.537509999998</v>
      </c>
      <c r="R208" s="3">
        <f>[1]Results!U1494</f>
        <v>24340.346160000001</v>
      </c>
      <c r="S208" s="3">
        <f>[1]Results!V1494</f>
        <v>24372.912369999998</v>
      </c>
      <c r="T208" s="3">
        <f>[1]Results!W1494</f>
        <v>24400.97292</v>
      </c>
      <c r="U208" s="3">
        <f>[1]Results!X1494</f>
        <v>24435.783329999998</v>
      </c>
      <c r="V208" s="3">
        <f>[1]Results!Y1494</f>
        <v>24485.274789999999</v>
      </c>
      <c r="W208" s="3">
        <f>[1]Results!Z1494</f>
        <v>24548.33597</v>
      </c>
      <c r="X208" s="3">
        <f>[1]Results!AA1494</f>
        <v>24636.720010000001</v>
      </c>
      <c r="Y208" s="3">
        <f>[1]Results!AB1494</f>
        <v>24753.584040000002</v>
      </c>
      <c r="Z208" s="3">
        <f>[1]Results!AC1494</f>
        <v>24900.691149999999</v>
      </c>
      <c r="AA208" s="3">
        <f>[1]Results!AD1494</f>
        <v>25077.98573</v>
      </c>
      <c r="AB208" s="3">
        <f>[1]Results!AE1494</f>
        <v>25266.430110000001</v>
      </c>
      <c r="AC208" s="3">
        <f>[1]Results!AF1494</f>
        <v>25477.954890000001</v>
      </c>
      <c r="AD208" s="3">
        <f>[1]Results!AG1494</f>
        <v>25713.787799999998</v>
      </c>
      <c r="AE208" s="3">
        <f>[1]Results!AH1494</f>
        <v>25974.055609999999</v>
      </c>
      <c r="AF208" s="3">
        <f>[1]Results!AI1494</f>
        <v>26255.998759999999</v>
      </c>
      <c r="AG208" s="3">
        <f>[1]Results!AJ1494</f>
        <v>26554.07645</v>
      </c>
      <c r="AH208" s="3">
        <f>[1]Results!AK1494</f>
        <v>26861.530190000001</v>
      </c>
      <c r="AI208" s="3">
        <f>[1]Results!AL1494</f>
        <v>27171.605510000001</v>
      </c>
      <c r="AJ208" s="3">
        <f>[1]Results!AM1494</f>
        <v>27477.91921</v>
      </c>
      <c r="AK208" s="3">
        <f>[1]Results!AN1494</f>
        <v>27774.55298</v>
      </c>
      <c r="AL208" s="3">
        <f>[1]Results!AO1494</f>
        <v>28056.091110000001</v>
      </c>
    </row>
    <row r="209" spans="1:38" x14ac:dyDescent="0.35">
      <c r="B209" t="s">
        <v>29</v>
      </c>
      <c r="C209" s="3">
        <f>C214-C210</f>
        <v>10.573063502599998</v>
      </c>
      <c r="D209" s="3">
        <f t="shared" ref="D209:AL209" si="25">D214-D210</f>
        <v>10.559345625100001</v>
      </c>
      <c r="E209" s="3">
        <f t="shared" si="25"/>
        <v>10.539841004600001</v>
      </c>
      <c r="F209" s="3">
        <f t="shared" si="25"/>
        <v>10.520479650699999</v>
      </c>
      <c r="G209" s="3">
        <f t="shared" si="25"/>
        <v>10.520613732699999</v>
      </c>
      <c r="H209" s="3">
        <f t="shared" si="25"/>
        <v>10.546420127999999</v>
      </c>
      <c r="I209" s="3">
        <f t="shared" si="25"/>
        <v>10.587998250200002</v>
      </c>
      <c r="J209" s="3">
        <f t="shared" si="25"/>
        <v>10.635878050700001</v>
      </c>
      <c r="K209" s="3">
        <f t="shared" si="25"/>
        <v>10.684346705099999</v>
      </c>
      <c r="L209" s="3">
        <f t="shared" si="25"/>
        <v>10.730591868199999</v>
      </c>
      <c r="M209" s="3">
        <f t="shared" si="25"/>
        <v>10.770435546000002</v>
      </c>
      <c r="N209" s="3">
        <f t="shared" si="25"/>
        <v>10.7869912343</v>
      </c>
      <c r="O209" s="3">
        <f t="shared" si="25"/>
        <v>10.776523879299999</v>
      </c>
      <c r="P209" s="3">
        <f t="shared" si="25"/>
        <v>10.7416956633</v>
      </c>
      <c r="Q209" s="3">
        <f t="shared" si="25"/>
        <v>10.688351365700001</v>
      </c>
      <c r="R209" s="3">
        <f t="shared" si="25"/>
        <v>10.623114243</v>
      </c>
      <c r="S209" s="3">
        <f t="shared" si="25"/>
        <v>10.557189200699998</v>
      </c>
      <c r="T209" s="3">
        <f t="shared" si="25"/>
        <v>10.4986492703</v>
      </c>
      <c r="U209" s="3">
        <f t="shared" si="25"/>
        <v>10.452206943699998</v>
      </c>
      <c r="V209" s="3">
        <f t="shared" si="25"/>
        <v>10.419786094999999</v>
      </c>
      <c r="W209" s="3">
        <f t="shared" si="25"/>
        <v>10.401036845500002</v>
      </c>
      <c r="X209" s="3">
        <f t="shared" si="25"/>
        <v>10.396363407300001</v>
      </c>
      <c r="Y209" s="3">
        <f t="shared" si="25"/>
        <v>10.405838286700002</v>
      </c>
      <c r="Z209" s="3">
        <f t="shared" si="25"/>
        <v>10.429253904900001</v>
      </c>
      <c r="AA209" s="3">
        <f t="shared" si="25"/>
        <v>10.465872578100001</v>
      </c>
      <c r="AB209" s="3">
        <f t="shared" si="25"/>
        <v>10.512810033700003</v>
      </c>
      <c r="AC209" s="3">
        <f t="shared" si="25"/>
        <v>10.570312182899999</v>
      </c>
      <c r="AD209" s="3">
        <f t="shared" si="25"/>
        <v>10.6388296047</v>
      </c>
      <c r="AE209" s="3">
        <f t="shared" si="25"/>
        <v>10.718341583899999</v>
      </c>
      <c r="AF209" s="3">
        <f t="shared" si="25"/>
        <v>10.807199839500001</v>
      </c>
      <c r="AG209" s="3">
        <f t="shared" si="25"/>
        <v>10.902365276199999</v>
      </c>
      <c r="AH209" s="3">
        <f t="shared" si="25"/>
        <v>11.000443084899999</v>
      </c>
      <c r="AI209" s="3">
        <f t="shared" si="25"/>
        <v>11.098318838600001</v>
      </c>
      <c r="AJ209" s="3">
        <f t="shared" si="25"/>
        <v>11.193238881900001</v>
      </c>
      <c r="AK209" s="3">
        <f t="shared" si="25"/>
        <v>11.282742345700001</v>
      </c>
      <c r="AL209" s="3">
        <f t="shared" si="25"/>
        <v>11.364594088799999</v>
      </c>
    </row>
    <row r="210" spans="1:38" x14ac:dyDescent="0.35">
      <c r="B210" t="s">
        <v>36</v>
      </c>
      <c r="C210" s="3">
        <f>C212+C213</f>
        <v>7.3981974974</v>
      </c>
      <c r="D210" s="3">
        <f t="shared" ref="D210:AL210" si="26">D212+D213</f>
        <v>7.3710570048999999</v>
      </c>
      <c r="E210" s="3">
        <f t="shared" si="26"/>
        <v>7.3288085554000002</v>
      </c>
      <c r="F210" s="3">
        <f t="shared" si="26"/>
        <v>7.2844110593</v>
      </c>
      <c r="G210" s="3">
        <f t="shared" si="26"/>
        <v>7.2543171872999999</v>
      </c>
      <c r="H210" s="3">
        <f t="shared" si="26"/>
        <v>7.2442789019999996</v>
      </c>
      <c r="I210" s="3">
        <f t="shared" si="26"/>
        <v>7.2496949197999996</v>
      </c>
      <c r="J210" s="3">
        <f t="shared" si="26"/>
        <v>7.2641225592999996</v>
      </c>
      <c r="K210" s="3">
        <f t="shared" si="26"/>
        <v>7.2826034549000003</v>
      </c>
      <c r="L210" s="3">
        <f t="shared" si="26"/>
        <v>7.3019428418000007</v>
      </c>
      <c r="M210" s="3">
        <f t="shared" si="26"/>
        <v>7.3194129339999998</v>
      </c>
      <c r="N210" s="3">
        <f t="shared" si="26"/>
        <v>7.3275829857000003</v>
      </c>
      <c r="O210" s="3">
        <f t="shared" si="26"/>
        <v>7.3236668707000003</v>
      </c>
      <c r="P210" s="3">
        <f t="shared" si="26"/>
        <v>7.3076388166999999</v>
      </c>
      <c r="Q210" s="3">
        <f t="shared" si="26"/>
        <v>7.2810994242999998</v>
      </c>
      <c r="R210" s="3">
        <f t="shared" si="26"/>
        <v>7.2463722769999999</v>
      </c>
      <c r="S210" s="3">
        <f t="shared" si="26"/>
        <v>7.2082168093000005</v>
      </c>
      <c r="T210" s="3">
        <f t="shared" si="26"/>
        <v>7.1706745597000001</v>
      </c>
      <c r="U210" s="3">
        <f t="shared" si="26"/>
        <v>7.1364631662999995</v>
      </c>
      <c r="V210" s="3">
        <f t="shared" si="26"/>
        <v>7.1069832650000002</v>
      </c>
      <c r="W210" s="3">
        <f t="shared" si="26"/>
        <v>7.0823735644999992</v>
      </c>
      <c r="X210" s="3">
        <f t="shared" si="26"/>
        <v>7.0631183227000003</v>
      </c>
      <c r="Y210" s="3">
        <f t="shared" si="26"/>
        <v>7.0494923332999999</v>
      </c>
      <c r="Z210" s="3">
        <f t="shared" si="26"/>
        <v>7.0416398250999999</v>
      </c>
      <c r="AA210" s="3">
        <f t="shared" si="26"/>
        <v>7.0394953318999995</v>
      </c>
      <c r="AB210" s="3">
        <f t="shared" si="26"/>
        <v>7.0417772262999998</v>
      </c>
      <c r="AC210" s="3">
        <f t="shared" si="26"/>
        <v>7.0487324970999996</v>
      </c>
      <c r="AD210" s="3">
        <f t="shared" si="26"/>
        <v>7.0606741753</v>
      </c>
      <c r="AE210" s="3">
        <f t="shared" si="26"/>
        <v>7.0777337261</v>
      </c>
      <c r="AF210" s="3">
        <f t="shared" si="26"/>
        <v>7.0994022305</v>
      </c>
      <c r="AG210" s="3">
        <f t="shared" si="26"/>
        <v>7.1245483537999998</v>
      </c>
      <c r="AH210" s="3">
        <f t="shared" si="26"/>
        <v>7.1517563450999999</v>
      </c>
      <c r="AI210" s="3">
        <f t="shared" si="26"/>
        <v>7.1795791714000003</v>
      </c>
      <c r="AJ210" s="3">
        <f t="shared" si="26"/>
        <v>7.2066057480999994</v>
      </c>
      <c r="AK210" s="3">
        <f t="shared" si="26"/>
        <v>7.2314711042999997</v>
      </c>
      <c r="AL210" s="3">
        <f t="shared" si="26"/>
        <v>7.2528698312</v>
      </c>
    </row>
    <row r="211" spans="1:38" x14ac:dyDescent="0.35">
      <c r="B211" t="s">
        <v>33</v>
      </c>
      <c r="C211" s="3">
        <f>[1]Results!F1502</f>
        <v>87.061451849999997</v>
      </c>
      <c r="D211" s="3">
        <f>[1]Results!G1502</f>
        <v>87.379484140000002</v>
      </c>
      <c r="E211" s="3">
        <f>[1]Results!H1502</f>
        <v>87.695193369999998</v>
      </c>
      <c r="F211" s="3">
        <f>[1]Results!I1502</f>
        <v>88.047810740000003</v>
      </c>
      <c r="G211" s="3">
        <f>[1]Results!J1502</f>
        <v>88.330049860000003</v>
      </c>
      <c r="H211" s="3">
        <f>[1]Results!K1502</f>
        <v>88.568438209999997</v>
      </c>
      <c r="I211" s="3">
        <f>[1]Results!L1502</f>
        <v>88.801750909999996</v>
      </c>
      <c r="J211" s="3">
        <f>[1]Results!M1502</f>
        <v>89.053679259999996</v>
      </c>
      <c r="K211" s="3">
        <f>[1]Results!N1502</f>
        <v>89.319421030000001</v>
      </c>
      <c r="L211" s="3">
        <f>[1]Results!O1502</f>
        <v>89.586917529999994</v>
      </c>
      <c r="M211" s="3">
        <f>[1]Results!P1502</f>
        <v>89.831947159999999</v>
      </c>
      <c r="N211" s="3">
        <f>[1]Results!Q1502</f>
        <v>89.898155200000005</v>
      </c>
      <c r="O211" s="3">
        <f>[1]Results!R1502</f>
        <v>89.737252409999996</v>
      </c>
      <c r="P211" s="3">
        <f>[1]Results!S1502</f>
        <v>89.361256870000005</v>
      </c>
      <c r="Q211" s="3">
        <f>[1]Results!T1502</f>
        <v>88.818150700000004</v>
      </c>
      <c r="R211" s="3">
        <f>[1]Results!U1502</f>
        <v>88.170192569999998</v>
      </c>
      <c r="S211" s="3">
        <f>[1]Results!V1502</f>
        <v>87.468102560000005</v>
      </c>
      <c r="T211" s="3">
        <f>[1]Results!W1502</f>
        <v>86.773605169999996</v>
      </c>
      <c r="U211" s="3">
        <f>[1]Results!X1502</f>
        <v>86.140444950000003</v>
      </c>
      <c r="V211" s="3">
        <f>[1]Results!Y1502</f>
        <v>85.607105079999997</v>
      </c>
      <c r="W211" s="3">
        <f>[1]Results!Z1502</f>
        <v>85.186128670000002</v>
      </c>
      <c r="X211" s="3">
        <f>[1]Results!AA1502</f>
        <v>84.907586699999996</v>
      </c>
      <c r="Y211" s="3">
        <f>[1]Results!AB1502</f>
        <v>84.785881250000003</v>
      </c>
      <c r="Z211" s="3">
        <f>[1]Results!AC1502</f>
        <v>84.825459629999997</v>
      </c>
      <c r="AA211" s="3">
        <f>[1]Results!AD1502</f>
        <v>85.022484090000006</v>
      </c>
      <c r="AB211" s="3">
        <f>[1]Results!AE1502</f>
        <v>85.332991149999998</v>
      </c>
      <c r="AC211" s="3">
        <f>[1]Results!AF1502</f>
        <v>85.767937989999993</v>
      </c>
      <c r="AD211" s="3">
        <f>[1]Results!AG1502</f>
        <v>86.329425259999994</v>
      </c>
      <c r="AE211" s="3">
        <f>[1]Results!AH1502</f>
        <v>87.011464369999999</v>
      </c>
      <c r="AF211" s="3">
        <f>[1]Results!AI1502</f>
        <v>87.792258989999993</v>
      </c>
      <c r="AG211" s="3">
        <f>[1]Results!AJ1502</f>
        <v>88.637478869999995</v>
      </c>
      <c r="AH211" s="3">
        <f>[1]Results!AK1502</f>
        <v>89.509659589999998</v>
      </c>
      <c r="AI211" s="3">
        <f>[1]Results!AL1502</f>
        <v>90.374670780000002</v>
      </c>
      <c r="AJ211" s="3">
        <f>[1]Results!AM1502</f>
        <v>91.203234980000005</v>
      </c>
      <c r="AK211" s="3">
        <f>[1]Results!AN1502</f>
        <v>91.970730860000003</v>
      </c>
      <c r="AL211" s="3">
        <f>[1]Results!AO1502</f>
        <v>92.656728680000001</v>
      </c>
    </row>
    <row r="212" spans="1:38" x14ac:dyDescent="0.35">
      <c r="B212" t="s">
        <v>35</v>
      </c>
      <c r="C212" s="3">
        <f>[1]Results!F1499</f>
        <v>6.6796781269999999</v>
      </c>
      <c r="D212" s="3">
        <f>[1]Results!G1499</f>
        <v>6.6547604160000002</v>
      </c>
      <c r="E212" s="3">
        <f>[1]Results!H1499</f>
        <v>6.6151538360000002</v>
      </c>
      <c r="F212" s="3">
        <f>[1]Results!I1499</f>
        <v>6.5738545520000002</v>
      </c>
      <c r="G212" s="3">
        <f>[1]Results!J1499</f>
        <v>6.5452438839999996</v>
      </c>
      <c r="H212" s="3">
        <f>[1]Results!K1499</f>
        <v>6.534627253</v>
      </c>
      <c r="I212" s="3">
        <f>[1]Results!L1499</f>
        <v>6.5396013279999998</v>
      </c>
      <c r="J212" s="3">
        <f>[1]Results!M1499</f>
        <v>6.554471371</v>
      </c>
      <c r="K212" s="3">
        <f>[1]Results!N1499</f>
        <v>6.5742776230000004</v>
      </c>
      <c r="L212" s="3">
        <f>[1]Results!O1499</f>
        <v>6.5956021270000003</v>
      </c>
      <c r="M212" s="3">
        <f>[1]Results!P1499</f>
        <v>6.615642104</v>
      </c>
      <c r="N212" s="3">
        <f>[1]Results!Q1499</f>
        <v>6.6280058300000002</v>
      </c>
      <c r="O212" s="3">
        <f>[1]Results!R1499</f>
        <v>6.6300799870000002</v>
      </c>
      <c r="P212" s="3">
        <f>[1]Results!S1499</f>
        <v>6.6215741530000001</v>
      </c>
      <c r="Q212" s="3">
        <f>[1]Results!T1499</f>
        <v>6.6036168069999999</v>
      </c>
      <c r="R212" s="3">
        <f>[1]Results!U1499</f>
        <v>6.5780188539999997</v>
      </c>
      <c r="S212" s="3">
        <f>[1]Results!V1499</f>
        <v>6.5480019360000004</v>
      </c>
      <c r="T212" s="3">
        <f>[1]Results!W1499</f>
        <v>6.517105838</v>
      </c>
      <c r="U212" s="3">
        <f>[1]Results!X1499</f>
        <v>6.4879651599999999</v>
      </c>
      <c r="V212" s="3">
        <f>[1]Results!Y1499</f>
        <v>6.4620687500000003</v>
      </c>
      <c r="W212" s="3">
        <f>[1]Results!Z1499</f>
        <v>6.4397605259999997</v>
      </c>
      <c r="X212" s="3">
        <f>[1]Results!AA1499</f>
        <v>6.421555101</v>
      </c>
      <c r="Y212" s="3">
        <f>[1]Results!AB1499</f>
        <v>6.4077703269999997</v>
      </c>
      <c r="Z212" s="3">
        <f>[1]Results!AC1499</f>
        <v>6.3985977639999998</v>
      </c>
      <c r="AA212" s="3">
        <f>[1]Results!AD1499</f>
        <v>6.3940427279999996</v>
      </c>
      <c r="AB212" s="3">
        <f>[1]Results!AE1499</f>
        <v>6.3931084340000002</v>
      </c>
      <c r="AC212" s="3">
        <f>[1]Results!AF1499</f>
        <v>6.395985831</v>
      </c>
      <c r="AD212" s="3">
        <f>[1]Results!AG1499</f>
        <v>6.4029559469999997</v>
      </c>
      <c r="AE212" s="3">
        <f>[1]Results!AH1499</f>
        <v>6.4141659840000003</v>
      </c>
      <c r="AF212" s="3">
        <f>[1]Results!AI1499</f>
        <v>6.4292398579999999</v>
      </c>
      <c r="AG212" s="3">
        <f>[1]Results!AJ1499</f>
        <v>6.4472797689999997</v>
      </c>
      <c r="AH212" s="3">
        <f>[1]Results!AK1499</f>
        <v>6.4671331050000003</v>
      </c>
      <c r="AI212" s="3">
        <f>[1]Results!AL1499</f>
        <v>6.4876000380000001</v>
      </c>
      <c r="AJ212" s="3">
        <f>[1]Results!AM1499</f>
        <v>6.5074873049999997</v>
      </c>
      <c r="AK212" s="3">
        <f>[1]Results!AN1499</f>
        <v>6.5256199580000001</v>
      </c>
      <c r="AL212" s="3">
        <f>[1]Results!AO1499</f>
        <v>6.5408588520000004</v>
      </c>
    </row>
    <row r="213" spans="1:38" x14ac:dyDescent="0.35">
      <c r="B213" t="s">
        <v>34</v>
      </c>
      <c r="C213" s="3">
        <f>[1]Results!F1501</f>
        <v>0.71851937040000002</v>
      </c>
      <c r="D213" s="3">
        <f>[1]Results!G1501</f>
        <v>0.71629658890000003</v>
      </c>
      <c r="E213" s="3">
        <f>[1]Results!H1501</f>
        <v>0.71365471940000003</v>
      </c>
      <c r="F213" s="3">
        <f>[1]Results!I1501</f>
        <v>0.71055650729999997</v>
      </c>
      <c r="G213" s="3">
        <f>[1]Results!J1501</f>
        <v>0.70907330329999996</v>
      </c>
      <c r="H213" s="3">
        <f>[1]Results!K1501</f>
        <v>0.709651649</v>
      </c>
      <c r="I213" s="3">
        <f>[1]Results!L1501</f>
        <v>0.71009359179999998</v>
      </c>
      <c r="J213" s="3">
        <f>[1]Results!M1501</f>
        <v>0.70965118829999996</v>
      </c>
      <c r="K213" s="3">
        <f>[1]Results!N1501</f>
        <v>0.70832583189999998</v>
      </c>
      <c r="L213" s="3">
        <f>[1]Results!O1501</f>
        <v>0.70634071480000005</v>
      </c>
      <c r="M213" s="3">
        <f>[1]Results!P1501</f>
        <v>0.70377082999999996</v>
      </c>
      <c r="N213" s="3">
        <f>[1]Results!Q1501</f>
        <v>0.69957715570000001</v>
      </c>
      <c r="O213" s="3">
        <f>[1]Results!R1501</f>
        <v>0.69358688369999999</v>
      </c>
      <c r="P213" s="3">
        <f>[1]Results!S1501</f>
        <v>0.68606466369999997</v>
      </c>
      <c r="Q213" s="3">
        <f>[1]Results!T1501</f>
        <v>0.67748261730000003</v>
      </c>
      <c r="R213" s="3">
        <f>[1]Results!U1501</f>
        <v>0.668353423</v>
      </c>
      <c r="S213" s="3">
        <f>[1]Results!V1501</f>
        <v>0.66021487329999995</v>
      </c>
      <c r="T213" s="3">
        <f>[1]Results!W1501</f>
        <v>0.65356872170000002</v>
      </c>
      <c r="U213" s="3">
        <f>[1]Results!X1501</f>
        <v>0.64849800629999999</v>
      </c>
      <c r="V213" s="3">
        <f>[1]Results!Y1501</f>
        <v>0.64491451499999997</v>
      </c>
      <c r="W213" s="3">
        <f>[1]Results!Z1501</f>
        <v>0.64261303849999996</v>
      </c>
      <c r="X213" s="3">
        <f>[1]Results!AA1501</f>
        <v>0.64156322170000002</v>
      </c>
      <c r="Y213" s="3">
        <f>[1]Results!AB1501</f>
        <v>0.64172200629999998</v>
      </c>
      <c r="Z213" s="3">
        <f>[1]Results!AC1501</f>
        <v>0.64304206109999995</v>
      </c>
      <c r="AA213" s="3">
        <f>[1]Results!AD1501</f>
        <v>0.64545260390000003</v>
      </c>
      <c r="AB213" s="3">
        <f>[1]Results!AE1501</f>
        <v>0.64866879229999996</v>
      </c>
      <c r="AC213" s="3">
        <f>[1]Results!AF1501</f>
        <v>0.65274666609999998</v>
      </c>
      <c r="AD213" s="3">
        <f>[1]Results!AG1501</f>
        <v>0.65771822830000004</v>
      </c>
      <c r="AE213" s="3">
        <f>[1]Results!AH1501</f>
        <v>0.66356774210000002</v>
      </c>
      <c r="AF213" s="3">
        <f>[1]Results!AI1501</f>
        <v>0.67016237249999999</v>
      </c>
      <c r="AG213" s="3">
        <f>[1]Results!AJ1501</f>
        <v>0.67726858479999996</v>
      </c>
      <c r="AH213" s="3">
        <f>[1]Results!AK1501</f>
        <v>0.68462324009999997</v>
      </c>
      <c r="AI213" s="3">
        <f>[1]Results!AL1501</f>
        <v>0.69197913339999995</v>
      </c>
      <c r="AJ213" s="3">
        <f>[1]Results!AM1501</f>
        <v>0.69911844310000004</v>
      </c>
      <c r="AK213" s="3">
        <f>[1]Results!AN1501</f>
        <v>0.70585114630000001</v>
      </c>
      <c r="AL213" s="3">
        <f>[1]Results!AO1501</f>
        <v>0.7120109792</v>
      </c>
    </row>
    <row r="214" spans="1:38" x14ac:dyDescent="0.35">
      <c r="B214" t="s">
        <v>37</v>
      </c>
      <c r="C214" s="3">
        <f>[1]Results!F1497</f>
        <v>17.971260999999998</v>
      </c>
      <c r="D214" s="3">
        <f>[1]Results!G1497</f>
        <v>17.93040263</v>
      </c>
      <c r="E214" s="3">
        <f>[1]Results!H1497</f>
        <v>17.868649560000001</v>
      </c>
      <c r="F214" s="3">
        <f>[1]Results!I1497</f>
        <v>17.804890709999999</v>
      </c>
      <c r="G214" s="3">
        <f>[1]Results!J1497</f>
        <v>17.774930919999999</v>
      </c>
      <c r="H214" s="3">
        <f>[1]Results!K1497</f>
        <v>17.790699029999999</v>
      </c>
      <c r="I214" s="3">
        <f>[1]Results!L1497</f>
        <v>17.837693170000001</v>
      </c>
      <c r="J214" s="3">
        <f>[1]Results!M1497</f>
        <v>17.900000609999999</v>
      </c>
      <c r="K214" s="3">
        <f>[1]Results!N1497</f>
        <v>17.96695016</v>
      </c>
      <c r="L214" s="3">
        <f>[1]Results!O1497</f>
        <v>18.03253471</v>
      </c>
      <c r="M214" s="3">
        <f>[1]Results!P1497</f>
        <v>18.089848480000001</v>
      </c>
      <c r="N214" s="3">
        <f>[1]Results!Q1497</f>
        <v>18.114574220000002</v>
      </c>
      <c r="O214" s="3">
        <f>[1]Results!R1497</f>
        <v>18.100190749999999</v>
      </c>
      <c r="P214" s="3">
        <f>[1]Results!S1497</f>
        <v>18.049334479999999</v>
      </c>
      <c r="Q214" s="3">
        <f>[1]Results!T1497</f>
        <v>17.96945079</v>
      </c>
      <c r="R214" s="3">
        <f>[1]Results!U1497</f>
        <v>17.869486519999999</v>
      </c>
      <c r="S214" s="3">
        <f>[1]Results!V1497</f>
        <v>17.76540601</v>
      </c>
      <c r="T214" s="3">
        <f>[1]Results!W1497</f>
        <v>17.66932383</v>
      </c>
      <c r="U214" s="3">
        <f>[1]Results!X1497</f>
        <v>17.588670109999999</v>
      </c>
      <c r="V214" s="3">
        <f>[1]Results!Y1497</f>
        <v>17.526769359999999</v>
      </c>
      <c r="W214" s="3">
        <f>[1]Results!Z1497</f>
        <v>17.483410410000001</v>
      </c>
      <c r="X214" s="3">
        <f>[1]Results!AA1497</f>
        <v>17.45948173</v>
      </c>
      <c r="Y214" s="3">
        <f>[1]Results!AB1497</f>
        <v>17.455330620000002</v>
      </c>
      <c r="Z214" s="3">
        <f>[1]Results!AC1497</f>
        <v>17.47089373</v>
      </c>
      <c r="AA214" s="3">
        <f>[1]Results!AD1497</f>
        <v>17.50536791</v>
      </c>
      <c r="AB214" s="3">
        <f>[1]Results!AE1497</f>
        <v>17.554587260000002</v>
      </c>
      <c r="AC214" s="3">
        <f>[1]Results!AF1497</f>
        <v>17.619044679999998</v>
      </c>
      <c r="AD214" s="3">
        <f>[1]Results!AG1497</f>
        <v>17.699503780000001</v>
      </c>
      <c r="AE214" s="3">
        <f>[1]Results!AH1497</f>
        <v>17.796075309999999</v>
      </c>
      <c r="AF214" s="3">
        <f>[1]Results!AI1497</f>
        <v>17.906602070000002</v>
      </c>
      <c r="AG214" s="3">
        <f>[1]Results!AJ1497</f>
        <v>18.026913629999999</v>
      </c>
      <c r="AH214" s="3">
        <f>[1]Results!AK1497</f>
        <v>18.15219943</v>
      </c>
      <c r="AI214" s="3">
        <f>[1]Results!AL1497</f>
        <v>18.277898010000001</v>
      </c>
      <c r="AJ214" s="3">
        <f>[1]Results!AM1497</f>
        <v>18.39984463</v>
      </c>
      <c r="AK214" s="3">
        <f>[1]Results!AN1497</f>
        <v>18.51421345</v>
      </c>
      <c r="AL214" s="3">
        <f>[1]Results!AO1497</f>
        <v>18.617463919999999</v>
      </c>
    </row>
    <row r="216" spans="1:38" x14ac:dyDescent="0.35">
      <c r="A216" s="12" t="s">
        <v>86</v>
      </c>
      <c r="B216" t="s">
        <v>27</v>
      </c>
      <c r="C216" s="5">
        <f t="shared" ref="C216:AL216" si="27">C192-C204</f>
        <v>0</v>
      </c>
      <c r="D216" s="5">
        <f t="shared" si="27"/>
        <v>0</v>
      </c>
      <c r="E216" s="5">
        <f t="shared" si="27"/>
        <v>0</v>
      </c>
      <c r="F216" s="5">
        <f t="shared" si="27"/>
        <v>9.9999997473787516E-6</v>
      </c>
      <c r="G216" s="5">
        <f t="shared" si="27"/>
        <v>0</v>
      </c>
      <c r="H216" s="5">
        <f t="shared" si="27"/>
        <v>0</v>
      </c>
      <c r="I216" s="5">
        <f t="shared" si="27"/>
        <v>0</v>
      </c>
      <c r="J216" s="5">
        <f t="shared" si="27"/>
        <v>-21.909859999999753</v>
      </c>
      <c r="K216" s="5">
        <f t="shared" si="27"/>
        <v>-58.911630000002333</v>
      </c>
      <c r="L216" s="5">
        <f t="shared" si="27"/>
        <v>-45.746649999997317</v>
      </c>
      <c r="M216" s="5">
        <f t="shared" si="27"/>
        <v>2.7297400000024936</v>
      </c>
      <c r="N216" s="5">
        <f t="shared" si="27"/>
        <v>60.210960000000341</v>
      </c>
      <c r="O216" s="5">
        <f t="shared" si="27"/>
        <v>110.34299000000101</v>
      </c>
      <c r="P216" s="5">
        <f t="shared" si="27"/>
        <v>148.19375999999829</v>
      </c>
      <c r="Q216" s="5">
        <f t="shared" si="27"/>
        <v>176.86534000000029</v>
      </c>
      <c r="R216" s="5">
        <f t="shared" si="27"/>
        <v>199.67509000000064</v>
      </c>
      <c r="S216" s="5">
        <f t="shared" si="27"/>
        <v>216.3415700000005</v>
      </c>
      <c r="T216" s="5">
        <f t="shared" si="27"/>
        <v>226.59832000000097</v>
      </c>
      <c r="U216" s="5">
        <f t="shared" si="27"/>
        <v>230.49439999999959</v>
      </c>
      <c r="V216" s="5">
        <f t="shared" si="27"/>
        <v>228.86407999999938</v>
      </c>
      <c r="W216" s="5">
        <f t="shared" si="27"/>
        <v>222.99228999999832</v>
      </c>
      <c r="X216" s="5">
        <f t="shared" si="27"/>
        <v>214.49406999999701</v>
      </c>
      <c r="Y216" s="5">
        <f t="shared" si="27"/>
        <v>205.04956999999922</v>
      </c>
      <c r="Z216" s="5">
        <f t="shared" si="27"/>
        <v>196.28395000000091</v>
      </c>
      <c r="AA216" s="5">
        <f t="shared" si="27"/>
        <v>189.81549999999697</v>
      </c>
      <c r="AB216" s="5">
        <f t="shared" si="27"/>
        <v>187.01436000000103</v>
      </c>
      <c r="AC216" s="5">
        <f t="shared" si="27"/>
        <v>189.99564999999711</v>
      </c>
      <c r="AD216" s="5">
        <f t="shared" si="27"/>
        <v>200.80764000000636</v>
      </c>
      <c r="AE216" s="5">
        <f t="shared" si="27"/>
        <v>221.46003000000201</v>
      </c>
      <c r="AF216" s="5">
        <f t="shared" si="27"/>
        <v>254.06223999999929</v>
      </c>
      <c r="AG216" s="5">
        <f t="shared" si="27"/>
        <v>300.71218000000226</v>
      </c>
      <c r="AH216" s="5">
        <f t="shared" si="27"/>
        <v>363.49678999999742</v>
      </c>
      <c r="AI216" s="5">
        <f t="shared" si="27"/>
        <v>444.55228999999963</v>
      </c>
      <c r="AJ216" s="5">
        <f t="shared" si="27"/>
        <v>546.00316000000021</v>
      </c>
      <c r="AK216" s="5">
        <f t="shared" si="27"/>
        <v>670.1050499999983</v>
      </c>
      <c r="AL216" s="5">
        <f t="shared" si="27"/>
        <v>819.41080000000511</v>
      </c>
    </row>
    <row r="217" spans="1:38" x14ac:dyDescent="0.35">
      <c r="A217" t="s">
        <v>87</v>
      </c>
      <c r="B217" t="s">
        <v>7</v>
      </c>
      <c r="C217" s="5">
        <f t="shared" ref="C217:AL217" si="28">C193-C205</f>
        <v>0</v>
      </c>
      <c r="D217" s="5">
        <f t="shared" si="28"/>
        <v>0</v>
      </c>
      <c r="E217" s="5">
        <f t="shared" si="28"/>
        <v>1.0000007932831068E-7</v>
      </c>
      <c r="F217" s="5">
        <f t="shared" si="28"/>
        <v>0</v>
      </c>
      <c r="G217" s="5">
        <f t="shared" si="28"/>
        <v>9.9999965641472954E-8</v>
      </c>
      <c r="H217" s="5">
        <f t="shared" si="28"/>
        <v>0</v>
      </c>
      <c r="I217" s="5">
        <f t="shared" si="28"/>
        <v>9.9999965641472954E-8</v>
      </c>
      <c r="J217" s="5">
        <f t="shared" si="28"/>
        <v>-1.3852494999999863</v>
      </c>
      <c r="K217" s="5">
        <f t="shared" si="28"/>
        <v>-3.7229980000000751</v>
      </c>
      <c r="L217" s="5">
        <f t="shared" si="28"/>
        <v>-4.4085598000000346</v>
      </c>
      <c r="M217" s="5">
        <f t="shared" si="28"/>
        <v>-4.0271306000000777</v>
      </c>
      <c r="N217" s="5">
        <f t="shared" si="28"/>
        <v>-3.4244329999999081</v>
      </c>
      <c r="O217" s="5">
        <f t="shared" si="28"/>
        <v>-3.0553754000000026</v>
      </c>
      <c r="P217" s="5">
        <f t="shared" si="28"/>
        <v>-2.9864373999999998</v>
      </c>
      <c r="Q217" s="5">
        <f t="shared" si="28"/>
        <v>-3.0606523000000152</v>
      </c>
      <c r="R217" s="5">
        <f t="shared" si="28"/>
        <v>-3.1806888999999501</v>
      </c>
      <c r="S217" s="5">
        <f t="shared" si="28"/>
        <v>-3.2957122000000254</v>
      </c>
      <c r="T217" s="5">
        <f t="shared" si="28"/>
        <v>-3.5402225999999928</v>
      </c>
      <c r="U217" s="5">
        <f t="shared" si="28"/>
        <v>-4.0159509999999727</v>
      </c>
      <c r="V217" s="5">
        <f t="shared" si="28"/>
        <v>-4.7588776999999709</v>
      </c>
      <c r="W217" s="5">
        <f t="shared" si="28"/>
        <v>-5.75817219999999</v>
      </c>
      <c r="X217" s="5">
        <f t="shared" si="28"/>
        <v>-6.9751306999999088</v>
      </c>
      <c r="Y217" s="5">
        <f t="shared" si="28"/>
        <v>-8.3589667999999619</v>
      </c>
      <c r="Z217" s="5">
        <f t="shared" si="28"/>
        <v>-9.8571413000000803</v>
      </c>
      <c r="AA217" s="5">
        <f t="shared" si="28"/>
        <v>-11.416996600000061</v>
      </c>
      <c r="AB217" s="5">
        <f t="shared" si="28"/>
        <v>-12.994059900000025</v>
      </c>
      <c r="AC217" s="5">
        <f t="shared" si="28"/>
        <v>-14.625260299999923</v>
      </c>
      <c r="AD217" s="5">
        <f t="shared" si="28"/>
        <v>-16.214785600000027</v>
      </c>
      <c r="AE217" s="5">
        <f t="shared" si="28"/>
        <v>-17.678686999999968</v>
      </c>
      <c r="AF217" s="5">
        <f t="shared" si="28"/>
        <v>-18.939872000000037</v>
      </c>
      <c r="AG217" s="5">
        <f t="shared" si="28"/>
        <v>-19.93073389999995</v>
      </c>
      <c r="AH217" s="5">
        <f t="shared" si="28"/>
        <v>-20.595022099999937</v>
      </c>
      <c r="AI217" s="5">
        <f t="shared" si="28"/>
        <v>-20.886702299999911</v>
      </c>
      <c r="AJ217" s="5">
        <f t="shared" si="28"/>
        <v>-20.772583499999996</v>
      </c>
      <c r="AK217" s="5">
        <f t="shared" si="28"/>
        <v>-20.230279699999983</v>
      </c>
      <c r="AL217" s="5">
        <f t="shared" si="28"/>
        <v>-19.247792000000004</v>
      </c>
    </row>
    <row r="218" spans="1:38" x14ac:dyDescent="0.35">
      <c r="B218" t="s">
        <v>30</v>
      </c>
      <c r="C218" s="5">
        <f t="shared" ref="C218:AL218" si="29">C194-C206</f>
        <v>0</v>
      </c>
      <c r="D218" s="5">
        <f t="shared" si="29"/>
        <v>0</v>
      </c>
      <c r="E218" s="5">
        <f t="shared" si="29"/>
        <v>1.0000003385357559E-6</v>
      </c>
      <c r="F218" s="5">
        <f t="shared" si="29"/>
        <v>9.999994290410541E-7</v>
      </c>
      <c r="G218" s="5">
        <f t="shared" si="29"/>
        <v>0</v>
      </c>
      <c r="H218" s="5">
        <f t="shared" si="29"/>
        <v>1.0000003385357559E-6</v>
      </c>
      <c r="I218" s="5">
        <f t="shared" si="29"/>
        <v>1.0000003385357559E-6</v>
      </c>
      <c r="J218" s="5">
        <f t="shared" si="29"/>
        <v>-6.452607000000171</v>
      </c>
      <c r="K218" s="5">
        <f t="shared" si="29"/>
        <v>-16.527232000000367</v>
      </c>
      <c r="L218" s="5">
        <f t="shared" si="29"/>
        <v>-14.747491000000082</v>
      </c>
      <c r="M218" s="5">
        <f t="shared" si="29"/>
        <v>-5.453179000000091</v>
      </c>
      <c r="N218" s="5">
        <f t="shared" si="29"/>
        <v>5.3877800000000207</v>
      </c>
      <c r="O218" s="5">
        <f t="shared" si="29"/>
        <v>13.996399999999994</v>
      </c>
      <c r="P218" s="5">
        <f t="shared" si="29"/>
        <v>19.610150000000431</v>
      </c>
      <c r="Q218" s="5">
        <f t="shared" si="29"/>
        <v>23.449652999999671</v>
      </c>
      <c r="R218" s="5">
        <f t="shared" si="29"/>
        <v>26.638284999999996</v>
      </c>
      <c r="S218" s="5">
        <f t="shared" si="29"/>
        <v>29.355430000000524</v>
      </c>
      <c r="T218" s="5">
        <f t="shared" si="29"/>
        <v>31.735585999999785</v>
      </c>
      <c r="U218" s="5">
        <f t="shared" si="29"/>
        <v>33.786751999999979</v>
      </c>
      <c r="V218" s="5">
        <f t="shared" si="29"/>
        <v>35.601132999999209</v>
      </c>
      <c r="W218" s="5">
        <f t="shared" si="29"/>
        <v>37.390941999999995</v>
      </c>
      <c r="X218" s="5">
        <f t="shared" si="29"/>
        <v>39.521490999999514</v>
      </c>
      <c r="Y218" s="5">
        <f t="shared" si="29"/>
        <v>42.419005000000652</v>
      </c>
      <c r="Z218" s="5">
        <f t="shared" si="29"/>
        <v>46.482963999999811</v>
      </c>
      <c r="AA218" s="5">
        <f t="shared" si="29"/>
        <v>52.11922499999946</v>
      </c>
      <c r="AB218" s="5">
        <f t="shared" si="29"/>
        <v>59.708308000000216</v>
      </c>
      <c r="AC218" s="5">
        <f t="shared" si="29"/>
        <v>69.831299999999828</v>
      </c>
      <c r="AD218" s="5">
        <f t="shared" si="29"/>
        <v>83.221521999999823</v>
      </c>
      <c r="AE218" s="5">
        <f t="shared" si="29"/>
        <v>100.44237199999952</v>
      </c>
      <c r="AF218" s="5">
        <f t="shared" si="29"/>
        <v>122.01705299999958</v>
      </c>
      <c r="AG218" s="5">
        <f t="shared" si="29"/>
        <v>148.48031400000036</v>
      </c>
      <c r="AH218" s="5">
        <f t="shared" si="29"/>
        <v>180.45069199999944</v>
      </c>
      <c r="AI218" s="5">
        <f t="shared" si="29"/>
        <v>218.61866800000007</v>
      </c>
      <c r="AJ218" s="5">
        <f t="shared" si="29"/>
        <v>263.63374699999986</v>
      </c>
      <c r="AK218" s="5">
        <f t="shared" si="29"/>
        <v>316.16468299999997</v>
      </c>
      <c r="AL218" s="5">
        <f t="shared" si="29"/>
        <v>376.98660399999972</v>
      </c>
    </row>
    <row r="219" spans="1:38" x14ac:dyDescent="0.35">
      <c r="B219" t="s">
        <v>28</v>
      </c>
      <c r="C219" s="5">
        <f t="shared" ref="C219:AL219" si="30">C195-C207</f>
        <v>0</v>
      </c>
      <c r="D219" s="5">
        <f t="shared" si="30"/>
        <v>9.9999965641472954E-8</v>
      </c>
      <c r="E219" s="5">
        <f t="shared" si="30"/>
        <v>9.9999965641472954E-8</v>
      </c>
      <c r="F219" s="5">
        <f t="shared" si="30"/>
        <v>0</v>
      </c>
      <c r="G219" s="5">
        <f t="shared" si="30"/>
        <v>0</v>
      </c>
      <c r="H219" s="5">
        <f t="shared" si="30"/>
        <v>9.9999965641472954E-8</v>
      </c>
      <c r="I219" s="5">
        <f t="shared" si="30"/>
        <v>9.9999965641472954E-8</v>
      </c>
      <c r="J219" s="5">
        <f t="shared" si="30"/>
        <v>-2.2798118999999133</v>
      </c>
      <c r="K219" s="5">
        <f t="shared" si="30"/>
        <v>-6.0820442000000412</v>
      </c>
      <c r="L219" s="5">
        <f t="shared" si="30"/>
        <v>-8.2356723999999986</v>
      </c>
      <c r="M219" s="5">
        <f t="shared" si="30"/>
        <v>-9.3253158999999641</v>
      </c>
      <c r="N219" s="5">
        <f t="shared" si="30"/>
        <v>-9.9197744000000512</v>
      </c>
      <c r="O219" s="5">
        <f t="shared" si="30"/>
        <v>-10.486216600000034</v>
      </c>
      <c r="P219" s="5">
        <f t="shared" si="30"/>
        <v>-11.162037600000076</v>
      </c>
      <c r="Q219" s="5">
        <f t="shared" si="30"/>
        <v>-11.836675099999979</v>
      </c>
      <c r="R219" s="5">
        <f t="shared" si="30"/>
        <v>-12.447568299999944</v>
      </c>
      <c r="S219" s="5">
        <f t="shared" si="30"/>
        <v>-13.208582100000058</v>
      </c>
      <c r="T219" s="5">
        <f t="shared" si="30"/>
        <v>-14.253127599999971</v>
      </c>
      <c r="U219" s="5">
        <f t="shared" si="30"/>
        <v>-15.596543600000018</v>
      </c>
      <c r="V219" s="5">
        <f t="shared" si="30"/>
        <v>-17.180858199999989</v>
      </c>
      <c r="W219" s="5">
        <f t="shared" si="30"/>
        <v>-18.916001700000038</v>
      </c>
      <c r="X219" s="5">
        <f t="shared" si="30"/>
        <v>-20.702535699999999</v>
      </c>
      <c r="Y219" s="5">
        <f t="shared" si="30"/>
        <v>-22.445945499999993</v>
      </c>
      <c r="Z219" s="5">
        <f t="shared" si="30"/>
        <v>-24.073173099999963</v>
      </c>
      <c r="AA219" s="5">
        <f t="shared" si="30"/>
        <v>-25.525110599999948</v>
      </c>
      <c r="AB219" s="5">
        <f t="shared" si="30"/>
        <v>-26.74781089999999</v>
      </c>
      <c r="AC219" s="5">
        <f t="shared" si="30"/>
        <v>-27.653054300000008</v>
      </c>
      <c r="AD219" s="5">
        <f t="shared" si="30"/>
        <v>-28.13715830000001</v>
      </c>
      <c r="AE219" s="5">
        <f t="shared" si="30"/>
        <v>-28.119710499999997</v>
      </c>
      <c r="AF219" s="5">
        <f t="shared" si="30"/>
        <v>-27.532473999999866</v>
      </c>
      <c r="AG219" s="5">
        <f t="shared" si="30"/>
        <v>-26.314927000000125</v>
      </c>
      <c r="AH219" s="5">
        <f t="shared" si="30"/>
        <v>-24.398942000000034</v>
      </c>
      <c r="AI219" s="5">
        <f t="shared" si="30"/>
        <v>-21.706813000000011</v>
      </c>
      <c r="AJ219" s="5">
        <f t="shared" si="30"/>
        <v>-18.174870000000055</v>
      </c>
      <c r="AK219" s="5">
        <f t="shared" si="30"/>
        <v>-13.751927000000023</v>
      </c>
      <c r="AL219" s="5">
        <f t="shared" si="30"/>
        <v>-8.3929120000000239</v>
      </c>
    </row>
    <row r="220" spans="1:38" x14ac:dyDescent="0.35">
      <c r="B220" t="s">
        <v>10</v>
      </c>
      <c r="C220" s="5">
        <f t="shared" ref="C220:AL220" si="31">C196-C208</f>
        <v>0</v>
      </c>
      <c r="D220" s="5">
        <f t="shared" si="31"/>
        <v>0</v>
      </c>
      <c r="E220" s="5">
        <f t="shared" si="31"/>
        <v>0</v>
      </c>
      <c r="F220" s="5">
        <f t="shared" si="31"/>
        <v>9.9999997473787516E-6</v>
      </c>
      <c r="G220" s="5">
        <f t="shared" si="31"/>
        <v>0</v>
      </c>
      <c r="H220" s="5">
        <f t="shared" si="31"/>
        <v>0</v>
      </c>
      <c r="I220" s="5">
        <f t="shared" si="31"/>
        <v>0</v>
      </c>
      <c r="J220" s="5">
        <f t="shared" si="31"/>
        <v>-13.879189999999653</v>
      </c>
      <c r="K220" s="5">
        <f t="shared" si="31"/>
        <v>-38.086859999999433</v>
      </c>
      <c r="L220" s="5">
        <f t="shared" si="31"/>
        <v>-28.349740000001475</v>
      </c>
      <c r="M220" s="5">
        <f t="shared" si="31"/>
        <v>6.4206400000002759</v>
      </c>
      <c r="N220" s="5">
        <f t="shared" si="31"/>
        <v>47.787150000000111</v>
      </c>
      <c r="O220" s="5">
        <f t="shared" si="31"/>
        <v>84.321640000001935</v>
      </c>
      <c r="P220" s="5">
        <f t="shared" si="31"/>
        <v>112.10823999999775</v>
      </c>
      <c r="Q220" s="5">
        <f t="shared" si="31"/>
        <v>132.710070000001</v>
      </c>
      <c r="R220" s="5">
        <f t="shared" si="31"/>
        <v>148.08601999999883</v>
      </c>
      <c r="S220" s="5">
        <f t="shared" si="31"/>
        <v>157.86680000000342</v>
      </c>
      <c r="T220" s="5">
        <f t="shared" si="31"/>
        <v>161.83887999999934</v>
      </c>
      <c r="U220" s="5">
        <f t="shared" si="31"/>
        <v>160.1029800000033</v>
      </c>
      <c r="V220" s="5">
        <f t="shared" si="31"/>
        <v>153.32286000000022</v>
      </c>
      <c r="W220" s="5">
        <f t="shared" si="31"/>
        <v>142.41321999999855</v>
      </c>
      <c r="X220" s="5">
        <f t="shared" si="31"/>
        <v>128.40547999999762</v>
      </c>
      <c r="Y220" s="5">
        <f t="shared" si="31"/>
        <v>112.31634999999733</v>
      </c>
      <c r="Z220" s="5">
        <f t="shared" si="31"/>
        <v>95.148950000002515</v>
      </c>
      <c r="AA220" s="5">
        <f t="shared" si="31"/>
        <v>77.902649999999994</v>
      </c>
      <c r="AB220" s="5">
        <f t="shared" si="31"/>
        <v>61.384869999998045</v>
      </c>
      <c r="AC220" s="5">
        <f t="shared" si="31"/>
        <v>46.910429999999906</v>
      </c>
      <c r="AD220" s="5">
        <f t="shared" si="31"/>
        <v>35.411700000000565</v>
      </c>
      <c r="AE220" s="5">
        <f t="shared" si="31"/>
        <v>27.968069999998988</v>
      </c>
      <c r="AF220" s="5">
        <f t="shared" si="31"/>
        <v>25.806150000000343</v>
      </c>
      <c r="AG220" s="5">
        <f t="shared" si="31"/>
        <v>30.129359999998996</v>
      </c>
      <c r="AH220" s="5">
        <f t="shared" si="31"/>
        <v>42.005419999997684</v>
      </c>
      <c r="AI220" s="5">
        <f t="shared" si="31"/>
        <v>62.407419999999547</v>
      </c>
      <c r="AJ220" s="5">
        <f t="shared" si="31"/>
        <v>92.27697999999873</v>
      </c>
      <c r="AK220" s="5">
        <f t="shared" si="31"/>
        <v>132.57240000000093</v>
      </c>
      <c r="AL220" s="5">
        <f t="shared" si="31"/>
        <v>184.29336999999941</v>
      </c>
    </row>
    <row r="221" spans="1:38" x14ac:dyDescent="0.35">
      <c r="B221" t="s">
        <v>31</v>
      </c>
      <c r="C221" s="5">
        <f>C197-C209</f>
        <v>6.5100001833684473E-8</v>
      </c>
      <c r="D221" s="5">
        <f t="shared" ref="D221:AL221" si="32">D197-D209</f>
        <v>9.3799997102905763E-8</v>
      </c>
      <c r="E221" s="5">
        <f t="shared" si="32"/>
        <v>1.0539999806269407E-7</v>
      </c>
      <c r="F221" s="5">
        <f t="shared" si="32"/>
        <v>1.0430000152439334E-7</v>
      </c>
      <c r="G221" s="5">
        <f t="shared" si="32"/>
        <v>9.7700000978306889E-8</v>
      </c>
      <c r="H221" s="5">
        <f t="shared" si="32"/>
        <v>9.6199999077839493E-8</v>
      </c>
      <c r="I221" s="5">
        <f t="shared" si="32"/>
        <v>9.4299995367919109E-8</v>
      </c>
      <c r="J221" s="5">
        <f t="shared" si="32"/>
        <v>-0.17929299729999926</v>
      </c>
      <c r="K221" s="5">
        <f t="shared" si="32"/>
        <v>-0.44720767699999797</v>
      </c>
      <c r="L221" s="5">
        <f t="shared" si="32"/>
        <v>-0.72573168449999947</v>
      </c>
      <c r="M221" s="5">
        <f t="shared" si="32"/>
        <v>-0.9976310900000005</v>
      </c>
      <c r="N221" s="5">
        <f t="shared" si="32"/>
        <v>-1.2518071122999999</v>
      </c>
      <c r="O221" s="5">
        <f t="shared" si="32"/>
        <v>-1.4877710693000008</v>
      </c>
      <c r="P221" s="5">
        <f t="shared" si="32"/>
        <v>-1.7071196693000026</v>
      </c>
      <c r="Q221" s="5">
        <f t="shared" si="32"/>
        <v>-1.9112533777000031</v>
      </c>
      <c r="R221" s="5">
        <f t="shared" si="32"/>
        <v>-2.1028172909999974</v>
      </c>
      <c r="S221" s="5">
        <f t="shared" si="32"/>
        <v>-2.2959709826999983</v>
      </c>
      <c r="T221" s="5">
        <f t="shared" si="32"/>
        <v>-2.4940638623000027</v>
      </c>
      <c r="U221" s="5">
        <f t="shared" si="32"/>
        <v>-2.6983233897000005</v>
      </c>
      <c r="V221" s="5">
        <f t="shared" si="32"/>
        <v>-2.9087889330000003</v>
      </c>
      <c r="W221" s="5">
        <f t="shared" si="32"/>
        <v>-3.1247881305000007</v>
      </c>
      <c r="X221" s="5">
        <f t="shared" si="32"/>
        <v>-3.346012392300004</v>
      </c>
      <c r="Y221" s="5">
        <f t="shared" si="32"/>
        <v>-3.572312046700004</v>
      </c>
      <c r="Z221" s="5">
        <f t="shared" si="32"/>
        <v>-3.8038890629000051</v>
      </c>
      <c r="AA221" s="5">
        <f t="shared" si="32"/>
        <v>-4.0410859361</v>
      </c>
      <c r="AB221" s="5">
        <f t="shared" si="32"/>
        <v>-4.2834557977000038</v>
      </c>
      <c r="AC221" s="5">
        <f t="shared" si="32"/>
        <v>-4.5300714368999966</v>
      </c>
      <c r="AD221" s="5">
        <f t="shared" si="32"/>
        <v>-4.7820664777000061</v>
      </c>
      <c r="AE221" s="5">
        <f t="shared" si="32"/>
        <v>-5.0403881878999997</v>
      </c>
      <c r="AF221" s="5">
        <f t="shared" si="32"/>
        <v>-5.3054307394999967</v>
      </c>
      <c r="AG221" s="5">
        <f t="shared" si="32"/>
        <v>-5.5769370651999974</v>
      </c>
      <c r="AH221" s="5">
        <f t="shared" si="32"/>
        <v>-5.8541670108999995</v>
      </c>
      <c r="AI221" s="5">
        <f t="shared" si="32"/>
        <v>-6.1361548386000067</v>
      </c>
      <c r="AJ221" s="5">
        <f t="shared" si="32"/>
        <v>-6.4219846379000032</v>
      </c>
      <c r="AK221" s="5">
        <f t="shared" si="32"/>
        <v>-6.7108500047000064</v>
      </c>
      <c r="AL221" s="5">
        <f t="shared" si="32"/>
        <v>-7.0020812227999958</v>
      </c>
    </row>
    <row r="222" spans="1:38" x14ac:dyDescent="0.35">
      <c r="B222" t="s">
        <v>36</v>
      </c>
      <c r="C222" s="5">
        <f>C198-C210</f>
        <v>-9.5099999875003505E-8</v>
      </c>
      <c r="D222" s="5">
        <f t="shared" ref="D222:AL222" si="33">D198-D210</f>
        <v>-1.4379999946356747E-7</v>
      </c>
      <c r="E222" s="5">
        <f t="shared" si="33"/>
        <v>-1.6539999947440265E-7</v>
      </c>
      <c r="F222" s="5">
        <f t="shared" si="33"/>
        <v>-1.7429999932261353E-7</v>
      </c>
      <c r="G222" s="5">
        <f t="shared" si="33"/>
        <v>-1.7770000049210921E-7</v>
      </c>
      <c r="H222" s="5">
        <f t="shared" si="33"/>
        <v>-1.7619999947982024E-7</v>
      </c>
      <c r="I222" s="5">
        <f t="shared" si="33"/>
        <v>-1.7429999932261353E-7</v>
      </c>
      <c r="J222" s="5">
        <f t="shared" si="33"/>
        <v>0.84481248729999958</v>
      </c>
      <c r="K222" s="5">
        <f t="shared" si="33"/>
        <v>2.1490970669999996</v>
      </c>
      <c r="L222" s="5">
        <f t="shared" si="33"/>
        <v>3.7305758045000008</v>
      </c>
      <c r="M222" s="5">
        <f t="shared" si="33"/>
        <v>5.4654686499999992</v>
      </c>
      <c r="N222" s="5">
        <f t="shared" si="33"/>
        <v>7.2738173023000003</v>
      </c>
      <c r="O222" s="5">
        <f t="shared" si="33"/>
        <v>9.102137839300001</v>
      </c>
      <c r="P222" s="5">
        <f t="shared" si="33"/>
        <v>10.920572219300002</v>
      </c>
      <c r="Q222" s="5">
        <f t="shared" si="33"/>
        <v>12.717940837700002</v>
      </c>
      <c r="R222" s="5">
        <f t="shared" si="33"/>
        <v>14.494136490999999</v>
      </c>
      <c r="S222" s="5">
        <f t="shared" si="33"/>
        <v>16.2482016827</v>
      </c>
      <c r="T222" s="5">
        <f t="shared" si="33"/>
        <v>17.987003322300001</v>
      </c>
      <c r="U222" s="5">
        <f t="shared" si="33"/>
        <v>19.7220417397</v>
      </c>
      <c r="V222" s="5">
        <f t="shared" si="33"/>
        <v>21.466250723000002</v>
      </c>
      <c r="W222" s="5">
        <f t="shared" si="33"/>
        <v>23.2312276605</v>
      </c>
      <c r="X222" s="5">
        <f t="shared" si="33"/>
        <v>25.029963192300002</v>
      </c>
      <c r="Y222" s="5">
        <f t="shared" si="33"/>
        <v>26.875010476699998</v>
      </c>
      <c r="Z222" s="5">
        <f t="shared" si="33"/>
        <v>28.777906242900002</v>
      </c>
      <c r="AA222" s="5">
        <f t="shared" si="33"/>
        <v>30.748916836100001</v>
      </c>
      <c r="AB222" s="5">
        <f t="shared" si="33"/>
        <v>32.793273597700001</v>
      </c>
      <c r="AC222" s="5">
        <f t="shared" si="33"/>
        <v>34.923053166899997</v>
      </c>
      <c r="AD222" s="5">
        <f t="shared" si="33"/>
        <v>37.153831307700003</v>
      </c>
      <c r="AE222" s="5">
        <f t="shared" si="33"/>
        <v>39.5017065479</v>
      </c>
      <c r="AF222" s="5">
        <f t="shared" si="33"/>
        <v>41.9809859995</v>
      </c>
      <c r="AG222" s="5">
        <f t="shared" si="33"/>
        <v>44.604229715199999</v>
      </c>
      <c r="AH222" s="5">
        <f t="shared" si="33"/>
        <v>47.385281880900003</v>
      </c>
      <c r="AI222" s="5">
        <f t="shared" si="33"/>
        <v>50.342203608600002</v>
      </c>
      <c r="AJ222" s="5">
        <f t="shared" si="33"/>
        <v>53.498437397900005</v>
      </c>
      <c r="AK222" s="5">
        <f t="shared" si="33"/>
        <v>56.886026104700008</v>
      </c>
      <c r="AL222" s="5">
        <f t="shared" si="33"/>
        <v>60.551980232799991</v>
      </c>
    </row>
    <row r="223" spans="1:38" x14ac:dyDescent="0.35">
      <c r="B223" t="s">
        <v>11</v>
      </c>
      <c r="C223" s="5">
        <f>C199-C211</f>
        <v>1.0000007932831068E-8</v>
      </c>
      <c r="D223" s="5">
        <f t="shared" ref="D223:AL223" si="34">D199-D211</f>
        <v>0</v>
      </c>
      <c r="E223" s="5">
        <f t="shared" si="34"/>
        <v>1.0000007932831068E-8</v>
      </c>
      <c r="F223" s="5">
        <f t="shared" si="34"/>
        <v>9.9999937219763524E-9</v>
      </c>
      <c r="G223" s="5">
        <f t="shared" si="34"/>
        <v>0</v>
      </c>
      <c r="H223" s="5">
        <f t="shared" si="34"/>
        <v>0</v>
      </c>
      <c r="I223" s="5">
        <f t="shared" si="34"/>
        <v>-9.9999937219763524E-9</v>
      </c>
      <c r="J223" s="5">
        <f t="shared" si="34"/>
        <v>1.4214697400000063</v>
      </c>
      <c r="K223" s="5">
        <f t="shared" si="34"/>
        <v>3.8056099399999965</v>
      </c>
      <c r="L223" s="5">
        <f t="shared" si="34"/>
        <v>6.9899822300000096</v>
      </c>
      <c r="M223" s="5">
        <f t="shared" si="34"/>
        <v>10.646886240000001</v>
      </c>
      <c r="N223" s="5">
        <f t="shared" si="34"/>
        <v>14.358225099999999</v>
      </c>
      <c r="O223" s="5">
        <f t="shared" si="34"/>
        <v>17.952170590000009</v>
      </c>
      <c r="P223" s="5">
        <f t="shared" si="34"/>
        <v>21.410394830000001</v>
      </c>
      <c r="Q223" s="5">
        <f t="shared" si="34"/>
        <v>24.796269299999992</v>
      </c>
      <c r="R223" s="5">
        <f t="shared" si="34"/>
        <v>28.187727230000007</v>
      </c>
      <c r="S223" s="5">
        <f t="shared" si="34"/>
        <v>31.67139684</v>
      </c>
      <c r="T223" s="5">
        <f t="shared" si="34"/>
        <v>35.324257130000007</v>
      </c>
      <c r="U223" s="5">
        <f t="shared" si="34"/>
        <v>39.193443649999992</v>
      </c>
      <c r="V223" s="5">
        <f t="shared" si="34"/>
        <v>43.322362020000014</v>
      </c>
      <c r="W223" s="5">
        <f t="shared" si="34"/>
        <v>47.755865130000004</v>
      </c>
      <c r="X223" s="5">
        <f t="shared" si="34"/>
        <v>52.560808400000013</v>
      </c>
      <c r="Y223" s="5">
        <f t="shared" si="34"/>
        <v>57.816428749999986</v>
      </c>
      <c r="Z223" s="5">
        <f t="shared" si="34"/>
        <v>63.608333569999999</v>
      </c>
      <c r="AA223" s="5">
        <f t="shared" si="34"/>
        <v>70.027902609999984</v>
      </c>
      <c r="AB223" s="5">
        <f t="shared" si="34"/>
        <v>77.153243449999991</v>
      </c>
      <c r="AC223" s="5">
        <f t="shared" si="34"/>
        <v>85.139249310000011</v>
      </c>
      <c r="AD223" s="5">
        <f t="shared" si="34"/>
        <v>94.154595340000014</v>
      </c>
      <c r="AE223" s="5">
        <f t="shared" si="34"/>
        <v>104.38666133000001</v>
      </c>
      <c r="AF223" s="5">
        <f t="shared" si="34"/>
        <v>116.03582071</v>
      </c>
      <c r="AG223" s="5">
        <f t="shared" si="34"/>
        <v>129.32087702999999</v>
      </c>
      <c r="AH223" s="5">
        <f t="shared" si="34"/>
        <v>144.50352361</v>
      </c>
      <c r="AI223" s="5">
        <f t="shared" si="34"/>
        <v>161.91367951999999</v>
      </c>
      <c r="AJ223" s="5">
        <f t="shared" si="34"/>
        <v>181.96343752000001</v>
      </c>
      <c r="AK223" s="5">
        <f t="shared" si="34"/>
        <v>205.17500713999999</v>
      </c>
      <c r="AL223" s="5">
        <f t="shared" si="34"/>
        <v>232.22163151999996</v>
      </c>
    </row>
    <row r="225" spans="1:3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38" x14ac:dyDescent="0.35">
      <c r="A226" t="s">
        <v>87</v>
      </c>
      <c r="B226" t="s">
        <v>27</v>
      </c>
      <c r="C226" s="6">
        <f t="shared" ref="C226:C232" si="35">R216</f>
        <v>199.67509000000064</v>
      </c>
      <c r="D226" s="6">
        <f t="shared" ref="D226:D232" si="36">AB216</f>
        <v>187.01436000000103</v>
      </c>
      <c r="E226" s="6">
        <f>AL216</f>
        <v>819.41080000000511</v>
      </c>
    </row>
    <row r="227" spans="1:38" x14ac:dyDescent="0.35">
      <c r="B227" t="s">
        <v>7</v>
      </c>
      <c r="C227" s="6">
        <f t="shared" si="35"/>
        <v>-3.1806888999999501</v>
      </c>
      <c r="D227" s="6">
        <f t="shared" si="36"/>
        <v>-12.994059900000025</v>
      </c>
      <c r="E227" s="6">
        <f t="shared" ref="E227:E231" si="37">AL217</f>
        <v>-19.247792000000004</v>
      </c>
    </row>
    <row r="228" spans="1:38" x14ac:dyDescent="0.35">
      <c r="B228" t="s">
        <v>30</v>
      </c>
      <c r="C228" s="6">
        <f t="shared" si="35"/>
        <v>26.638284999999996</v>
      </c>
      <c r="D228" s="6">
        <f t="shared" si="36"/>
        <v>59.708308000000216</v>
      </c>
      <c r="E228" s="6">
        <f t="shared" si="37"/>
        <v>376.98660399999972</v>
      </c>
    </row>
    <row r="229" spans="1:38" x14ac:dyDescent="0.35">
      <c r="B229" t="s">
        <v>28</v>
      </c>
      <c r="C229" s="6">
        <f t="shared" si="35"/>
        <v>-12.447568299999944</v>
      </c>
      <c r="D229" s="6">
        <f t="shared" si="36"/>
        <v>-26.74781089999999</v>
      </c>
      <c r="E229" s="6">
        <f t="shared" si="37"/>
        <v>-8.3929120000000239</v>
      </c>
    </row>
    <row r="230" spans="1:38" x14ac:dyDescent="0.35">
      <c r="B230" t="s">
        <v>10</v>
      </c>
      <c r="C230" s="6">
        <f t="shared" si="35"/>
        <v>148.08601999999883</v>
      </c>
      <c r="D230" s="6">
        <f t="shared" si="36"/>
        <v>61.384869999998045</v>
      </c>
      <c r="E230" s="6">
        <f t="shared" si="37"/>
        <v>184.29336999999941</v>
      </c>
    </row>
    <row r="231" spans="1:38" x14ac:dyDescent="0.35">
      <c r="B231" t="s">
        <v>29</v>
      </c>
      <c r="C231" s="1">
        <f t="shared" si="35"/>
        <v>-2.1028172909999974</v>
      </c>
      <c r="D231" s="1">
        <f t="shared" si="36"/>
        <v>-4.2834557977000038</v>
      </c>
      <c r="E231" s="1">
        <f t="shared" si="37"/>
        <v>-7.0020812227999958</v>
      </c>
    </row>
    <row r="232" spans="1:38" x14ac:dyDescent="0.35">
      <c r="B232" t="s">
        <v>32</v>
      </c>
      <c r="C232" s="1">
        <f t="shared" si="35"/>
        <v>14.494136490999999</v>
      </c>
      <c r="D232" s="1">
        <f t="shared" si="36"/>
        <v>32.793273597700001</v>
      </c>
      <c r="E232" s="1">
        <f t="shared" ref="E232" si="38">AL222</f>
        <v>60.551980232799991</v>
      </c>
    </row>
    <row r="233" spans="1:38" x14ac:dyDescent="0.35">
      <c r="B233" t="s">
        <v>33</v>
      </c>
      <c r="C233" s="1">
        <f t="shared" ref="C233" si="39">R223</f>
        <v>28.187727230000007</v>
      </c>
      <c r="D233" s="1">
        <f t="shared" ref="D233" si="40">AB223</f>
        <v>77.153243449999991</v>
      </c>
      <c r="E233" s="1">
        <f t="shared" ref="E233" si="41">AL223</f>
        <v>232.22163151999996</v>
      </c>
    </row>
    <row r="235" spans="1:38" x14ac:dyDescent="0.35">
      <c r="A235" s="12" t="s">
        <v>43</v>
      </c>
      <c r="B235" t="s">
        <v>26</v>
      </c>
      <c r="C235" s="5">
        <f>C236+C237+C238+C239</f>
        <v>97.392837807999996</v>
      </c>
      <c r="D235" s="5">
        <f t="shared" ref="D235:AL235" si="42">D236+D237+D238+D239</f>
        <v>98.637630664999989</v>
      </c>
      <c r="E235" s="5">
        <f t="shared" si="42"/>
        <v>100.064323789</v>
      </c>
      <c r="F235" s="5">
        <f t="shared" si="42"/>
        <v>101.514681385</v>
      </c>
      <c r="G235" s="5">
        <f t="shared" si="42"/>
        <v>103.344361316</v>
      </c>
      <c r="H235" s="5">
        <f t="shared" si="42"/>
        <v>105.51882116600001</v>
      </c>
      <c r="I235" s="5">
        <f t="shared" si="42"/>
        <v>107.769481645</v>
      </c>
      <c r="J235" s="5">
        <f t="shared" si="42"/>
        <v>108.450744257</v>
      </c>
      <c r="K235" s="5">
        <f t="shared" si="42"/>
        <v>108.804581523</v>
      </c>
      <c r="L235" s="5">
        <f t="shared" si="42"/>
        <v>109.63069241599999</v>
      </c>
      <c r="M235" s="5">
        <f t="shared" si="42"/>
        <v>110.520914844</v>
      </c>
      <c r="N235" s="5">
        <f t="shared" si="42"/>
        <v>111.187267275</v>
      </c>
      <c r="O235" s="5">
        <f t="shared" si="42"/>
        <v>111.629845905</v>
      </c>
      <c r="P235" s="5">
        <f t="shared" si="42"/>
        <v>111.92360232999999</v>
      </c>
      <c r="Q235" s="5">
        <f t="shared" si="42"/>
        <v>112.18113351</v>
      </c>
      <c r="R235" s="5">
        <f t="shared" si="42"/>
        <v>112.47511763900002</v>
      </c>
      <c r="S235" s="5">
        <f t="shared" si="42"/>
        <v>112.84038688000001</v>
      </c>
      <c r="T235" s="5">
        <f t="shared" si="42"/>
        <v>113.335936327</v>
      </c>
      <c r="U235" s="5">
        <f t="shared" si="42"/>
        <v>114.019777264</v>
      </c>
      <c r="V235" s="5">
        <f t="shared" si="42"/>
        <v>114.932153157</v>
      </c>
      <c r="W235" s="5">
        <f t="shared" si="42"/>
        <v>116.084423339</v>
      </c>
      <c r="X235" s="5">
        <f t="shared" si="42"/>
        <v>117.543589193</v>
      </c>
      <c r="Y235" s="5">
        <f t="shared" si="42"/>
        <v>119.34113641</v>
      </c>
      <c r="Z235" s="5">
        <f t="shared" si="42"/>
        <v>121.498288234</v>
      </c>
      <c r="AA235" s="5">
        <f t="shared" si="42"/>
        <v>124.023799868</v>
      </c>
      <c r="AB235" s="5">
        <f t="shared" si="42"/>
        <v>126.85851378699999</v>
      </c>
      <c r="AC235" s="5">
        <f t="shared" si="42"/>
        <v>130.09188583599999</v>
      </c>
      <c r="AD235" s="5">
        <f t="shared" si="42"/>
        <v>133.77532566099998</v>
      </c>
      <c r="AE235" s="5">
        <f t="shared" si="42"/>
        <v>137.93151658799999</v>
      </c>
      <c r="AF235" s="5">
        <f t="shared" si="42"/>
        <v>142.54554480900001</v>
      </c>
      <c r="AG235" s="5">
        <f t="shared" si="42"/>
        <v>147.589529575</v>
      </c>
      <c r="AH235" s="5">
        <f t="shared" si="42"/>
        <v>153.05596736400003</v>
      </c>
      <c r="AI235" s="5">
        <f t="shared" si="42"/>
        <v>158.96324700899999</v>
      </c>
      <c r="AJ235" s="5">
        <f t="shared" si="42"/>
        <v>165.343824063</v>
      </c>
      <c r="AK235" s="5">
        <f t="shared" si="42"/>
        <v>172.25667063100002</v>
      </c>
      <c r="AL235" s="5">
        <f t="shared" si="42"/>
        <v>179.80693092499999</v>
      </c>
    </row>
    <row r="236" spans="1:38" x14ac:dyDescent="0.35">
      <c r="A236" t="s">
        <v>39</v>
      </c>
      <c r="B236" t="s">
        <v>7</v>
      </c>
      <c r="C236" s="5">
        <f>[1]Results!F378</f>
        <v>4.8754571579999997</v>
      </c>
      <c r="D236" s="5">
        <f>[1]Results!G378</f>
        <v>4.929970215</v>
      </c>
      <c r="E236" s="5">
        <f>[1]Results!H378</f>
        <v>4.9965410290000003</v>
      </c>
      <c r="F236" s="5">
        <f>[1]Results!I378</f>
        <v>5.071356615</v>
      </c>
      <c r="G236" s="5">
        <f>[1]Results!J378</f>
        <v>5.1670653059999996</v>
      </c>
      <c r="H236" s="5">
        <f>[1]Results!K378</f>
        <v>5.2818388360000004</v>
      </c>
      <c r="I236" s="5">
        <f>[1]Results!L378</f>
        <v>5.4060120349999998</v>
      </c>
      <c r="J236" s="5">
        <f>[1]Results!M378</f>
        <v>5.4620133170000003</v>
      </c>
      <c r="K236" s="5">
        <f>[1]Results!N378</f>
        <v>5.4978872729999999</v>
      </c>
      <c r="L236" s="5">
        <f>[1]Results!O378</f>
        <v>5.5492284160000001</v>
      </c>
      <c r="M236" s="5">
        <f>[1]Results!P378</f>
        <v>5.601884944</v>
      </c>
      <c r="N236" s="5">
        <f>[1]Results!Q378</f>
        <v>5.6470757049999998</v>
      </c>
      <c r="O236" s="5">
        <f>[1]Results!R378</f>
        <v>5.6841359049999998</v>
      </c>
      <c r="P236" s="5">
        <f>[1]Results!S378</f>
        <v>5.7149207899999999</v>
      </c>
      <c r="Q236" s="5">
        <f>[1]Results!T378</f>
        <v>5.7430537399999997</v>
      </c>
      <c r="R236" s="5">
        <f>[1]Results!U378</f>
        <v>5.7711457089999998</v>
      </c>
      <c r="S236" s="5">
        <f>[1]Results!V378</f>
        <v>5.7990842799999998</v>
      </c>
      <c r="T236" s="5">
        <f>[1]Results!W378</f>
        <v>5.8301038070000004</v>
      </c>
      <c r="U236" s="5">
        <f>[1]Results!X378</f>
        <v>5.8677454039999999</v>
      </c>
      <c r="V236" s="5">
        <f>[1]Results!Y378</f>
        <v>5.9148300569999996</v>
      </c>
      <c r="W236" s="5">
        <f>[1]Results!Z378</f>
        <v>5.9726872889999996</v>
      </c>
      <c r="X236" s="5">
        <f>[1]Results!AA378</f>
        <v>6.0449321429999996</v>
      </c>
      <c r="Y236" s="5">
        <f>[1]Results!AB378</f>
        <v>6.1340517200000004</v>
      </c>
      <c r="Z236" s="5">
        <f>[1]Results!AC378</f>
        <v>6.2419019039999997</v>
      </c>
      <c r="AA236" s="5">
        <f>[1]Results!AD378</f>
        <v>6.3697437680000002</v>
      </c>
      <c r="AB236" s="5">
        <f>[1]Results!AE378</f>
        <v>6.5154521169999997</v>
      </c>
      <c r="AC236" s="5">
        <f>[1]Results!AF378</f>
        <v>6.6821551259999996</v>
      </c>
      <c r="AD236" s="5">
        <f>[1]Results!AG378</f>
        <v>6.8737586210000003</v>
      </c>
      <c r="AE236" s="5">
        <f>[1]Results!AH378</f>
        <v>7.0925303179999997</v>
      </c>
      <c r="AF236" s="5">
        <f>[1]Results!AI378</f>
        <v>7.3390664289999998</v>
      </c>
      <c r="AG236" s="5">
        <f>[1]Results!AJ378</f>
        <v>7.6131898150000001</v>
      </c>
      <c r="AH236" s="5">
        <f>[1]Results!AK378</f>
        <v>7.9152102040000001</v>
      </c>
      <c r="AI236" s="5">
        <f>[1]Results!AL378</f>
        <v>8.246334719</v>
      </c>
      <c r="AJ236" s="5">
        <f>[1]Results!AM378</f>
        <v>8.6085360929999997</v>
      </c>
      <c r="AK236" s="5">
        <f>[1]Results!AN378</f>
        <v>9.005009051</v>
      </c>
      <c r="AL236" s="5">
        <f>[1]Results!AO378</f>
        <v>9.4408292950000003</v>
      </c>
    </row>
    <row r="237" spans="1:38" x14ac:dyDescent="0.35">
      <c r="B237" t="s">
        <v>8</v>
      </c>
      <c r="C237" s="5">
        <f>[1]Results!F390</f>
        <v>43.906102959999998</v>
      </c>
      <c r="D237" s="5">
        <f>[1]Results!G390</f>
        <v>44.522886389999996</v>
      </c>
      <c r="E237" s="5">
        <f>[1]Results!H390</f>
        <v>45.220709990000003</v>
      </c>
      <c r="F237" s="5">
        <f>[1]Results!I390</f>
        <v>45.906374810000003</v>
      </c>
      <c r="G237" s="5">
        <f>[1]Results!J390</f>
        <v>46.778420070000003</v>
      </c>
      <c r="H237" s="5">
        <f>[1]Results!K390</f>
        <v>47.822546809999999</v>
      </c>
      <c r="I237" s="5">
        <f>[1]Results!L390</f>
        <v>48.892880839999997</v>
      </c>
      <c r="J237" s="5">
        <f>[1]Results!M390</f>
        <v>49.039731019999998</v>
      </c>
      <c r="K237" s="5">
        <f>[1]Results!N390</f>
        <v>48.983378399999999</v>
      </c>
      <c r="L237" s="5">
        <f>[1]Results!O390</f>
        <v>49.186534979999998</v>
      </c>
      <c r="M237" s="5">
        <f>[1]Results!P390</f>
        <v>49.392307940000002</v>
      </c>
      <c r="N237" s="5">
        <f>[1]Results!Q390</f>
        <v>49.469221619999999</v>
      </c>
      <c r="O237" s="5">
        <f>[1]Results!R390</f>
        <v>49.429473139999999</v>
      </c>
      <c r="P237" s="5">
        <f>[1]Results!S390</f>
        <v>49.326290559999997</v>
      </c>
      <c r="Q237" s="5">
        <f>[1]Results!T390</f>
        <v>49.228390140000002</v>
      </c>
      <c r="R237" s="5">
        <f>[1]Results!U390</f>
        <v>49.175596779999999</v>
      </c>
      <c r="S237" s="5">
        <f>[1]Results!V390</f>
        <v>49.18783956</v>
      </c>
      <c r="T237" s="5">
        <f>[1]Results!W390</f>
        <v>49.29004484</v>
      </c>
      <c r="U237" s="5">
        <f>[1]Results!X390</f>
        <v>49.507437869999997</v>
      </c>
      <c r="V237" s="5">
        <f>[1]Results!Y390</f>
        <v>49.85495306</v>
      </c>
      <c r="W237" s="5">
        <f>[1]Results!Z390</f>
        <v>50.338914430000003</v>
      </c>
      <c r="X237" s="5">
        <f>[1]Results!AA390</f>
        <v>50.979462339999998</v>
      </c>
      <c r="Y237" s="5">
        <f>[1]Results!AB390</f>
        <v>51.79105929</v>
      </c>
      <c r="Z237" s="5">
        <f>[1]Results!AC390</f>
        <v>52.780888969999999</v>
      </c>
      <c r="AA237" s="5">
        <f>[1]Results!AD390</f>
        <v>53.949424479999998</v>
      </c>
      <c r="AB237" s="5">
        <f>[1]Results!AE390</f>
        <v>55.279960690000003</v>
      </c>
      <c r="AC237" s="5">
        <f>[1]Results!AF390</f>
        <v>56.7941097</v>
      </c>
      <c r="AD237" s="5">
        <f>[1]Results!AG390</f>
        <v>58.521301610000002</v>
      </c>
      <c r="AE237" s="5">
        <f>[1]Results!AH390</f>
        <v>60.47053184</v>
      </c>
      <c r="AF237" s="5">
        <f>[1]Results!AI390</f>
        <v>62.630017160000001</v>
      </c>
      <c r="AG237" s="5">
        <f>[1]Results!AJ390</f>
        <v>64.982340170000001</v>
      </c>
      <c r="AH237" s="5">
        <f>[1]Results!AK390</f>
        <v>67.522704160000004</v>
      </c>
      <c r="AI237" s="5">
        <f>[1]Results!AL390</f>
        <v>70.261189700000003</v>
      </c>
      <c r="AJ237" s="5">
        <f>[1]Results!AM390</f>
        <v>73.215884360000004</v>
      </c>
      <c r="AK237" s="5">
        <f>[1]Results!AN390</f>
        <v>76.419698960000005</v>
      </c>
      <c r="AL237" s="5">
        <f>[1]Results!AO390</f>
        <v>79.931752990000007</v>
      </c>
    </row>
    <row r="238" spans="1:38" x14ac:dyDescent="0.35">
      <c r="B238" t="s">
        <v>28</v>
      </c>
      <c r="C238" s="5">
        <f>[1]Results!F366</f>
        <v>26.32744194</v>
      </c>
      <c r="D238" s="5">
        <f>[1]Results!G366</f>
        <v>26.790760129999999</v>
      </c>
      <c r="E238" s="5">
        <f>[1]Results!H366</f>
        <v>27.31135789</v>
      </c>
      <c r="F238" s="5">
        <f>[1]Results!I366</f>
        <v>27.863346190000001</v>
      </c>
      <c r="G238" s="5">
        <f>[1]Results!J366</f>
        <v>28.45938932</v>
      </c>
      <c r="H238" s="5">
        <f>[1]Results!K366</f>
        <v>29.098285950000001</v>
      </c>
      <c r="I238" s="5">
        <f>[1]Results!L366</f>
        <v>29.75405992</v>
      </c>
      <c r="J238" s="5">
        <f>[1]Results!M366</f>
        <v>30.2476479</v>
      </c>
      <c r="K238" s="5">
        <f>[1]Results!N366</f>
        <v>30.702726779999999</v>
      </c>
      <c r="L238" s="5">
        <f>[1]Results!O366</f>
        <v>31.28569229</v>
      </c>
      <c r="M238" s="5">
        <f>[1]Results!P366</f>
        <v>31.88073911</v>
      </c>
      <c r="N238" s="5">
        <f>[1]Results!Q366</f>
        <v>32.378628820000003</v>
      </c>
      <c r="O238" s="5">
        <f>[1]Results!R366</f>
        <v>32.783556490000002</v>
      </c>
      <c r="P238" s="5">
        <f>[1]Results!S366</f>
        <v>33.119936029999998</v>
      </c>
      <c r="Q238" s="5">
        <f>[1]Results!T366</f>
        <v>33.421389900000001</v>
      </c>
      <c r="R238" s="5">
        <f>[1]Results!U366</f>
        <v>33.710779760000001</v>
      </c>
      <c r="S238" s="5">
        <f>[1]Results!V366</f>
        <v>34.001202120000002</v>
      </c>
      <c r="T238" s="5">
        <f>[1]Results!W366</f>
        <v>34.313606270000001</v>
      </c>
      <c r="U238" s="5">
        <f>[1]Results!X366</f>
        <v>34.666018999999999</v>
      </c>
      <c r="V238" s="5">
        <f>[1]Results!Y366</f>
        <v>35.070089289999999</v>
      </c>
      <c r="W238" s="5">
        <f>[1]Results!Z366</f>
        <v>35.527701499999999</v>
      </c>
      <c r="X238" s="5">
        <f>[1]Results!AA366</f>
        <v>36.058275600000002</v>
      </c>
      <c r="Y238" s="5">
        <f>[1]Results!AB366</f>
        <v>36.670159140000003</v>
      </c>
      <c r="Z238" s="5">
        <f>[1]Results!AC366</f>
        <v>37.368593779999998</v>
      </c>
      <c r="AA238" s="5">
        <f>[1]Results!AD366</f>
        <v>38.154751050000002</v>
      </c>
      <c r="AB238" s="5">
        <f>[1]Results!AE366</f>
        <v>39.007466880000003</v>
      </c>
      <c r="AC238" s="5">
        <f>[1]Results!AF366</f>
        <v>39.954617980000002</v>
      </c>
      <c r="AD238" s="5">
        <f>[1]Results!AG366</f>
        <v>41.007558179999997</v>
      </c>
      <c r="AE238" s="5">
        <f>[1]Results!AH366</f>
        <v>42.171183730000003</v>
      </c>
      <c r="AF238" s="5">
        <f>[1]Results!AI366</f>
        <v>43.439758410000003</v>
      </c>
      <c r="AG238" s="5">
        <f>[1]Results!AJ366</f>
        <v>44.802653540000001</v>
      </c>
      <c r="AH238" s="5">
        <f>[1]Results!AK366</f>
        <v>46.253275520000003</v>
      </c>
      <c r="AI238" s="5">
        <f>[1]Results!AL366</f>
        <v>47.790274320000002</v>
      </c>
      <c r="AJ238" s="5">
        <f>[1]Results!AM366</f>
        <v>49.413272589999998</v>
      </c>
      <c r="AK238" s="5">
        <f>[1]Results!AN366</f>
        <v>51.123972270000003</v>
      </c>
      <c r="AL238" s="5">
        <f>[1]Results!AO366</f>
        <v>52.927701380000002</v>
      </c>
    </row>
    <row r="239" spans="1:38" x14ac:dyDescent="0.35">
      <c r="B239" t="s">
        <v>10</v>
      </c>
      <c r="C239" s="5">
        <f>[1]Results!F402</f>
        <v>22.283835750000001</v>
      </c>
      <c r="D239" s="5">
        <f>[1]Results!G402</f>
        <v>22.39401393</v>
      </c>
      <c r="E239" s="5">
        <f>[1]Results!H402</f>
        <v>22.53571488</v>
      </c>
      <c r="F239" s="5">
        <f>[1]Results!I402</f>
        <v>22.67360377</v>
      </c>
      <c r="G239" s="5">
        <f>[1]Results!J402</f>
        <v>22.93948662</v>
      </c>
      <c r="H239" s="5">
        <f>[1]Results!K402</f>
        <v>23.31614957</v>
      </c>
      <c r="I239" s="5">
        <f>[1]Results!L402</f>
        <v>23.71652885</v>
      </c>
      <c r="J239" s="5">
        <f>[1]Results!M402</f>
        <v>23.701352020000002</v>
      </c>
      <c r="K239" s="5">
        <f>[1]Results!N402</f>
        <v>23.620589070000001</v>
      </c>
      <c r="L239" s="5">
        <f>[1]Results!O402</f>
        <v>23.609236729999999</v>
      </c>
      <c r="M239" s="5">
        <f>[1]Results!P402</f>
        <v>23.645982849999999</v>
      </c>
      <c r="N239" s="5">
        <f>[1]Results!Q402</f>
        <v>23.692341129999999</v>
      </c>
      <c r="O239" s="5">
        <f>[1]Results!R402</f>
        <v>23.732680370000001</v>
      </c>
      <c r="P239" s="5">
        <f>[1]Results!S402</f>
        <v>23.762454949999999</v>
      </c>
      <c r="Q239" s="5">
        <f>[1]Results!T402</f>
        <v>23.788299729999999</v>
      </c>
      <c r="R239" s="5">
        <f>[1]Results!U402</f>
        <v>23.817595390000001</v>
      </c>
      <c r="S239" s="5">
        <f>[1]Results!V402</f>
        <v>23.852260919999999</v>
      </c>
      <c r="T239" s="5">
        <f>[1]Results!W402</f>
        <v>23.902181410000001</v>
      </c>
      <c r="U239" s="5">
        <f>[1]Results!X402</f>
        <v>23.978574989999998</v>
      </c>
      <c r="V239" s="5">
        <f>[1]Results!Y402</f>
        <v>24.09228075</v>
      </c>
      <c r="W239" s="5">
        <f>[1]Results!Z402</f>
        <v>24.245120119999999</v>
      </c>
      <c r="X239" s="5">
        <f>[1]Results!AA402</f>
        <v>24.460919109999999</v>
      </c>
      <c r="Y239" s="5">
        <f>[1]Results!AB402</f>
        <v>24.74586626</v>
      </c>
      <c r="Z239" s="5">
        <f>[1]Results!AC402</f>
        <v>25.106903580000001</v>
      </c>
      <c r="AA239" s="5">
        <f>[1]Results!AD402</f>
        <v>25.549880569999999</v>
      </c>
      <c r="AB239" s="5">
        <f>[1]Results!AE402</f>
        <v>26.055634099999999</v>
      </c>
      <c r="AC239" s="5">
        <f>[1]Results!AF402</f>
        <v>26.66100303</v>
      </c>
      <c r="AD239" s="5">
        <f>[1]Results!AG402</f>
        <v>27.372707250000001</v>
      </c>
      <c r="AE239" s="5">
        <f>[1]Results!AH402</f>
        <v>28.197270700000001</v>
      </c>
      <c r="AF239" s="5">
        <f>[1]Results!AI402</f>
        <v>29.136702809999999</v>
      </c>
      <c r="AG239" s="5">
        <f>[1]Results!AJ402</f>
        <v>30.19134605</v>
      </c>
      <c r="AH239" s="5">
        <f>[1]Results!AK402</f>
        <v>31.364777480000001</v>
      </c>
      <c r="AI239" s="5">
        <f>[1]Results!AL402</f>
        <v>32.665448269999999</v>
      </c>
      <c r="AJ239" s="5">
        <f>[1]Results!AM402</f>
        <v>34.106131019999999</v>
      </c>
      <c r="AK239" s="5">
        <f>[1]Results!AN402</f>
        <v>35.707990350000003</v>
      </c>
      <c r="AL239" s="5">
        <f>[1]Results!AO402</f>
        <v>37.506647260000001</v>
      </c>
    </row>
    <row r="240" spans="1:38" x14ac:dyDescent="0.35">
      <c r="B240" t="s">
        <v>44</v>
      </c>
      <c r="C240" s="5">
        <f>[1]Results!F353</f>
        <v>64.30144018</v>
      </c>
      <c r="D240" s="5">
        <f>[1]Results!G353</f>
        <v>63.915394069999998</v>
      </c>
      <c r="E240" s="5">
        <f>[1]Results!H353</f>
        <v>63.397739559999998</v>
      </c>
      <c r="F240" s="5">
        <f>[1]Results!I353</f>
        <v>62.86999677</v>
      </c>
      <c r="G240" s="5">
        <f>[1]Results!J353</f>
        <v>62.559494999999998</v>
      </c>
      <c r="H240" s="5">
        <f>[1]Results!K353</f>
        <v>62.398900349999998</v>
      </c>
      <c r="I240" s="5">
        <f>[1]Results!L353</f>
        <v>62.19124274</v>
      </c>
      <c r="J240" s="5">
        <f>[1]Results!M353</f>
        <v>61.478688329999997</v>
      </c>
      <c r="K240" s="5">
        <f>[1]Results!N353</f>
        <v>60.835593699999997</v>
      </c>
      <c r="L240" s="5">
        <f>[1]Results!O353</f>
        <v>60.30276825</v>
      </c>
      <c r="M240" s="5">
        <f>[1]Results!P353</f>
        <v>59.91097242</v>
      </c>
      <c r="N240" s="5">
        <f>[1]Results!Q353</f>
        <v>59.685797180000002</v>
      </c>
      <c r="O240" s="5">
        <f>[1]Results!R353</f>
        <v>59.572162650000003</v>
      </c>
      <c r="P240" s="5">
        <f>[1]Results!S353</f>
        <v>59.525158820000001</v>
      </c>
      <c r="Q240" s="5">
        <f>[1]Results!T353</f>
        <v>59.511710649999998</v>
      </c>
      <c r="R240" s="5">
        <f>[1]Results!U353</f>
        <v>59.509961240000003</v>
      </c>
      <c r="S240" s="5">
        <f>[1]Results!V353</f>
        <v>59.53492121</v>
      </c>
      <c r="T240" s="5">
        <f>[1]Results!W353</f>
        <v>59.569461369999999</v>
      </c>
      <c r="U240" s="5">
        <f>[1]Results!X353</f>
        <v>59.608297210000003</v>
      </c>
      <c r="V240" s="5">
        <f>[1]Results!Y353</f>
        <v>59.651321369999998</v>
      </c>
      <c r="W240" s="5">
        <f>[1]Results!Z353</f>
        <v>59.683413989999998</v>
      </c>
      <c r="X240" s="5">
        <f>[1]Results!AA353</f>
        <v>59.733974869999997</v>
      </c>
      <c r="Y240" s="5">
        <f>[1]Results!AB353</f>
        <v>59.797650570000002</v>
      </c>
      <c r="Z240" s="5">
        <f>[1]Results!AC353</f>
        <v>59.87374543</v>
      </c>
      <c r="AA240" s="5">
        <f>[1]Results!AD353</f>
        <v>59.963996719999997</v>
      </c>
      <c r="AB240" s="5">
        <f>[1]Results!AE353</f>
        <v>60.023064599999998</v>
      </c>
      <c r="AC240" s="5">
        <f>[1]Results!AF353</f>
        <v>60.104192099999999</v>
      </c>
      <c r="AD240" s="5">
        <f>[1]Results!AG353</f>
        <v>60.20917051</v>
      </c>
      <c r="AE240" s="5">
        <f>[1]Results!AH353</f>
        <v>60.341537520000003</v>
      </c>
      <c r="AF240" s="5">
        <f>[1]Results!AI353</f>
        <v>60.505791850000001</v>
      </c>
      <c r="AG240" s="5">
        <f>[1]Results!AJ353</f>
        <v>60.706275570000003</v>
      </c>
      <c r="AH240" s="5">
        <f>[1]Results!AK353</f>
        <v>60.946465349999997</v>
      </c>
      <c r="AI240" s="5">
        <f>[1]Results!AL353</f>
        <v>61.228955990000003</v>
      </c>
      <c r="AJ240" s="5">
        <f>[1]Results!AM353</f>
        <v>61.557126840000002</v>
      </c>
      <c r="AK240" s="5">
        <f>[1]Results!AN353</f>
        <v>61.93540789</v>
      </c>
      <c r="AL240" s="5">
        <f>[1]Results!AO353</f>
        <v>62.369895849999999</v>
      </c>
    </row>
    <row r="241" spans="1:38" x14ac:dyDescent="0.35">
      <c r="B241" t="s">
        <v>45</v>
      </c>
      <c r="C241" s="5">
        <f>[1]Results!F354</f>
        <v>42.52087745</v>
      </c>
      <c r="D241" s="5">
        <f>[1]Results!G354</f>
        <v>42.424721729999995</v>
      </c>
      <c r="E241" s="5">
        <f>[1]Results!H354</f>
        <v>42.034677689999995</v>
      </c>
      <c r="F241" s="5">
        <f>[1]Results!I354</f>
        <v>41.524637009999999</v>
      </c>
      <c r="G241" s="5">
        <f>[1]Results!J354</f>
        <v>41.139725240000004</v>
      </c>
      <c r="H241" s="5">
        <f>[1]Results!K354</f>
        <v>40.83831953</v>
      </c>
      <c r="I241" s="5">
        <f>[1]Results!L354</f>
        <v>40.454306209999999</v>
      </c>
      <c r="J241" s="5">
        <f>[1]Results!M354</f>
        <v>39.611298040000001</v>
      </c>
      <c r="K241" s="5">
        <f>[1]Results!N354</f>
        <v>38.842410460000004</v>
      </c>
      <c r="L241" s="5">
        <f>[1]Results!O354</f>
        <v>38.168255100000003</v>
      </c>
      <c r="M241" s="5">
        <f>[1]Results!P354</f>
        <v>37.613382969999996</v>
      </c>
      <c r="N241" s="5">
        <f>[1]Results!Q354</f>
        <v>37.192228630000002</v>
      </c>
      <c r="O241" s="5">
        <f>[1]Results!R354</f>
        <v>36.864428320000002</v>
      </c>
      <c r="P241" s="5">
        <f>[1]Results!S354</f>
        <v>36.60049686</v>
      </c>
      <c r="Q241" s="5">
        <f>[1]Results!T354</f>
        <v>36.37787745</v>
      </c>
      <c r="R241" s="5">
        <f>[1]Results!U354</f>
        <v>36.180685700000005</v>
      </c>
      <c r="S241" s="5">
        <f>[1]Results!V354</f>
        <v>36.031914289999996</v>
      </c>
      <c r="T241" s="5">
        <f>[1]Results!W354</f>
        <v>35.909539880000004</v>
      </c>
      <c r="U241" s="5">
        <f>[1]Results!X354</f>
        <v>35.804223960000002</v>
      </c>
      <c r="V241" s="5">
        <f>[1]Results!Y354</f>
        <v>35.712950280000001</v>
      </c>
      <c r="W241" s="5">
        <f>[1]Results!Z354</f>
        <v>35.620586859999996</v>
      </c>
      <c r="X241" s="5">
        <f>[1]Results!AA354</f>
        <v>35.55089847</v>
      </c>
      <c r="Y241" s="5">
        <f>[1]Results!AB354</f>
        <v>35.495800119999998</v>
      </c>
      <c r="Z241" s="5">
        <f>[1]Results!AC354</f>
        <v>35.451424590000002</v>
      </c>
      <c r="AA241" s="5">
        <f>[1]Results!AD354</f>
        <v>35.416732200000006</v>
      </c>
      <c r="AB241" s="5">
        <f>[1]Results!AE354</f>
        <v>35.350747990000002</v>
      </c>
      <c r="AC241" s="5">
        <f>[1]Results!AF354</f>
        <v>35.299856119999994</v>
      </c>
      <c r="AD241" s="5">
        <f>[1]Results!AG354</f>
        <v>35.263654939999995</v>
      </c>
      <c r="AE241" s="5">
        <f>[1]Results!AH354</f>
        <v>35.242536719999997</v>
      </c>
      <c r="AF241" s="5">
        <f>[1]Results!AI354</f>
        <v>35.237950259999998</v>
      </c>
      <c r="AG241" s="5">
        <f>[1]Results!AJ354</f>
        <v>35.252427149999995</v>
      </c>
      <c r="AH241" s="5">
        <f>[1]Results!AK354</f>
        <v>35.289140490000001</v>
      </c>
      <c r="AI241" s="5">
        <f>[1]Results!AL354</f>
        <v>35.351387159999994</v>
      </c>
      <c r="AJ241" s="5">
        <f>[1]Results!AM354</f>
        <v>35.443511430000001</v>
      </c>
      <c r="AK241" s="5">
        <f>[1]Results!AN354</f>
        <v>35.571160679999998</v>
      </c>
      <c r="AL241" s="5">
        <f>[1]Results!AO354</f>
        <v>35.742005939999999</v>
      </c>
    </row>
    <row r="242" spans="1:38" x14ac:dyDescent="0.35">
      <c r="B242" t="s">
        <v>46</v>
      </c>
      <c r="C242" s="5">
        <f>[1]Results!F362</f>
        <v>21.78056273</v>
      </c>
      <c r="D242" s="5">
        <f>[1]Results!G362</f>
        <v>21.49067234</v>
      </c>
      <c r="E242" s="5">
        <f>[1]Results!H362</f>
        <v>21.363061870000003</v>
      </c>
      <c r="F242" s="5">
        <f>[1]Results!I362</f>
        <v>21.345359769999998</v>
      </c>
      <c r="G242" s="5">
        <f>[1]Results!J362</f>
        <v>21.419769760000001</v>
      </c>
      <c r="H242" s="5">
        <f>[1]Results!K362</f>
        <v>21.560580820000002</v>
      </c>
      <c r="I242" s="5">
        <f>[1]Results!L362</f>
        <v>21.736936530000001</v>
      </c>
      <c r="J242" s="5">
        <f>[1]Results!M362</f>
        <v>21.867390289999999</v>
      </c>
      <c r="K242" s="5">
        <f>[1]Results!N362</f>
        <v>21.99318323</v>
      </c>
      <c r="L242" s="5">
        <f>[1]Results!O362</f>
        <v>22.134513139999999</v>
      </c>
      <c r="M242" s="5">
        <f>[1]Results!P362</f>
        <v>22.29758945</v>
      </c>
      <c r="N242" s="5">
        <f>[1]Results!Q362</f>
        <v>22.493568549999999</v>
      </c>
      <c r="O242" s="5">
        <f>[1]Results!R362</f>
        <v>22.707734329999997</v>
      </c>
      <c r="P242" s="5">
        <f>[1]Results!S362</f>
        <v>22.924661960000002</v>
      </c>
      <c r="Q242" s="5">
        <f>[1]Results!T362</f>
        <v>23.133833210000002</v>
      </c>
      <c r="R242" s="5">
        <f>[1]Results!U362</f>
        <v>23.329275539999998</v>
      </c>
      <c r="S242" s="5">
        <f>[1]Results!V362</f>
        <v>23.503006920000001</v>
      </c>
      <c r="T242" s="5">
        <f>[1]Results!W362</f>
        <v>23.659921489999999</v>
      </c>
      <c r="U242" s="5">
        <f>[1]Results!X362</f>
        <v>23.804073249999998</v>
      </c>
      <c r="V242" s="5">
        <f>[1]Results!Y362</f>
        <v>23.93837109</v>
      </c>
      <c r="W242" s="5">
        <f>[1]Results!Z362</f>
        <v>24.062827120000001</v>
      </c>
      <c r="X242" s="5">
        <f>[1]Results!AA362</f>
        <v>24.18307639</v>
      </c>
      <c r="Y242" s="5">
        <f>[1]Results!AB362</f>
        <v>24.30185045</v>
      </c>
      <c r="Z242" s="5">
        <f>[1]Results!AC362</f>
        <v>24.422320840000001</v>
      </c>
      <c r="AA242" s="5">
        <f>[1]Results!AD362</f>
        <v>24.547264519999999</v>
      </c>
      <c r="AB242" s="5">
        <f>[1]Results!AE362</f>
        <v>24.67231662</v>
      </c>
      <c r="AC242" s="5">
        <f>[1]Results!AF362</f>
        <v>24.804335980000001</v>
      </c>
      <c r="AD242" s="5">
        <f>[1]Results!AG362</f>
        <v>24.945515579999999</v>
      </c>
      <c r="AE242" s="5">
        <f>[1]Results!AH362</f>
        <v>25.09900081</v>
      </c>
      <c r="AF242" s="5">
        <f>[1]Results!AI362</f>
        <v>25.26784159</v>
      </c>
      <c r="AG242" s="5">
        <f>[1]Results!AJ362</f>
        <v>25.453848420000003</v>
      </c>
      <c r="AH242" s="5">
        <f>[1]Results!AK362</f>
        <v>25.65732487</v>
      </c>
      <c r="AI242" s="5">
        <f>[1]Results!AL362</f>
        <v>25.877568829999998</v>
      </c>
      <c r="AJ242" s="5">
        <f>[1]Results!AM362</f>
        <v>26.113615410000001</v>
      </c>
      <c r="AK242" s="5">
        <f>[1]Results!AN362</f>
        <v>26.364247210000002</v>
      </c>
      <c r="AL242" s="5">
        <f>[1]Results!AO362</f>
        <v>26.627889920000001</v>
      </c>
    </row>
    <row r="244" spans="1:38" x14ac:dyDescent="0.35">
      <c r="A244" s="12" t="s">
        <v>43</v>
      </c>
      <c r="B244" t="s">
        <v>26</v>
      </c>
      <c r="C244" s="5">
        <f>C245+C246+C247+C248</f>
        <v>97.392837888000003</v>
      </c>
      <c r="D244" s="5">
        <f t="shared" ref="D244:AL244" si="43">D245+D246+D247+D248</f>
        <v>98.637630825000002</v>
      </c>
      <c r="E244" s="5">
        <f t="shared" si="43"/>
        <v>100.06432405</v>
      </c>
      <c r="F244" s="5">
        <f t="shared" si="43"/>
        <v>101.51468174600001</v>
      </c>
      <c r="G244" s="5">
        <f t="shared" si="43"/>
        <v>103.34436175799999</v>
      </c>
      <c r="H244" s="5">
        <f t="shared" si="43"/>
        <v>105.518821669</v>
      </c>
      <c r="I244" s="5">
        <f t="shared" si="43"/>
        <v>107.769482188</v>
      </c>
      <c r="J244" s="5">
        <f t="shared" si="43"/>
        <v>110.02855492699999</v>
      </c>
      <c r="K244" s="5">
        <f t="shared" si="43"/>
        <v>112.28135967</v>
      </c>
      <c r="L244" s="5">
        <f t="shared" si="43"/>
        <v>114.52611558199999</v>
      </c>
      <c r="M244" s="5">
        <f t="shared" si="43"/>
        <v>116.69496251300001</v>
      </c>
      <c r="N244" s="5">
        <f t="shared" si="43"/>
        <v>118.39664197599998</v>
      </c>
      <c r="O244" s="5">
        <f t="shared" si="43"/>
        <v>119.70694835099999</v>
      </c>
      <c r="P244" s="5">
        <f t="shared" si="43"/>
        <v>120.71489723900001</v>
      </c>
      <c r="Q244" s="5">
        <f t="shared" si="43"/>
        <v>121.525460384</v>
      </c>
      <c r="R244" s="5">
        <f t="shared" si="43"/>
        <v>122.23916030699999</v>
      </c>
      <c r="S244" s="5">
        <f t="shared" si="43"/>
        <v>123.07526300900001</v>
      </c>
      <c r="T244" s="5">
        <f t="shared" si="43"/>
        <v>124.11756746600001</v>
      </c>
      <c r="U244" s="5">
        <f t="shared" si="43"/>
        <v>125.419502636</v>
      </c>
      <c r="V244" s="5">
        <f t="shared" si="43"/>
        <v>127.008051323</v>
      </c>
      <c r="W244" s="5">
        <f t="shared" si="43"/>
        <v>128.876906402</v>
      </c>
      <c r="X244" s="5">
        <f t="shared" si="43"/>
        <v>131.07806500999999</v>
      </c>
      <c r="Y244" s="5">
        <f t="shared" si="43"/>
        <v>133.627408987</v>
      </c>
      <c r="Z244" s="5">
        <f t="shared" si="43"/>
        <v>136.536886622</v>
      </c>
      <c r="AA244" s="5">
        <f t="shared" si="43"/>
        <v>139.80551885099999</v>
      </c>
      <c r="AB244" s="5">
        <f t="shared" si="43"/>
        <v>143.35563918</v>
      </c>
      <c r="AC244" s="5">
        <f t="shared" si="43"/>
        <v>147.26171781299999</v>
      </c>
      <c r="AD244" s="5">
        <f t="shared" si="43"/>
        <v>151.53403268299999</v>
      </c>
      <c r="AE244" s="5">
        <f t="shared" si="43"/>
        <v>156.170383536</v>
      </c>
      <c r="AF244" s="5">
        <f t="shared" si="43"/>
        <v>161.12371628400001</v>
      </c>
      <c r="AG244" s="5">
        <f t="shared" si="43"/>
        <v>166.32343280000001</v>
      </c>
      <c r="AH244" s="5">
        <f t="shared" si="43"/>
        <v>171.70272223000001</v>
      </c>
      <c r="AI244" s="5">
        <f t="shared" si="43"/>
        <v>177.20489122199999</v>
      </c>
      <c r="AJ244" s="5">
        <f t="shared" si="43"/>
        <v>182.77753201799999</v>
      </c>
      <c r="AK244" s="5">
        <f t="shared" si="43"/>
        <v>188.36977041599999</v>
      </c>
      <c r="AL244" s="5">
        <f t="shared" si="43"/>
        <v>193.93125211900002</v>
      </c>
    </row>
    <row r="245" spans="1:38" x14ac:dyDescent="0.35">
      <c r="A245" t="s">
        <v>38</v>
      </c>
      <c r="B245" t="s">
        <v>7</v>
      </c>
      <c r="C245" s="5">
        <f>[1]Results!F439</f>
        <v>4.8754571579999997</v>
      </c>
      <c r="D245" s="5">
        <f>[1]Results!G439</f>
        <v>4.929970215</v>
      </c>
      <c r="E245" s="5">
        <f>[1]Results!H439</f>
        <v>4.9965410300000004</v>
      </c>
      <c r="F245" s="5">
        <f>[1]Results!I439</f>
        <v>5.0713566160000001</v>
      </c>
      <c r="G245" s="5">
        <f>[1]Results!J439</f>
        <v>5.1670653079999997</v>
      </c>
      <c r="H245" s="5">
        <f>[1]Results!K439</f>
        <v>5.2818388389999997</v>
      </c>
      <c r="I245" s="5">
        <f>[1]Results!L439</f>
        <v>5.4060120380000001</v>
      </c>
      <c r="J245" s="5">
        <f>[1]Results!M439</f>
        <v>5.533944687</v>
      </c>
      <c r="K245" s="5">
        <f>[1]Results!N439</f>
        <v>5.6634320000000002</v>
      </c>
      <c r="L245" s="5">
        <f>[1]Results!O439</f>
        <v>5.7935867720000003</v>
      </c>
      <c r="M245" s="5">
        <f>[1]Results!P439</f>
        <v>5.9210811730000001</v>
      </c>
      <c r="N245" s="5">
        <f>[1]Results!Q439</f>
        <v>6.0281199259999996</v>
      </c>
      <c r="O245" s="5">
        <f>[1]Results!R439</f>
        <v>6.1157675810000001</v>
      </c>
      <c r="P245" s="5">
        <f>[1]Results!S439</f>
        <v>6.1867168990000003</v>
      </c>
      <c r="Q245" s="5">
        <f>[1]Results!T439</f>
        <v>6.2449528440000002</v>
      </c>
      <c r="R245" s="5">
        <f>[1]Results!U439</f>
        <v>6.2948319870000002</v>
      </c>
      <c r="S245" s="5">
        <f>[1]Results!V439</f>
        <v>6.3449862389999998</v>
      </c>
      <c r="T245" s="5">
        <f>[1]Results!W439</f>
        <v>6.4013109359999998</v>
      </c>
      <c r="U245" s="5">
        <f>[1]Results!X439</f>
        <v>6.4676007560000004</v>
      </c>
      <c r="V245" s="5">
        <f>[1]Results!Y439</f>
        <v>6.545955953</v>
      </c>
      <c r="W245" s="5">
        <f>[1]Results!Z439</f>
        <v>6.6365864219999997</v>
      </c>
      <c r="X245" s="5">
        <f>[1]Results!AA439</f>
        <v>6.7421585300000002</v>
      </c>
      <c r="Y245" s="5">
        <f>[1]Results!AB439</f>
        <v>6.8641993469999996</v>
      </c>
      <c r="Z245" s="5">
        <f>[1]Results!AC439</f>
        <v>7.0037166019999999</v>
      </c>
      <c r="AA245" s="5">
        <f>[1]Results!AD439</f>
        <v>7.1610263310000004</v>
      </c>
      <c r="AB245" s="5">
        <f>[1]Results!AE439</f>
        <v>7.3326496199999998</v>
      </c>
      <c r="AC245" s="5">
        <f>[1]Results!AF439</f>
        <v>7.5215482930000004</v>
      </c>
      <c r="AD245" s="5">
        <f>[1]Results!AG439</f>
        <v>7.7291298929999996</v>
      </c>
      <c r="AE245" s="5">
        <f>[1]Results!AH439</f>
        <v>7.9558166559999997</v>
      </c>
      <c r="AF245" s="5">
        <f>[1]Results!AI439</f>
        <v>8.1999461740000008</v>
      </c>
      <c r="AG245" s="5">
        <f>[1]Results!AJ439</f>
        <v>8.4585541800000001</v>
      </c>
      <c r="AH245" s="5">
        <f>[1]Results!AK439</f>
        <v>8.7285413199999997</v>
      </c>
      <c r="AI245" s="5">
        <f>[1]Results!AL439</f>
        <v>9.0070261219999992</v>
      </c>
      <c r="AJ245" s="5">
        <f>[1]Results!AM439</f>
        <v>9.2911705480000002</v>
      </c>
      <c r="AK245" s="5">
        <f>[1]Results!AN439</f>
        <v>9.5781120259999994</v>
      </c>
      <c r="AL245" s="5">
        <f>[1]Results!AO439</f>
        <v>9.8649512389999998</v>
      </c>
    </row>
    <row r="246" spans="1:38" x14ac:dyDescent="0.35">
      <c r="B246" t="s">
        <v>30</v>
      </c>
      <c r="C246" s="5">
        <f>[1]Results!F451</f>
        <v>43.906102990000001</v>
      </c>
      <c r="D246" s="5">
        <f>[1]Results!G451</f>
        <v>44.522886460000002</v>
      </c>
      <c r="E246" s="5">
        <f>[1]Results!H451</f>
        <v>45.220710109999999</v>
      </c>
      <c r="F246" s="5">
        <f>[1]Results!I451</f>
        <v>45.906374980000002</v>
      </c>
      <c r="G246" s="5">
        <f>[1]Results!J451</f>
        <v>46.778420279999999</v>
      </c>
      <c r="H246" s="5">
        <f>[1]Results!K451</f>
        <v>47.822547049999997</v>
      </c>
      <c r="I246" s="5">
        <f>[1]Results!L451</f>
        <v>48.892881099999997</v>
      </c>
      <c r="J246" s="5">
        <f>[1]Results!M451</f>
        <v>49.952073380000002</v>
      </c>
      <c r="K246" s="5">
        <f>[1]Results!N451</f>
        <v>50.995079259999997</v>
      </c>
      <c r="L246" s="5">
        <f>[1]Results!O451</f>
        <v>52.024044480000001</v>
      </c>
      <c r="M246" s="5">
        <f>[1]Results!P451</f>
        <v>52.991148250000002</v>
      </c>
      <c r="N246" s="5">
        <f>[1]Results!Q451</f>
        <v>53.69296336</v>
      </c>
      <c r="O246" s="5">
        <f>[1]Results!R451</f>
        <v>54.183460519999997</v>
      </c>
      <c r="P246" s="5">
        <f>[1]Results!S451</f>
        <v>54.520982760000003</v>
      </c>
      <c r="Q246" s="5">
        <f>[1]Results!T451</f>
        <v>54.768768600000001</v>
      </c>
      <c r="R246" s="5">
        <f>[1]Results!U451</f>
        <v>54.98334775</v>
      </c>
      <c r="S246" s="5">
        <f>[1]Results!V451</f>
        <v>55.287783320000003</v>
      </c>
      <c r="T246" s="5">
        <f>[1]Results!W451</f>
        <v>55.723884679999998</v>
      </c>
      <c r="U246" s="5">
        <f>[1]Results!X451</f>
        <v>56.315486819999997</v>
      </c>
      <c r="V246" s="5">
        <f>[1]Results!Y451</f>
        <v>57.071577169999998</v>
      </c>
      <c r="W246" s="5">
        <f>[1]Results!Z451</f>
        <v>57.990686240000002</v>
      </c>
      <c r="X246" s="5">
        <f>[1]Results!AA451</f>
        <v>59.085359330000003</v>
      </c>
      <c r="Y246" s="5">
        <f>[1]Results!AB451</f>
        <v>60.363450120000003</v>
      </c>
      <c r="Z246" s="5">
        <f>[1]Results!AC451</f>
        <v>61.828708159999998</v>
      </c>
      <c r="AA246" s="5">
        <f>[1]Results!AD451</f>
        <v>63.477797150000001</v>
      </c>
      <c r="AB246" s="5">
        <f>[1]Results!AE451</f>
        <v>65.286927800000001</v>
      </c>
      <c r="AC246" s="5">
        <f>[1]Results!AF451</f>
        <v>67.273321960000004</v>
      </c>
      <c r="AD246" s="5">
        <f>[1]Results!AG451</f>
        <v>69.445170200000007</v>
      </c>
      <c r="AE246" s="5">
        <f>[1]Results!AH451</f>
        <v>71.800848520000002</v>
      </c>
      <c r="AF246" s="5">
        <f>[1]Results!AI451</f>
        <v>74.313204819999996</v>
      </c>
      <c r="AG246" s="5">
        <f>[1]Results!AJ451</f>
        <v>76.943247400000004</v>
      </c>
      <c r="AH246" s="5">
        <f>[1]Results!AK451</f>
        <v>79.655916160000004</v>
      </c>
      <c r="AI246" s="5">
        <f>[1]Results!AL451</f>
        <v>82.422936620000002</v>
      </c>
      <c r="AJ246" s="5">
        <f>[1]Results!AM451</f>
        <v>85.218747230000005</v>
      </c>
      <c r="AK246" s="5">
        <f>[1]Results!AN451</f>
        <v>88.018577039999997</v>
      </c>
      <c r="AL246" s="5">
        <f>[1]Results!AO451</f>
        <v>90.797721390000007</v>
      </c>
    </row>
    <row r="247" spans="1:38" x14ac:dyDescent="0.35">
      <c r="B247" t="s">
        <v>28</v>
      </c>
      <c r="C247" s="5">
        <f>[1]Results!F427</f>
        <v>26.32744194</v>
      </c>
      <c r="D247" s="5">
        <f>[1]Results!G427</f>
        <v>26.790760129999999</v>
      </c>
      <c r="E247" s="5">
        <f>[1]Results!H427</f>
        <v>27.31135789</v>
      </c>
      <c r="F247" s="5">
        <f>[1]Results!I427</f>
        <v>27.863346190000001</v>
      </c>
      <c r="G247" s="5">
        <f>[1]Results!J427</f>
        <v>28.45938932</v>
      </c>
      <c r="H247" s="5">
        <f>[1]Results!K427</f>
        <v>29.098285950000001</v>
      </c>
      <c r="I247" s="5">
        <f>[1]Results!L427</f>
        <v>29.75405993</v>
      </c>
      <c r="J247" s="5">
        <f>[1]Results!M427</f>
        <v>30.415795809999999</v>
      </c>
      <c r="K247" s="5">
        <f>[1]Results!N427</f>
        <v>31.07944062</v>
      </c>
      <c r="L247" s="5">
        <f>[1]Results!O427</f>
        <v>31.744756089999999</v>
      </c>
      <c r="M247" s="5">
        <f>[1]Results!P427</f>
        <v>32.396535309999997</v>
      </c>
      <c r="N247" s="5">
        <f>[1]Results!Q427</f>
        <v>32.937502019999997</v>
      </c>
      <c r="O247" s="5">
        <f>[1]Results!R427</f>
        <v>33.387908850000002</v>
      </c>
      <c r="P247" s="5">
        <f>[1]Results!S427</f>
        <v>33.770476629999997</v>
      </c>
      <c r="Q247" s="5">
        <f>[1]Results!T427</f>
        <v>34.110189640000002</v>
      </c>
      <c r="R247" s="5">
        <f>[1]Results!U427</f>
        <v>34.430094789999998</v>
      </c>
      <c r="S247" s="5">
        <f>[1]Results!V427</f>
        <v>34.763509480000003</v>
      </c>
      <c r="T247" s="5">
        <f>[1]Results!W427</f>
        <v>35.134420380000002</v>
      </c>
      <c r="U247" s="5">
        <f>[1]Results!X427</f>
        <v>35.55802748</v>
      </c>
      <c r="V247" s="5">
        <f>[1]Results!Y427</f>
        <v>36.041829960000001</v>
      </c>
      <c r="W247" s="5">
        <f>[1]Results!Z427</f>
        <v>36.58338809</v>
      </c>
      <c r="X247" s="5">
        <f>[1]Results!AA427</f>
        <v>37.197821769999997</v>
      </c>
      <c r="Y247" s="5">
        <f>[1]Results!AB427</f>
        <v>37.889435560000003</v>
      </c>
      <c r="Z247" s="5">
        <f>[1]Results!AC427</f>
        <v>38.661015120000002</v>
      </c>
      <c r="AA247" s="5">
        <f>[1]Results!AD427</f>
        <v>39.511514849999998</v>
      </c>
      <c r="AB247" s="5">
        <f>[1]Results!AE427</f>
        <v>40.416896340000001</v>
      </c>
      <c r="AC247" s="5">
        <f>[1]Results!AF427</f>
        <v>41.398417989999999</v>
      </c>
      <c r="AD247" s="5">
        <f>[1]Results!AG427</f>
        <v>42.45915677</v>
      </c>
      <c r="AE247" s="5">
        <f>[1]Results!AH427</f>
        <v>43.598918339999997</v>
      </c>
      <c r="AF247" s="5">
        <f>[1]Results!AI427</f>
        <v>44.806927999999999</v>
      </c>
      <c r="AG247" s="5">
        <f>[1]Results!AJ427</f>
        <v>46.06681554</v>
      </c>
      <c r="AH247" s="5">
        <f>[1]Results!AK427</f>
        <v>47.363546110000001</v>
      </c>
      <c r="AI247" s="5">
        <f>[1]Results!AL427</f>
        <v>48.684948560000002</v>
      </c>
      <c r="AJ247" s="5">
        <f>[1]Results!AM427</f>
        <v>50.020127789999997</v>
      </c>
      <c r="AK247" s="5">
        <f>[1]Results!AN427</f>
        <v>51.358716659999999</v>
      </c>
      <c r="AL247" s="5">
        <f>[1]Results!AO427</f>
        <v>52.690568839999997</v>
      </c>
    </row>
    <row r="248" spans="1:38" x14ac:dyDescent="0.35">
      <c r="B248" t="s">
        <v>10</v>
      </c>
      <c r="C248" s="5">
        <f>[1]Results!F463</f>
        <v>22.283835799999999</v>
      </c>
      <c r="D248" s="5">
        <f>[1]Results!G463</f>
        <v>22.39401402</v>
      </c>
      <c r="E248" s="5">
        <f>[1]Results!H463</f>
        <v>22.535715020000001</v>
      </c>
      <c r="F248" s="5">
        <f>[1]Results!I463</f>
        <v>22.673603960000001</v>
      </c>
      <c r="G248" s="5">
        <f>[1]Results!J463</f>
        <v>22.939486850000002</v>
      </c>
      <c r="H248" s="5">
        <f>[1]Results!K463</f>
        <v>23.316149830000001</v>
      </c>
      <c r="I248" s="5">
        <f>[1]Results!L463</f>
        <v>23.716529120000001</v>
      </c>
      <c r="J248" s="5">
        <f>[1]Results!M463</f>
        <v>24.12674105</v>
      </c>
      <c r="K248" s="5">
        <f>[1]Results!N463</f>
        <v>24.54340779</v>
      </c>
      <c r="L248" s="5">
        <f>[1]Results!O463</f>
        <v>24.963728239999998</v>
      </c>
      <c r="M248" s="5">
        <f>[1]Results!P463</f>
        <v>25.38619778</v>
      </c>
      <c r="N248" s="5">
        <f>[1]Results!Q463</f>
        <v>25.738056669999999</v>
      </c>
      <c r="O248" s="5">
        <f>[1]Results!R463</f>
        <v>26.019811399999998</v>
      </c>
      <c r="P248" s="5">
        <f>[1]Results!S463</f>
        <v>26.236720949999999</v>
      </c>
      <c r="Q248" s="5">
        <f>[1]Results!T463</f>
        <v>26.401549299999999</v>
      </c>
      <c r="R248" s="5">
        <f>[1]Results!U463</f>
        <v>26.530885779999998</v>
      </c>
      <c r="S248" s="5">
        <f>[1]Results!V463</f>
        <v>26.678983970000001</v>
      </c>
      <c r="T248" s="5">
        <f>[1]Results!W463</f>
        <v>26.85795147</v>
      </c>
      <c r="U248" s="5">
        <f>[1]Results!X463</f>
        <v>27.078387580000001</v>
      </c>
      <c r="V248" s="5">
        <f>[1]Results!Y463</f>
        <v>27.348688240000001</v>
      </c>
      <c r="W248" s="5">
        <f>[1]Results!Z463</f>
        <v>27.66624565</v>
      </c>
      <c r="X248" s="5">
        <f>[1]Results!AA463</f>
        <v>28.052725379999998</v>
      </c>
      <c r="Y248" s="5">
        <f>[1]Results!AB463</f>
        <v>28.510323960000001</v>
      </c>
      <c r="Z248" s="5">
        <f>[1]Results!AC463</f>
        <v>29.04344674</v>
      </c>
      <c r="AA248" s="5">
        <f>[1]Results!AD463</f>
        <v>29.655180519999998</v>
      </c>
      <c r="AB248" s="5">
        <f>[1]Results!AE463</f>
        <v>30.319165420000001</v>
      </c>
      <c r="AC248" s="5">
        <f>[1]Results!AF463</f>
        <v>31.068429569999999</v>
      </c>
      <c r="AD248" s="5">
        <f>[1]Results!AG463</f>
        <v>31.90057582</v>
      </c>
      <c r="AE248" s="5">
        <f>[1]Results!AH463</f>
        <v>32.81480002</v>
      </c>
      <c r="AF248" s="5">
        <f>[1]Results!AI463</f>
        <v>33.803637289999998</v>
      </c>
      <c r="AG248" s="5">
        <f>[1]Results!AJ463</f>
        <v>34.854815680000002</v>
      </c>
      <c r="AH248" s="5">
        <f>[1]Results!AK463</f>
        <v>35.954718640000003</v>
      </c>
      <c r="AI248" s="5">
        <f>[1]Results!AL463</f>
        <v>37.089979919999998</v>
      </c>
      <c r="AJ248" s="5">
        <f>[1]Results!AM463</f>
        <v>38.247486449999997</v>
      </c>
      <c r="AK248" s="5">
        <f>[1]Results!AN463</f>
        <v>39.414364689999999</v>
      </c>
      <c r="AL248" s="5">
        <f>[1]Results!AO463</f>
        <v>40.578010650000003</v>
      </c>
    </row>
    <row r="249" spans="1:38" x14ac:dyDescent="0.35">
      <c r="B249" t="s">
        <v>25</v>
      </c>
      <c r="C249" s="5">
        <f>[1]Results!F414</f>
        <v>64.30144018</v>
      </c>
      <c r="D249" s="5">
        <f>[1]Results!G414</f>
        <v>63.915394169999999</v>
      </c>
      <c r="E249" s="5">
        <f>[1]Results!H414</f>
        <v>63.397739719999997</v>
      </c>
      <c r="F249" s="5">
        <f>[1]Results!I414</f>
        <v>62.869996999999998</v>
      </c>
      <c r="G249" s="5">
        <f>[1]Results!J414</f>
        <v>62.559495249999998</v>
      </c>
      <c r="H249" s="5">
        <f>[1]Results!K414</f>
        <v>62.398900599999997</v>
      </c>
      <c r="I249" s="5">
        <f>[1]Results!L414</f>
        <v>62.191242989999999</v>
      </c>
      <c r="J249" s="5">
        <f>[1]Results!M414</f>
        <v>61.970150259999997</v>
      </c>
      <c r="K249" s="5">
        <f>[1]Results!N414</f>
        <v>61.762053479999999</v>
      </c>
      <c r="L249" s="5">
        <f>[1]Results!O414</f>
        <v>61.577001899999999</v>
      </c>
      <c r="M249" s="5">
        <f>[1]Results!P414</f>
        <v>61.44439826</v>
      </c>
      <c r="N249" s="5">
        <f>[1]Results!Q414</f>
        <v>61.318140980000003</v>
      </c>
      <c r="O249" s="5">
        <f>[1]Results!R414</f>
        <v>61.198702509999997</v>
      </c>
      <c r="P249" s="5">
        <f>[1]Results!S414</f>
        <v>61.081690979999998</v>
      </c>
      <c r="Q249" s="5">
        <f>[1]Results!T414</f>
        <v>60.961203060000003</v>
      </c>
      <c r="R249" s="5">
        <f>[1]Results!U414</f>
        <v>60.832167699999999</v>
      </c>
      <c r="S249" s="5">
        <f>[1]Results!V414</f>
        <v>60.777658459999998</v>
      </c>
      <c r="T249" s="5">
        <f>[1]Results!W414</f>
        <v>60.761390859999999</v>
      </c>
      <c r="U249" s="5">
        <f>[1]Results!X414</f>
        <v>60.760009619999998</v>
      </c>
      <c r="V249" s="5">
        <f>[1]Results!Y414</f>
        <v>60.760456920000003</v>
      </c>
      <c r="W249" s="5">
        <f>[1]Results!Z414</f>
        <v>60.739147109999998</v>
      </c>
      <c r="X249" s="5">
        <f>[1]Results!AA414</f>
        <v>60.722147460000002</v>
      </c>
      <c r="Y249" s="5">
        <f>[1]Results!AB414</f>
        <v>60.706010130000003</v>
      </c>
      <c r="Z249" s="5">
        <f>[1]Results!AC414</f>
        <v>60.6911542</v>
      </c>
      <c r="AA249" s="5">
        <f>[1]Results!AD414</f>
        <v>60.679698100000003</v>
      </c>
      <c r="AB249" s="5">
        <f>[1]Results!AE414</f>
        <v>60.626183660000002</v>
      </c>
      <c r="AC249" s="5">
        <f>[1]Results!AF414</f>
        <v>60.584919229999997</v>
      </c>
      <c r="AD249" s="5">
        <f>[1]Results!AG414</f>
        <v>60.558066169999996</v>
      </c>
      <c r="AE249" s="5">
        <f>[1]Results!AH414</f>
        <v>60.548583069999999</v>
      </c>
      <c r="AF249" s="5">
        <f>[1]Results!AI414</f>
        <v>60.559790579999998</v>
      </c>
      <c r="AG249" s="5">
        <f>[1]Results!AJ414</f>
        <v>60.593959140000003</v>
      </c>
      <c r="AH249" s="5">
        <f>[1]Results!AK414</f>
        <v>60.651763299999999</v>
      </c>
      <c r="AI249" s="5">
        <f>[1]Results!AL414</f>
        <v>60.731072580000003</v>
      </c>
      <c r="AJ249" s="5">
        <f>[1]Results!AM414</f>
        <v>60.829091429999998</v>
      </c>
      <c r="AK249" s="5">
        <f>[1]Results!AN414</f>
        <v>60.94264338</v>
      </c>
      <c r="AL249" s="5">
        <f>[1]Results!AO414</f>
        <v>61.06810625</v>
      </c>
    </row>
    <row r="250" spans="1:38" x14ac:dyDescent="0.35">
      <c r="B250" t="s">
        <v>47</v>
      </c>
      <c r="C250" s="5">
        <f>[1]Results!F415</f>
        <v>42.52087745</v>
      </c>
      <c r="D250" s="5">
        <f>[1]Results!G415</f>
        <v>42.424721820000002</v>
      </c>
      <c r="E250" s="5">
        <f>[1]Results!H415</f>
        <v>42.034677850000001</v>
      </c>
      <c r="F250" s="5">
        <f>[1]Results!I415</f>
        <v>41.524637240000004</v>
      </c>
      <c r="G250" s="5">
        <f>[1]Results!J415</f>
        <v>41.139725490000004</v>
      </c>
      <c r="H250" s="5">
        <f>[1]Results!K415</f>
        <v>40.83831979</v>
      </c>
      <c r="I250" s="5">
        <f>[1]Results!L415</f>
        <v>40.454306459999998</v>
      </c>
      <c r="J250" s="5">
        <f>[1]Results!M415</f>
        <v>40.03662413</v>
      </c>
      <c r="K250" s="5">
        <f>[1]Results!N415</f>
        <v>39.617483</v>
      </c>
      <c r="L250" s="5">
        <f>[1]Results!O415</f>
        <v>39.209630179999998</v>
      </c>
      <c r="M250" s="5">
        <f>[1]Results!P415</f>
        <v>38.842140130000004</v>
      </c>
      <c r="N250" s="5">
        <f>[1]Results!Q415</f>
        <v>38.480224</v>
      </c>
      <c r="O250" s="5">
        <f>[1]Results!R415</f>
        <v>38.130809899999996</v>
      </c>
      <c r="P250" s="5">
        <f>[1]Results!S415</f>
        <v>37.794980979999998</v>
      </c>
      <c r="Q250" s="5">
        <f>[1]Results!T415</f>
        <v>37.470907170000004</v>
      </c>
      <c r="R250" s="5">
        <f>[1]Results!U415</f>
        <v>37.155776639999999</v>
      </c>
      <c r="S250" s="5">
        <f>[1]Results!V415</f>
        <v>36.922228079999996</v>
      </c>
      <c r="T250" s="5">
        <f>[1]Results!W415</f>
        <v>36.730550110000003</v>
      </c>
      <c r="U250" s="5">
        <f>[1]Results!X415</f>
        <v>36.557461050000001</v>
      </c>
      <c r="V250" s="5">
        <f>[1]Results!Y415</f>
        <v>36.390440359999999</v>
      </c>
      <c r="W250" s="5">
        <f>[1]Results!Z415</f>
        <v>36.208236419999999</v>
      </c>
      <c r="X250" s="5">
        <f>[1]Results!AA415</f>
        <v>36.032606689999994</v>
      </c>
      <c r="Y250" s="5">
        <f>[1]Results!AB415</f>
        <v>35.858053409999997</v>
      </c>
      <c r="Z250" s="5">
        <f>[1]Results!AC415</f>
        <v>35.682418900000002</v>
      </c>
      <c r="AA250" s="5">
        <f>[1]Results!AD415</f>
        <v>35.505506179999998</v>
      </c>
      <c r="AB250" s="5">
        <f>[1]Results!AE415</f>
        <v>35.286560130000005</v>
      </c>
      <c r="AC250" s="5">
        <f>[1]Results!AF415</f>
        <v>35.072594549999998</v>
      </c>
      <c r="AD250" s="5">
        <f>[1]Results!AG415</f>
        <v>34.863022600000001</v>
      </c>
      <c r="AE250" s="5">
        <f>[1]Results!AH415</f>
        <v>34.65797792</v>
      </c>
      <c r="AF250" s="5">
        <f>[1]Results!AI415</f>
        <v>34.458332779999999</v>
      </c>
      <c r="AG250" s="5">
        <f>[1]Results!AJ415</f>
        <v>34.265161509999999</v>
      </c>
      <c r="AH250" s="5">
        <f>[1]Results!AK415</f>
        <v>34.079327649999996</v>
      </c>
      <c r="AI250" s="5">
        <f>[1]Results!AL415</f>
        <v>33.900041639999998</v>
      </c>
      <c r="AJ250" s="5">
        <f>[1]Results!AM415</f>
        <v>33.726749689999998</v>
      </c>
      <c r="AK250" s="5">
        <f>[1]Results!AN415</f>
        <v>33.559186220000001</v>
      </c>
      <c r="AL250" s="5">
        <f>[1]Results!AO415</f>
        <v>33.397128459999998</v>
      </c>
    </row>
    <row r="251" spans="1:38" x14ac:dyDescent="0.35">
      <c r="B251" t="s">
        <v>48</v>
      </c>
      <c r="C251" s="5">
        <f>[1]Results!F423</f>
        <v>21.78056273</v>
      </c>
      <c r="D251" s="5">
        <f>[1]Results!G423</f>
        <v>21.49067234</v>
      </c>
      <c r="E251" s="5">
        <f>[1]Results!H423</f>
        <v>21.363061870000003</v>
      </c>
      <c r="F251" s="5">
        <f>[1]Results!I423</f>
        <v>21.345359760000001</v>
      </c>
      <c r="G251" s="5">
        <f>[1]Results!J423</f>
        <v>21.419769760000001</v>
      </c>
      <c r="H251" s="5">
        <f>[1]Results!K423</f>
        <v>21.560580820000002</v>
      </c>
      <c r="I251" s="5">
        <f>[1]Results!L423</f>
        <v>21.736936530000001</v>
      </c>
      <c r="J251" s="5">
        <f>[1]Results!M423</f>
        <v>21.93352612</v>
      </c>
      <c r="K251" s="5">
        <f>[1]Results!N423</f>
        <v>22.144570479999999</v>
      </c>
      <c r="L251" s="5">
        <f>[1]Results!O423</f>
        <v>22.367371719999998</v>
      </c>
      <c r="M251" s="5">
        <f>[1]Results!P423</f>
        <v>22.602258129999999</v>
      </c>
      <c r="N251" s="5">
        <f>[1]Results!Q423</f>
        <v>22.837916979999999</v>
      </c>
      <c r="O251" s="5">
        <f>[1]Results!R423</f>
        <v>23.067892609999998</v>
      </c>
      <c r="P251" s="5">
        <f>[1]Results!S423</f>
        <v>23.286709999999999</v>
      </c>
      <c r="Q251" s="5">
        <f>[1]Results!T423</f>
        <v>23.490295879999998</v>
      </c>
      <c r="R251" s="5">
        <f>[1]Results!U423</f>
        <v>23.67639106</v>
      </c>
      <c r="S251" s="5">
        <f>[1]Results!V423</f>
        <v>23.855430379999998</v>
      </c>
      <c r="T251" s="5">
        <f>[1]Results!W423</f>
        <v>24.030840749999999</v>
      </c>
      <c r="U251" s="5">
        <f>[1]Results!X423</f>
        <v>24.202548579999998</v>
      </c>
      <c r="V251" s="5">
        <f>[1]Results!Y423</f>
        <v>24.37001656</v>
      </c>
      <c r="W251" s="5">
        <f>[1]Results!Z423</f>
        <v>24.5309107</v>
      </c>
      <c r="X251" s="5">
        <f>[1]Results!AA423</f>
        <v>24.689540770000001</v>
      </c>
      <c r="Y251" s="5">
        <f>[1]Results!AB423</f>
        <v>24.847956719999999</v>
      </c>
      <c r="Z251" s="5">
        <f>[1]Results!AC423</f>
        <v>25.008735290000001</v>
      </c>
      <c r="AA251" s="5">
        <f>[1]Results!AD423</f>
        <v>25.174191920000002</v>
      </c>
      <c r="AB251" s="5">
        <f>[1]Results!AE423</f>
        <v>25.339623530000001</v>
      </c>
      <c r="AC251" s="5">
        <f>[1]Results!AF423</f>
        <v>25.512324679999999</v>
      </c>
      <c r="AD251" s="5">
        <f>[1]Results!AG423</f>
        <v>25.695043569999999</v>
      </c>
      <c r="AE251" s="5">
        <f>[1]Results!AH423</f>
        <v>25.890605140000002</v>
      </c>
      <c r="AF251" s="5">
        <f>[1]Results!AI423</f>
        <v>26.101457800000002</v>
      </c>
      <c r="AG251" s="5">
        <f>[1]Results!AJ423</f>
        <v>26.32879763</v>
      </c>
      <c r="AH251" s="5">
        <f>[1]Results!AK423</f>
        <v>26.572435649999999</v>
      </c>
      <c r="AI251" s="5">
        <f>[1]Results!AL423</f>
        <v>26.831030940000002</v>
      </c>
      <c r="AJ251" s="5">
        <f>[1]Results!AM423</f>
        <v>27.10234174</v>
      </c>
      <c r="AK251" s="5">
        <f>[1]Results!AN423</f>
        <v>27.383457159999999</v>
      </c>
      <c r="AL251" s="5">
        <f>[1]Results!AO423</f>
        <v>27.670977789999998</v>
      </c>
    </row>
    <row r="253" spans="1:3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</row>
    <row r="254" spans="1:38" x14ac:dyDescent="0.35">
      <c r="A254" t="s">
        <v>39</v>
      </c>
      <c r="B254" t="s">
        <v>26</v>
      </c>
      <c r="C254" s="9">
        <f t="shared" ref="C254:AL254" si="44">(C235/C136)/(C244/C125)-1</f>
        <v>-1.0808764994152398E-9</v>
      </c>
      <c r="D254" s="9">
        <f t="shared" si="44"/>
        <v>-1.6220990106674549E-9</v>
      </c>
      <c r="E254" s="9">
        <f t="shared" si="44"/>
        <v>-2.6083222248729498E-9</v>
      </c>
      <c r="F254" s="9">
        <f t="shared" si="44"/>
        <v>-3.5561358302516055E-9</v>
      </c>
      <c r="G254" s="9">
        <f t="shared" si="44"/>
        <v>-4.2769627839334134E-9</v>
      </c>
      <c r="H254" s="9">
        <f t="shared" si="44"/>
        <v>-4.766921968268889E-9</v>
      </c>
      <c r="I254" s="9">
        <f t="shared" si="44"/>
        <v>-5.2654143267716336E-9</v>
      </c>
      <c r="J254" s="9">
        <f t="shared" si="44"/>
        <v>-1.206471786230634E-2</v>
      </c>
      <c r="K254" s="9">
        <f t="shared" si="44"/>
        <v>-2.6333749142779861E-2</v>
      </c>
      <c r="L254" s="9">
        <f t="shared" si="44"/>
        <v>-3.9584811429961952E-2</v>
      </c>
      <c r="M254" s="9">
        <f t="shared" si="44"/>
        <v>-5.1610577535314506E-2</v>
      </c>
      <c r="N254" s="9">
        <f t="shared" si="44"/>
        <v>-6.1160755903335251E-2</v>
      </c>
      <c r="O254" s="9">
        <f t="shared" si="44"/>
        <v>-6.888005213467685E-2</v>
      </c>
      <c r="P254" s="9">
        <f t="shared" si="44"/>
        <v>-7.5139680614924376E-2</v>
      </c>
      <c r="Q254" s="9">
        <f t="shared" si="44"/>
        <v>-8.0161641155334529E-2</v>
      </c>
      <c r="R254" s="9">
        <f t="shared" si="44"/>
        <v>-8.4190944232554243E-2</v>
      </c>
      <c r="S254" s="9">
        <f t="shared" si="44"/>
        <v>-8.8281316682568001E-2</v>
      </c>
      <c r="T254" s="9">
        <f t="shared" si="44"/>
        <v>-9.2600294545019946E-2</v>
      </c>
      <c r="U254" s="9">
        <f t="shared" si="44"/>
        <v>-9.7087241700391735E-2</v>
      </c>
      <c r="V254" s="9">
        <f t="shared" si="44"/>
        <v>-0.1016506693872572</v>
      </c>
      <c r="W254" s="9">
        <f t="shared" si="44"/>
        <v>-0.10618849305075639</v>
      </c>
      <c r="X254" s="9">
        <f t="shared" si="44"/>
        <v>-0.11057408799139401</v>
      </c>
      <c r="Y254" s="9">
        <f t="shared" si="44"/>
        <v>-0.11470842708067319</v>
      </c>
      <c r="Z254" s="9">
        <f t="shared" si="44"/>
        <v>-0.11854917340873472</v>
      </c>
      <c r="AA254" s="9">
        <f t="shared" si="44"/>
        <v>-0.12207323113644941</v>
      </c>
      <c r="AB254" s="9">
        <f t="shared" si="44"/>
        <v>-0.12526243286122807</v>
      </c>
      <c r="AC254" s="9">
        <f t="shared" si="44"/>
        <v>-0.12805276569866963</v>
      </c>
      <c r="AD254" s="9">
        <f t="shared" si="44"/>
        <v>-0.13023927471472474</v>
      </c>
      <c r="AE254" s="9">
        <f t="shared" si="44"/>
        <v>-0.13178219294980842</v>
      </c>
      <c r="AF254" s="9">
        <f t="shared" si="44"/>
        <v>-0.13266265404399979</v>
      </c>
      <c r="AG254" s="9">
        <f t="shared" si="44"/>
        <v>-0.13283661275047398</v>
      </c>
      <c r="AH254" s="9">
        <f t="shared" si="44"/>
        <v>-0.13218756435528634</v>
      </c>
      <c r="AI254" s="9">
        <f t="shared" si="44"/>
        <v>-0.13054551552374538</v>
      </c>
      <c r="AJ254" s="9">
        <f t="shared" si="44"/>
        <v>-0.12773466344912832</v>
      </c>
      <c r="AK254" s="9">
        <f t="shared" si="44"/>
        <v>-0.1235106065932936</v>
      </c>
      <c r="AL254" s="9">
        <f t="shared" si="44"/>
        <v>-0.1174830540407279</v>
      </c>
    </row>
    <row r="255" spans="1:38" x14ac:dyDescent="0.35">
      <c r="B255" t="s">
        <v>7</v>
      </c>
      <c r="C255" s="9">
        <f t="shared" ref="C255:AL255" si="45">(C236/C137)/(C245/C126)-1</f>
        <v>0</v>
      </c>
      <c r="D255" s="9">
        <f t="shared" si="45"/>
        <v>0</v>
      </c>
      <c r="E255" s="9">
        <f t="shared" si="45"/>
        <v>-2.0013846135924496E-10</v>
      </c>
      <c r="F255" s="9">
        <f t="shared" si="45"/>
        <v>-1.9718593424755682E-10</v>
      </c>
      <c r="G255" s="9">
        <f t="shared" si="45"/>
        <v>-3.7655334406139218E-10</v>
      </c>
      <c r="H255" s="9">
        <f t="shared" si="45"/>
        <v>-5.577139861046021E-10</v>
      </c>
      <c r="I255" s="9">
        <f t="shared" si="45"/>
        <v>-5.4491100520692726E-10</v>
      </c>
      <c r="J255" s="9">
        <f t="shared" si="45"/>
        <v>-8.4682685707787586E-3</v>
      </c>
      <c r="K255" s="9">
        <f t="shared" si="45"/>
        <v>-1.9664375329399797E-2</v>
      </c>
      <c r="L255" s="9">
        <f t="shared" si="45"/>
        <v>-3.1720880520668127E-2</v>
      </c>
      <c r="M255" s="9">
        <f t="shared" si="45"/>
        <v>-4.2926438874239858E-2</v>
      </c>
      <c r="N255" s="9">
        <f t="shared" si="45"/>
        <v>-5.166296294269479E-2</v>
      </c>
      <c r="O255" s="9">
        <f t="shared" si="45"/>
        <v>-5.8312413581854905E-2</v>
      </c>
      <c r="P255" s="9">
        <f t="shared" si="45"/>
        <v>-6.3324442041174378E-2</v>
      </c>
      <c r="Q255" s="9">
        <f t="shared" si="45"/>
        <v>-6.7044308382504414E-2</v>
      </c>
      <c r="R255" s="9">
        <f t="shared" si="45"/>
        <v>-6.9716189861404154E-2</v>
      </c>
      <c r="S255" s="9">
        <f t="shared" si="45"/>
        <v>-7.2329344136516593E-2</v>
      </c>
      <c r="T255" s="9">
        <f t="shared" si="45"/>
        <v>-7.5040321231657714E-2</v>
      </c>
      <c r="U255" s="9">
        <f t="shared" si="45"/>
        <v>-7.7811660959525297E-2</v>
      </c>
      <c r="V255" s="9">
        <f t="shared" si="45"/>
        <v>-8.0536238073137034E-2</v>
      </c>
      <c r="W255" s="9">
        <f t="shared" si="45"/>
        <v>-8.3084184835661268E-2</v>
      </c>
      <c r="X255" s="9">
        <f t="shared" si="45"/>
        <v>-8.5319759915605697E-2</v>
      </c>
      <c r="Y255" s="9">
        <f t="shared" si="45"/>
        <v>-8.7126494856439085E-2</v>
      </c>
      <c r="Z255" s="9">
        <f t="shared" si="45"/>
        <v>-8.8421518028119039E-2</v>
      </c>
      <c r="AA255" s="9">
        <f t="shared" si="45"/>
        <v>-8.9132452075091351E-2</v>
      </c>
      <c r="AB255" s="9">
        <f t="shared" si="45"/>
        <v>-8.9185723501205905E-2</v>
      </c>
      <c r="AC255" s="9">
        <f t="shared" si="45"/>
        <v>-8.8472321196088832E-2</v>
      </c>
      <c r="AD255" s="9">
        <f t="shared" si="45"/>
        <v>-8.6869015879069922E-2</v>
      </c>
      <c r="AE255" s="9">
        <f t="shared" si="45"/>
        <v>-8.4282853059998497E-2</v>
      </c>
      <c r="AF255" s="9">
        <f t="shared" si="45"/>
        <v>-8.0629421947488567E-2</v>
      </c>
      <c r="AG255" s="9">
        <f t="shared" si="45"/>
        <v>-7.5795712445298147E-2</v>
      </c>
      <c r="AH255" s="9">
        <f t="shared" si="45"/>
        <v>-6.9613131307738718E-2</v>
      </c>
      <c r="AI255" s="9">
        <f t="shared" si="45"/>
        <v>-6.1860921504413136E-2</v>
      </c>
      <c r="AJ255" s="9">
        <f t="shared" si="45"/>
        <v>-5.2272767659217512E-2</v>
      </c>
      <c r="AK255" s="9">
        <f t="shared" si="45"/>
        <v>-4.0489220888414668E-2</v>
      </c>
      <c r="AL255" s="9">
        <f t="shared" si="45"/>
        <v>-2.599864246438266E-2</v>
      </c>
    </row>
    <row r="256" spans="1:38" x14ac:dyDescent="0.35">
      <c r="B256" t="s">
        <v>30</v>
      </c>
      <c r="C256" s="9">
        <f t="shared" ref="C256:AL256" si="46">(C237/C138)/(C246/C127)-1</f>
        <v>-6.8531935681903633E-10</v>
      </c>
      <c r="D256" s="9">
        <f t="shared" si="46"/>
        <v>-1.5642352968470163E-9</v>
      </c>
      <c r="E256" s="9">
        <f t="shared" si="46"/>
        <v>-2.6448813139623439E-9</v>
      </c>
      <c r="F256" s="9">
        <f t="shared" si="46"/>
        <v>-3.7221826731936858E-9</v>
      </c>
      <c r="G256" s="9">
        <f t="shared" si="46"/>
        <v>-4.3135445215725099E-9</v>
      </c>
      <c r="H256" s="9">
        <f t="shared" si="46"/>
        <v>-4.8295567545153517E-9</v>
      </c>
      <c r="I256" s="9">
        <f t="shared" si="46"/>
        <v>-5.1513179277762333E-9</v>
      </c>
      <c r="J256" s="9">
        <f t="shared" si="46"/>
        <v>-1.3282345971169174E-2</v>
      </c>
      <c r="K256" s="9">
        <f t="shared" si="46"/>
        <v>-2.9617454255938647E-2</v>
      </c>
      <c r="L256" s="9">
        <f t="shared" si="46"/>
        <v>-4.5499687959147495E-2</v>
      </c>
      <c r="M256" s="9">
        <f t="shared" si="46"/>
        <v>-5.9762659548207808E-2</v>
      </c>
      <c r="N256" s="9">
        <f t="shared" si="46"/>
        <v>-7.0967721796123651E-2</v>
      </c>
      <c r="O256" s="9">
        <f t="shared" si="46"/>
        <v>-7.9852809832280158E-2</v>
      </c>
      <c r="P256" s="9">
        <f t="shared" si="46"/>
        <v>-8.6943240507201036E-2</v>
      </c>
      <c r="Q256" s="9">
        <f t="shared" si="46"/>
        <v>-9.2578504685169372E-2</v>
      </c>
      <c r="R256" s="9">
        <f t="shared" si="46"/>
        <v>-9.7067244367844752E-2</v>
      </c>
      <c r="S256" s="9">
        <f t="shared" si="46"/>
        <v>-0.10153602770113856</v>
      </c>
      <c r="T256" s="9">
        <f t="shared" si="46"/>
        <v>-0.10629940970422658</v>
      </c>
      <c r="U256" s="9">
        <f t="shared" si="46"/>
        <v>-0.11130067921628706</v>
      </c>
      <c r="V256" s="9">
        <f t="shared" si="46"/>
        <v>-0.11643749396698211</v>
      </c>
      <c r="W256" s="9">
        <f t="shared" si="46"/>
        <v>-0.12159419875606625</v>
      </c>
      <c r="X256" s="9">
        <f t="shared" si="46"/>
        <v>-0.12663661696410333</v>
      </c>
      <c r="Y256" s="9">
        <f t="shared" si="46"/>
        <v>-0.13145305209938496</v>
      </c>
      <c r="Z256" s="9">
        <f t="shared" si="46"/>
        <v>-0.13599527607369943</v>
      </c>
      <c r="AA256" s="9">
        <f t="shared" si="46"/>
        <v>-0.14024104922714575</v>
      </c>
      <c r="AB256" s="9">
        <f t="shared" si="46"/>
        <v>-0.14416568661731644</v>
      </c>
      <c r="AC256" s="9">
        <f t="shared" si="46"/>
        <v>-0.14776141723800384</v>
      </c>
      <c r="AD256" s="9">
        <f t="shared" si="46"/>
        <v>-0.15074946451723126</v>
      </c>
      <c r="AE256" s="9">
        <f t="shared" si="46"/>
        <v>-0.15306283437800083</v>
      </c>
      <c r="AF256" s="9">
        <f t="shared" si="46"/>
        <v>-0.15466774786484827</v>
      </c>
      <c r="AG256" s="9">
        <f t="shared" si="46"/>
        <v>-0.15550201653053386</v>
      </c>
      <c r="AH256" s="9">
        <f t="shared" si="46"/>
        <v>-0.15541670764694349</v>
      </c>
      <c r="AI256" s="9">
        <f t="shared" si="46"/>
        <v>-0.15418816166549265</v>
      </c>
      <c r="AJ256" s="9">
        <f t="shared" si="46"/>
        <v>-0.15156395608083484</v>
      </c>
      <c r="AK256" s="9">
        <f t="shared" si="46"/>
        <v>-0.14719116765892548</v>
      </c>
      <c r="AL256" s="9">
        <f t="shared" si="46"/>
        <v>-0.14051221381630519</v>
      </c>
    </row>
    <row r="257" spans="1:38" x14ac:dyDescent="0.35">
      <c r="B257" t="s">
        <v>28</v>
      </c>
      <c r="C257" s="9">
        <f t="shared" ref="C257:AL257" si="47">(C238/C139)/(C247/C128)-1</f>
        <v>0</v>
      </c>
      <c r="D257" s="9">
        <f t="shared" si="47"/>
        <v>-8.0986328754306669E-12</v>
      </c>
      <c r="E257" s="9">
        <f t="shared" si="47"/>
        <v>-7.9226625260275796E-11</v>
      </c>
      <c r="F257" s="9">
        <f t="shared" si="47"/>
        <v>-7.7464257230985822E-11</v>
      </c>
      <c r="G257" s="9">
        <f t="shared" si="47"/>
        <v>-7.5681683142647671E-11</v>
      </c>
      <c r="H257" s="9">
        <f t="shared" si="47"/>
        <v>-7.3883454909662305E-11</v>
      </c>
      <c r="I257" s="9">
        <f t="shared" si="47"/>
        <v>-2.6396151930896394E-10</v>
      </c>
      <c r="J257" s="9">
        <f t="shared" si="47"/>
        <v>-5.1053972365522338E-4</v>
      </c>
      <c r="K257" s="9">
        <f t="shared" si="47"/>
        <v>-2.1598113800075369E-3</v>
      </c>
      <c r="L257" s="9">
        <f t="shared" si="47"/>
        <v>-5.6175540212747288E-3</v>
      </c>
      <c r="M257" s="9">
        <f t="shared" si="47"/>
        <v>-8.8029881977730318E-3</v>
      </c>
      <c r="N257" s="9">
        <f t="shared" si="47"/>
        <v>-1.1652633501127663E-2</v>
      </c>
      <c r="O257" s="9">
        <f t="shared" si="47"/>
        <v>-1.3959849916518885E-2</v>
      </c>
      <c r="P257" s="9">
        <f t="shared" si="47"/>
        <v>-1.581203176061774E-2</v>
      </c>
      <c r="Q257" s="9">
        <f t="shared" si="47"/>
        <v>-1.730941001602182E-2</v>
      </c>
      <c r="R257" s="9">
        <f t="shared" si="47"/>
        <v>-1.8443798175155957E-2</v>
      </c>
      <c r="S257" s="9">
        <f t="shared" si="47"/>
        <v>-1.9395497259345307E-2</v>
      </c>
      <c r="T257" s="9">
        <f t="shared" si="47"/>
        <v>-2.0293582049380809E-2</v>
      </c>
      <c r="U257" s="9">
        <f t="shared" si="47"/>
        <v>-2.1188553481482741E-2</v>
      </c>
      <c r="V257" s="9">
        <f t="shared" si="47"/>
        <v>-2.2081345052550327E-2</v>
      </c>
      <c r="W257" s="9">
        <f t="shared" si="47"/>
        <v>-2.2962512471162433E-2</v>
      </c>
      <c r="X257" s="9">
        <f t="shared" si="47"/>
        <v>-2.3834125091159231E-2</v>
      </c>
      <c r="Y257" s="9">
        <f t="shared" si="47"/>
        <v>-2.4696308901434261E-2</v>
      </c>
      <c r="Z257" s="9">
        <f t="shared" si="47"/>
        <v>-2.5501732246379749E-2</v>
      </c>
      <c r="AA257" s="9">
        <f t="shared" si="47"/>
        <v>-2.6196984003059365E-2</v>
      </c>
      <c r="AB257" s="9">
        <f t="shared" si="47"/>
        <v>-2.6747468685619946E-2</v>
      </c>
      <c r="AC257" s="9">
        <f t="shared" si="47"/>
        <v>-2.7213999884598272E-2</v>
      </c>
      <c r="AD257" s="9">
        <f t="shared" si="47"/>
        <v>-2.7675857842642149E-2</v>
      </c>
      <c r="AE257" s="9">
        <f t="shared" si="47"/>
        <v>-2.8084485866078701E-2</v>
      </c>
      <c r="AF257" s="9">
        <f t="shared" si="47"/>
        <v>-2.8370717091380837E-2</v>
      </c>
      <c r="AG257" s="9">
        <f t="shared" si="47"/>
        <v>-2.8464734606192033E-2</v>
      </c>
      <c r="AH257" s="9">
        <f t="shared" si="47"/>
        <v>-2.834513584926146E-2</v>
      </c>
      <c r="AI257" s="9">
        <f t="shared" si="47"/>
        <v>-2.8001480247943467E-2</v>
      </c>
      <c r="AJ257" s="9">
        <f t="shared" si="47"/>
        <v>-2.7354517444911464E-2</v>
      </c>
      <c r="AK257" s="9">
        <f t="shared" si="47"/>
        <v>-2.629009444131003E-2</v>
      </c>
      <c r="AL257" s="9">
        <f t="shared" si="47"/>
        <v>-2.4651296142365497E-2</v>
      </c>
    </row>
    <row r="258" spans="1:38" x14ac:dyDescent="0.35">
      <c r="B258" t="s">
        <v>10</v>
      </c>
      <c r="C258" s="9">
        <f t="shared" ref="C258:AL258" si="48">(C239/C140)/(C248/C129)-1</f>
        <v>-2.2437788294027428E-9</v>
      </c>
      <c r="D258" s="9">
        <f t="shared" si="48"/>
        <v>-4.0189311878435774E-9</v>
      </c>
      <c r="E258" s="9">
        <f t="shared" si="48"/>
        <v>-6.2123611810349644E-9</v>
      </c>
      <c r="F258" s="9">
        <f t="shared" si="48"/>
        <v>-8.78500572287777E-9</v>
      </c>
      <c r="G258" s="9">
        <f t="shared" si="48"/>
        <v>-1.0386466020584351E-8</v>
      </c>
      <c r="H258" s="9">
        <f t="shared" si="48"/>
        <v>-1.1151069179149431E-8</v>
      </c>
      <c r="I258" s="9">
        <f t="shared" si="48"/>
        <v>-1.1384465259389742E-8</v>
      </c>
      <c r="J258" s="9">
        <f t="shared" si="48"/>
        <v>-1.5851072742907646E-2</v>
      </c>
      <c r="K258" s="9">
        <f t="shared" si="48"/>
        <v>-3.3853287332101467E-2</v>
      </c>
      <c r="L258" s="9">
        <f t="shared" si="48"/>
        <v>-5.1551125024077771E-2</v>
      </c>
      <c r="M258" s="9">
        <f t="shared" si="48"/>
        <v>-6.7373497602704058E-2</v>
      </c>
      <c r="N258" s="9">
        <f t="shared" si="48"/>
        <v>-7.9602799469773888E-2</v>
      </c>
      <c r="O258" s="9">
        <f t="shared" si="48"/>
        <v>-8.8978070771349116E-2</v>
      </c>
      <c r="P258" s="9">
        <f t="shared" si="48"/>
        <v>-9.610938238846356E-2</v>
      </c>
      <c r="Q258" s="9">
        <f t="shared" si="48"/>
        <v>-0.10146595296922833</v>
      </c>
      <c r="R258" s="9">
        <f t="shared" si="48"/>
        <v>-0.10541744844192091</v>
      </c>
      <c r="S258" s="9">
        <f t="shared" si="48"/>
        <v>-0.10951924185766693</v>
      </c>
      <c r="T258" s="9">
        <f t="shared" si="48"/>
        <v>-0.11379760022668428</v>
      </c>
      <c r="U258" s="9">
        <f t="shared" si="48"/>
        <v>-0.1181974028163334</v>
      </c>
      <c r="V258" s="9">
        <f t="shared" si="48"/>
        <v>-0.12262207578871365</v>
      </c>
      <c r="W258" s="9">
        <f t="shared" si="48"/>
        <v>-0.12694380325581534</v>
      </c>
      <c r="X258" s="9">
        <f t="shared" si="48"/>
        <v>-0.13099884060045663</v>
      </c>
      <c r="Y258" s="9">
        <f t="shared" si="48"/>
        <v>-0.13464718737131842</v>
      </c>
      <c r="Z258" s="9">
        <f t="shared" si="48"/>
        <v>-0.13780456193096136</v>
      </c>
      <c r="AA258" s="9">
        <f t="shared" si="48"/>
        <v>-0.14039764166559854</v>
      </c>
      <c r="AB258" s="9">
        <f t="shared" si="48"/>
        <v>-0.14234679468003941</v>
      </c>
      <c r="AC258" s="9">
        <f t="shared" si="48"/>
        <v>-0.14344916552039522</v>
      </c>
      <c r="AD258" s="9">
        <f t="shared" si="48"/>
        <v>-0.14348479423652338</v>
      </c>
      <c r="AE258" s="9">
        <f t="shared" si="48"/>
        <v>-0.14235576067578226</v>
      </c>
      <c r="AF258" s="9">
        <f t="shared" si="48"/>
        <v>-0.13996641872568061</v>
      </c>
      <c r="AG258" s="9">
        <f t="shared" si="48"/>
        <v>-0.13617467647625148</v>
      </c>
      <c r="AH258" s="9">
        <f t="shared" si="48"/>
        <v>-0.13073685058298845</v>
      </c>
      <c r="AI258" s="9">
        <f t="shared" si="48"/>
        <v>-0.12332292551935697</v>
      </c>
      <c r="AJ258" s="9">
        <f t="shared" si="48"/>
        <v>-0.11355357315050751</v>
      </c>
      <c r="AK258" s="9">
        <f t="shared" si="48"/>
        <v>-0.10090019571872877</v>
      </c>
      <c r="AL258" s="9">
        <f t="shared" si="48"/>
        <v>-8.4555567219988137E-2</v>
      </c>
    </row>
    <row r="259" spans="1:38" x14ac:dyDescent="0.35">
      <c r="B259" t="s">
        <v>25</v>
      </c>
      <c r="C259" s="9">
        <f t="shared" ref="C259:AL259" si="49">(C240/C59)/(C249/C58)-1</f>
        <v>0</v>
      </c>
      <c r="D259" s="9">
        <f t="shared" si="49"/>
        <v>-1.5645682527321014E-9</v>
      </c>
      <c r="E259" s="9">
        <f t="shared" si="49"/>
        <v>-2.5237492096152891E-9</v>
      </c>
      <c r="F259" s="9">
        <f t="shared" si="49"/>
        <v>-3.65834262883169E-9</v>
      </c>
      <c r="G259" s="9">
        <f t="shared" si="49"/>
        <v>-3.996195929723001E-9</v>
      </c>
      <c r="H259" s="9">
        <f t="shared" si="49"/>
        <v>-4.0064808137785235E-9</v>
      </c>
      <c r="I259" s="9">
        <f t="shared" si="49"/>
        <v>-4.7493053934033469E-9</v>
      </c>
      <c r="J259" s="9">
        <f t="shared" si="49"/>
        <v>-7.5177487281682387E-3</v>
      </c>
      <c r="K259" s="9">
        <f t="shared" si="49"/>
        <v>-1.3786712457967032E-2</v>
      </c>
      <c r="L259" s="9">
        <f t="shared" si="49"/>
        <v>-2.0061511170840096E-2</v>
      </c>
      <c r="M259" s="9">
        <f t="shared" si="49"/>
        <v>-2.643037318798358E-2</v>
      </c>
      <c r="N259" s="9">
        <f t="shared" si="49"/>
        <v>-3.12004880409541E-2</v>
      </c>
      <c r="O259" s="9">
        <f t="shared" si="49"/>
        <v>-3.4979799872786432E-2</v>
      </c>
      <c r="P259" s="9">
        <f t="shared" si="49"/>
        <v>-3.7889436268317089E-2</v>
      </c>
      <c r="Q259" s="9">
        <f t="shared" si="49"/>
        <v>-4.0061168812200787E-2</v>
      </c>
      <c r="R259" s="9">
        <f t="shared" si="49"/>
        <v>-4.1636654766157966E-2</v>
      </c>
      <c r="S259" s="9">
        <f t="shared" si="49"/>
        <v>-4.351653807681144E-2</v>
      </c>
      <c r="T259" s="9">
        <f t="shared" si="49"/>
        <v>-4.5263792356033394E-2</v>
      </c>
      <c r="U259" s="9">
        <f t="shared" si="49"/>
        <v>-4.6710924978263235E-2</v>
      </c>
      <c r="V259" s="9">
        <f t="shared" si="49"/>
        <v>-4.7762764388278534E-2</v>
      </c>
      <c r="W259" s="9">
        <f t="shared" si="49"/>
        <v>-4.8353299978796782E-2</v>
      </c>
      <c r="X259" s="9">
        <f t="shared" si="49"/>
        <v>-4.8409947657963026E-2</v>
      </c>
      <c r="Y259" s="9">
        <f t="shared" si="49"/>
        <v>-4.7967375795947897E-2</v>
      </c>
      <c r="Z259" s="9">
        <f t="shared" si="49"/>
        <v>-4.7082370816175612E-2</v>
      </c>
      <c r="AA259" s="9">
        <f t="shared" si="49"/>
        <v>-4.5796641652946501E-2</v>
      </c>
      <c r="AB259" s="9">
        <f t="shared" si="49"/>
        <v>-4.4145015452419445E-2</v>
      </c>
      <c r="AC259" s="9">
        <f t="shared" si="49"/>
        <v>-4.2055765263177225E-2</v>
      </c>
      <c r="AD259" s="9">
        <f t="shared" si="49"/>
        <v>-3.949464741838038E-2</v>
      </c>
      <c r="AE259" s="9">
        <f t="shared" si="49"/>
        <v>-3.6545790282532797E-2</v>
      </c>
      <c r="AF259" s="9">
        <f t="shared" si="49"/>
        <v>-3.3284431718935803E-2</v>
      </c>
      <c r="AG259" s="9">
        <f t="shared" si="49"/>
        <v>-2.9744691293968173E-2</v>
      </c>
      <c r="AH259" s="9">
        <f t="shared" si="49"/>
        <v>-2.5896756535525256E-2</v>
      </c>
      <c r="AI259" s="9">
        <f t="shared" si="49"/>
        <v>-2.1677093984386775E-2</v>
      </c>
      <c r="AJ259" s="9">
        <f t="shared" si="49"/>
        <v>-1.7060359569274763E-2</v>
      </c>
      <c r="AK259" s="9">
        <f t="shared" si="49"/>
        <v>-1.2006280650818657E-2</v>
      </c>
      <c r="AL259" s="9">
        <f t="shared" si="49"/>
        <v>-6.4248398496330461E-3</v>
      </c>
    </row>
    <row r="260" spans="1:38" x14ac:dyDescent="0.35">
      <c r="B260" t="s">
        <v>47</v>
      </c>
      <c r="C260" s="9">
        <f t="shared" ref="C260:AL260" si="50">(C241/C59)/(C250/C58)-1</f>
        <v>0</v>
      </c>
      <c r="D260" s="9">
        <f t="shared" si="50"/>
        <v>-2.1214047185580398E-9</v>
      </c>
      <c r="E260" s="9">
        <f t="shared" si="50"/>
        <v>-3.806381099202838E-9</v>
      </c>
      <c r="F260" s="9">
        <f t="shared" si="50"/>
        <v>-5.5388806874390184E-9</v>
      </c>
      <c r="G260" s="9">
        <f t="shared" si="50"/>
        <v>-6.0768513554521064E-9</v>
      </c>
      <c r="H260" s="9">
        <f t="shared" si="50"/>
        <v>-6.3665696048431641E-9</v>
      </c>
      <c r="I260" s="9">
        <f t="shared" si="50"/>
        <v>-6.9092584986663041E-9</v>
      </c>
      <c r="J260" s="9">
        <f t="shared" si="50"/>
        <v>-1.0211671312187587E-2</v>
      </c>
      <c r="K260" s="9">
        <f t="shared" si="50"/>
        <v>-1.8355768145555063E-2</v>
      </c>
      <c r="L260" s="9">
        <f t="shared" si="50"/>
        <v>-2.5931124778457937E-2</v>
      </c>
      <c r="M260" s="9">
        <f t="shared" si="50"/>
        <v>-3.3098601692598817E-2</v>
      </c>
      <c r="N260" s="9">
        <f t="shared" si="50"/>
        <v>-3.8018979668893671E-2</v>
      </c>
      <c r="O260" s="9">
        <f t="shared" si="50"/>
        <v>-4.1556037689078451E-2</v>
      </c>
      <c r="P260" s="9">
        <f t="shared" si="50"/>
        <v>-4.3933014081719013E-2</v>
      </c>
      <c r="Q260" s="9">
        <f t="shared" si="50"/>
        <v>-4.5364010547171429E-2</v>
      </c>
      <c r="R260" s="9">
        <f t="shared" si="50"/>
        <v>-4.6052949079824157E-2</v>
      </c>
      <c r="S260" s="9">
        <f t="shared" si="50"/>
        <v>-4.7096150543725956E-2</v>
      </c>
      <c r="T260" s="9">
        <f t="shared" si="50"/>
        <v>-4.7927909724091222E-2</v>
      </c>
      <c r="U260" s="9">
        <f t="shared" si="50"/>
        <v>-4.8313358894552572E-2</v>
      </c>
      <c r="V260" s="9">
        <f t="shared" si="50"/>
        <v>-4.8114874028379329E-2</v>
      </c>
      <c r="W260" s="9">
        <f t="shared" si="50"/>
        <v>-4.7237893947841392E-2</v>
      </c>
      <c r="X260" s="9">
        <f t="shared" si="50"/>
        <v>-4.5599846672733979E-2</v>
      </c>
      <c r="Y260" s="9">
        <f t="shared" si="50"/>
        <v>-4.3269409251055602E-2</v>
      </c>
      <c r="Z260" s="9">
        <f t="shared" si="50"/>
        <v>-4.0325983758495387E-2</v>
      </c>
      <c r="AA260" s="9">
        <f t="shared" si="50"/>
        <v>-3.6821988475962963E-2</v>
      </c>
      <c r="AB260" s="9">
        <f t="shared" si="50"/>
        <v>-3.2784253346707093E-2</v>
      </c>
      <c r="AC260" s="9">
        <f t="shared" si="50"/>
        <v>-2.8137023276200934E-2</v>
      </c>
      <c r="AD260" s="9">
        <f t="shared" si="50"/>
        <v>-2.2827065940149827E-2</v>
      </c>
      <c r="AE260" s="9">
        <f t="shared" si="50"/>
        <v>-1.693410093880332E-2</v>
      </c>
      <c r="AF260" s="9">
        <f t="shared" si="50"/>
        <v>-1.0530286133485167E-2</v>
      </c>
      <c r="AG260" s="9">
        <f t="shared" si="50"/>
        <v>-3.6360425997511436E-3</v>
      </c>
      <c r="AH260" s="9">
        <f t="shared" si="50"/>
        <v>3.8063997913633241E-3</v>
      </c>
      <c r="AI260" s="9">
        <f t="shared" si="50"/>
        <v>1.1911536382750221E-2</v>
      </c>
      <c r="AJ260" s="9">
        <f t="shared" si="50"/>
        <v>2.0756350349122599E-2</v>
      </c>
      <c r="AK260" s="9">
        <f t="shared" si="50"/>
        <v>3.0440891788529267E-2</v>
      </c>
      <c r="AL260" s="9">
        <f t="shared" si="50"/>
        <v>4.1141971919510079E-2</v>
      </c>
    </row>
    <row r="261" spans="1:38" x14ac:dyDescent="0.35">
      <c r="B261" t="s">
        <v>48</v>
      </c>
      <c r="C261" s="9">
        <f t="shared" ref="C261:AL261" si="51">(C242/C59)/(C251/C58)-1</f>
        <v>0</v>
      </c>
      <c r="D261" s="9">
        <f t="shared" si="51"/>
        <v>0</v>
      </c>
      <c r="E261" s="9">
        <f t="shared" si="51"/>
        <v>0</v>
      </c>
      <c r="F261" s="9">
        <f t="shared" si="51"/>
        <v>4.6848569468238566E-10</v>
      </c>
      <c r="G261" s="9">
        <f t="shared" si="51"/>
        <v>0</v>
      </c>
      <c r="H261" s="9">
        <f t="shared" si="51"/>
        <v>0</v>
      </c>
      <c r="I261" s="9">
        <f t="shared" si="51"/>
        <v>-7.2944661422269519E-10</v>
      </c>
      <c r="J261" s="9">
        <f t="shared" si="51"/>
        <v>-2.6003644796693814E-3</v>
      </c>
      <c r="K261" s="9">
        <f t="shared" si="51"/>
        <v>-5.6124976462483822E-3</v>
      </c>
      <c r="L261" s="9">
        <f t="shared" si="51"/>
        <v>-9.7721767005787274E-3</v>
      </c>
      <c r="M261" s="9">
        <f t="shared" si="51"/>
        <v>-1.4970975436422784E-2</v>
      </c>
      <c r="N261" s="9">
        <f t="shared" si="51"/>
        <v>-1.9711827082294464E-2</v>
      </c>
      <c r="O261" s="9">
        <f t="shared" si="51"/>
        <v>-2.4109397523093157E-2</v>
      </c>
      <c r="P261" s="9">
        <f t="shared" si="51"/>
        <v>-2.8080540614586869E-2</v>
      </c>
      <c r="Q261" s="9">
        <f t="shared" si="51"/>
        <v>-3.1602258339725742E-2</v>
      </c>
      <c r="R261" s="9">
        <f t="shared" si="51"/>
        <v>-3.4706086476453124E-2</v>
      </c>
      <c r="S261" s="9">
        <f t="shared" si="51"/>
        <v>-3.7976195025518744E-2</v>
      </c>
      <c r="T261" s="9">
        <f t="shared" si="51"/>
        <v>-4.1191754365170308E-2</v>
      </c>
      <c r="U261" s="9">
        <f t="shared" si="51"/>
        <v>-4.4290481290135797E-2</v>
      </c>
      <c r="V261" s="9">
        <f t="shared" si="51"/>
        <v>-4.7236977923311163E-2</v>
      </c>
      <c r="W261" s="9">
        <f t="shared" si="51"/>
        <v>-4.9999667900815892E-2</v>
      </c>
      <c r="X261" s="9">
        <f t="shared" si="51"/>
        <v>-5.2511088062983768E-2</v>
      </c>
      <c r="Y261" s="9">
        <f t="shared" si="51"/>
        <v>-5.474700509035757E-2</v>
      </c>
      <c r="Z261" s="9">
        <f t="shared" si="51"/>
        <v>-5.6722371436674912E-2</v>
      </c>
      <c r="AA261" s="9">
        <f t="shared" si="51"/>
        <v>-5.8454430425327053E-2</v>
      </c>
      <c r="AB261" s="9">
        <f t="shared" si="51"/>
        <v>-5.9965384884373973E-2</v>
      </c>
      <c r="AC261" s="9">
        <f t="shared" si="51"/>
        <v>-6.1190297316932929E-2</v>
      </c>
      <c r="AD261" s="9">
        <f t="shared" si="51"/>
        <v>-6.2109213473470426E-2</v>
      </c>
      <c r="AE261" s="9">
        <f t="shared" si="51"/>
        <v>-6.2798613392357594E-2</v>
      </c>
      <c r="AF261" s="9">
        <f t="shared" si="51"/>
        <v>-6.3323747021395205E-2</v>
      </c>
      <c r="AG261" s="9">
        <f t="shared" si="51"/>
        <v>-6.3723343752287609E-2</v>
      </c>
      <c r="AH261" s="9">
        <f t="shared" si="51"/>
        <v>-6.399125416992868E-2</v>
      </c>
      <c r="AI261" s="9">
        <f t="shared" si="51"/>
        <v>-6.4115119218035144E-2</v>
      </c>
      <c r="AJ261" s="9">
        <f t="shared" si="51"/>
        <v>-6.4120304490370872E-2</v>
      </c>
      <c r="AK261" s="9">
        <f t="shared" si="51"/>
        <v>-6.4026467732431591E-2</v>
      </c>
      <c r="AL261" s="9">
        <f t="shared" si="51"/>
        <v>-6.3834987239959062E-2</v>
      </c>
    </row>
    <row r="263" spans="1:38" x14ac:dyDescent="0.35">
      <c r="A263" s="12" t="s">
        <v>21</v>
      </c>
      <c r="B263" t="s">
        <v>26</v>
      </c>
      <c r="C263" s="6">
        <f>[1]Results!F1600</f>
        <v>472737.7991</v>
      </c>
      <c r="D263" s="6">
        <f>[1]Results!G1600</f>
        <v>480958.18859999999</v>
      </c>
      <c r="E263" s="6">
        <f>[1]Results!H1600</f>
        <v>491180.94929999998</v>
      </c>
      <c r="F263" s="6">
        <f>[1]Results!I1600</f>
        <v>502880.29619999998</v>
      </c>
      <c r="G263" s="6">
        <f>[1]Results!J1600</f>
        <v>515854.59720000002</v>
      </c>
      <c r="H263" s="6">
        <f>[1]Results!K1600</f>
        <v>529926</v>
      </c>
      <c r="I263" s="6">
        <f>[1]Results!L1600</f>
        <v>544743.40720000002</v>
      </c>
      <c r="J263" s="6">
        <f>[1]Results!M1600</f>
        <v>558822.03799999994</v>
      </c>
      <c r="K263" s="6">
        <f>[1]Results!N1600</f>
        <v>573062.90930000006</v>
      </c>
      <c r="L263" s="6">
        <f>[1]Results!O1600</f>
        <v>589355.15689999994</v>
      </c>
      <c r="M263" s="6">
        <f>[1]Results!P1600</f>
        <v>607070.93299999996</v>
      </c>
      <c r="N263" s="6">
        <f>[1]Results!Q1600</f>
        <v>624768.74730000005</v>
      </c>
      <c r="O263" s="6">
        <f>[1]Results!R1600</f>
        <v>642060.94099999999</v>
      </c>
      <c r="P263" s="6">
        <f>[1]Results!S1600</f>
        <v>659016.21109999996</v>
      </c>
      <c r="Q263" s="6">
        <f>[1]Results!T1600</f>
        <v>675953.05940000003</v>
      </c>
      <c r="R263" s="6">
        <f>[1]Results!U1600</f>
        <v>693171.96790000005</v>
      </c>
      <c r="S263" s="6">
        <f>[1]Results!V1600</f>
        <v>710820.5453</v>
      </c>
      <c r="T263" s="6">
        <f>[1]Results!W1600</f>
        <v>729228.28430000006</v>
      </c>
      <c r="U263" s="6">
        <f>[1]Results!X1600</f>
        <v>748682.21600000001</v>
      </c>
      <c r="V263" s="6">
        <f>[1]Results!Y1600</f>
        <v>769390.02029999997</v>
      </c>
      <c r="W263" s="6">
        <f>[1]Results!Z1600</f>
        <v>791368.24529999995</v>
      </c>
      <c r="X263" s="6">
        <f>[1]Results!AA1600</f>
        <v>814912.853</v>
      </c>
      <c r="Y263" s="6">
        <f>[1]Results!AB1600</f>
        <v>840189.05619999999</v>
      </c>
      <c r="Z263" s="6">
        <f>[1]Results!AC1600</f>
        <v>867344.36309999996</v>
      </c>
      <c r="AA263" s="6">
        <f>[1]Results!AD1600</f>
        <v>896469.37159999995</v>
      </c>
      <c r="AB263" s="6">
        <f>[1]Results!AE1600</f>
        <v>927174.94449999998</v>
      </c>
      <c r="AC263" s="6">
        <f>[1]Results!AF1600</f>
        <v>959808.93259999994</v>
      </c>
      <c r="AD263" s="6">
        <f>[1]Results!AG1600</f>
        <v>994492.74780000001</v>
      </c>
      <c r="AE263" s="6">
        <f>[1]Results!AH1600</f>
        <v>1031383.495</v>
      </c>
      <c r="AF263" s="6">
        <f>[1]Results!AI1600</f>
        <v>1070575.3359999999</v>
      </c>
      <c r="AG263" s="6">
        <f>[1]Results!AJ1600</f>
        <v>1112087.2169999999</v>
      </c>
      <c r="AH263" s="6">
        <f>[1]Results!AK1600</f>
        <v>1155914.0190000001</v>
      </c>
      <c r="AI263" s="6">
        <f>[1]Results!AL1600</f>
        <v>1202075.527</v>
      </c>
      <c r="AJ263" s="6">
        <f>[1]Results!AM1600</f>
        <v>1250644.895</v>
      </c>
      <c r="AK263" s="6">
        <f>[1]Results!AN1600</f>
        <v>1301742.2050000001</v>
      </c>
      <c r="AL263" s="6">
        <f>[1]Results!AO1600</f>
        <v>1355535.429</v>
      </c>
    </row>
    <row r="264" spans="1:38" x14ac:dyDescent="0.35">
      <c r="A264" t="s">
        <v>39</v>
      </c>
      <c r="B264" t="s">
        <v>7</v>
      </c>
      <c r="C264" s="6">
        <f>[1]Results!F1601</f>
        <v>4444.1839890000001</v>
      </c>
      <c r="D264" s="6">
        <f>[1]Results!G1601</f>
        <v>4518.9668529999999</v>
      </c>
      <c r="E264" s="6">
        <f>[1]Results!H1601</f>
        <v>4611.3491210000002</v>
      </c>
      <c r="F264" s="6">
        <f>[1]Results!I1601</f>
        <v>4721.5880379999999</v>
      </c>
      <c r="G264" s="6">
        <f>[1]Results!J1601</f>
        <v>4843.7096149999998</v>
      </c>
      <c r="H264" s="6">
        <f>[1]Results!K1601</f>
        <v>4976.3150729999998</v>
      </c>
      <c r="I264" s="6">
        <f>[1]Results!L1601</f>
        <v>5117.2177190000002</v>
      </c>
      <c r="J264" s="6">
        <f>[1]Results!M1601</f>
        <v>5267.5416740000001</v>
      </c>
      <c r="K264" s="6">
        <f>[1]Results!N1601</f>
        <v>5425.8365309999999</v>
      </c>
      <c r="L264" s="6">
        <f>[1]Results!O1601</f>
        <v>5610.7877410000001</v>
      </c>
      <c r="M264" s="6">
        <f>[1]Results!P1601</f>
        <v>5812.2133229999999</v>
      </c>
      <c r="N264" s="6">
        <f>[1]Results!Q1601</f>
        <v>6006.3583600000002</v>
      </c>
      <c r="O264" s="6">
        <f>[1]Results!R1601</f>
        <v>6189.3869599999998</v>
      </c>
      <c r="P264" s="6">
        <f>[1]Results!S1601</f>
        <v>6362.5072769999997</v>
      </c>
      <c r="Q264" s="6">
        <f>[1]Results!T1601</f>
        <v>6529.2811959999999</v>
      </c>
      <c r="R264" s="6">
        <f>[1]Results!U1601</f>
        <v>6692.8311830000002</v>
      </c>
      <c r="S264" s="6">
        <f>[1]Results!V1601</f>
        <v>6858.8764330000004</v>
      </c>
      <c r="T264" s="6">
        <f>[1]Results!W1601</f>
        <v>7029.3567030000004</v>
      </c>
      <c r="U264" s="6">
        <f>[1]Results!X1601</f>
        <v>7206.3406510000004</v>
      </c>
      <c r="V264" s="6">
        <f>[1]Results!Y1601</f>
        <v>7391.3004209999999</v>
      </c>
      <c r="W264" s="6">
        <f>[1]Results!Z1601</f>
        <v>7584.0982610000001</v>
      </c>
      <c r="X264" s="6">
        <f>[1]Results!AA1601</f>
        <v>7786.5060169999997</v>
      </c>
      <c r="Y264" s="6">
        <f>[1]Results!AB1601</f>
        <v>7999.7475100000001</v>
      </c>
      <c r="Z264" s="6">
        <f>[1]Results!AC1601</f>
        <v>8224.5695730000007</v>
      </c>
      <c r="AA264" s="6">
        <f>[1]Results!AD1601</f>
        <v>8460.7503500000003</v>
      </c>
      <c r="AB264" s="6">
        <f>[1]Results!AE1601</f>
        <v>8703.8945480000002</v>
      </c>
      <c r="AC264" s="6">
        <f>[1]Results!AF1601</f>
        <v>8953.326642</v>
      </c>
      <c r="AD264" s="6">
        <f>[1]Results!AG1601</f>
        <v>9209.9146860000001</v>
      </c>
      <c r="AE264" s="6">
        <f>[1]Results!AH1601</f>
        <v>9474.3792840000006</v>
      </c>
      <c r="AF264" s="6">
        <f>[1]Results!AI1601</f>
        <v>9746.055128</v>
      </c>
      <c r="AG264" s="6">
        <f>[1]Results!AJ1601</f>
        <v>10022.808349999999</v>
      </c>
      <c r="AH264" s="6">
        <f>[1]Results!AK1601</f>
        <v>10301.698399999999</v>
      </c>
      <c r="AI264" s="6">
        <f>[1]Results!AL1601</f>
        <v>10579.61622</v>
      </c>
      <c r="AJ264" s="6">
        <f>[1]Results!AM1601</f>
        <v>10853.571550000001</v>
      </c>
      <c r="AK264" s="6">
        <f>[1]Results!AN1601</f>
        <v>11120.38415</v>
      </c>
      <c r="AL264" s="6">
        <f>[1]Results!AO1601</f>
        <v>11376.485210000001</v>
      </c>
    </row>
    <row r="265" spans="1:38" x14ac:dyDescent="0.35">
      <c r="B265" t="s">
        <v>30</v>
      </c>
      <c r="C265" s="6">
        <f>[1]Results!F1604</f>
        <v>234875.91560000001</v>
      </c>
      <c r="D265" s="6">
        <f>[1]Results!G1604</f>
        <v>239167.95420000001</v>
      </c>
      <c r="E265" s="6">
        <f>[1]Results!H1604</f>
        <v>244575.1758</v>
      </c>
      <c r="F265" s="6">
        <f>[1]Results!I1604</f>
        <v>250785.99559999999</v>
      </c>
      <c r="G265" s="6">
        <f>[1]Results!J1604</f>
        <v>257679.87789999999</v>
      </c>
      <c r="H265" s="6">
        <f>[1]Results!K1604</f>
        <v>265175.04519999999</v>
      </c>
      <c r="I265" s="6">
        <f>[1]Results!L1604</f>
        <v>273129.94209999999</v>
      </c>
      <c r="J265" s="6">
        <f>[1]Results!M1604</f>
        <v>280692.45169999998</v>
      </c>
      <c r="K265" s="6">
        <f>[1]Results!N1604</f>
        <v>288340.75790000003</v>
      </c>
      <c r="L265" s="6">
        <f>[1]Results!O1604</f>
        <v>297148.83929999999</v>
      </c>
      <c r="M265" s="6">
        <f>[1]Results!P1604</f>
        <v>306725.62</v>
      </c>
      <c r="N265" s="6">
        <f>[1]Results!Q1604</f>
        <v>316357.27179999999</v>
      </c>
      <c r="O265" s="6">
        <f>[1]Results!R1604</f>
        <v>325856.01929999999</v>
      </c>
      <c r="P265" s="6">
        <f>[1]Results!S1604</f>
        <v>335288.00630000001</v>
      </c>
      <c r="Q265" s="6">
        <f>[1]Results!T1604</f>
        <v>344857.91129999998</v>
      </c>
      <c r="R265" s="6">
        <f>[1]Results!U1604</f>
        <v>354751.22369999997</v>
      </c>
      <c r="S265" s="6">
        <f>[1]Results!V1604</f>
        <v>365029.51610000001</v>
      </c>
      <c r="T265" s="6">
        <f>[1]Results!W1604</f>
        <v>375877.67869999999</v>
      </c>
      <c r="U265" s="6">
        <f>[1]Results!X1604</f>
        <v>387457.79269999999</v>
      </c>
      <c r="V265" s="6">
        <f>[1]Results!Y1604</f>
        <v>399888.16409999999</v>
      </c>
      <c r="W265" s="6">
        <f>[1]Results!Z1604</f>
        <v>413211.97570000001</v>
      </c>
      <c r="X265" s="6">
        <f>[1]Results!AA1604</f>
        <v>427551.29509999999</v>
      </c>
      <c r="Y265" s="6">
        <f>[1]Results!AB1604</f>
        <v>443009.89880000002</v>
      </c>
      <c r="Z265" s="6">
        <f>[1]Results!AC1604</f>
        <v>459677.70909999998</v>
      </c>
      <c r="AA265" s="6">
        <f>[1]Results!AD1604</f>
        <v>477613.56420000002</v>
      </c>
      <c r="AB265" s="6">
        <f>[1]Results!AE1604</f>
        <v>496698.21759999997</v>
      </c>
      <c r="AC265" s="6">
        <f>[1]Results!AF1604</f>
        <v>517045.00910000002</v>
      </c>
      <c r="AD265" s="6">
        <f>[1]Results!AG1604</f>
        <v>538719.69010000001</v>
      </c>
      <c r="AE265" s="6">
        <f>[1]Results!AH1604</f>
        <v>561803.21589999995</v>
      </c>
      <c r="AF265" s="6">
        <f>[1]Results!AI1604</f>
        <v>586343.46219999995</v>
      </c>
      <c r="AG265" s="6">
        <f>[1]Results!AJ1604</f>
        <v>612354.39260000002</v>
      </c>
      <c r="AH265" s="6">
        <f>[1]Results!AK1604</f>
        <v>639844.30249999999</v>
      </c>
      <c r="AI265" s="6">
        <f>[1]Results!AL1604</f>
        <v>668837.93409999995</v>
      </c>
      <c r="AJ265" s="6">
        <f>[1]Results!AM1604</f>
        <v>699389.18469999998</v>
      </c>
      <c r="AK265" s="6">
        <f>[1]Results!AN1604</f>
        <v>731579.09409999999</v>
      </c>
      <c r="AL265" s="6">
        <f>[1]Results!AO1604</f>
        <v>765515.14989999996</v>
      </c>
    </row>
    <row r="266" spans="1:38" x14ac:dyDescent="0.35">
      <c r="B266" t="s">
        <v>28</v>
      </c>
      <c r="C266" s="6">
        <f>[1]Results!F1616</f>
        <v>8012.3261389999998</v>
      </c>
      <c r="D266" s="6">
        <f>[1]Results!G1616</f>
        <v>8182.404845</v>
      </c>
      <c r="E266" s="6">
        <f>[1]Results!H1616</f>
        <v>8389.1357119999993</v>
      </c>
      <c r="F266" s="6">
        <f>[1]Results!I1616</f>
        <v>8615.9674319999995</v>
      </c>
      <c r="G266" s="6">
        <f>[1]Results!J1616</f>
        <v>8858.0237269999998</v>
      </c>
      <c r="H266" s="6">
        <f>[1]Results!K1616</f>
        <v>9114.4645610000007</v>
      </c>
      <c r="I266" s="6">
        <f>[1]Results!L1616</f>
        <v>9381.3259600000001</v>
      </c>
      <c r="J266" s="6">
        <f>[1]Results!M1616</f>
        <v>9629.6192179999998</v>
      </c>
      <c r="K266" s="6">
        <f>[1]Results!N1616</f>
        <v>9887.2296910000005</v>
      </c>
      <c r="L266" s="6">
        <f>[1]Results!O1616</f>
        <v>10214.296909999999</v>
      </c>
      <c r="M266" s="6">
        <f>[1]Results!P1616</f>
        <v>10577.49677</v>
      </c>
      <c r="N266" s="6">
        <f>[1]Results!Q1616</f>
        <v>10924.551160000001</v>
      </c>
      <c r="O266" s="6">
        <f>[1]Results!R1616</f>
        <v>11240.202450000001</v>
      </c>
      <c r="P266" s="6">
        <f>[1]Results!S1616</f>
        <v>11525.92519</v>
      </c>
      <c r="Q266" s="6">
        <f>[1]Results!T1616</f>
        <v>11792.28809</v>
      </c>
      <c r="R266" s="6">
        <f>[1]Results!U1616</f>
        <v>12048.41142</v>
      </c>
      <c r="S266" s="6">
        <f>[1]Results!V1616</f>
        <v>12305.246880000001</v>
      </c>
      <c r="T266" s="6">
        <f>[1]Results!W1616</f>
        <v>12572.10972</v>
      </c>
      <c r="U266" s="6">
        <f>[1]Results!X1616</f>
        <v>12857.143770000001</v>
      </c>
      <c r="V266" s="6">
        <f>[1]Results!Y1616</f>
        <v>13165.3164</v>
      </c>
      <c r="W266" s="6">
        <f>[1]Results!Z1616</f>
        <v>13498.60058</v>
      </c>
      <c r="X266" s="6">
        <f>[1]Results!AA1616</f>
        <v>13862.016960000001</v>
      </c>
      <c r="Y266" s="6">
        <f>[1]Results!AB1616</f>
        <v>14259.76238</v>
      </c>
      <c r="Z266" s="6">
        <f>[1]Results!AC1616</f>
        <v>14693.541789999999</v>
      </c>
      <c r="AA266" s="6">
        <f>[1]Results!AD1616</f>
        <v>15162.062840000001</v>
      </c>
      <c r="AB266" s="6">
        <f>[1]Results!AE1616</f>
        <v>15658.601629999999</v>
      </c>
      <c r="AC266" s="6">
        <f>[1]Results!AF1616</f>
        <v>16188.22334</v>
      </c>
      <c r="AD266" s="6">
        <f>[1]Results!AG1616</f>
        <v>16758.368890000002</v>
      </c>
      <c r="AE266" s="6">
        <f>[1]Results!AH1616</f>
        <v>17372.240000000002</v>
      </c>
      <c r="AF266" s="6">
        <f>[1]Results!AI1616</f>
        <v>18026.6224</v>
      </c>
      <c r="AG266" s="6">
        <f>[1]Results!AJ1616</f>
        <v>18714.433379999999</v>
      </c>
      <c r="AH266" s="6">
        <f>[1]Results!AK1616</f>
        <v>19430.390800000001</v>
      </c>
      <c r="AI266" s="6">
        <f>[1]Results!AL1616</f>
        <v>20172.38596</v>
      </c>
      <c r="AJ266" s="6">
        <f>[1]Results!AM1616</f>
        <v>20937.840660000002</v>
      </c>
      <c r="AK266" s="6">
        <f>[1]Results!AN1616</f>
        <v>21723.231349999998</v>
      </c>
      <c r="AL266" s="6">
        <f>[1]Results!AO1616</f>
        <v>22524.280900000002</v>
      </c>
    </row>
    <row r="267" spans="1:38" x14ac:dyDescent="0.35">
      <c r="B267" t="s">
        <v>10</v>
      </c>
      <c r="C267" s="6">
        <f>[1]Results!F1621</f>
        <v>219508.55739999999</v>
      </c>
      <c r="D267" s="6">
        <f>[1]Results!G1621</f>
        <v>223119.6391</v>
      </c>
      <c r="E267" s="6">
        <f>[1]Results!H1621</f>
        <v>227563.53709999999</v>
      </c>
      <c r="F267" s="6">
        <f>[1]Results!I1621</f>
        <v>232638.7175</v>
      </c>
      <c r="G267" s="6">
        <f>[1]Results!J1621</f>
        <v>238275.85810000001</v>
      </c>
      <c r="H267" s="6">
        <f>[1]Results!K1621</f>
        <v>244378.08420000001</v>
      </c>
      <c r="I267" s="6">
        <f>[1]Results!L1621</f>
        <v>250741.7703</v>
      </c>
      <c r="J267" s="6">
        <f>[1]Results!M1621</f>
        <v>256701.4828</v>
      </c>
      <c r="K267" s="6">
        <f>[1]Results!N1621</f>
        <v>262678.28210000001</v>
      </c>
      <c r="L267" s="6">
        <f>[1]Results!O1621</f>
        <v>269404.12219999998</v>
      </c>
      <c r="M267" s="6">
        <f>[1]Results!P1621</f>
        <v>276699.96970000002</v>
      </c>
      <c r="N267" s="6">
        <f>[1]Results!Q1621</f>
        <v>283939.9951</v>
      </c>
      <c r="O267" s="6">
        <f>[1]Results!R1621</f>
        <v>290947.3014</v>
      </c>
      <c r="P267" s="6">
        <f>[1]Results!S1621</f>
        <v>297717.41460000002</v>
      </c>
      <c r="Q267" s="6">
        <f>[1]Results!T1621</f>
        <v>304342.52240000002</v>
      </c>
      <c r="R267" s="6">
        <f>[1]Results!U1621</f>
        <v>310918.59989999997</v>
      </c>
      <c r="S267" s="6">
        <f>[1]Results!V1621</f>
        <v>317510.90039999998</v>
      </c>
      <c r="T267" s="6">
        <f>[1]Results!W1621</f>
        <v>324244.64490000001</v>
      </c>
      <c r="U267" s="6">
        <f>[1]Results!X1621</f>
        <v>331228.09999999998</v>
      </c>
      <c r="V267" s="6">
        <f>[1]Results!Y1621</f>
        <v>338537.94679999998</v>
      </c>
      <c r="W267" s="6">
        <f>[1]Results!Z1621</f>
        <v>346140.24829999998</v>
      </c>
      <c r="X267" s="6">
        <f>[1]Results!AA1621</f>
        <v>354192.33049999998</v>
      </c>
      <c r="Y267" s="6">
        <f>[1]Results!AB1621</f>
        <v>362739.9509</v>
      </c>
      <c r="Z267" s="6">
        <f>[1]Results!AC1621</f>
        <v>371827.33039999998</v>
      </c>
      <c r="AA267" s="6">
        <f>[1]Results!AD1621</f>
        <v>381475.98430000001</v>
      </c>
      <c r="AB267" s="6">
        <f>[1]Results!AE1621</f>
        <v>391419.0637</v>
      </c>
      <c r="AC267" s="6">
        <f>[1]Results!AF1621</f>
        <v>401864.56849999999</v>
      </c>
      <c r="AD267" s="6">
        <f>[1]Results!AG1621</f>
        <v>412837.13549999997</v>
      </c>
      <c r="AE267" s="6">
        <f>[1]Results!AH1621</f>
        <v>424383.42839999998</v>
      </c>
      <c r="AF267" s="6">
        <f>[1]Results!AI1621</f>
        <v>436526.18290000001</v>
      </c>
      <c r="AG267" s="6">
        <f>[1]Results!AJ1621</f>
        <v>449248.89649999997</v>
      </c>
      <c r="AH267" s="6">
        <f>[1]Results!AK1621</f>
        <v>462508.38760000002</v>
      </c>
      <c r="AI267" s="6">
        <f>[1]Results!AL1621</f>
        <v>476255.8651</v>
      </c>
      <c r="AJ267" s="6">
        <f>[1]Results!AM1621</f>
        <v>490453.59460000001</v>
      </c>
      <c r="AK267" s="6">
        <f>[1]Results!AN1621</f>
        <v>505066.50020000001</v>
      </c>
      <c r="AL267" s="6">
        <f>[1]Results!AO1621</f>
        <v>520056.39720000001</v>
      </c>
    </row>
    <row r="268" spans="1:38" x14ac:dyDescent="0.35">
      <c r="B268" t="s">
        <v>31</v>
      </c>
      <c r="C268" s="6">
        <f>[1]Results!F1624</f>
        <v>2246.653448</v>
      </c>
      <c r="D268" s="6">
        <f>[1]Results!G1624</f>
        <v>2266.6631910000001</v>
      </c>
      <c r="E268" s="6">
        <f>[1]Results!H1624</f>
        <v>2286.168561</v>
      </c>
      <c r="F268" s="6">
        <f>[1]Results!I1624</f>
        <v>2306.3424289999998</v>
      </c>
      <c r="G268" s="6">
        <f>[1]Results!J1624</f>
        <v>2331.6260790000001</v>
      </c>
      <c r="H268" s="6">
        <f>[1]Results!K1624</f>
        <v>2363.051692</v>
      </c>
      <c r="I268" s="6">
        <f>[1]Results!L1624</f>
        <v>2398.7646800000002</v>
      </c>
      <c r="J268" s="6">
        <f>[1]Results!M1624</f>
        <v>2422.466437</v>
      </c>
      <c r="K268" s="6">
        <f>[1]Results!N1624</f>
        <v>2442.5740599999999</v>
      </c>
      <c r="L268" s="6">
        <f>[1]Results!O1624</f>
        <v>2469.5824210000001</v>
      </c>
      <c r="M268" s="6">
        <f>[1]Results!P1624</f>
        <v>2500.8634010000001</v>
      </c>
      <c r="N268" s="6">
        <f>[1]Results!Q1624</f>
        <v>2532.9249610000002</v>
      </c>
      <c r="O268" s="6">
        <f>[1]Results!R1624</f>
        <v>2564.8893069999999</v>
      </c>
      <c r="P268" s="6">
        <f>[1]Results!S1624</f>
        <v>2597.3514449999998</v>
      </c>
      <c r="Q268" s="6">
        <f>[1]Results!T1624</f>
        <v>2631.7135739999999</v>
      </c>
      <c r="R268" s="6">
        <f>[1]Results!U1624</f>
        <v>2669.0736609999999</v>
      </c>
      <c r="S268" s="6">
        <f>[1]Results!V1624</f>
        <v>2708.1683779999998</v>
      </c>
      <c r="T268" s="6">
        <f>[1]Results!W1624</f>
        <v>2750.6891059999998</v>
      </c>
      <c r="U268" s="6">
        <f>[1]Results!X1624</f>
        <v>2797.8641969999999</v>
      </c>
      <c r="V268" s="6">
        <f>[1]Results!Y1624</f>
        <v>2850.4851119999998</v>
      </c>
      <c r="W268" s="6">
        <f>[1]Results!Z1624</f>
        <v>2908.9385520000001</v>
      </c>
      <c r="X268" s="6">
        <f>[1]Results!AA1624</f>
        <v>2973.952996</v>
      </c>
      <c r="Y268" s="6">
        <f>[1]Results!AB1624</f>
        <v>3046.1812089999999</v>
      </c>
      <c r="Z268" s="6">
        <f>[1]Results!AC1624</f>
        <v>3126.1377130000001</v>
      </c>
      <c r="AA268" s="6">
        <f>[1]Results!AD1624</f>
        <v>3214.1655390000001</v>
      </c>
      <c r="AB268" s="6">
        <f>[1]Results!AE1624</f>
        <v>3309.979664</v>
      </c>
      <c r="AC268" s="6">
        <f>[1]Results!AF1624</f>
        <v>3414.9170920000001</v>
      </c>
      <c r="AD268" s="6">
        <f>[1]Results!AG1624</f>
        <v>3529.7818109999998</v>
      </c>
      <c r="AE268" s="6">
        <f>[1]Results!AH1624</f>
        <v>3655.423773</v>
      </c>
      <c r="AF268" s="6">
        <f>[1]Results!AI1624</f>
        <v>3792.339551</v>
      </c>
      <c r="AG268" s="6">
        <f>[1]Results!AJ1624</f>
        <v>3940.7968259999998</v>
      </c>
      <c r="AH268" s="6">
        <f>[1]Results!AK1624</f>
        <v>4101.2591080000002</v>
      </c>
      <c r="AI268" s="6">
        <f>[1]Results!AL1624</f>
        <v>4274.6253370000004</v>
      </c>
      <c r="AJ268" s="6">
        <f>[1]Results!AM1624</f>
        <v>4462.2292379999999</v>
      </c>
      <c r="AK268" s="6">
        <f>[1]Results!AN1624</f>
        <v>4666.0221359999996</v>
      </c>
      <c r="AL268" s="6">
        <f>[1]Results!AO1624</f>
        <v>4888.9784650000001</v>
      </c>
    </row>
    <row r="269" spans="1:38" x14ac:dyDescent="0.35">
      <c r="B269" t="s">
        <v>33</v>
      </c>
      <c r="C269" s="6">
        <f>[1]Results!F1629</f>
        <v>3650.1624769999999</v>
      </c>
      <c r="D269" s="6">
        <f>[1]Results!G1629</f>
        <v>3702.5604589999998</v>
      </c>
      <c r="E269" s="6">
        <f>[1]Results!H1629</f>
        <v>3755.5830019999999</v>
      </c>
      <c r="F269" s="6">
        <f>[1]Results!I1629</f>
        <v>3811.6851830000001</v>
      </c>
      <c r="G269" s="6">
        <f>[1]Results!J1629</f>
        <v>3865.5017769999999</v>
      </c>
      <c r="H269" s="6">
        <f>[1]Results!K1629</f>
        <v>3919.0392270000002</v>
      </c>
      <c r="I269" s="6">
        <f>[1]Results!L1629</f>
        <v>3974.386508</v>
      </c>
      <c r="J269" s="6">
        <f>[1]Results!M1629</f>
        <v>4108.4761799999997</v>
      </c>
      <c r="K269" s="6">
        <f>[1]Results!N1629</f>
        <v>4288.2291020000002</v>
      </c>
      <c r="L269" s="6">
        <f>[1]Results!O1629</f>
        <v>4507.5284279999996</v>
      </c>
      <c r="M269" s="6">
        <f>[1]Results!P1629</f>
        <v>4754.7698559999999</v>
      </c>
      <c r="N269" s="6">
        <f>[1]Results!Q1629</f>
        <v>5007.6458620000003</v>
      </c>
      <c r="O269" s="6">
        <f>[1]Results!R1629</f>
        <v>5263.141662</v>
      </c>
      <c r="P269" s="6">
        <f>[1]Results!S1629</f>
        <v>5525.0063980000004</v>
      </c>
      <c r="Q269" s="6">
        <f>[1]Results!T1629</f>
        <v>5799.342799</v>
      </c>
      <c r="R269" s="6">
        <f>[1]Results!U1629</f>
        <v>6091.8281020000004</v>
      </c>
      <c r="S269" s="6">
        <f>[1]Results!V1629</f>
        <v>6407.837047</v>
      </c>
      <c r="T269" s="6">
        <f>[1]Results!W1629</f>
        <v>6753.8051260000002</v>
      </c>
      <c r="U269" s="6">
        <f>[1]Results!X1629</f>
        <v>7134.9746960000002</v>
      </c>
      <c r="V269" s="6">
        <f>[1]Results!Y1629</f>
        <v>7556.8075079999999</v>
      </c>
      <c r="W269" s="6">
        <f>[1]Results!Z1629</f>
        <v>8024.3838130000004</v>
      </c>
      <c r="X269" s="6">
        <f>[1]Results!AA1629</f>
        <v>8546.7514859999992</v>
      </c>
      <c r="Y269" s="6">
        <f>[1]Results!AB1629</f>
        <v>9133.515367</v>
      </c>
      <c r="Z269" s="6">
        <f>[1]Results!AC1629</f>
        <v>9795.0745810000008</v>
      </c>
      <c r="AA269" s="6">
        <f>[1]Results!AD1629</f>
        <v>10542.844289999999</v>
      </c>
      <c r="AB269" s="6">
        <f>[1]Results!AE1629</f>
        <v>11385.187389999999</v>
      </c>
      <c r="AC269" s="6">
        <f>[1]Results!AF1629</f>
        <v>12342.88789</v>
      </c>
      <c r="AD269" s="6">
        <f>[1]Results!AG1629</f>
        <v>13437.85678</v>
      </c>
      <c r="AE269" s="6">
        <f>[1]Results!AH1629</f>
        <v>14694.80805</v>
      </c>
      <c r="AF269" s="6">
        <f>[1]Results!AI1629</f>
        <v>16140.67388</v>
      </c>
      <c r="AG269" s="6">
        <f>[1]Results!AJ1629</f>
        <v>17805.889520000001</v>
      </c>
      <c r="AH269" s="6">
        <f>[1]Results!AK1629</f>
        <v>19727.980729999999</v>
      </c>
      <c r="AI269" s="6">
        <f>[1]Results!AL1629</f>
        <v>21955.100180000001</v>
      </c>
      <c r="AJ269" s="6">
        <f>[1]Results!AM1629</f>
        <v>24548.47452</v>
      </c>
      <c r="AK269" s="6">
        <f>[1]Results!AN1629</f>
        <v>27586.973030000001</v>
      </c>
      <c r="AL269" s="6">
        <f>[1]Results!AO1629</f>
        <v>31174.136999999999</v>
      </c>
    </row>
    <row r="271" spans="1:38" x14ac:dyDescent="0.35">
      <c r="A271" s="12" t="s">
        <v>21</v>
      </c>
      <c r="B271" t="s">
        <v>26</v>
      </c>
      <c r="C271" s="6">
        <f>[1]Results!F1639</f>
        <v>472737.799</v>
      </c>
      <c r="D271" s="6">
        <f>[1]Results!G1639</f>
        <v>480958.18859999999</v>
      </c>
      <c r="E271" s="6">
        <f>[1]Results!H1639</f>
        <v>491180.94929999998</v>
      </c>
      <c r="F271" s="6">
        <f>[1]Results!I1639</f>
        <v>502880.29609999998</v>
      </c>
      <c r="G271" s="6">
        <f>[1]Results!J1639</f>
        <v>515854.59710000001</v>
      </c>
      <c r="H271" s="6">
        <f>[1]Results!K1639</f>
        <v>529925.99990000005</v>
      </c>
      <c r="I271" s="6">
        <f>[1]Results!L1639</f>
        <v>544743.40709999995</v>
      </c>
      <c r="J271" s="6">
        <f>[1]Results!M1639</f>
        <v>560189.83700000006</v>
      </c>
      <c r="K271" s="6">
        <f>[1]Results!N1639</f>
        <v>576262.00450000004</v>
      </c>
      <c r="L271" s="6">
        <f>[1]Results!O1639</f>
        <v>593007.78099999996</v>
      </c>
      <c r="M271" s="6">
        <f>[1]Results!P1639</f>
        <v>610385.45330000005</v>
      </c>
      <c r="N271" s="6">
        <f>[1]Results!Q1639</f>
        <v>627285.23670000001</v>
      </c>
      <c r="O271" s="6">
        <f>[1]Results!R1639</f>
        <v>643581.40469999996</v>
      </c>
      <c r="P271" s="6">
        <f>[1]Results!S1639</f>
        <v>659395.82720000006</v>
      </c>
      <c r="Q271" s="6">
        <f>[1]Results!T1639</f>
        <v>674952.89549999998</v>
      </c>
      <c r="R271" s="6">
        <f>[1]Results!U1639</f>
        <v>690497.66729999997</v>
      </c>
      <c r="S271" s="6">
        <f>[1]Results!V1639</f>
        <v>706438.21770000004</v>
      </c>
      <c r="T271" s="6">
        <f>[1]Results!W1639</f>
        <v>723115.41700000002</v>
      </c>
      <c r="U271" s="6">
        <f>[1]Results!X1639</f>
        <v>740761.63399999996</v>
      </c>
      <c r="V271" s="6">
        <f>[1]Results!Y1639</f>
        <v>759503.01729999995</v>
      </c>
      <c r="W271" s="6">
        <f>[1]Results!Z1639</f>
        <v>779272.13600000006</v>
      </c>
      <c r="X271" s="6">
        <f>[1]Results!AA1639</f>
        <v>800290.5477</v>
      </c>
      <c r="Y271" s="6">
        <f>[1]Results!AB1639</f>
        <v>822653.14370000002</v>
      </c>
      <c r="Z271" s="6">
        <f>[1]Results!AC1639</f>
        <v>846426.701</v>
      </c>
      <c r="AA271" s="6">
        <f>[1]Results!AD1639</f>
        <v>871615.82420000003</v>
      </c>
      <c r="AB271" s="6">
        <f>[1]Results!AE1639</f>
        <v>897762.41870000004</v>
      </c>
      <c r="AC271" s="6">
        <f>[1]Results!AF1639</f>
        <v>925128.36699999997</v>
      </c>
      <c r="AD271" s="6">
        <f>[1]Results!AG1639</f>
        <v>953818.52500000002</v>
      </c>
      <c r="AE271" s="6">
        <f>[1]Results!AH1639</f>
        <v>983917.05870000005</v>
      </c>
      <c r="AF271" s="6">
        <f>[1]Results!AI1639</f>
        <v>1015414.704</v>
      </c>
      <c r="AG271" s="6">
        <f>[1]Results!AJ1639</f>
        <v>1048211.82</v>
      </c>
      <c r="AH271" s="6">
        <f>[1]Results!AK1639</f>
        <v>1082187.31</v>
      </c>
      <c r="AI271" s="6">
        <f>[1]Results!AL1639</f>
        <v>1117231.547</v>
      </c>
      <c r="AJ271" s="6">
        <f>[1]Results!AM1639</f>
        <v>1153237.1740000001</v>
      </c>
      <c r="AK271" s="6">
        <f>[1]Results!AN1639</f>
        <v>1190088.0819999999</v>
      </c>
      <c r="AL271" s="6">
        <f>[1]Results!AO1639</f>
        <v>1227651.32</v>
      </c>
    </row>
    <row r="272" spans="1:38" x14ac:dyDescent="0.35">
      <c r="A272" t="s">
        <v>38</v>
      </c>
      <c r="B272" t="s">
        <v>7</v>
      </c>
      <c r="C272" s="6">
        <f>[1]Results!F1640</f>
        <v>4444.1839890000001</v>
      </c>
      <c r="D272" s="6">
        <f>[1]Results!G1640</f>
        <v>4518.9668529999999</v>
      </c>
      <c r="E272" s="6">
        <f>[1]Results!H1640</f>
        <v>4611.3491210000002</v>
      </c>
      <c r="F272" s="6">
        <f>[1]Results!I1640</f>
        <v>4721.5880370000004</v>
      </c>
      <c r="G272" s="6">
        <f>[1]Results!J1640</f>
        <v>4843.7096140000003</v>
      </c>
      <c r="H272" s="6">
        <f>[1]Results!K1640</f>
        <v>4976.3150720000003</v>
      </c>
      <c r="I272" s="6">
        <f>[1]Results!L1640</f>
        <v>5117.2177179999999</v>
      </c>
      <c r="J272" s="6">
        <f>[1]Results!M1640</f>
        <v>5265.3361619999996</v>
      </c>
      <c r="K272" s="6">
        <f>[1]Results!N1640</f>
        <v>5419.9020909999999</v>
      </c>
      <c r="L272" s="6">
        <f>[1]Results!O1640</f>
        <v>5580.6595690000004</v>
      </c>
      <c r="M272" s="6">
        <f>[1]Results!P1640</f>
        <v>5745.5530440000002</v>
      </c>
      <c r="N272" s="6">
        <f>[1]Results!Q1640</f>
        <v>5902.08421</v>
      </c>
      <c r="O272" s="6">
        <f>[1]Results!R1640</f>
        <v>6048.4582760000003</v>
      </c>
      <c r="P272" s="6">
        <f>[1]Results!S1640</f>
        <v>6185.8382819999997</v>
      </c>
      <c r="Q272" s="6">
        <f>[1]Results!T1640</f>
        <v>6316.6410640000004</v>
      </c>
      <c r="R272" s="6">
        <f>[1]Results!U1640</f>
        <v>6443.6732769999999</v>
      </c>
      <c r="S272" s="6">
        <f>[1]Results!V1640</f>
        <v>6570.1998970000004</v>
      </c>
      <c r="T272" s="6">
        <f>[1]Results!W1640</f>
        <v>6699.886692</v>
      </c>
      <c r="U272" s="6">
        <f>[1]Results!X1640</f>
        <v>6835.590373</v>
      </c>
      <c r="V272" s="6">
        <f>[1]Results!Y1640</f>
        <v>6979.1195310000003</v>
      </c>
      <c r="W272" s="6">
        <f>[1]Results!Z1640</f>
        <v>7130.6721319999997</v>
      </c>
      <c r="X272" s="6">
        <f>[1]Results!AA1640</f>
        <v>7292.3579120000004</v>
      </c>
      <c r="Y272" s="6">
        <f>[1]Results!AB1640</f>
        <v>7465.7939999999999</v>
      </c>
      <c r="Z272" s="6">
        <f>[1]Results!AC1640</f>
        <v>7652.021471</v>
      </c>
      <c r="AA272" s="6">
        <f>[1]Results!AD1640</f>
        <v>7851.2190950000004</v>
      </c>
      <c r="AB272" s="6">
        <f>[1]Results!AE1640</f>
        <v>8059.9591780000001</v>
      </c>
      <c r="AC272" s="6">
        <f>[1]Results!AF1640</f>
        <v>8279.7371409999996</v>
      </c>
      <c r="AD272" s="6">
        <f>[1]Results!AG1640</f>
        <v>8512.1208839999999</v>
      </c>
      <c r="AE272" s="6">
        <f>[1]Results!AH1640</f>
        <v>8758.1803610000006</v>
      </c>
      <c r="AF272" s="6">
        <f>[1]Results!AI1640</f>
        <v>9017.6781410000003</v>
      </c>
      <c r="AG272" s="6">
        <f>[1]Results!AJ1640</f>
        <v>9289.1796109999996</v>
      </c>
      <c r="AH272" s="6">
        <f>[1]Results!AK1640</f>
        <v>9570.929983</v>
      </c>
      <c r="AI272" s="6">
        <f>[1]Results!AL1640</f>
        <v>9861.2568470000006</v>
      </c>
      <c r="AJ272" s="6">
        <f>[1]Results!AM1640</f>
        <v>10158.4835</v>
      </c>
      <c r="AK272" s="6">
        <f>[1]Results!AN1640</f>
        <v>10460.84606</v>
      </c>
      <c r="AL272" s="6">
        <f>[1]Results!AO1640</f>
        <v>10766.451290000001</v>
      </c>
    </row>
    <row r="273" spans="1:38" x14ac:dyDescent="0.35">
      <c r="B273" t="s">
        <v>30</v>
      </c>
      <c r="C273" s="6">
        <f>[1]Results!F1643</f>
        <v>234875.91560000001</v>
      </c>
      <c r="D273" s="6">
        <f>[1]Results!G1643</f>
        <v>239167.95420000001</v>
      </c>
      <c r="E273" s="6">
        <f>[1]Results!H1643</f>
        <v>244575.1758</v>
      </c>
      <c r="F273" s="6">
        <f>[1]Results!I1643</f>
        <v>250785.99559999999</v>
      </c>
      <c r="G273" s="6">
        <f>[1]Results!J1643</f>
        <v>257679.87789999999</v>
      </c>
      <c r="H273" s="6">
        <f>[1]Results!K1643</f>
        <v>265175.04519999999</v>
      </c>
      <c r="I273" s="6">
        <f>[1]Results!L1643</f>
        <v>273129.94199999998</v>
      </c>
      <c r="J273" s="6">
        <f>[1]Results!M1643</f>
        <v>281483.26309999998</v>
      </c>
      <c r="K273" s="6">
        <f>[1]Results!N1643</f>
        <v>290238.95880000002</v>
      </c>
      <c r="L273" s="6">
        <f>[1]Results!O1643</f>
        <v>299432.23790000001</v>
      </c>
      <c r="M273" s="6">
        <f>[1]Results!P1643</f>
        <v>309010.66609999997</v>
      </c>
      <c r="N273" s="6">
        <f>[1]Results!Q1643</f>
        <v>318427.00290000002</v>
      </c>
      <c r="O273" s="6">
        <f>[1]Results!R1643</f>
        <v>327619.04009999998</v>
      </c>
      <c r="P273" s="6">
        <f>[1]Results!S1643</f>
        <v>336663.05310000002</v>
      </c>
      <c r="Q273" s="6">
        <f>[1]Results!T1643</f>
        <v>345692.3616</v>
      </c>
      <c r="R273" s="6">
        <f>[1]Results!U1643</f>
        <v>354846.7414</v>
      </c>
      <c r="S273" s="6">
        <f>[1]Results!V1643</f>
        <v>364335.43969999999</v>
      </c>
      <c r="T273" s="6">
        <f>[1]Results!W1643</f>
        <v>374343.40470000001</v>
      </c>
      <c r="U273" s="6">
        <f>[1]Results!X1643</f>
        <v>384999.09850000002</v>
      </c>
      <c r="V273" s="6">
        <f>[1]Results!Y1643</f>
        <v>396371.71059999999</v>
      </c>
      <c r="W273" s="6">
        <f>[1]Results!Z1643</f>
        <v>408450.62540000002</v>
      </c>
      <c r="X273" s="6">
        <f>[1]Results!AA1643</f>
        <v>421306.5736</v>
      </c>
      <c r="Y273" s="6">
        <f>[1]Results!AB1643</f>
        <v>434993.59860000003</v>
      </c>
      <c r="Z273" s="6">
        <f>[1]Results!AC1643</f>
        <v>449545.93849999999</v>
      </c>
      <c r="AA273" s="6">
        <f>[1]Results!AD1643</f>
        <v>464961.4388</v>
      </c>
      <c r="AB273" s="6">
        <f>[1]Results!AE1643</f>
        <v>481065.19270000001</v>
      </c>
      <c r="AC273" s="6">
        <f>[1]Results!AF1643</f>
        <v>497898.43449999997</v>
      </c>
      <c r="AD273" s="6">
        <f>[1]Results!AG1643</f>
        <v>515511.72610000003</v>
      </c>
      <c r="AE273" s="6">
        <f>[1]Results!AH1643</f>
        <v>533943.66260000004</v>
      </c>
      <c r="AF273" s="6">
        <f>[1]Results!AI1643</f>
        <v>553179.70620000002</v>
      </c>
      <c r="AG273" s="6">
        <f>[1]Results!AJ1643</f>
        <v>573158.92830000003</v>
      </c>
      <c r="AH273" s="6">
        <f>[1]Results!AK1643</f>
        <v>593813.87670000002</v>
      </c>
      <c r="AI273" s="6">
        <f>[1]Results!AL1643</f>
        <v>615088.3835</v>
      </c>
      <c r="AJ273" s="6">
        <f>[1]Results!AM1643</f>
        <v>636930.90949999995</v>
      </c>
      <c r="AK273" s="6">
        <f>[1]Results!AN1643</f>
        <v>659286.74620000005</v>
      </c>
      <c r="AL273" s="6">
        <f>[1]Results!AO1643</f>
        <v>682092.03559999994</v>
      </c>
    </row>
    <row r="274" spans="1:38" x14ac:dyDescent="0.35">
      <c r="B274" t="s">
        <v>28</v>
      </c>
      <c r="C274" s="6">
        <f>[1]Results!F1655</f>
        <v>8012.3261389999998</v>
      </c>
      <c r="D274" s="6">
        <f>[1]Results!G1655</f>
        <v>8182.404845</v>
      </c>
      <c r="E274" s="6">
        <f>[1]Results!H1655</f>
        <v>8389.1357129999997</v>
      </c>
      <c r="F274" s="6">
        <f>[1]Results!I1655</f>
        <v>8615.9674329999998</v>
      </c>
      <c r="G274" s="6">
        <f>[1]Results!J1655</f>
        <v>8858.0237280000001</v>
      </c>
      <c r="H274" s="6">
        <f>[1]Results!K1655</f>
        <v>9114.4645619999992</v>
      </c>
      <c r="I274" s="6">
        <f>[1]Results!L1655</f>
        <v>9381.3259620000008</v>
      </c>
      <c r="J274" s="6">
        <f>[1]Results!M1655</f>
        <v>9656.7414759999992</v>
      </c>
      <c r="K274" s="6">
        <f>[1]Results!N1655</f>
        <v>9939.8415079999995</v>
      </c>
      <c r="L274" s="6">
        <f>[1]Results!O1655</f>
        <v>10230.630859999999</v>
      </c>
      <c r="M274" s="6">
        <f>[1]Results!P1655</f>
        <v>10521.80012</v>
      </c>
      <c r="N274" s="6">
        <f>[1]Results!Q1655</f>
        <v>10780.782090000001</v>
      </c>
      <c r="O274" s="6">
        <f>[1]Results!R1655</f>
        <v>11008.79729</v>
      </c>
      <c r="P274" s="6">
        <f>[1]Results!S1655</f>
        <v>11213.434670000001</v>
      </c>
      <c r="Q274" s="6">
        <f>[1]Results!T1655</f>
        <v>11404.20018</v>
      </c>
      <c r="R274" s="6">
        <f>[1]Results!U1655</f>
        <v>11589.980600000001</v>
      </c>
      <c r="S274" s="6">
        <f>[1]Results!V1655</f>
        <v>11780.93663</v>
      </c>
      <c r="T274" s="6">
        <f>[1]Results!W1655</f>
        <v>11985.47156</v>
      </c>
      <c r="U274" s="6">
        <f>[1]Results!X1655</f>
        <v>12209.55098</v>
      </c>
      <c r="V274" s="6">
        <f>[1]Results!Y1655</f>
        <v>12456.33454</v>
      </c>
      <c r="W274" s="6">
        <f>[1]Results!Z1655</f>
        <v>12726.429980000001</v>
      </c>
      <c r="X274" s="6">
        <f>[1]Results!AA1655</f>
        <v>13023.04911</v>
      </c>
      <c r="Y274" s="6">
        <f>[1]Results!AB1655</f>
        <v>13348.558919999999</v>
      </c>
      <c r="Z274" s="6">
        <f>[1]Results!AC1655</f>
        <v>13704.34575</v>
      </c>
      <c r="AA274" s="6">
        <f>[1]Results!AD1655</f>
        <v>14089.989879999999</v>
      </c>
      <c r="AB274" s="6">
        <f>[1]Results!AE1655</f>
        <v>14500.296829999999</v>
      </c>
      <c r="AC274" s="6">
        <f>[1]Results!AF1655</f>
        <v>14938.02137</v>
      </c>
      <c r="AD274" s="6">
        <f>[1]Results!AG1655</f>
        <v>15405.45033</v>
      </c>
      <c r="AE274" s="6">
        <f>[1]Results!AH1655</f>
        <v>15903.57173</v>
      </c>
      <c r="AF274" s="6">
        <f>[1]Results!AI1655</f>
        <v>16429.465789999998</v>
      </c>
      <c r="AG274" s="6">
        <f>[1]Results!AJ1655</f>
        <v>16977.54794</v>
      </c>
      <c r="AH274" s="6">
        <f>[1]Results!AK1655</f>
        <v>17542.396339999999</v>
      </c>
      <c r="AI274" s="6">
        <f>[1]Results!AL1655</f>
        <v>18119.745719999999</v>
      </c>
      <c r="AJ274" s="6">
        <f>[1]Results!AM1655</f>
        <v>18705.974419999999</v>
      </c>
      <c r="AK274" s="6">
        <f>[1]Results!AN1655</f>
        <v>19297.672070000001</v>
      </c>
      <c r="AL274" s="6">
        <f>[1]Results!AO1655</f>
        <v>19891.388139999999</v>
      </c>
    </row>
    <row r="275" spans="1:38" x14ac:dyDescent="0.35">
      <c r="B275" t="s">
        <v>10</v>
      </c>
      <c r="C275" s="6">
        <f>[1]Results!F1660</f>
        <v>219508.55739999999</v>
      </c>
      <c r="D275" s="6">
        <f>[1]Results!G1660</f>
        <v>223119.6391</v>
      </c>
      <c r="E275" s="6">
        <f>[1]Results!H1660</f>
        <v>227563.53709999999</v>
      </c>
      <c r="F275" s="6">
        <f>[1]Results!I1660</f>
        <v>232638.7175</v>
      </c>
      <c r="G275" s="6">
        <f>[1]Results!J1660</f>
        <v>238275.85800000001</v>
      </c>
      <c r="H275" s="6">
        <f>[1]Results!K1660</f>
        <v>244378.08410000001</v>
      </c>
      <c r="I275" s="6">
        <f>[1]Results!L1660</f>
        <v>250741.7702</v>
      </c>
      <c r="J275" s="6">
        <f>[1]Results!M1660</f>
        <v>257315.08189999999</v>
      </c>
      <c r="K275" s="6">
        <f>[1]Results!N1660</f>
        <v>264093.92450000002</v>
      </c>
      <c r="L275" s="6">
        <f>[1]Results!O1660</f>
        <v>271092.30129999999</v>
      </c>
      <c r="M275" s="6">
        <f>[1]Results!P1660</f>
        <v>278332.52020000003</v>
      </c>
      <c r="N275" s="6">
        <f>[1]Results!Q1660</f>
        <v>285310.0037</v>
      </c>
      <c r="O275" s="6">
        <f>[1]Results!R1660</f>
        <v>291964.3</v>
      </c>
      <c r="P275" s="6">
        <f>[1]Results!S1660</f>
        <v>298331.0159</v>
      </c>
      <c r="Q275" s="6">
        <f>[1]Results!T1660</f>
        <v>304486.2966</v>
      </c>
      <c r="R275" s="6">
        <f>[1]Results!U1660</f>
        <v>310520.14289999998</v>
      </c>
      <c r="S275" s="6">
        <f>[1]Results!V1660</f>
        <v>316613.9204</v>
      </c>
      <c r="T275" s="6">
        <f>[1]Results!W1660</f>
        <v>322906.83630000002</v>
      </c>
      <c r="U275" s="6">
        <f>[1]Results!X1660</f>
        <v>329490.1862</v>
      </c>
      <c r="V275" s="6">
        <f>[1]Results!Y1660</f>
        <v>336413.29330000002</v>
      </c>
      <c r="W275" s="6">
        <f>[1]Results!Z1660</f>
        <v>343617.53100000002</v>
      </c>
      <c r="X275" s="6">
        <f>[1]Results!AA1660</f>
        <v>351245.57150000002</v>
      </c>
      <c r="Y275" s="6">
        <f>[1]Results!AB1660</f>
        <v>359332.46620000002</v>
      </c>
      <c r="Z275" s="6">
        <f>[1]Results!AC1660</f>
        <v>367907.04200000002</v>
      </c>
      <c r="AA275" s="6">
        <f>[1]Results!AD1660</f>
        <v>376975.55</v>
      </c>
      <c r="AB275" s="6">
        <f>[1]Results!AE1660</f>
        <v>386265.87329999998</v>
      </c>
      <c r="AC275" s="6">
        <f>[1]Results!AF1660</f>
        <v>395991.95890000003</v>
      </c>
      <c r="AD275" s="6">
        <f>[1]Results!AG1660</f>
        <v>406202.83270000003</v>
      </c>
      <c r="AE275" s="6">
        <f>[1]Results!AH1660</f>
        <v>416941.38370000001</v>
      </c>
      <c r="AF275" s="6">
        <f>[1]Results!AI1660</f>
        <v>428216.98739999998</v>
      </c>
      <c r="AG275" s="6">
        <f>[1]Results!AJ1660</f>
        <v>440000.10960000003</v>
      </c>
      <c r="AH275" s="6">
        <f>[1]Results!AK1660</f>
        <v>452246.77899999998</v>
      </c>
      <c r="AI275" s="6">
        <f>[1]Results!AL1660</f>
        <v>464911.86050000001</v>
      </c>
      <c r="AJ275" s="6">
        <f>[1]Results!AM1660</f>
        <v>477947.1372</v>
      </c>
      <c r="AK275" s="6">
        <f>[1]Results!AN1660</f>
        <v>491298.67910000001</v>
      </c>
      <c r="AL275" s="6">
        <f>[1]Results!AO1660</f>
        <v>504905.07429999998</v>
      </c>
    </row>
    <row r="276" spans="1:38" x14ac:dyDescent="0.35">
      <c r="B276" t="s">
        <v>31</v>
      </c>
      <c r="C276" s="6">
        <f>[1]Results!F1663</f>
        <v>2246.6534470000001</v>
      </c>
      <c r="D276" s="6">
        <f>[1]Results!G1663</f>
        <v>2266.6631900000002</v>
      </c>
      <c r="E276" s="6">
        <f>[1]Results!H1663</f>
        <v>2286.1685590000002</v>
      </c>
      <c r="F276" s="6">
        <f>[1]Results!I1663</f>
        <v>2306.3424279999999</v>
      </c>
      <c r="G276" s="6">
        <f>[1]Results!J1663</f>
        <v>2331.6260779999998</v>
      </c>
      <c r="H276" s="6">
        <f>[1]Results!K1663</f>
        <v>2363.0516910000001</v>
      </c>
      <c r="I276" s="6">
        <f>[1]Results!L1663</f>
        <v>2398.7646789999999</v>
      </c>
      <c r="J276" s="6">
        <f>[1]Results!M1663</f>
        <v>2436.9217100000001</v>
      </c>
      <c r="K276" s="6">
        <f>[1]Results!N1663</f>
        <v>2476.5398150000001</v>
      </c>
      <c r="L276" s="6">
        <f>[1]Results!O1663</f>
        <v>2517.187711</v>
      </c>
      <c r="M276" s="6">
        <f>[1]Results!P1663</f>
        <v>2557.854186</v>
      </c>
      <c r="N276" s="6">
        <f>[1]Results!Q1663</f>
        <v>2594.1117770000001</v>
      </c>
      <c r="O276" s="6">
        <f>[1]Results!R1663</f>
        <v>2625.306822</v>
      </c>
      <c r="P276" s="6">
        <f>[1]Results!S1663</f>
        <v>2651.9911269999998</v>
      </c>
      <c r="Q276" s="6">
        <f>[1]Results!T1663</f>
        <v>2675.1950320000001</v>
      </c>
      <c r="R276" s="6">
        <f>[1]Results!U1663</f>
        <v>2696.0371369999998</v>
      </c>
      <c r="S276" s="6">
        <f>[1]Results!V1663</f>
        <v>2716.713283</v>
      </c>
      <c r="T276" s="6">
        <f>[1]Results!W1663</f>
        <v>2739.011062</v>
      </c>
      <c r="U276" s="6">
        <f>[1]Results!X1663</f>
        <v>2764.0701720000002</v>
      </c>
      <c r="V276" s="6">
        <f>[1]Results!Y1663</f>
        <v>2792.488609</v>
      </c>
      <c r="W276" s="6">
        <f>[1]Results!Z1663</f>
        <v>2824.4138119999998</v>
      </c>
      <c r="X276" s="6">
        <f>[1]Results!AA1663</f>
        <v>2860.3417789999999</v>
      </c>
      <c r="Y276" s="6">
        <f>[1]Results!AB1663</f>
        <v>2900.6903649999999</v>
      </c>
      <c r="Z276" s="6">
        <f>[1]Results!AC1663</f>
        <v>2945.7985349999999</v>
      </c>
      <c r="AA276" s="6">
        <f>[1]Results!AD1663</f>
        <v>2995.8421579999999</v>
      </c>
      <c r="AB276" s="6">
        <f>[1]Results!AE1663</f>
        <v>3050.3386449999998</v>
      </c>
      <c r="AC276" s="6">
        <f>[1]Results!AF1663</f>
        <v>3109.8179500000001</v>
      </c>
      <c r="AD276" s="6">
        <f>[1]Results!AG1663</f>
        <v>3174.7874769999999</v>
      </c>
      <c r="AE276" s="6">
        <f>[1]Results!AH1663</f>
        <v>3245.5668209999999</v>
      </c>
      <c r="AF276" s="6">
        <f>[1]Results!AI1663</f>
        <v>3321.9461289999999</v>
      </c>
      <c r="AG276" s="6">
        <f>[1]Results!AJ1663</f>
        <v>3403.2941000000001</v>
      </c>
      <c r="AH276" s="6">
        <f>[1]Results!AK1663</f>
        <v>3488.874245</v>
      </c>
      <c r="AI276" s="6">
        <f>[1]Results!AL1663</f>
        <v>3577.985349</v>
      </c>
      <c r="AJ276" s="6">
        <f>[1]Results!AM1663</f>
        <v>3669.9330930000001</v>
      </c>
      <c r="AK276" s="6">
        <f>[1]Results!AN1663</f>
        <v>3763.9913459999998</v>
      </c>
      <c r="AL276" s="6">
        <f>[1]Results!AO1663</f>
        <v>3859.3772920000001</v>
      </c>
    </row>
    <row r="277" spans="1:38" x14ac:dyDescent="0.35">
      <c r="B277" t="s">
        <v>33</v>
      </c>
      <c r="C277" s="6">
        <f>[1]Results!F1668</f>
        <v>3650.1624769999999</v>
      </c>
      <c r="D277" s="6">
        <f>[1]Results!G1668</f>
        <v>3702.5604579999999</v>
      </c>
      <c r="E277" s="6">
        <f>[1]Results!H1668</f>
        <v>3755.583001</v>
      </c>
      <c r="F277" s="6">
        <f>[1]Results!I1668</f>
        <v>3811.6851820000002</v>
      </c>
      <c r="G277" s="6">
        <f>[1]Results!J1668</f>
        <v>3865.5017769999999</v>
      </c>
      <c r="H277" s="6">
        <f>[1]Results!K1668</f>
        <v>3919.0392270000002</v>
      </c>
      <c r="I277" s="6">
        <f>[1]Results!L1668</f>
        <v>3974.386508</v>
      </c>
      <c r="J277" s="6">
        <f>[1]Results!M1668</f>
        <v>4032.4927050000001</v>
      </c>
      <c r="K277" s="6">
        <f>[1]Results!N1668</f>
        <v>4092.8377390000001</v>
      </c>
      <c r="L277" s="6">
        <f>[1]Results!O1668</f>
        <v>4154.7636990000001</v>
      </c>
      <c r="M277" s="6">
        <f>[1]Results!P1668</f>
        <v>4217.0596800000003</v>
      </c>
      <c r="N277" s="6">
        <f>[1]Results!Q1668</f>
        <v>4271.2520720000002</v>
      </c>
      <c r="O277" s="6">
        <f>[1]Results!R1668</f>
        <v>4315.5022639999997</v>
      </c>
      <c r="P277" s="6">
        <f>[1]Results!S1668</f>
        <v>4350.4941079999999</v>
      </c>
      <c r="Q277" s="6">
        <f>[1]Results!T1668</f>
        <v>4378.2010149999996</v>
      </c>
      <c r="R277" s="6">
        <f>[1]Results!U1668</f>
        <v>4401.0919510000003</v>
      </c>
      <c r="S277" s="6">
        <f>[1]Results!V1668</f>
        <v>4421.0077890000002</v>
      </c>
      <c r="T277" s="6">
        <f>[1]Results!W1668</f>
        <v>4440.8067739999997</v>
      </c>
      <c r="U277" s="6">
        <f>[1]Results!X1668</f>
        <v>4463.1377990000001</v>
      </c>
      <c r="V277" s="6">
        <f>[1]Results!Y1668</f>
        <v>4490.0707819999998</v>
      </c>
      <c r="W277" s="6">
        <f>[1]Results!Z1668</f>
        <v>4522.4636890000002</v>
      </c>
      <c r="X277" s="6">
        <f>[1]Results!AA1668</f>
        <v>4562.653789</v>
      </c>
      <c r="Y277" s="6">
        <f>[1]Results!AB1668</f>
        <v>4612.0355710000003</v>
      </c>
      <c r="Z277" s="6">
        <f>[1]Results!AC1668</f>
        <v>4671.5546780000004</v>
      </c>
      <c r="AA277" s="6">
        <f>[1]Results!AD1668</f>
        <v>4741.784224</v>
      </c>
      <c r="AB277" s="6">
        <f>[1]Results!AE1668</f>
        <v>4820.7580420000004</v>
      </c>
      <c r="AC277" s="6">
        <f>[1]Results!AF1668</f>
        <v>4910.3971019999999</v>
      </c>
      <c r="AD277" s="6">
        <f>[1]Results!AG1668</f>
        <v>5011.6075179999998</v>
      </c>
      <c r="AE277" s="6">
        <f>[1]Results!AH1668</f>
        <v>5124.6934359999996</v>
      </c>
      <c r="AF277" s="6">
        <f>[1]Results!AI1668</f>
        <v>5248.9201510000003</v>
      </c>
      <c r="AG277" s="6">
        <f>[1]Results!AJ1668</f>
        <v>5382.759978</v>
      </c>
      <c r="AH277" s="6">
        <f>[1]Results!AK1668</f>
        <v>5524.4541429999999</v>
      </c>
      <c r="AI277" s="6">
        <f>[1]Results!AL1668</f>
        <v>5672.3156070000005</v>
      </c>
      <c r="AJ277" s="6">
        <f>[1]Results!AM1668</f>
        <v>5824.7361289999999</v>
      </c>
      <c r="AK277" s="6">
        <f>[1]Results!AN1668</f>
        <v>5980.1468869999999</v>
      </c>
      <c r="AL277" s="6">
        <f>[1]Results!AO1668</f>
        <v>6136.9933430000001</v>
      </c>
    </row>
    <row r="279" spans="1:38" x14ac:dyDescent="0.35">
      <c r="A279" s="12" t="s">
        <v>21</v>
      </c>
      <c r="B279" t="s">
        <v>26</v>
      </c>
      <c r="C279" s="4">
        <f>C263/C271-1</f>
        <v>2.115336794616951E-10</v>
      </c>
      <c r="D279" s="4">
        <f t="shared" ref="D279:AK279" si="52">D263/D271-1</f>
        <v>0</v>
      </c>
      <c r="E279" s="4">
        <f t="shared" si="52"/>
        <v>0</v>
      </c>
      <c r="F279" s="4">
        <f t="shared" si="52"/>
        <v>1.9885448843126596E-10</v>
      </c>
      <c r="G279" s="4">
        <f t="shared" si="52"/>
        <v>1.9385315574993456E-10</v>
      </c>
      <c r="H279" s="4">
        <f t="shared" si="52"/>
        <v>1.8870549567395756E-10</v>
      </c>
      <c r="I279" s="4">
        <f t="shared" si="52"/>
        <v>1.8357271258651053E-10</v>
      </c>
      <c r="J279" s="4">
        <f t="shared" si="52"/>
        <v>-2.441670501066473E-3</v>
      </c>
      <c r="K279" s="4">
        <f t="shared" si="52"/>
        <v>-5.5514595357987195E-3</v>
      </c>
      <c r="L279" s="4">
        <f t="shared" si="52"/>
        <v>-6.1594876442270241E-3</v>
      </c>
      <c r="M279" s="4">
        <f t="shared" si="52"/>
        <v>-5.4302085380317777E-3</v>
      </c>
      <c r="N279" s="4">
        <f t="shared" si="52"/>
        <v>-4.0117146917701962E-3</v>
      </c>
      <c r="O279" s="4">
        <f t="shared" si="52"/>
        <v>-2.3625040886765536E-3</v>
      </c>
      <c r="P279" s="4">
        <f t="shared" si="52"/>
        <v>-5.7570291521569228E-4</v>
      </c>
      <c r="Q279" s="4">
        <f t="shared" si="52"/>
        <v>1.4818277048194162E-3</v>
      </c>
      <c r="R279" s="4">
        <f t="shared" si="52"/>
        <v>3.8730045395478641E-3</v>
      </c>
      <c r="S279" s="4">
        <f t="shared" si="52"/>
        <v>6.20341240068778E-3</v>
      </c>
      <c r="T279" s="4">
        <f t="shared" si="52"/>
        <v>8.4535153812106412E-3</v>
      </c>
      <c r="U279" s="4">
        <f t="shared" si="52"/>
        <v>1.0692484108862477E-2</v>
      </c>
      <c r="V279" s="4">
        <f t="shared" si="52"/>
        <v>1.3017727085730124E-2</v>
      </c>
      <c r="W279" s="4">
        <f t="shared" si="52"/>
        <v>1.5522317225519222E-2</v>
      </c>
      <c r="X279" s="4">
        <f t="shared" si="52"/>
        <v>1.8271245789449608E-2</v>
      </c>
      <c r="Y279" s="4">
        <f t="shared" si="52"/>
        <v>2.1316289415888923E-2</v>
      </c>
      <c r="Z279" s="4">
        <f t="shared" si="52"/>
        <v>2.4712904348701548E-2</v>
      </c>
      <c r="AA279" s="4">
        <f t="shared" si="52"/>
        <v>2.8514337062215844E-2</v>
      </c>
      <c r="AB279" s="4">
        <f t="shared" si="52"/>
        <v>3.276203724654736E-2</v>
      </c>
      <c r="AC279" s="4">
        <f t="shared" si="52"/>
        <v>3.7487301046082777E-2</v>
      </c>
      <c r="AD279" s="4">
        <f t="shared" si="52"/>
        <v>4.264356555666593E-2</v>
      </c>
      <c r="AE279" s="4">
        <f t="shared" si="52"/>
        <v>4.8242314614114878E-2</v>
      </c>
      <c r="AF279" s="4">
        <f t="shared" si="52"/>
        <v>5.4323255102281642E-2</v>
      </c>
      <c r="AG279" s="4">
        <f t="shared" si="52"/>
        <v>6.0937489714626647E-2</v>
      </c>
      <c r="AH279" s="4">
        <f t="shared" si="52"/>
        <v>6.8127493566709774E-2</v>
      </c>
      <c r="AI279" s="4">
        <f>AI263/AI271-1</f>
        <v>7.594126770571763E-2</v>
      </c>
      <c r="AJ279" s="4">
        <f t="shared" si="52"/>
        <v>8.4464603809242034E-2</v>
      </c>
      <c r="AK279" s="4">
        <f t="shared" si="52"/>
        <v>9.3820049699481212E-2</v>
      </c>
      <c r="AL279" s="4">
        <f>AL263/AL271-1</f>
        <v>0.10416973200501256</v>
      </c>
    </row>
    <row r="280" spans="1:38" x14ac:dyDescent="0.35">
      <c r="A280" t="s">
        <v>88</v>
      </c>
      <c r="B280" t="s">
        <v>7</v>
      </c>
      <c r="C280" s="4">
        <f>(C264-C272)/C$271</f>
        <v>0</v>
      </c>
      <c r="D280" s="4">
        <f t="shared" ref="D280:AL280" si="53">(D264-D272)/D$271</f>
        <v>0</v>
      </c>
      <c r="E280" s="4">
        <f t="shared" si="53"/>
        <v>0</v>
      </c>
      <c r="F280" s="4">
        <f t="shared" si="53"/>
        <v>1.9885436689334905E-12</v>
      </c>
      <c r="G280" s="4">
        <f t="shared" si="53"/>
        <v>1.9385296451030775E-12</v>
      </c>
      <c r="H280" s="4">
        <f t="shared" si="53"/>
        <v>1.8870548514882446E-12</v>
      </c>
      <c r="I280" s="4">
        <f t="shared" si="53"/>
        <v>1.8357272901371402E-12</v>
      </c>
      <c r="J280" s="4">
        <f t="shared" si="53"/>
        <v>3.9370796368097146E-6</v>
      </c>
      <c r="K280" s="4">
        <f t="shared" si="53"/>
        <v>1.0298162907945104E-5</v>
      </c>
      <c r="L280" s="4">
        <f t="shared" si="53"/>
        <v>5.0805694234220721E-5</v>
      </c>
      <c r="M280" s="4">
        <f t="shared" si="53"/>
        <v>1.0921013703653366E-4</v>
      </c>
      <c r="N280" s="4">
        <f t="shared" si="53"/>
        <v>1.6623083710460326E-4</v>
      </c>
      <c r="O280" s="4">
        <f t="shared" si="53"/>
        <v>2.1897569285068489E-4</v>
      </c>
      <c r="P280" s="4">
        <f t="shared" si="53"/>
        <v>2.6792555808275516E-4</v>
      </c>
      <c r="Q280" s="4">
        <f t="shared" si="53"/>
        <v>3.1504440297641412E-4</v>
      </c>
      <c r="R280" s="4">
        <f t="shared" si="53"/>
        <v>3.6083815746150655E-4</v>
      </c>
      <c r="S280" s="4">
        <f t="shared" si="53"/>
        <v>4.0863663483533522E-4</v>
      </c>
      <c r="T280" s="4">
        <f t="shared" si="53"/>
        <v>4.5562575939381517E-4</v>
      </c>
      <c r="U280" s="4">
        <f t="shared" si="53"/>
        <v>5.0049875828207444E-4</v>
      </c>
      <c r="V280" s="4">
        <f t="shared" si="53"/>
        <v>5.4269815999584132E-4</v>
      </c>
      <c r="W280" s="4">
        <f t="shared" si="53"/>
        <v>5.8185851649647632E-4</v>
      </c>
      <c r="X280" s="4">
        <f t="shared" si="53"/>
        <v>6.1746087895222471E-4</v>
      </c>
      <c r="Y280" s="4">
        <f t="shared" si="53"/>
        <v>6.4906274787751746E-4</v>
      </c>
      <c r="Z280" s="4">
        <f t="shared" si="53"/>
        <v>6.7642963215074742E-4</v>
      </c>
      <c r="AA280" s="4">
        <f t="shared" si="53"/>
        <v>6.9931182761562337E-4</v>
      </c>
      <c r="AB280" s="4">
        <f t="shared" si="53"/>
        <v>7.1726701473252494E-4</v>
      </c>
      <c r="AC280" s="4">
        <f t="shared" si="53"/>
        <v>7.2810382323948387E-4</v>
      </c>
      <c r="AD280" s="4">
        <f t="shared" si="53"/>
        <v>7.3157920894857871E-4</v>
      </c>
      <c r="AE280" s="4">
        <f t="shared" si="53"/>
        <v>7.2790578907766621E-4</v>
      </c>
      <c r="AF280" s="4">
        <f t="shared" si="53"/>
        <v>7.1731971590594543E-4</v>
      </c>
      <c r="AG280" s="4">
        <f t="shared" si="53"/>
        <v>6.9988596293447621E-4</v>
      </c>
      <c r="AH280" s="4">
        <f t="shared" si="53"/>
        <v>6.7526980795958448E-4</v>
      </c>
      <c r="AI280" s="4">
        <f t="shared" si="53"/>
        <v>6.4298164058197629E-4</v>
      </c>
      <c r="AJ280" s="4">
        <f t="shared" si="53"/>
        <v>6.0272775251346544E-4</v>
      </c>
      <c r="AK280" s="4">
        <f t="shared" si="53"/>
        <v>5.5419266857257719E-4</v>
      </c>
      <c r="AL280" s="4">
        <f t="shared" si="53"/>
        <v>4.9691138685860727E-4</v>
      </c>
    </row>
    <row r="281" spans="1:38" x14ac:dyDescent="0.35">
      <c r="B281" t="s">
        <v>30</v>
      </c>
      <c r="C281" s="4">
        <f t="shared" ref="C281:AL281" si="54">(C265-C273)/C$271</f>
        <v>0</v>
      </c>
      <c r="D281" s="4">
        <f t="shared" si="54"/>
        <v>0</v>
      </c>
      <c r="E281" s="4">
        <f t="shared" si="54"/>
        <v>0</v>
      </c>
      <c r="F281" s="4">
        <f t="shared" si="54"/>
        <v>0</v>
      </c>
      <c r="G281" s="4">
        <f t="shared" si="54"/>
        <v>0</v>
      </c>
      <c r="H281" s="4">
        <f t="shared" si="54"/>
        <v>0</v>
      </c>
      <c r="I281" s="4">
        <f t="shared" si="54"/>
        <v>1.835726755870363E-10</v>
      </c>
      <c r="J281" s="4">
        <f t="shared" si="54"/>
        <v>-1.4116846607483274E-3</v>
      </c>
      <c r="K281" s="4">
        <f t="shared" si="54"/>
        <v>-3.2939893402255294E-3</v>
      </c>
      <c r="L281" s="4">
        <f t="shared" si="54"/>
        <v>-3.850537333843205E-3</v>
      </c>
      <c r="M281" s="4">
        <f t="shared" si="54"/>
        <v>-3.7436116598881233E-3</v>
      </c>
      <c r="N281" s="4">
        <f t="shared" si="54"/>
        <v>-3.2995055182366505E-3</v>
      </c>
      <c r="O281" s="4">
        <f t="shared" si="54"/>
        <v>-2.7393905217348779E-3</v>
      </c>
      <c r="P281" s="4">
        <f t="shared" si="54"/>
        <v>-2.0853131659004996E-3</v>
      </c>
      <c r="Q281" s="4">
        <f t="shared" si="54"/>
        <v>-1.2363089417993702E-3</v>
      </c>
      <c r="R281" s="4">
        <f t="shared" si="54"/>
        <v>-1.3833167659135087E-4</v>
      </c>
      <c r="S281" s="4">
        <f t="shared" si="54"/>
        <v>9.825012047900985E-4</v>
      </c>
      <c r="T281" s="4">
        <f t="shared" si="54"/>
        <v>2.1217553435179709E-3</v>
      </c>
      <c r="U281" s="4">
        <f t="shared" si="54"/>
        <v>3.3191435505688853E-3</v>
      </c>
      <c r="V281" s="4">
        <f t="shared" si="54"/>
        <v>4.6299401317730663E-3</v>
      </c>
      <c r="W281" s="4">
        <f t="shared" si="54"/>
        <v>6.109996854808614E-3</v>
      </c>
      <c r="X281" s="4">
        <f t="shared" si="54"/>
        <v>7.8030679207033516E-3</v>
      </c>
      <c r="Y281" s="4">
        <f t="shared" si="54"/>
        <v>9.7444472939658897E-3</v>
      </c>
      <c r="Z281" s="4">
        <f t="shared" si="54"/>
        <v>1.1970050788839646E-2</v>
      </c>
      <c r="AA281" s="4">
        <f t="shared" si="54"/>
        <v>1.4515713286427067E-2</v>
      </c>
      <c r="AB281" s="4">
        <f t="shared" si="54"/>
        <v>1.7413320689717973E-2</v>
      </c>
      <c r="AC281" s="4">
        <f t="shared" si="54"/>
        <v>2.069612745968263E-2</v>
      </c>
      <c r="AD281" s="4">
        <f t="shared" si="54"/>
        <v>2.4331634783461537E-2</v>
      </c>
      <c r="AE281" s="4">
        <f t="shared" si="54"/>
        <v>2.8314940831302725E-2</v>
      </c>
      <c r="AF281" s="4">
        <f t="shared" si="54"/>
        <v>3.2660307034513787E-2</v>
      </c>
      <c r="AG281" s="4">
        <f t="shared" si="54"/>
        <v>3.7392694446051936E-2</v>
      </c>
      <c r="AH281" s="4">
        <f t="shared" si="54"/>
        <v>4.2534619815491982E-2</v>
      </c>
      <c r="AI281" s="4">
        <f t="shared" si="54"/>
        <v>4.8109589050120118E-2</v>
      </c>
      <c r="AJ281" s="4">
        <f t="shared" si="54"/>
        <v>5.4159089394737139E-2</v>
      </c>
      <c r="AK281" s="4">
        <f t="shared" si="54"/>
        <v>6.0745375904033241E-2</v>
      </c>
      <c r="AL281" s="4">
        <f t="shared" si="54"/>
        <v>6.7953426955139035E-2</v>
      </c>
    </row>
    <row r="282" spans="1:38" x14ac:dyDescent="0.35">
      <c r="B282" t="s">
        <v>28</v>
      </c>
      <c r="C282" s="4">
        <f t="shared" ref="C282:AL282" si="55">(C266-C274)/C$271</f>
        <v>0</v>
      </c>
      <c r="D282" s="4">
        <f t="shared" si="55"/>
        <v>0</v>
      </c>
      <c r="E282" s="4">
        <f t="shared" si="55"/>
        <v>-2.0359102688345161E-12</v>
      </c>
      <c r="F282" s="4">
        <f t="shared" si="55"/>
        <v>-1.9885454775044544E-12</v>
      </c>
      <c r="G282" s="4">
        <f t="shared" si="55"/>
        <v>-1.9385314081865256E-12</v>
      </c>
      <c r="H282" s="4">
        <f t="shared" si="55"/>
        <v>-1.8870531352208754E-12</v>
      </c>
      <c r="I282" s="4">
        <f t="shared" si="55"/>
        <v>-3.6714545802742804E-12</v>
      </c>
      <c r="J282" s="4">
        <f t="shared" si="55"/>
        <v>-4.8416190742138398E-5</v>
      </c>
      <c r="K282" s="4">
        <f t="shared" si="55"/>
        <v>-9.1298431250292616E-5</v>
      </c>
      <c r="L282" s="4">
        <f t="shared" si="55"/>
        <v>-2.7544242290473735E-5</v>
      </c>
      <c r="M282" s="4">
        <f t="shared" si="55"/>
        <v>9.1248324642863595E-5</v>
      </c>
      <c r="N282" s="4">
        <f t="shared" si="55"/>
        <v>2.2919249742961515E-4</v>
      </c>
      <c r="O282" s="4">
        <f t="shared" si="55"/>
        <v>3.5955849300504234E-4</v>
      </c>
      <c r="P282" s="4">
        <f t="shared" si="55"/>
        <v>4.7390430316632639E-4</v>
      </c>
      <c r="Q282" s="4">
        <f t="shared" si="55"/>
        <v>5.74985176872984E-4</v>
      </c>
      <c r="R282" s="4">
        <f t="shared" si="55"/>
        <v>6.639136404219386E-4</v>
      </c>
      <c r="S282" s="4">
        <f t="shared" si="55"/>
        <v>7.4218839930126335E-4</v>
      </c>
      <c r="T282" s="4">
        <f t="shared" si="55"/>
        <v>8.1126490489415246E-4</v>
      </c>
      <c r="U282" s="4">
        <f t="shared" si="55"/>
        <v>8.7422560817991915E-4</v>
      </c>
      <c r="V282" s="4">
        <f t="shared" si="55"/>
        <v>9.3348129480828055E-4</v>
      </c>
      <c r="W282" s="4">
        <f t="shared" si="55"/>
        <v>9.9088696275417636E-4</v>
      </c>
      <c r="X282" s="4">
        <f t="shared" si="55"/>
        <v>1.0483290754978399E-3</v>
      </c>
      <c r="Y282" s="4">
        <f t="shared" si="55"/>
        <v>1.1076399172338088E-3</v>
      </c>
      <c r="Z282" s="4">
        <f t="shared" si="55"/>
        <v>1.1686730095250137E-3</v>
      </c>
      <c r="AA282" s="4">
        <f t="shared" si="55"/>
        <v>1.2299833599097262E-3</v>
      </c>
      <c r="AB282" s="4">
        <f t="shared" si="55"/>
        <v>1.290213062913991E-3</v>
      </c>
      <c r="AC282" s="4">
        <f t="shared" si="55"/>
        <v>1.3513821590555553E-3</v>
      </c>
      <c r="AD282" s="4">
        <f t="shared" si="55"/>
        <v>1.4184234469549666E-3</v>
      </c>
      <c r="AE282" s="4">
        <f t="shared" si="55"/>
        <v>1.4926748723520244E-3</v>
      </c>
      <c r="AF282" s="4">
        <f t="shared" si="55"/>
        <v>1.5729106577916975E-3</v>
      </c>
      <c r="AG282" s="4">
        <f t="shared" si="55"/>
        <v>1.6569985253553029E-3</v>
      </c>
      <c r="AH282" s="4">
        <f t="shared" si="55"/>
        <v>1.7446096831425621E-3</v>
      </c>
      <c r="AI282" s="4">
        <f t="shared" si="55"/>
        <v>1.8372558898034773E-3</v>
      </c>
      <c r="AJ282" s="4">
        <f t="shared" si="55"/>
        <v>1.9353054951036488E-3</v>
      </c>
      <c r="AK282" s="4">
        <f t="shared" si="55"/>
        <v>2.03813424962943E-3</v>
      </c>
      <c r="AL282" s="4">
        <f t="shared" si="55"/>
        <v>2.144658436077764E-3</v>
      </c>
    </row>
    <row r="283" spans="1:38" x14ac:dyDescent="0.35">
      <c r="B283" t="s">
        <v>10</v>
      </c>
      <c r="C283" s="4">
        <f t="shared" ref="C283:AL283" si="56">(C267-C275)/C$271</f>
        <v>0</v>
      </c>
      <c r="D283" s="4">
        <f t="shared" si="56"/>
        <v>0</v>
      </c>
      <c r="E283" s="4">
        <f t="shared" si="56"/>
        <v>0</v>
      </c>
      <c r="F283" s="4">
        <f t="shared" si="56"/>
        <v>0</v>
      </c>
      <c r="G283" s="4">
        <f t="shared" si="56"/>
        <v>1.9385308439998223E-10</v>
      </c>
      <c r="H283" s="4">
        <f t="shared" si="56"/>
        <v>1.8870560185500557E-10</v>
      </c>
      <c r="I283" s="4">
        <f t="shared" si="56"/>
        <v>1.835726755870363E-10</v>
      </c>
      <c r="J283" s="4">
        <f t="shared" si="56"/>
        <v>-1.0953413637170145E-3</v>
      </c>
      <c r="K283" s="4">
        <f t="shared" si="56"/>
        <v>-2.4565950712442147E-3</v>
      </c>
      <c r="L283" s="4">
        <f t="shared" si="56"/>
        <v>-2.8468076711459013E-3</v>
      </c>
      <c r="M283" s="4">
        <f t="shared" si="56"/>
        <v>-2.6746222262895663E-3</v>
      </c>
      <c r="N283" s="4">
        <f t="shared" si="56"/>
        <v>-2.1840281260360819E-3</v>
      </c>
      <c r="O283" s="4">
        <f t="shared" si="56"/>
        <v>-1.5802175025147859E-3</v>
      </c>
      <c r="P283" s="4">
        <f t="shared" si="56"/>
        <v>-9.3055077798341916E-4</v>
      </c>
      <c r="Q283" s="4">
        <f t="shared" si="56"/>
        <v>-2.1301367985610085E-4</v>
      </c>
      <c r="R283" s="4">
        <f t="shared" si="56"/>
        <v>5.7705770615858946E-4</v>
      </c>
      <c r="S283" s="4">
        <f t="shared" si="56"/>
        <v>1.2697217924029385E-3</v>
      </c>
      <c r="T283" s="4">
        <f t="shared" si="56"/>
        <v>1.850062339356802E-3</v>
      </c>
      <c r="U283" s="4">
        <f t="shared" si="56"/>
        <v>2.3461174556456315E-3</v>
      </c>
      <c r="V283" s="4">
        <f t="shared" si="56"/>
        <v>2.7974260162296747E-3</v>
      </c>
      <c r="W283" s="4">
        <f t="shared" si="56"/>
        <v>3.2372738398540146E-3</v>
      </c>
      <c r="X283" s="4">
        <f t="shared" si="56"/>
        <v>3.6821114637287898E-3</v>
      </c>
      <c r="Y283" s="4">
        <f t="shared" si="56"/>
        <v>4.1420673173074166E-3</v>
      </c>
      <c r="Z283" s="4">
        <f t="shared" si="56"/>
        <v>4.6315745892330507E-3</v>
      </c>
      <c r="AA283" s="4">
        <f t="shared" si="56"/>
        <v>5.1633233071814418E-3</v>
      </c>
      <c r="AB283" s="4">
        <f t="shared" si="56"/>
        <v>5.7400380018825812E-3</v>
      </c>
      <c r="AC283" s="4">
        <f t="shared" si="56"/>
        <v>6.3478862063689884E-3</v>
      </c>
      <c r="AD283" s="4">
        <f t="shared" si="56"/>
        <v>6.9555189232668197E-3</v>
      </c>
      <c r="AE283" s="4">
        <f t="shared" si="56"/>
        <v>7.5636910999721538E-3</v>
      </c>
      <c r="AF283" s="4">
        <f t="shared" si="56"/>
        <v>8.1830561122148478E-3</v>
      </c>
      <c r="AG283" s="4">
        <f t="shared" si="56"/>
        <v>8.8233949699212024E-3</v>
      </c>
      <c r="AH283" s="4">
        <f t="shared" si="56"/>
        <v>9.4822850953593558E-3</v>
      </c>
      <c r="AI283" s="4">
        <f t="shared" si="56"/>
        <v>1.0153673721853815E-2</v>
      </c>
      <c r="AJ283" s="4">
        <f t="shared" si="56"/>
        <v>1.0844653365292934E-2</v>
      </c>
      <c r="AK283" s="4">
        <f t="shared" si="56"/>
        <v>1.1568741262295913E-2</v>
      </c>
      <c r="AL283" s="4">
        <f t="shared" si="56"/>
        <v>1.2341715154104203E-2</v>
      </c>
    </row>
    <row r="284" spans="1:38" x14ac:dyDescent="0.35">
      <c r="B284" t="s">
        <v>31</v>
      </c>
      <c r="C284" s="4">
        <f t="shared" ref="C284:AL284" si="57">(C268-C276)/C$271</f>
        <v>2.1153372670933915E-12</v>
      </c>
      <c r="D284" s="4">
        <f t="shared" si="57"/>
        <v>2.0791825723962837E-12</v>
      </c>
      <c r="E284" s="4">
        <f t="shared" si="57"/>
        <v>4.0718186860200563E-12</v>
      </c>
      <c r="F284" s="4">
        <f t="shared" si="57"/>
        <v>1.9885445732189724E-12</v>
      </c>
      <c r="G284" s="4">
        <f t="shared" si="57"/>
        <v>1.9385314081865256E-12</v>
      </c>
      <c r="H284" s="4">
        <f t="shared" si="57"/>
        <v>1.887055709621929E-12</v>
      </c>
      <c r="I284" s="4">
        <f t="shared" si="57"/>
        <v>1.8357272901371402E-12</v>
      </c>
      <c r="J284" s="4">
        <f t="shared" si="57"/>
        <v>-2.5804240000876759E-5</v>
      </c>
      <c r="K284" s="4">
        <f t="shared" si="57"/>
        <v>-5.8941513989753547E-5</v>
      </c>
      <c r="L284" s="4">
        <f t="shared" si="57"/>
        <v>-8.0277681887617542E-5</v>
      </c>
      <c r="M284" s="4">
        <f t="shared" si="57"/>
        <v>-9.3368517699568115E-5</v>
      </c>
      <c r="N284" s="4">
        <f t="shared" si="57"/>
        <v>-9.754225417752432E-5</v>
      </c>
      <c r="O284" s="4">
        <f t="shared" si="57"/>
        <v>-9.3877036469323108E-5</v>
      </c>
      <c r="P284" s="4">
        <f t="shared" si="57"/>
        <v>-8.2863251094592285E-5</v>
      </c>
      <c r="Q284" s="4">
        <f t="shared" si="57"/>
        <v>-6.4421470431339458E-5</v>
      </c>
      <c r="R284" s="4">
        <f t="shared" si="57"/>
        <v>-3.9049336843429334E-5</v>
      </c>
      <c r="S284" s="4">
        <f t="shared" si="57"/>
        <v>-1.2095756976201599E-5</v>
      </c>
      <c r="T284" s="4">
        <f t="shared" si="57"/>
        <v>1.6149626636987845E-5</v>
      </c>
      <c r="U284" s="4">
        <f t="shared" si="57"/>
        <v>4.5620646978592974E-5</v>
      </c>
      <c r="V284" s="4">
        <f t="shared" si="57"/>
        <v>7.6361122574831737E-5</v>
      </c>
      <c r="W284" s="4">
        <f t="shared" si="57"/>
        <v>1.0846626755303398E-4</v>
      </c>
      <c r="X284" s="4">
        <f t="shared" si="57"/>
        <v>1.4196246266623264E-4</v>
      </c>
      <c r="Y284" s="4">
        <f t="shared" si="57"/>
        <v>1.7685563486165515E-4</v>
      </c>
      <c r="Z284" s="4">
        <f t="shared" si="57"/>
        <v>2.1305941528893259E-4</v>
      </c>
      <c r="AA284" s="4">
        <f t="shared" si="57"/>
        <v>2.5048120391846386E-4</v>
      </c>
      <c r="AB284" s="4">
        <f t="shared" si="57"/>
        <v>2.8920905307661674E-4</v>
      </c>
      <c r="AC284" s="4">
        <f t="shared" si="57"/>
        <v>3.2979114345977034E-4</v>
      </c>
      <c r="AD284" s="4">
        <f t="shared" si="57"/>
        <v>3.721822597228335E-4</v>
      </c>
      <c r="AE284" s="4">
        <f t="shared" si="57"/>
        <v>4.1655640419683686E-4</v>
      </c>
      <c r="AF284" s="4">
        <f t="shared" si="57"/>
        <v>4.6325252150376589E-4</v>
      </c>
      <c r="AG284" s="4">
        <f t="shared" si="57"/>
        <v>5.1278063817292174E-4</v>
      </c>
      <c r="AH284" s="4">
        <f t="shared" si="57"/>
        <v>5.6587695802864306E-4</v>
      </c>
      <c r="AI284" s="4">
        <f t="shared" si="57"/>
        <v>6.2354127921881921E-4</v>
      </c>
      <c r="AJ284" s="4">
        <f t="shared" si="57"/>
        <v>6.8701925576325528E-4</v>
      </c>
      <c r="AK284" s="4">
        <f t="shared" si="57"/>
        <v>7.5795296469492734E-4</v>
      </c>
      <c r="AL284" s="4">
        <f t="shared" si="57"/>
        <v>8.3867557198570022E-4</v>
      </c>
    </row>
    <row r="285" spans="1:38" x14ac:dyDescent="0.35">
      <c r="B285" t="s">
        <v>33</v>
      </c>
      <c r="C285" s="4">
        <f t="shared" ref="C285:AL285" si="58">(C269-C277)/C$271</f>
        <v>0</v>
      </c>
      <c r="D285" s="4">
        <f t="shared" si="58"/>
        <v>2.0791825723962837E-12</v>
      </c>
      <c r="E285" s="4">
        <f t="shared" si="58"/>
        <v>2.0359093430100282E-12</v>
      </c>
      <c r="F285" s="4">
        <f t="shared" si="58"/>
        <v>1.9885445732189724E-12</v>
      </c>
      <c r="G285" s="4">
        <f t="shared" si="58"/>
        <v>0</v>
      </c>
      <c r="H285" s="4">
        <f t="shared" si="58"/>
        <v>0</v>
      </c>
      <c r="I285" s="4">
        <f t="shared" si="58"/>
        <v>0</v>
      </c>
      <c r="J285" s="4">
        <f t="shared" si="58"/>
        <v>1.3563879596051925E-4</v>
      </c>
      <c r="K285" s="4">
        <f t="shared" si="58"/>
        <v>3.390668853302824E-4</v>
      </c>
      <c r="L285" s="4">
        <f t="shared" si="58"/>
        <v>5.9487369357131518E-4</v>
      </c>
      <c r="M285" s="4">
        <f t="shared" si="58"/>
        <v>8.8093543693237213E-4</v>
      </c>
      <c r="N285" s="4">
        <f t="shared" si="58"/>
        <v>1.1739377031635473E-3</v>
      </c>
      <c r="O285" s="4">
        <f t="shared" si="58"/>
        <v>1.4724468281393779E-3</v>
      </c>
      <c r="P285" s="4">
        <f t="shared" si="58"/>
        <v>1.7811946050482991E-3</v>
      </c>
      <c r="Q285" s="4">
        <f t="shared" si="58"/>
        <v>2.1055421696461194E-3</v>
      </c>
      <c r="R285" s="4">
        <f t="shared" si="58"/>
        <v>2.4485761952117171E-3</v>
      </c>
      <c r="S285" s="4">
        <f t="shared" si="58"/>
        <v>2.812460039985744E-3</v>
      </c>
      <c r="T285" s="4">
        <f t="shared" si="58"/>
        <v>3.1986572234844225E-3</v>
      </c>
      <c r="U285" s="4">
        <f t="shared" si="58"/>
        <v>3.6068780757076849E-3</v>
      </c>
      <c r="V285" s="4">
        <f t="shared" si="58"/>
        <v>4.0378203326987628E-3</v>
      </c>
      <c r="W285" s="4">
        <f t="shared" si="58"/>
        <v>4.4938346467452801E-3</v>
      </c>
      <c r="X285" s="4">
        <f t="shared" si="58"/>
        <v>4.978314074119858E-3</v>
      </c>
      <c r="Y285" s="4">
        <f t="shared" si="58"/>
        <v>5.4962165167983176E-3</v>
      </c>
      <c r="Z285" s="4">
        <f t="shared" si="58"/>
        <v>6.0531170589808699E-3</v>
      </c>
      <c r="AA285" s="4">
        <f t="shared" si="58"/>
        <v>6.6555240335665292E-3</v>
      </c>
      <c r="AB285" s="4">
        <f t="shared" si="58"/>
        <v>7.3119894654373983E-3</v>
      </c>
      <c r="AC285" s="4">
        <f t="shared" si="58"/>
        <v>8.0340102553573527E-3</v>
      </c>
      <c r="AD285" s="4">
        <f t="shared" si="58"/>
        <v>8.8342268902776872E-3</v>
      </c>
      <c r="AE285" s="4">
        <f t="shared" si="58"/>
        <v>9.7265460837161512E-3</v>
      </c>
      <c r="AF285" s="4">
        <f t="shared" si="58"/>
        <v>1.0726409304586947E-2</v>
      </c>
      <c r="AG285" s="4">
        <f t="shared" si="58"/>
        <v>1.1851735789432332E-2</v>
      </c>
      <c r="AH285" s="4">
        <f t="shared" si="58"/>
        <v>1.3124831954460823E-2</v>
      </c>
      <c r="AI285" s="4">
        <f t="shared" si="58"/>
        <v>1.457422556382576E-2</v>
      </c>
      <c r="AJ285" s="4">
        <f t="shared" si="58"/>
        <v>1.6235808915226659E-2</v>
      </c>
      <c r="AK285" s="4">
        <f t="shared" si="58"/>
        <v>1.8155652904857846E-2</v>
      </c>
      <c r="AL285" s="4">
        <f t="shared" si="58"/>
        <v>2.0394344264623932E-2</v>
      </c>
    </row>
    <row r="287" spans="1:3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38" x14ac:dyDescent="0.35">
      <c r="A288" t="s">
        <v>88</v>
      </c>
      <c r="B288" t="s">
        <v>26</v>
      </c>
      <c r="C288" s="4">
        <f>R279</f>
        <v>3.8730045395478641E-3</v>
      </c>
      <c r="D288" s="4">
        <f>AB279</f>
        <v>3.276203724654736E-2</v>
      </c>
      <c r="E288" s="4">
        <f>AL279</f>
        <v>0.10416973200501256</v>
      </c>
    </row>
    <row r="289" spans="1:38" x14ac:dyDescent="0.35">
      <c r="B289" t="s">
        <v>7</v>
      </c>
      <c r="C289" s="4">
        <f t="shared" ref="C289:C294" si="59">R280</f>
        <v>3.6083815746150655E-4</v>
      </c>
      <c r="D289" s="4">
        <f t="shared" ref="D289:D294" si="60">AB280</f>
        <v>7.1726701473252494E-4</v>
      </c>
      <c r="E289" s="4">
        <f t="shared" ref="E289:E294" si="61">AL280</f>
        <v>4.9691138685860727E-4</v>
      </c>
    </row>
    <row r="290" spans="1:38" x14ac:dyDescent="0.35">
      <c r="B290" t="s">
        <v>30</v>
      </c>
      <c r="C290" s="4">
        <f t="shared" si="59"/>
        <v>-1.3833167659135087E-4</v>
      </c>
      <c r="D290" s="4">
        <f t="shared" si="60"/>
        <v>1.7413320689717973E-2</v>
      </c>
      <c r="E290" s="4">
        <f t="shared" si="61"/>
        <v>6.7953426955139035E-2</v>
      </c>
    </row>
    <row r="291" spans="1:38" x14ac:dyDescent="0.35">
      <c r="B291" t="s">
        <v>28</v>
      </c>
      <c r="C291" s="4">
        <f t="shared" si="59"/>
        <v>6.639136404219386E-4</v>
      </c>
      <c r="D291" s="4">
        <f t="shared" si="60"/>
        <v>1.290213062913991E-3</v>
      </c>
      <c r="E291" s="4">
        <f t="shared" si="61"/>
        <v>2.144658436077764E-3</v>
      </c>
    </row>
    <row r="292" spans="1:38" x14ac:dyDescent="0.35">
      <c r="B292" t="s">
        <v>10</v>
      </c>
      <c r="C292" s="4">
        <f t="shared" si="59"/>
        <v>5.7705770615858946E-4</v>
      </c>
      <c r="D292" s="4">
        <f t="shared" si="60"/>
        <v>5.7400380018825812E-3</v>
      </c>
      <c r="E292" s="4">
        <f t="shared" si="61"/>
        <v>1.2341715154104203E-2</v>
      </c>
    </row>
    <row r="293" spans="1:38" x14ac:dyDescent="0.35">
      <c r="B293" t="s">
        <v>31</v>
      </c>
      <c r="C293" s="4">
        <f t="shared" si="59"/>
        <v>-3.9049336843429334E-5</v>
      </c>
      <c r="D293" s="4">
        <f t="shared" si="60"/>
        <v>2.8920905307661674E-4</v>
      </c>
      <c r="E293" s="4">
        <f t="shared" si="61"/>
        <v>8.3867557198570022E-4</v>
      </c>
    </row>
    <row r="294" spans="1:38" x14ac:dyDescent="0.35">
      <c r="B294" t="s">
        <v>33</v>
      </c>
      <c r="C294" s="4">
        <f t="shared" si="59"/>
        <v>2.4485761952117171E-3</v>
      </c>
      <c r="D294" s="4">
        <f t="shared" si="60"/>
        <v>7.3119894654373983E-3</v>
      </c>
      <c r="E294" s="4">
        <f t="shared" si="61"/>
        <v>2.0394344264623932E-2</v>
      </c>
    </row>
    <row r="295" spans="1:38" x14ac:dyDescent="0.35">
      <c r="C295" s="4"/>
      <c r="D295" s="4"/>
      <c r="E295" s="4"/>
    </row>
    <row r="296" spans="1:3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</row>
    <row r="297" spans="1:3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31921.431260000001</v>
      </c>
      <c r="E297" s="6">
        <f>[1]Results!H3</f>
        <v>31769.040730000001</v>
      </c>
      <c r="F297" s="6">
        <f>[1]Results!I3</f>
        <v>31782.726709999999</v>
      </c>
      <c r="G297" s="6">
        <f>[1]Results!J3</f>
        <v>31936.275829999999</v>
      </c>
      <c r="H297" s="6">
        <f>[1]Results!K3</f>
        <v>32191.02579</v>
      </c>
      <c r="I297" s="6">
        <f>[1]Results!L3</f>
        <v>32500.476070000001</v>
      </c>
      <c r="J297" s="6">
        <f>[1]Results!M3</f>
        <v>32742.127189999999</v>
      </c>
      <c r="K297" s="6">
        <f>[1]Results!N3</f>
        <v>32981.055390000001</v>
      </c>
      <c r="L297" s="6">
        <f>[1]Results!O3</f>
        <v>33249.856200000002</v>
      </c>
      <c r="M297" s="6">
        <f>[1]Results!P3</f>
        <v>33560.284570000003</v>
      </c>
      <c r="N297" s="6">
        <f>[1]Results!Q3</f>
        <v>33930.917150000001</v>
      </c>
      <c r="O297" s="6">
        <f>[1]Results!R3</f>
        <v>34338.722029999997</v>
      </c>
      <c r="P297" s="6">
        <f>[1]Results!S3</f>
        <v>34759.366379999999</v>
      </c>
      <c r="Q297" s="6">
        <f>[1]Results!T3</f>
        <v>35176.011019999998</v>
      </c>
      <c r="R297" s="6">
        <f>[1]Results!U3</f>
        <v>35578.872320000002</v>
      </c>
      <c r="S297" s="6">
        <f>[1]Results!V3</f>
        <v>35955.232479999999</v>
      </c>
      <c r="T297" s="6">
        <f>[1]Results!W3</f>
        <v>36312.84908</v>
      </c>
      <c r="U297" s="6">
        <f>[1]Results!X3</f>
        <v>36658.063249999999</v>
      </c>
      <c r="V297" s="6">
        <f>[1]Results!Y3</f>
        <v>36995.420830000003</v>
      </c>
      <c r="W297" s="6">
        <f>[1]Results!Z3</f>
        <v>37324.903570000002</v>
      </c>
      <c r="X297" s="6">
        <f>[1]Results!AA3</f>
        <v>37655.570619999999</v>
      </c>
      <c r="Y297" s="6">
        <f>[1]Results!AB3</f>
        <v>37991.970280000001</v>
      </c>
      <c r="Z297" s="6">
        <f>[1]Results!AC3</f>
        <v>38339.475639999997</v>
      </c>
      <c r="AA297" s="6">
        <f>[1]Results!AD3</f>
        <v>38702.94586</v>
      </c>
      <c r="AB297" s="6">
        <f>[1]Results!AE3</f>
        <v>39075.654549999999</v>
      </c>
      <c r="AC297" s="6">
        <f>[1]Results!AF3</f>
        <v>39469.310340000004</v>
      </c>
      <c r="AD297" s="6">
        <f>[1]Results!AG3</f>
        <v>39888.159019999999</v>
      </c>
      <c r="AE297" s="6">
        <f>[1]Results!AH3</f>
        <v>40338.149460000001</v>
      </c>
      <c r="AF297" s="6">
        <f>[1]Results!AI3</f>
        <v>40825.19025</v>
      </c>
      <c r="AG297" s="6">
        <f>[1]Results!AJ3</f>
        <v>41353.219620000003</v>
      </c>
      <c r="AH297" s="6">
        <f>[1]Results!AK3</f>
        <v>41923.710590000002</v>
      </c>
      <c r="AI297" s="6">
        <f>[1]Results!AL3</f>
        <v>42536.467660000002</v>
      </c>
      <c r="AJ297" s="6">
        <f>[1]Results!AM3</f>
        <v>43190.848169999997</v>
      </c>
      <c r="AK297" s="6">
        <f>[1]Results!AN3</f>
        <v>43885.755109999998</v>
      </c>
      <c r="AL297" s="6">
        <f>[1]Results!AO3</f>
        <v>44619.433190000003</v>
      </c>
    </row>
    <row r="298" spans="1:38" x14ac:dyDescent="0.35">
      <c r="B298" t="s">
        <v>53</v>
      </c>
      <c r="C298" s="6">
        <f>[1]Results!F4</f>
        <v>32271.24</v>
      </c>
      <c r="D298" s="6">
        <f>[1]Results!G4</f>
        <v>31856.525000000001</v>
      </c>
      <c r="E298" s="6">
        <f>[1]Results!H4</f>
        <v>31683.999660000001</v>
      </c>
      <c r="F298" s="6">
        <f>[1]Results!I4</f>
        <v>31675.878840000001</v>
      </c>
      <c r="G298" s="6">
        <f>[1]Results!J4</f>
        <v>31805.82416</v>
      </c>
      <c r="H298" s="6">
        <f>[1]Results!K4</f>
        <v>32035.536800000002</v>
      </c>
      <c r="I298" s="6">
        <f>[1]Results!L4</f>
        <v>32318.91128</v>
      </c>
      <c r="J298" s="6">
        <f>[1]Results!M4</f>
        <v>32533.473440000002</v>
      </c>
      <c r="K298" s="6">
        <f>[1]Results!N4</f>
        <v>32738.94225</v>
      </c>
      <c r="L298" s="6">
        <f>[1]Results!O4</f>
        <v>32962.604979999996</v>
      </c>
      <c r="M298" s="6">
        <f>[1]Results!P4</f>
        <v>33209.970540000002</v>
      </c>
      <c r="N298" s="6">
        <f>[1]Results!Q4</f>
        <v>33494.63276</v>
      </c>
      <c r="O298" s="6">
        <f>[1]Results!R4</f>
        <v>33793.662709999997</v>
      </c>
      <c r="P298" s="6">
        <f>[1]Results!S4</f>
        <v>34083.473180000001</v>
      </c>
      <c r="Q298" s="6">
        <f>[1]Results!T4</f>
        <v>34348.090530000001</v>
      </c>
      <c r="R298" s="6">
        <f>[1]Results!U4</f>
        <v>34578.508999999998</v>
      </c>
      <c r="S298" s="6">
        <f>[1]Results!V4</f>
        <v>34762.721279999998</v>
      </c>
      <c r="T298" s="6">
        <f>[1]Results!W4</f>
        <v>34907.396050000003</v>
      </c>
      <c r="U298" s="6">
        <f>[1]Results!X4</f>
        <v>35018.173580000002</v>
      </c>
      <c r="V298" s="6">
        <f>[1]Results!Y4</f>
        <v>35099.138030000002</v>
      </c>
      <c r="W298" s="6">
        <f>[1]Results!Z4</f>
        <v>35150.289100000002</v>
      </c>
      <c r="X298" s="6">
        <f>[1]Results!AA4</f>
        <v>35179.631009999997</v>
      </c>
      <c r="Y298" s="6">
        <f>[1]Results!AB4</f>
        <v>35190.944689999997</v>
      </c>
      <c r="Z298" s="6">
        <f>[1]Results!AC4</f>
        <v>35188.534740000003</v>
      </c>
      <c r="AA298" s="6">
        <f>[1]Results!AD4</f>
        <v>35176.036740000003</v>
      </c>
      <c r="AB298" s="6">
        <f>[1]Results!AE4</f>
        <v>35147.195019999999</v>
      </c>
      <c r="AC298" s="6">
        <f>[1]Results!AF4</f>
        <v>35111.100839999999</v>
      </c>
      <c r="AD298" s="6">
        <f>[1]Results!AG4</f>
        <v>35070.23818</v>
      </c>
      <c r="AE298" s="6">
        <f>[1]Results!AH4</f>
        <v>35028.178489999998</v>
      </c>
      <c r="AF298" s="6">
        <f>[1]Results!AI4</f>
        <v>34988.121930000001</v>
      </c>
      <c r="AG298" s="6">
        <f>[1]Results!AJ4</f>
        <v>34951.398730000001</v>
      </c>
      <c r="AH298" s="6">
        <f>[1]Results!AK4</f>
        <v>34917.195090000001</v>
      </c>
      <c r="AI298" s="6">
        <f>[1]Results!AL4</f>
        <v>34883.290159999997</v>
      </c>
      <c r="AJ298" s="6">
        <f>[1]Results!AM4</f>
        <v>34847.0648</v>
      </c>
      <c r="AK298" s="6">
        <f>[1]Results!AN4</f>
        <v>34805.54681</v>
      </c>
      <c r="AL298" s="6">
        <f>[1]Results!AO4</f>
        <v>34755.322030000003</v>
      </c>
    </row>
    <row r="299" spans="1:38" x14ac:dyDescent="0.35">
      <c r="B299" t="s">
        <v>54</v>
      </c>
      <c r="C299" s="6">
        <f>[1]Results!F20</f>
        <v>1.9359999999999999</v>
      </c>
      <c r="D299" s="6">
        <f>[1]Results!G20</f>
        <v>1.991142959</v>
      </c>
      <c r="E299" s="6">
        <f>[1]Results!H20</f>
        <v>2.0604747460000001</v>
      </c>
      <c r="F299" s="6">
        <f>[1]Results!I20</f>
        <v>2.1381571419999998</v>
      </c>
      <c r="G299" s="6">
        <f>[1]Results!J20</f>
        <v>2.222530372</v>
      </c>
      <c r="H299" s="6">
        <f>[1]Results!K20</f>
        <v>2.3108613849999999</v>
      </c>
      <c r="I299" s="6">
        <f>[1]Results!L20</f>
        <v>2.3996817140000002</v>
      </c>
      <c r="J299" s="6">
        <f>[1]Results!M20</f>
        <v>2.4790224329999999</v>
      </c>
      <c r="K299" s="6">
        <f>[1]Results!N20</f>
        <v>2.5540431840000002</v>
      </c>
      <c r="L299" s="6">
        <f>[1]Results!O20</f>
        <v>2.6272469470000002</v>
      </c>
      <c r="M299" s="6">
        <f>[1]Results!P20</f>
        <v>2.6993290380000001</v>
      </c>
      <c r="N299" s="6">
        <f>[1]Results!Q20</f>
        <v>2.7716565609999999</v>
      </c>
      <c r="O299" s="6">
        <f>[1]Results!R20</f>
        <v>2.8425317309999998</v>
      </c>
      <c r="P299" s="6">
        <f>[1]Results!S20</f>
        <v>2.9101576699999998</v>
      </c>
      <c r="Q299" s="6">
        <f>[1]Results!T20</f>
        <v>2.9733352160000002</v>
      </c>
      <c r="R299" s="6">
        <f>[1]Results!U20</f>
        <v>3.0314211059999998</v>
      </c>
      <c r="S299" s="6">
        <f>[1]Results!V20</f>
        <v>3.0835012339999999</v>
      </c>
      <c r="T299" s="6">
        <f>[1]Results!W20</f>
        <v>3.130209115</v>
      </c>
      <c r="U299" s="6">
        <f>[1]Results!X20</f>
        <v>3.1720958709999998</v>
      </c>
      <c r="V299" s="6">
        <f>[1]Results!Y20</f>
        <v>3.2095843199999998</v>
      </c>
      <c r="W299" s="6">
        <f>[1]Results!Z20</f>
        <v>3.242754422</v>
      </c>
      <c r="X299" s="6">
        <f>[1]Results!AA20</f>
        <v>3.2723536000000002</v>
      </c>
      <c r="Y299" s="6">
        <f>[1]Results!AB20</f>
        <v>3.2987800909999998</v>
      </c>
      <c r="Z299" s="6">
        <f>[1]Results!AC20</f>
        <v>3.322475957</v>
      </c>
      <c r="AA299" s="6">
        <f>[1]Results!AD20</f>
        <v>3.3438275700000002</v>
      </c>
      <c r="AB299" s="6">
        <f>[1]Results!AE20</f>
        <v>3.3623899439999998</v>
      </c>
      <c r="AC299" s="6">
        <f>[1]Results!AF20</f>
        <v>3.3789943220000001</v>
      </c>
      <c r="AD299" s="6">
        <f>[1]Results!AG20</f>
        <v>3.3939243440000002</v>
      </c>
      <c r="AE299" s="6">
        <f>[1]Results!AH20</f>
        <v>3.4075535229999998</v>
      </c>
      <c r="AF299" s="6">
        <f>[1]Results!AI20</f>
        <v>3.4202241849999999</v>
      </c>
      <c r="AG299" s="6">
        <f>[1]Results!AJ20</f>
        <v>3.4321210870000001</v>
      </c>
      <c r="AH299" s="6">
        <f>[1]Results!AK20</f>
        <v>3.443246013</v>
      </c>
      <c r="AI299" s="6">
        <f>[1]Results!AL20</f>
        <v>3.453477109</v>
      </c>
      <c r="AJ299" s="6">
        <f>[1]Results!AM20</f>
        <v>3.4626521559999999</v>
      </c>
      <c r="AK299" s="6">
        <f>[1]Results!AN20</f>
        <v>3.4705722880000001</v>
      </c>
      <c r="AL299" s="6">
        <f>[1]Results!AO20</f>
        <v>3.4769945089999998</v>
      </c>
    </row>
    <row r="300" spans="1:38" x14ac:dyDescent="0.35">
      <c r="B300" t="s">
        <v>55</v>
      </c>
      <c r="C300" s="6">
        <f>[1]Results!F12</f>
        <v>44.765000000000001</v>
      </c>
      <c r="D300" s="6">
        <f>[1]Results!G12</f>
        <v>62.915118380000003</v>
      </c>
      <c r="E300" s="6">
        <f>[1]Results!H12</f>
        <v>82.980588449999999</v>
      </c>
      <c r="F300" s="6">
        <f>[1]Results!I12</f>
        <v>104.7097115</v>
      </c>
      <c r="G300" s="6">
        <f>[1]Results!J12</f>
        <v>128.22913059999999</v>
      </c>
      <c r="H300" s="6">
        <f>[1]Results!K12</f>
        <v>153.1781277</v>
      </c>
      <c r="I300" s="6">
        <f>[1]Results!L12</f>
        <v>179.1651076</v>
      </c>
      <c r="J300" s="6">
        <f>[1]Results!M12</f>
        <v>206.17472839999999</v>
      </c>
      <c r="K300" s="6">
        <f>[1]Results!N12</f>
        <v>239.5590794</v>
      </c>
      <c r="L300" s="6">
        <f>[1]Results!O12</f>
        <v>284.62393689999999</v>
      </c>
      <c r="M300" s="6">
        <f>[1]Results!P12</f>
        <v>347.61465629999998</v>
      </c>
      <c r="N300" s="6">
        <f>[1]Results!Q12</f>
        <v>433.51269189999999</v>
      </c>
      <c r="O300" s="6">
        <f>[1]Results!R12</f>
        <v>542.21673229999999</v>
      </c>
      <c r="P300" s="6">
        <f>[1]Results!S12</f>
        <v>672.98298829999999</v>
      </c>
      <c r="Q300" s="6">
        <f>[1]Results!T12</f>
        <v>824.94710599999996</v>
      </c>
      <c r="R300" s="6">
        <f>[1]Results!U12</f>
        <v>997.33185019999996</v>
      </c>
      <c r="S300" s="6">
        <f>[1]Results!V12</f>
        <v>1189.427653</v>
      </c>
      <c r="T300" s="6">
        <f>[1]Results!W12</f>
        <v>1402.322776</v>
      </c>
      <c r="U300" s="6">
        <f>[1]Results!X12</f>
        <v>1636.717523</v>
      </c>
      <c r="V300" s="6">
        <f>[1]Results!Y12</f>
        <v>1893.073169</v>
      </c>
      <c r="W300" s="6">
        <f>[1]Results!Z12</f>
        <v>2171.3716639999998</v>
      </c>
      <c r="X300" s="6">
        <f>[1]Results!AA12</f>
        <v>2472.6672060000001</v>
      </c>
      <c r="Y300" s="6">
        <f>[1]Results!AB12</f>
        <v>2797.7267609999999</v>
      </c>
      <c r="Z300" s="6">
        <f>[1]Results!AC12</f>
        <v>3147.618375</v>
      </c>
      <c r="AA300" s="6">
        <f>[1]Results!AD12</f>
        <v>3523.565239</v>
      </c>
      <c r="AB300" s="6">
        <f>[1]Results!AE12</f>
        <v>3925.0970929999999</v>
      </c>
      <c r="AC300" s="6">
        <f>[1]Results!AF12</f>
        <v>4354.8304600000001</v>
      </c>
      <c r="AD300" s="6">
        <f>[1]Results!AG12</f>
        <v>4814.5268669999996</v>
      </c>
      <c r="AE300" s="6">
        <f>[1]Results!AH12</f>
        <v>5306.563384</v>
      </c>
      <c r="AF300" s="6">
        <f>[1]Results!AI12</f>
        <v>5833.6480709999996</v>
      </c>
      <c r="AG300" s="6">
        <f>[1]Results!AJ12</f>
        <v>6398.388731</v>
      </c>
      <c r="AH300" s="6">
        <f>[1]Results!AK12</f>
        <v>7003.0722189999997</v>
      </c>
      <c r="AI300" s="6">
        <f>[1]Results!AL12</f>
        <v>7649.7239760000002</v>
      </c>
      <c r="AJ300" s="6">
        <f>[1]Results!AM12</f>
        <v>8340.3206680000003</v>
      </c>
      <c r="AK300" s="6">
        <f>[1]Results!AN12</f>
        <v>9076.7376660000009</v>
      </c>
      <c r="AL300" s="6">
        <f>[1]Results!AO12</f>
        <v>9860.6341140000004</v>
      </c>
    </row>
    <row r="302" spans="1:3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</row>
    <row r="303" spans="1:3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31921.431260000001</v>
      </c>
      <c r="E303" s="6">
        <f>[1]Results!H28</f>
        <v>31769.040730000001</v>
      </c>
      <c r="F303" s="6">
        <f>[1]Results!I28</f>
        <v>31782.726699999999</v>
      </c>
      <c r="G303" s="6">
        <f>[1]Results!J28</f>
        <v>31936.275819999999</v>
      </c>
      <c r="H303" s="6">
        <f>[1]Results!K28</f>
        <v>32191.02579</v>
      </c>
      <c r="I303" s="6">
        <f>[1]Results!L28</f>
        <v>32500.476060000001</v>
      </c>
      <c r="J303" s="6">
        <f>[1]Results!M28</f>
        <v>32841.698640000002</v>
      </c>
      <c r="K303" s="6">
        <f>[1]Results!N28</f>
        <v>33206.180500000002</v>
      </c>
      <c r="L303" s="6">
        <f>[1]Results!O28</f>
        <v>33590.021159999997</v>
      </c>
      <c r="M303" s="6">
        <f>[1]Results!P28</f>
        <v>33993.87801</v>
      </c>
      <c r="N303" s="6">
        <f>[1]Results!Q28</f>
        <v>34400.538119999997</v>
      </c>
      <c r="O303" s="6">
        <f>[1]Results!R28</f>
        <v>34800.051200000002</v>
      </c>
      <c r="P303" s="6">
        <f>[1]Results!S28</f>
        <v>35183.87917</v>
      </c>
      <c r="Q303" s="6">
        <f>[1]Results!T28</f>
        <v>35545.61363</v>
      </c>
      <c r="R303" s="6">
        <f>[1]Results!U28</f>
        <v>35881.662579999997</v>
      </c>
      <c r="S303" s="6">
        <f>[1]Results!V28</f>
        <v>36207.915889999997</v>
      </c>
      <c r="T303" s="6">
        <f>[1]Results!W28</f>
        <v>36529.432659999999</v>
      </c>
      <c r="U303" s="6">
        <f>[1]Results!X28</f>
        <v>36845.948389999998</v>
      </c>
      <c r="V303" s="6">
        <f>[1]Results!Y28</f>
        <v>37156.589610000003</v>
      </c>
      <c r="W303" s="6">
        <f>[1]Results!Z28</f>
        <v>37457.810570000001</v>
      </c>
      <c r="X303" s="6">
        <f>[1]Results!AA28</f>
        <v>37756.427470000002</v>
      </c>
      <c r="Y303" s="6">
        <f>[1]Results!AB28</f>
        <v>38055.849710000002</v>
      </c>
      <c r="Z303" s="6">
        <f>[1]Results!AC28</f>
        <v>38360.375890000003</v>
      </c>
      <c r="AA303" s="6">
        <f>[1]Results!AD28</f>
        <v>38673.972159999998</v>
      </c>
      <c r="AB303" s="6">
        <f>[1]Results!AE28</f>
        <v>38989.739130000002</v>
      </c>
      <c r="AC303" s="6">
        <f>[1]Results!AF28</f>
        <v>39319.485710000001</v>
      </c>
      <c r="AD303" s="6">
        <f>[1]Results!AG28</f>
        <v>39668.000209999998</v>
      </c>
      <c r="AE303" s="6">
        <f>[1]Results!AH28</f>
        <v>40040.230369999997</v>
      </c>
      <c r="AF303" s="6">
        <f>[1]Results!AI28</f>
        <v>40440.558199999999</v>
      </c>
      <c r="AG303" s="6">
        <f>[1]Results!AJ28</f>
        <v>40871.415560000001</v>
      </c>
      <c r="AH303" s="6">
        <f>[1]Results!AK28</f>
        <v>41333.060030000001</v>
      </c>
      <c r="AI303" s="6">
        <f>[1]Results!AL28</f>
        <v>41823.92626</v>
      </c>
      <c r="AJ303" s="6">
        <f>[1]Results!AM28</f>
        <v>42341.009059999997</v>
      </c>
      <c r="AK303" s="6">
        <f>[1]Results!AN28</f>
        <v>42880.218480000003</v>
      </c>
      <c r="AL303" s="6">
        <f>[1]Results!AO28</f>
        <v>43436.656199999998</v>
      </c>
    </row>
    <row r="304" spans="1:38" x14ac:dyDescent="0.35">
      <c r="B304" t="s">
        <v>53</v>
      </c>
      <c r="C304" s="6">
        <f>[1]Results!F29</f>
        <v>32271.24</v>
      </c>
      <c r="D304" s="6">
        <f>[1]Results!G29</f>
        <v>31856.525000000001</v>
      </c>
      <c r="E304" s="6">
        <f>[1]Results!H29</f>
        <v>31683.999660000001</v>
      </c>
      <c r="F304" s="6">
        <f>[1]Results!I29</f>
        <v>31675.878830000001</v>
      </c>
      <c r="G304" s="6">
        <f>[1]Results!J29</f>
        <v>31805.82416</v>
      </c>
      <c r="H304" s="6">
        <f>[1]Results!K29</f>
        <v>32035.536800000002</v>
      </c>
      <c r="I304" s="6">
        <f>[1]Results!L29</f>
        <v>32318.911270000001</v>
      </c>
      <c r="J304" s="6">
        <f>[1]Results!M29</f>
        <v>32632.99195</v>
      </c>
      <c r="K304" s="6">
        <f>[1]Results!N29</f>
        <v>32968.956339999997</v>
      </c>
      <c r="L304" s="6">
        <f>[1]Results!O29</f>
        <v>33322.481169999999</v>
      </c>
      <c r="M304" s="6">
        <f>[1]Results!P29</f>
        <v>33693.700169999996</v>
      </c>
      <c r="N304" s="6">
        <f>[1]Results!Q29</f>
        <v>34065.126069999998</v>
      </c>
      <c r="O304" s="6">
        <f>[1]Results!R29</f>
        <v>34426.47539</v>
      </c>
      <c r="P304" s="6">
        <f>[1]Results!S29</f>
        <v>34768.901259999999</v>
      </c>
      <c r="Q304" s="6">
        <f>[1]Results!T29</f>
        <v>35085.69369</v>
      </c>
      <c r="R304" s="6">
        <f>[1]Results!U29</f>
        <v>35372.936220000003</v>
      </c>
      <c r="S304" s="6">
        <f>[1]Results!V29</f>
        <v>35645.9087</v>
      </c>
      <c r="T304" s="6">
        <f>[1]Results!W29</f>
        <v>35909.499620000002</v>
      </c>
      <c r="U304" s="6">
        <f>[1]Results!X29</f>
        <v>36163.459459999998</v>
      </c>
      <c r="V304" s="6">
        <f>[1]Results!Y29</f>
        <v>36406.923000000003</v>
      </c>
      <c r="W304" s="6">
        <f>[1]Results!Z29</f>
        <v>36636.380859999997</v>
      </c>
      <c r="X304" s="6">
        <f>[1]Results!AA29</f>
        <v>36858.286160000003</v>
      </c>
      <c r="Y304" s="6">
        <f>[1]Results!AB29</f>
        <v>37075.686569999998</v>
      </c>
      <c r="Z304" s="6">
        <f>[1]Results!AC29</f>
        <v>37292.389320000002</v>
      </c>
      <c r="AA304" s="6">
        <f>[1]Results!AD29</f>
        <v>37511.779470000001</v>
      </c>
      <c r="AB304" s="6">
        <f>[1]Results!AE29</f>
        <v>37726.761079999997</v>
      </c>
      <c r="AC304" s="6">
        <f>[1]Results!AF29</f>
        <v>37948.062380000003</v>
      </c>
      <c r="AD304" s="6">
        <f>[1]Results!AG29</f>
        <v>38179.5579</v>
      </c>
      <c r="AE304" s="6">
        <f>[1]Results!AH29</f>
        <v>38425.14834</v>
      </c>
      <c r="AF304" s="6">
        <f>[1]Results!AI29</f>
        <v>38688.069539999997</v>
      </c>
      <c r="AG304" s="6">
        <f>[1]Results!AJ29</f>
        <v>38969.596299999997</v>
      </c>
      <c r="AH304" s="6">
        <f>[1]Results!AK29</f>
        <v>39268.860399999998</v>
      </c>
      <c r="AI304" s="6">
        <f>[1]Results!AL29</f>
        <v>39583.213620000002</v>
      </c>
      <c r="AJ304" s="6">
        <f>[1]Results!AM29</f>
        <v>39908.617570000002</v>
      </c>
      <c r="AK304" s="6">
        <f>[1]Results!AN29</f>
        <v>40240.004059999999</v>
      </c>
      <c r="AL304" s="6">
        <f>[1]Results!AO29</f>
        <v>40571.559390000002</v>
      </c>
    </row>
    <row r="305" spans="1:38" x14ac:dyDescent="0.35">
      <c r="B305" t="s">
        <v>54</v>
      </c>
      <c r="C305" s="6">
        <f>[1]Results!F45</f>
        <v>1.9359999999999999</v>
      </c>
      <c r="D305" s="6">
        <f>[1]Results!G45</f>
        <v>1.991142959</v>
      </c>
      <c r="E305" s="6">
        <f>[1]Results!H45</f>
        <v>2.0604747460000001</v>
      </c>
      <c r="F305" s="6">
        <f>[1]Results!I45</f>
        <v>2.1381571419999998</v>
      </c>
      <c r="G305" s="6">
        <f>[1]Results!J45</f>
        <v>2.222530372</v>
      </c>
      <c r="H305" s="6">
        <f>[1]Results!K45</f>
        <v>2.3108613839999999</v>
      </c>
      <c r="I305" s="6">
        <f>[1]Results!L45</f>
        <v>2.3996817140000002</v>
      </c>
      <c r="J305" s="6">
        <f>[1]Results!M45</f>
        <v>2.487383082</v>
      </c>
      <c r="K305" s="6">
        <f>[1]Results!N45</f>
        <v>2.5734949899999999</v>
      </c>
      <c r="L305" s="6">
        <f>[1]Results!O45</f>
        <v>2.6578966500000001</v>
      </c>
      <c r="M305" s="6">
        <f>[1]Results!P45</f>
        <v>2.7408209920000002</v>
      </c>
      <c r="N305" s="6">
        <f>[1]Results!Q45</f>
        <v>2.8210069080000002</v>
      </c>
      <c r="O305" s="6">
        <f>[1]Results!R45</f>
        <v>2.8977629770000002</v>
      </c>
      <c r="P305" s="6">
        <f>[1]Results!S45</f>
        <v>2.970494451</v>
      </c>
      <c r="Q305" s="6">
        <f>[1]Results!T45</f>
        <v>3.0387654350000002</v>
      </c>
      <c r="R305" s="6">
        <f>[1]Results!U45</f>
        <v>3.1023580989999999</v>
      </c>
      <c r="S305" s="6">
        <f>[1]Results!V45</f>
        <v>3.1626553199999998</v>
      </c>
      <c r="T305" s="6">
        <f>[1]Results!W45</f>
        <v>3.220180456</v>
      </c>
      <c r="U305" s="6">
        <f>[1]Results!X45</f>
        <v>3.2750244639999999</v>
      </c>
      <c r="V305" s="6">
        <f>[1]Results!Y45</f>
        <v>3.3272192610000002</v>
      </c>
      <c r="W305" s="6">
        <f>[1]Results!Z45</f>
        <v>3.3765669730000001</v>
      </c>
      <c r="X305" s="6">
        <f>[1]Results!AA45</f>
        <v>3.4236961099999998</v>
      </c>
      <c r="Y305" s="6">
        <f>[1]Results!AB45</f>
        <v>3.468951992</v>
      </c>
      <c r="Z305" s="6">
        <f>[1]Results!AC45</f>
        <v>3.5127420950000001</v>
      </c>
      <c r="AA305" s="6">
        <f>[1]Results!AD45</f>
        <v>3.5554378519999998</v>
      </c>
      <c r="AB305" s="6">
        <f>[1]Results!AE45</f>
        <v>3.5965290909999998</v>
      </c>
      <c r="AC305" s="6">
        <f>[1]Results!AF45</f>
        <v>3.6369885630000001</v>
      </c>
      <c r="AD305" s="6">
        <f>[1]Results!AG45</f>
        <v>3.6772225719999998</v>
      </c>
      <c r="AE305" s="6">
        <f>[1]Results!AH45</f>
        <v>3.7176395609999999</v>
      </c>
      <c r="AF305" s="6">
        <f>[1]Results!AI45</f>
        <v>3.7585920879999999</v>
      </c>
      <c r="AG305" s="6">
        <f>[1]Results!AJ45</f>
        <v>3.8002670850000002</v>
      </c>
      <c r="AH305" s="6">
        <f>[1]Results!AK45</f>
        <v>3.8426680989999999</v>
      </c>
      <c r="AI305" s="6">
        <f>[1]Results!AL45</f>
        <v>3.8856432349999999</v>
      </c>
      <c r="AJ305" s="6">
        <f>[1]Results!AM45</f>
        <v>3.928915994</v>
      </c>
      <c r="AK305" s="6">
        <f>[1]Results!AN45</f>
        <v>3.9721142380000001</v>
      </c>
      <c r="AL305" s="6">
        <f>[1]Results!AO45</f>
        <v>4.0147933199999999</v>
      </c>
    </row>
    <row r="306" spans="1:38" x14ac:dyDescent="0.35">
      <c r="B306" t="s">
        <v>55</v>
      </c>
      <c r="C306" s="6">
        <f>[1]Results!F37</f>
        <v>44.765000000000001</v>
      </c>
      <c r="D306" s="6">
        <f>[1]Results!G37</f>
        <v>62.915118380000003</v>
      </c>
      <c r="E306" s="6">
        <f>[1]Results!H37</f>
        <v>82.980588460000007</v>
      </c>
      <c r="F306" s="6">
        <f>[1]Results!I37</f>
        <v>104.7097115</v>
      </c>
      <c r="G306" s="6">
        <f>[1]Results!J37</f>
        <v>128.22913059999999</v>
      </c>
      <c r="H306" s="6">
        <f>[1]Results!K37</f>
        <v>153.1781278</v>
      </c>
      <c r="I306" s="6">
        <f>[1]Results!L37</f>
        <v>179.16510779999999</v>
      </c>
      <c r="J306" s="6">
        <f>[1]Results!M37</f>
        <v>206.21930850000001</v>
      </c>
      <c r="K306" s="6">
        <f>[1]Results!N37</f>
        <v>234.65067540000001</v>
      </c>
      <c r="L306" s="6">
        <f>[1]Results!O37</f>
        <v>264.88209549999999</v>
      </c>
      <c r="M306" s="6">
        <f>[1]Results!P37</f>
        <v>297.43703499999998</v>
      </c>
      <c r="N306" s="6">
        <f>[1]Results!Q37</f>
        <v>332.59105419999997</v>
      </c>
      <c r="O306" s="6">
        <f>[1]Results!R37</f>
        <v>370.67806009999998</v>
      </c>
      <c r="P306" s="6">
        <f>[1]Results!S37</f>
        <v>412.00742300000002</v>
      </c>
      <c r="Q306" s="6">
        <f>[1]Results!T37</f>
        <v>456.88118279999998</v>
      </c>
      <c r="R306" s="6">
        <f>[1]Results!U37</f>
        <v>505.62402220000001</v>
      </c>
      <c r="S306" s="6">
        <f>[1]Results!V37</f>
        <v>558.84454909999999</v>
      </c>
      <c r="T306" s="6">
        <f>[1]Results!W37</f>
        <v>616.71287359999997</v>
      </c>
      <c r="U306" s="6">
        <f>[1]Results!X37</f>
        <v>679.21391180000001</v>
      </c>
      <c r="V306" s="6">
        <f>[1]Results!Y37</f>
        <v>746.33940410000002</v>
      </c>
      <c r="W306" s="6">
        <f>[1]Results!Z37</f>
        <v>818.05315280000002</v>
      </c>
      <c r="X306" s="6">
        <f>[1]Results!AA37</f>
        <v>894.71761700000002</v>
      </c>
      <c r="Y306" s="6">
        <f>[1]Results!AB37</f>
        <v>976.69419960000005</v>
      </c>
      <c r="Z306" s="6">
        <f>[1]Results!AC37</f>
        <v>1064.4738319999999</v>
      </c>
      <c r="AA306" s="6">
        <f>[1]Results!AD37</f>
        <v>1158.63726</v>
      </c>
      <c r="AB306" s="6">
        <f>[1]Results!AE37</f>
        <v>1259.381525</v>
      </c>
      <c r="AC306" s="6">
        <f>[1]Results!AF37</f>
        <v>1367.7863339999999</v>
      </c>
      <c r="AD306" s="6">
        <f>[1]Results!AG37</f>
        <v>1484.765083</v>
      </c>
      <c r="AE306" s="6">
        <f>[1]Results!AH37</f>
        <v>1611.3643959999999</v>
      </c>
      <c r="AF306" s="6">
        <f>[1]Results!AI37</f>
        <v>1748.7300720000001</v>
      </c>
      <c r="AG306" s="6">
        <f>[1]Results!AJ37</f>
        <v>1898.019</v>
      </c>
      <c r="AH306" s="6">
        <f>[1]Results!AK37</f>
        <v>2060.3569689999999</v>
      </c>
      <c r="AI306" s="6">
        <f>[1]Results!AL37</f>
        <v>2236.8270120000002</v>
      </c>
      <c r="AJ306" s="6">
        <f>[1]Results!AM37</f>
        <v>2428.4625890000002</v>
      </c>
      <c r="AK306" s="6">
        <f>[1]Results!AN37</f>
        <v>2636.2423229999999</v>
      </c>
      <c r="AL306" s="6">
        <f>[1]Results!AO37</f>
        <v>2861.082054</v>
      </c>
    </row>
    <row r="308" spans="1:3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7139.7193399999996</v>
      </c>
      <c r="E308" s="5">
        <f>[1]Hybrid!D18</f>
        <v>7244.7318800000003</v>
      </c>
      <c r="F308" s="5">
        <f>[1]Hybrid!E18</f>
        <v>7390.8125220000002</v>
      </c>
      <c r="G308" s="5">
        <f>[1]Hybrid!F18</f>
        <v>7572.0753059999997</v>
      </c>
      <c r="H308" s="5">
        <f>[1]Hybrid!G18</f>
        <v>7778.2813290000004</v>
      </c>
      <c r="I308" s="5">
        <f>[1]Hybrid!H18</f>
        <v>7996.8294599999999</v>
      </c>
      <c r="J308" s="5">
        <f>[1]Hybrid!I18</f>
        <v>8193.4700499999999</v>
      </c>
      <c r="K308" s="5">
        <f>[1]Hybrid!J18</f>
        <v>8388.8703270000005</v>
      </c>
      <c r="L308" s="5">
        <f>[1]Hybrid!K18</f>
        <v>8591.7222320000001</v>
      </c>
      <c r="M308" s="5">
        <f>[1]Hybrid!L18</f>
        <v>8803.8868839999996</v>
      </c>
      <c r="N308" s="5">
        <f>[1]Hybrid!M18</f>
        <v>9028.9504159999997</v>
      </c>
      <c r="O308" s="5">
        <f>[1]Hybrid!N18</f>
        <v>9257.9488290000008</v>
      </c>
      <c r="P308" s="5">
        <f>[1]Hybrid!O18</f>
        <v>9481.8957429999991</v>
      </c>
      <c r="Q308" s="5">
        <f>[1]Hybrid!P18</f>
        <v>9694.4657399999996</v>
      </c>
      <c r="R308" s="5">
        <f>[1]Hybrid!Q18</f>
        <v>9891.8389260000004</v>
      </c>
      <c r="S308" s="5">
        <f>[1]Hybrid!R18</f>
        <v>10069.552470000001</v>
      </c>
      <c r="T308" s="5">
        <f>[1]Hybrid!S18</f>
        <v>10229.57393</v>
      </c>
      <c r="U308" s="5">
        <f>[1]Hybrid!T18</f>
        <v>10373.47911</v>
      </c>
      <c r="V308" s="5">
        <f>[1]Hybrid!U18</f>
        <v>10502.432049999999</v>
      </c>
      <c r="W308" s="5">
        <f>[1]Hybrid!V18</f>
        <v>10616.38675</v>
      </c>
      <c r="X308" s="5">
        <f>[1]Hybrid!W18</f>
        <v>10718.12616</v>
      </c>
      <c r="Y308" s="5">
        <f>[1]Hybrid!X18</f>
        <v>10809.155500000001</v>
      </c>
      <c r="Z308" s="5">
        <f>[1]Hybrid!Y18</f>
        <v>10891.254660000001</v>
      </c>
      <c r="AA308" s="5">
        <f>[1]Hybrid!Z18</f>
        <v>10966.06632</v>
      </c>
      <c r="AB308" s="5">
        <f>[1]Hybrid!AA18</f>
        <v>11031.950500000001</v>
      </c>
      <c r="AC308" s="5">
        <f>[1]Hybrid!AB18</f>
        <v>11092.54746</v>
      </c>
      <c r="AD308" s="5">
        <f>[1]Hybrid!AC18</f>
        <v>11149.3331</v>
      </c>
      <c r="AE308" s="5">
        <f>[1]Hybrid!AD18</f>
        <v>11204.163570000001</v>
      </c>
      <c r="AF308" s="5">
        <f>[1]Hybrid!AE18</f>
        <v>11258.69687</v>
      </c>
      <c r="AG308" s="5">
        <f>[1]Hybrid!AF18</f>
        <v>11313.856299999999</v>
      </c>
      <c r="AH308" s="5">
        <f>[1]Hybrid!AG18</f>
        <v>11369.74099</v>
      </c>
      <c r="AI308" s="5">
        <f>[1]Hybrid!AH18</f>
        <v>11425.888989999999</v>
      </c>
      <c r="AJ308" s="5">
        <f>[1]Hybrid!AI18</f>
        <v>11481.613880000001</v>
      </c>
      <c r="AK308" s="5">
        <f>[1]Hybrid!AJ18</f>
        <v>11536.00713</v>
      </c>
      <c r="AL308" s="5">
        <f>[1]Hybrid!AK18</f>
        <v>11587.907740000001</v>
      </c>
    </row>
    <row r="309" spans="1:3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8180.8333709999997</v>
      </c>
      <c r="E309" s="5">
        <f>[1]Hybrid!D20</f>
        <v>8176.6020740000004</v>
      </c>
      <c r="F309" s="5">
        <f>[1]Hybrid!E20</f>
        <v>8218.4472100000003</v>
      </c>
      <c r="G309" s="5">
        <f>[1]Hybrid!F20</f>
        <v>8299.9024250000002</v>
      </c>
      <c r="H309" s="5">
        <f>[1]Hybrid!G20</f>
        <v>8410.6599559999995</v>
      </c>
      <c r="I309" s="5">
        <f>[1]Hybrid!H20</f>
        <v>8538.1103540000004</v>
      </c>
      <c r="J309" s="5">
        <f>[1]Hybrid!I20</f>
        <v>8648.4417620000004</v>
      </c>
      <c r="K309" s="5">
        <f>[1]Hybrid!J20</f>
        <v>8759.3595359999999</v>
      </c>
      <c r="L309" s="5">
        <f>[1]Hybrid!K20</f>
        <v>8878.3715560000001</v>
      </c>
      <c r="M309" s="5">
        <f>[1]Hybrid!L20</f>
        <v>9006.674395</v>
      </c>
      <c r="N309" s="5">
        <f>[1]Hybrid!M20</f>
        <v>9147.57539</v>
      </c>
      <c r="O309" s="5">
        <f>[1]Hybrid!N20</f>
        <v>9293.3997770000005</v>
      </c>
      <c r="P309" s="5">
        <f>[1]Hybrid!O20</f>
        <v>9436.3035839999993</v>
      </c>
      <c r="Q309" s="5">
        <f>[1]Hybrid!P20</f>
        <v>9570.7864590000008</v>
      </c>
      <c r="R309" s="5">
        <f>[1]Hybrid!Q20</f>
        <v>9693.5561109999999</v>
      </c>
      <c r="S309" s="5">
        <f>[1]Hybrid!R20</f>
        <v>9800.5749799999994</v>
      </c>
      <c r="T309" s="5">
        <f>[1]Hybrid!S20</f>
        <v>9893.5445789999994</v>
      </c>
      <c r="U309" s="5">
        <f>[1]Hybrid!T20</f>
        <v>9973.9167699999998</v>
      </c>
      <c r="V309" s="5">
        <f>[1]Hybrid!U20</f>
        <v>10042.765789999999</v>
      </c>
      <c r="W309" s="5">
        <f>[1]Hybrid!V20</f>
        <v>10100.030000000001</v>
      </c>
      <c r="X309" s="5">
        <f>[1]Hybrid!W20</f>
        <v>10148.14392</v>
      </c>
      <c r="Y309" s="5">
        <f>[1]Hybrid!X20</f>
        <v>10188.338830000001</v>
      </c>
      <c r="Z309" s="5">
        <f>[1]Hybrid!Y20</f>
        <v>10222.05378</v>
      </c>
      <c r="AA309" s="5">
        <f>[1]Hybrid!Z20</f>
        <v>10250.56905</v>
      </c>
      <c r="AB309" s="5">
        <f>[1]Hybrid!AA20</f>
        <v>10272.20708</v>
      </c>
      <c r="AC309" s="5">
        <f>[1]Hybrid!AB20</f>
        <v>10289.966920000001</v>
      </c>
      <c r="AD309" s="5">
        <f>[1]Hybrid!AC20</f>
        <v>10304.876459999999</v>
      </c>
      <c r="AE309" s="5">
        <f>[1]Hybrid!AD20</f>
        <v>10318.28449</v>
      </c>
      <c r="AF309" s="5">
        <f>[1]Hybrid!AE20</f>
        <v>10331.377699999999</v>
      </c>
      <c r="AG309" s="5">
        <f>[1]Hybrid!AF20</f>
        <v>10344.71774</v>
      </c>
      <c r="AH309" s="5">
        <f>[1]Hybrid!AG20</f>
        <v>10358.16518</v>
      </c>
      <c r="AI309" s="5">
        <f>[1]Hybrid!AH20</f>
        <v>10371.11205</v>
      </c>
      <c r="AJ309" s="5">
        <f>[1]Hybrid!AI20</f>
        <v>10382.78638</v>
      </c>
      <c r="AK309" s="5">
        <f>[1]Hybrid!AJ20</f>
        <v>10392.26456</v>
      </c>
      <c r="AL309" s="5">
        <f>[1]Hybrid!AK20</f>
        <v>10398.4496</v>
      </c>
    </row>
    <row r="310" spans="1:3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6645.4068960000004</v>
      </c>
      <c r="E310" s="5">
        <f>[1]Hybrid!D22</f>
        <v>6564.7450699999999</v>
      </c>
      <c r="F310" s="5">
        <f>[1]Hybrid!E22</f>
        <v>6520.9851570000001</v>
      </c>
      <c r="G310" s="5">
        <f>[1]Hybrid!F22</f>
        <v>6509.0645199999999</v>
      </c>
      <c r="H310" s="5">
        <f>[1]Hybrid!G22</f>
        <v>6521.4944240000004</v>
      </c>
      <c r="I310" s="5">
        <f>[1]Hybrid!H22</f>
        <v>6549.1733530000001</v>
      </c>
      <c r="J310" s="5">
        <f>[1]Hybrid!I22</f>
        <v>6568.05116</v>
      </c>
      <c r="K310" s="5">
        <f>[1]Hybrid!J22</f>
        <v>6588.9480030000004</v>
      </c>
      <c r="L310" s="5">
        <f>[1]Hybrid!K22</f>
        <v>6616.5052429999996</v>
      </c>
      <c r="M310" s="5">
        <f>[1]Hybrid!L22</f>
        <v>6651.1700190000001</v>
      </c>
      <c r="N310" s="5">
        <f>[1]Hybrid!M22</f>
        <v>6695.1452300000001</v>
      </c>
      <c r="O310" s="5">
        <f>[1]Hybrid!N22</f>
        <v>6743.7132849999998</v>
      </c>
      <c r="P310" s="5">
        <f>[1]Hybrid!O22</f>
        <v>6791.9368009999998</v>
      </c>
      <c r="Q310" s="5">
        <f>[1]Hybrid!P22</f>
        <v>6836.3581759999997</v>
      </c>
      <c r="R310" s="5">
        <f>[1]Hybrid!Q22</f>
        <v>6874.9171020000003</v>
      </c>
      <c r="S310" s="5">
        <f>[1]Hybrid!R22</f>
        <v>6904.9559200000003</v>
      </c>
      <c r="T310" s="5">
        <f>[1]Hybrid!S22</f>
        <v>6927.5111150000002</v>
      </c>
      <c r="U310" s="5">
        <f>[1]Hybrid!T22</f>
        <v>6943.5252140000002</v>
      </c>
      <c r="V310" s="5">
        <f>[1]Hybrid!U22</f>
        <v>6953.6911060000002</v>
      </c>
      <c r="W310" s="5">
        <f>[1]Hybrid!V22</f>
        <v>6957.9336400000002</v>
      </c>
      <c r="X310" s="5">
        <f>[1]Hybrid!W22</f>
        <v>6957.7677789999998</v>
      </c>
      <c r="Y310" s="5">
        <f>[1]Hybrid!X22</f>
        <v>6953.8937260000002</v>
      </c>
      <c r="Z310" s="5">
        <f>[1]Hybrid!Y22</f>
        <v>6947.1229860000003</v>
      </c>
      <c r="AA310" s="5">
        <f>[1]Hybrid!Z22</f>
        <v>6938.1433800000004</v>
      </c>
      <c r="AB310" s="5">
        <f>[1]Hybrid!AA22</f>
        <v>6925.7201709999999</v>
      </c>
      <c r="AC310" s="5">
        <f>[1]Hybrid!AB22</f>
        <v>6911.6129339999998</v>
      </c>
      <c r="AD310" s="5">
        <f>[1]Hybrid!AC22</f>
        <v>6896.2887810000002</v>
      </c>
      <c r="AE310" s="5">
        <f>[1]Hybrid!AD22</f>
        <v>6880.413834</v>
      </c>
      <c r="AF310" s="5">
        <f>[1]Hybrid!AE22</f>
        <v>6864.5629870000002</v>
      </c>
      <c r="AG310" s="5">
        <f>[1]Hybrid!AF22</f>
        <v>6848.9312440000003</v>
      </c>
      <c r="AH310" s="5">
        <f>[1]Hybrid!AG22</f>
        <v>6833.2865780000002</v>
      </c>
      <c r="AI310" s="5">
        <f>[1]Hybrid!AH22</f>
        <v>6817.1181299999998</v>
      </c>
      <c r="AJ310" s="5">
        <f>[1]Hybrid!AI22</f>
        <v>6799.8347949999998</v>
      </c>
      <c r="AK310" s="5">
        <f>[1]Hybrid!AJ22</f>
        <v>6780.7786980000001</v>
      </c>
      <c r="AL310" s="5">
        <f>[1]Hybrid!AK22</f>
        <v>6759.2136680000003</v>
      </c>
    </row>
    <row r="311" spans="1:3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4054.0480859999998</v>
      </c>
      <c r="E311" s="5">
        <f>[1]Hybrid!D24</f>
        <v>3977.8614480000001</v>
      </c>
      <c r="F311" s="5">
        <f>[1]Hybrid!E24</f>
        <v>3922.4064619999999</v>
      </c>
      <c r="G311" s="5">
        <f>[1]Hybrid!F24</f>
        <v>3884.4185980000002</v>
      </c>
      <c r="H311" s="5">
        <f>[1]Hybrid!G24</f>
        <v>3859.553285</v>
      </c>
      <c r="I311" s="5">
        <f>[1]Hybrid!H24</f>
        <v>3842.6464169999999</v>
      </c>
      <c r="J311" s="5">
        <f>[1]Hybrid!I24</f>
        <v>3820.44463</v>
      </c>
      <c r="K311" s="5">
        <f>[1]Hybrid!J24</f>
        <v>3798.111261</v>
      </c>
      <c r="L311" s="5">
        <f>[1]Hybrid!K24</f>
        <v>3778.1721259999999</v>
      </c>
      <c r="M311" s="5">
        <f>[1]Hybrid!L24</f>
        <v>3761.070968</v>
      </c>
      <c r="N311" s="5">
        <f>[1]Hybrid!M24</f>
        <v>3748.2579780000001</v>
      </c>
      <c r="O311" s="5">
        <f>[1]Hybrid!N24</f>
        <v>3737.8440350000001</v>
      </c>
      <c r="P311" s="5">
        <f>[1]Hybrid!O24</f>
        <v>3727.8503070000002</v>
      </c>
      <c r="Q311" s="5">
        <f>[1]Hybrid!P24</f>
        <v>3717.0057449999999</v>
      </c>
      <c r="R311" s="5">
        <f>[1]Hybrid!Q24</f>
        <v>3704.6655909999999</v>
      </c>
      <c r="S311" s="5">
        <f>[1]Hybrid!R24</f>
        <v>3689.8231150000001</v>
      </c>
      <c r="T311" s="5">
        <f>[1]Hybrid!S24</f>
        <v>3673.1806879999999</v>
      </c>
      <c r="U311" s="5">
        <f>[1]Hybrid!T24</f>
        <v>3655.3775329999999</v>
      </c>
      <c r="V311" s="5">
        <f>[1]Hybrid!U24</f>
        <v>3636.8779890000001</v>
      </c>
      <c r="W311" s="5">
        <f>[1]Hybrid!V24</f>
        <v>3617.7078069999998</v>
      </c>
      <c r="X311" s="5">
        <f>[1]Hybrid!W24</f>
        <v>3598.5980410000002</v>
      </c>
      <c r="Y311" s="5">
        <f>[1]Hybrid!X24</f>
        <v>3579.8320399999998</v>
      </c>
      <c r="Z311" s="5">
        <f>[1]Hybrid!Y24</f>
        <v>3561.7069929999998</v>
      </c>
      <c r="AA311" s="5">
        <f>[1]Hybrid!Z24</f>
        <v>3544.422583</v>
      </c>
      <c r="AB311" s="5">
        <f>[1]Hybrid!AA24</f>
        <v>3527.2035340000002</v>
      </c>
      <c r="AC311" s="5">
        <f>[1]Hybrid!AB24</f>
        <v>3510.6992110000001</v>
      </c>
      <c r="AD311" s="5">
        <f>[1]Hybrid!AC24</f>
        <v>3494.892664</v>
      </c>
      <c r="AE311" s="5">
        <f>[1]Hybrid!AD24</f>
        <v>3479.863194</v>
      </c>
      <c r="AF311" s="5">
        <f>[1]Hybrid!AE24</f>
        <v>3465.6871620000002</v>
      </c>
      <c r="AG311" s="5">
        <f>[1]Hybrid!AF24</f>
        <v>3452.3049019999999</v>
      </c>
      <c r="AH311" s="5">
        <f>[1]Hybrid!AG24</f>
        <v>3439.4885359999998</v>
      </c>
      <c r="AI311" s="5">
        <f>[1]Hybrid!AH24</f>
        <v>3426.904724</v>
      </c>
      <c r="AJ311" s="5">
        <f>[1]Hybrid!AI24</f>
        <v>3414.2179139999998</v>
      </c>
      <c r="AK311" s="5">
        <f>[1]Hybrid!AJ24</f>
        <v>3401.1027880000001</v>
      </c>
      <c r="AL311" s="5">
        <f>[1]Hybrid!AK24</f>
        <v>3387.2355769999999</v>
      </c>
    </row>
    <row r="312" spans="1:3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2442.4863789999999</v>
      </c>
      <c r="E312" s="5">
        <f>[1]Hybrid!D26</f>
        <v>2398.124683</v>
      </c>
      <c r="F312" s="5">
        <f>[1]Hybrid!E26</f>
        <v>2365.1048340000002</v>
      </c>
      <c r="G312" s="5">
        <f>[1]Hybrid!F26</f>
        <v>2341.301179</v>
      </c>
      <c r="H312" s="5">
        <f>[1]Hybrid!G26</f>
        <v>2324.0773250000002</v>
      </c>
      <c r="I312" s="5">
        <f>[1]Hybrid!H26</f>
        <v>2310.322392</v>
      </c>
      <c r="J312" s="5">
        <f>[1]Hybrid!I26</f>
        <v>2292.008041</v>
      </c>
      <c r="K312" s="5">
        <f>[1]Hybrid!J26</f>
        <v>2271.825253</v>
      </c>
      <c r="L312" s="5">
        <f>[1]Hybrid!K26</f>
        <v>2251.255009</v>
      </c>
      <c r="M312" s="5">
        <f>[1]Hybrid!L26</f>
        <v>2230.5949009999999</v>
      </c>
      <c r="N312" s="5">
        <f>[1]Hybrid!M26</f>
        <v>2210.8251329999998</v>
      </c>
      <c r="O312" s="5">
        <f>[1]Hybrid!N26</f>
        <v>2191.253146</v>
      </c>
      <c r="P312" s="5">
        <f>[1]Hybrid!O26</f>
        <v>2171.1359349999998</v>
      </c>
      <c r="Q312" s="5">
        <f>[1]Hybrid!P26</f>
        <v>2150.089825</v>
      </c>
      <c r="R312" s="5">
        <f>[1]Hybrid!Q26</f>
        <v>2128.024253</v>
      </c>
      <c r="S312" s="5">
        <f>[1]Hybrid!R26</f>
        <v>2104.6027079999999</v>
      </c>
      <c r="T312" s="5">
        <f>[1]Hybrid!S26</f>
        <v>2080.3234640000001</v>
      </c>
      <c r="U312" s="5">
        <f>[1]Hybrid!T26</f>
        <v>2055.63789</v>
      </c>
      <c r="V312" s="5">
        <f>[1]Hybrid!U26</f>
        <v>2030.8747080000001</v>
      </c>
      <c r="W312" s="5">
        <f>[1]Hybrid!V26</f>
        <v>2006.1022330000001</v>
      </c>
      <c r="X312" s="5">
        <f>[1]Hybrid!W26</f>
        <v>1981.709572</v>
      </c>
      <c r="Y312" s="5">
        <f>[1]Hybrid!X26</f>
        <v>1957.826732</v>
      </c>
      <c r="Z312" s="5">
        <f>[1]Hybrid!Y26</f>
        <v>1934.5653809999999</v>
      </c>
      <c r="AA312" s="5">
        <f>[1]Hybrid!Z26</f>
        <v>1911.9651590000001</v>
      </c>
      <c r="AB312" s="5">
        <f>[1]Hybrid!AA26</f>
        <v>1889.5686949999999</v>
      </c>
      <c r="AC312" s="5">
        <f>[1]Hybrid!AB26</f>
        <v>1867.597395</v>
      </c>
      <c r="AD312" s="5">
        <f>[1]Hybrid!AC26</f>
        <v>1845.9271960000001</v>
      </c>
      <c r="AE312" s="5">
        <f>[1]Hybrid!AD26</f>
        <v>1824.4769859999999</v>
      </c>
      <c r="AF312" s="5">
        <f>[1]Hybrid!AE26</f>
        <v>1803.1786520000001</v>
      </c>
      <c r="AG312" s="5">
        <f>[1]Hybrid!AF26</f>
        <v>1781.9192290000001</v>
      </c>
      <c r="AH312" s="5">
        <f>[1]Hybrid!AG26</f>
        <v>1760.5259309999999</v>
      </c>
      <c r="AI312" s="5">
        <f>[1]Hybrid!AH26</f>
        <v>1738.7950350000001</v>
      </c>
      <c r="AJ312" s="5">
        <f>[1]Hybrid!AI26</f>
        <v>1716.543191</v>
      </c>
      <c r="AK312" s="5">
        <f>[1]Hybrid!AJ26</f>
        <v>1693.615851</v>
      </c>
      <c r="AL312" s="5">
        <f>[1]Hybrid!AK26</f>
        <v>1669.882998</v>
      </c>
    </row>
    <row r="313" spans="1:3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1210.5871079999999</v>
      </c>
      <c r="E313" s="5">
        <f>[1]Hybrid!D28</f>
        <v>1184.4497730000001</v>
      </c>
      <c r="F313" s="5">
        <f>[1]Hybrid!E28</f>
        <v>1162.271741</v>
      </c>
      <c r="G313" s="5">
        <f>[1]Hybrid!F28</f>
        <v>1142.845116</v>
      </c>
      <c r="H313" s="5">
        <f>[1]Hybrid!G28</f>
        <v>1124.9316060000001</v>
      </c>
      <c r="I313" s="5">
        <f>[1]Hybrid!H28</f>
        <v>1107.1602339999999</v>
      </c>
      <c r="J313" s="5">
        <f>[1]Hybrid!I28</f>
        <v>1086.0707150000001</v>
      </c>
      <c r="K313" s="5">
        <f>[1]Hybrid!J28</f>
        <v>1062.6416730000001</v>
      </c>
      <c r="L313" s="5">
        <f>[1]Hybrid!K28</f>
        <v>1037.6257250000001</v>
      </c>
      <c r="M313" s="5">
        <f>[1]Hybrid!L28</f>
        <v>1011.319483</v>
      </c>
      <c r="N313" s="5">
        <f>[1]Hybrid!M28</f>
        <v>984.33120799999995</v>
      </c>
      <c r="O313" s="5">
        <f>[1]Hybrid!N28</f>
        <v>956.80199040000002</v>
      </c>
      <c r="P313" s="5">
        <f>[1]Hybrid!O28</f>
        <v>928.86261260000003</v>
      </c>
      <c r="Q313" s="5">
        <f>[1]Hybrid!P28</f>
        <v>900.72354589999998</v>
      </c>
      <c r="R313" s="5">
        <f>[1]Hybrid!Q28</f>
        <v>872.62600350000002</v>
      </c>
      <c r="S313" s="5">
        <f>[1]Hybrid!R28</f>
        <v>844.67844649999995</v>
      </c>
      <c r="T313" s="5">
        <f>[1]Hybrid!S28</f>
        <v>817.16244640000002</v>
      </c>
      <c r="U313" s="5">
        <f>[1]Hybrid!T28</f>
        <v>790.30576029999997</v>
      </c>
      <c r="V313" s="5">
        <f>[1]Hybrid!U28</f>
        <v>764.26046399999996</v>
      </c>
      <c r="W313" s="5">
        <f>[1]Hybrid!V28</f>
        <v>739.07125410000003</v>
      </c>
      <c r="X313" s="5">
        <f>[1]Hybrid!W28</f>
        <v>714.83237910000003</v>
      </c>
      <c r="Y313" s="5">
        <f>[1]Hybrid!X28</f>
        <v>691.54371730000003</v>
      </c>
      <c r="Z313" s="5">
        <f>[1]Hybrid!Y28</f>
        <v>669.18108510000002</v>
      </c>
      <c r="AA313" s="5">
        <f>[1]Hybrid!Z28</f>
        <v>647.68605000000002</v>
      </c>
      <c r="AB313" s="5">
        <f>[1]Hybrid!AA28</f>
        <v>626.87127459999999</v>
      </c>
      <c r="AC313" s="5">
        <f>[1]Hybrid!AB28</f>
        <v>606.69954989999997</v>
      </c>
      <c r="AD313" s="5">
        <f>[1]Hybrid!AC28</f>
        <v>587.04541930000005</v>
      </c>
      <c r="AE313" s="5">
        <f>[1]Hybrid!AD28</f>
        <v>567.79992000000004</v>
      </c>
      <c r="AF313" s="5">
        <f>[1]Hybrid!AE28</f>
        <v>548.87749150000002</v>
      </c>
      <c r="AG313" s="5">
        <f>[1]Hybrid!AF28</f>
        <v>530.20601429999999</v>
      </c>
      <c r="AH313" s="5">
        <f>[1]Hybrid!AG28</f>
        <v>511.72166600000003</v>
      </c>
      <c r="AI313" s="5">
        <f>[1]Hybrid!AH28</f>
        <v>493.3723837</v>
      </c>
      <c r="AJ313" s="5">
        <f>[1]Hybrid!AI28</f>
        <v>475.12798559999999</v>
      </c>
      <c r="AK313" s="5">
        <f>[1]Hybrid!AJ28</f>
        <v>456.98059619999998</v>
      </c>
      <c r="AL313" s="5">
        <f>[1]Hybrid!AK28</f>
        <v>438.94060710000002</v>
      </c>
    </row>
    <row r="314" spans="1:3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2183.4438169999999</v>
      </c>
      <c r="E314" s="5">
        <f>[1]Hybrid!D30</f>
        <v>2137.4847340000001</v>
      </c>
      <c r="F314" s="5">
        <f>[1]Hybrid!E30</f>
        <v>2095.8509100000001</v>
      </c>
      <c r="G314" s="5">
        <f>[1]Hybrid!F30</f>
        <v>2056.21702</v>
      </c>
      <c r="H314" s="5">
        <f>[1]Hybrid!G30</f>
        <v>2016.538879</v>
      </c>
      <c r="I314" s="5">
        <f>[1]Hybrid!H30</f>
        <v>1974.6690719999999</v>
      </c>
      <c r="J314" s="5">
        <f>[1]Hybrid!I30</f>
        <v>1924.9870780000001</v>
      </c>
      <c r="K314" s="5">
        <f>[1]Hybrid!J30</f>
        <v>1869.1861919999999</v>
      </c>
      <c r="L314" s="5">
        <f>[1]Hybrid!K30</f>
        <v>1808.953094</v>
      </c>
      <c r="M314" s="5">
        <f>[1]Hybrid!L30</f>
        <v>1745.253888</v>
      </c>
      <c r="N314" s="5">
        <f>[1]Hybrid!M30</f>
        <v>1679.5474039999999</v>
      </c>
      <c r="O314" s="5">
        <f>[1]Hybrid!N30</f>
        <v>1612.701652</v>
      </c>
      <c r="P314" s="5">
        <f>[1]Hybrid!O30</f>
        <v>1545.4882</v>
      </c>
      <c r="Q314" s="5">
        <f>[1]Hybrid!P30</f>
        <v>1478.661036</v>
      </c>
      <c r="R314" s="5">
        <f>[1]Hybrid!Q30</f>
        <v>1412.8810149999999</v>
      </c>
      <c r="S314" s="5">
        <f>[1]Hybrid!R30</f>
        <v>1348.533643</v>
      </c>
      <c r="T314" s="5">
        <f>[1]Hybrid!S30</f>
        <v>1286.0998259999999</v>
      </c>
      <c r="U314" s="5">
        <f>[1]Hybrid!T30</f>
        <v>1225.9313030000001</v>
      </c>
      <c r="V314" s="5">
        <f>[1]Hybrid!U30</f>
        <v>1168.2359240000001</v>
      </c>
      <c r="W314" s="5">
        <f>[1]Hybrid!V30</f>
        <v>1113.057411</v>
      </c>
      <c r="X314" s="5">
        <f>[1]Hybrid!W30</f>
        <v>1060.4531549999999</v>
      </c>
      <c r="Y314" s="5">
        <f>[1]Hybrid!X30</f>
        <v>1010.354146</v>
      </c>
      <c r="Z314" s="5">
        <f>[1]Hybrid!Y30</f>
        <v>962.64985750000005</v>
      </c>
      <c r="AA314" s="5">
        <f>[1]Hybrid!Z30</f>
        <v>917.18419640000002</v>
      </c>
      <c r="AB314" s="5">
        <f>[1]Hybrid!AA30</f>
        <v>873.67377429999999</v>
      </c>
      <c r="AC314" s="5">
        <f>[1]Hybrid!AB30</f>
        <v>831.97737930000005</v>
      </c>
      <c r="AD314" s="5">
        <f>[1]Hybrid!AC30</f>
        <v>791.87456640000005</v>
      </c>
      <c r="AE314" s="5">
        <f>[1]Hybrid!AD30</f>
        <v>753.1764915</v>
      </c>
      <c r="AF314" s="5">
        <f>[1]Hybrid!AE30</f>
        <v>715.74107749999996</v>
      </c>
      <c r="AG314" s="5">
        <f>[1]Hybrid!AF30</f>
        <v>679.46330509999996</v>
      </c>
      <c r="AH314" s="5">
        <f>[1]Hybrid!AG30</f>
        <v>644.26620930000001</v>
      </c>
      <c r="AI314" s="5">
        <f>[1]Hybrid!AH30</f>
        <v>610.09884509999995</v>
      </c>
      <c r="AJ314" s="5">
        <f>[1]Hybrid!AI30</f>
        <v>576.94065160000002</v>
      </c>
      <c r="AK314" s="5">
        <f>[1]Hybrid!AJ30</f>
        <v>544.7971933</v>
      </c>
      <c r="AL314" s="5">
        <f>[1]Hybrid!AK30</f>
        <v>513.69183720000001</v>
      </c>
    </row>
    <row r="315" spans="1:3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15.130715759999999</v>
      </c>
      <c r="E315" s="5">
        <f>[1]Hybrid!D32</f>
        <v>21.018488900000001</v>
      </c>
      <c r="F315" s="5">
        <f>[1]Hybrid!E32</f>
        <v>27.45917193</v>
      </c>
      <c r="G315" s="5">
        <f>[1]Hybrid!F32</f>
        <v>34.509364069999997</v>
      </c>
      <c r="H315" s="5">
        <f>[1]Hybrid!G32</f>
        <v>42.069138709999997</v>
      </c>
      <c r="I315" s="5">
        <f>[1]Hybrid!H32</f>
        <v>50.030893460000001</v>
      </c>
      <c r="J315" s="5">
        <f>[1]Hybrid!I32</f>
        <v>58.439296159999998</v>
      </c>
      <c r="K315" s="5">
        <f>[1]Hybrid!J32</f>
        <v>69.08752586</v>
      </c>
      <c r="L315" s="5">
        <f>[1]Hybrid!K32</f>
        <v>83.809774899999994</v>
      </c>
      <c r="M315" s="5">
        <f>[1]Hybrid!L32</f>
        <v>104.8315638</v>
      </c>
      <c r="N315" s="5">
        <f>[1]Hybrid!M32</f>
        <v>133.9672783</v>
      </c>
      <c r="O315" s="5">
        <f>[1]Hybrid!N32</f>
        <v>171.24336679999999</v>
      </c>
      <c r="P315" s="5">
        <f>[1]Hybrid!O32</f>
        <v>216.4445005</v>
      </c>
      <c r="Q315" s="5">
        <f>[1]Hybrid!P32</f>
        <v>269.2957983</v>
      </c>
      <c r="R315" s="5">
        <f>[1]Hybrid!Q32</f>
        <v>329.5405275</v>
      </c>
      <c r="S315" s="5">
        <f>[1]Hybrid!R32</f>
        <v>396.95217450000001</v>
      </c>
      <c r="T315" s="5">
        <f>[1]Hybrid!S32</f>
        <v>471.94016640000001</v>
      </c>
      <c r="U315" s="5">
        <f>[1]Hybrid!T32</f>
        <v>554.76154640000004</v>
      </c>
      <c r="V315" s="5">
        <f>[1]Hybrid!U32</f>
        <v>645.58422140000005</v>
      </c>
      <c r="W315" s="5">
        <f>[1]Hybrid!V32</f>
        <v>744.41018580000002</v>
      </c>
      <c r="X315" s="5">
        <f>[1]Hybrid!W32</f>
        <v>851.62688179999998</v>
      </c>
      <c r="Y315" s="5">
        <f>[1]Hybrid!X32</f>
        <v>967.5334345</v>
      </c>
      <c r="Z315" s="5">
        <f>[1]Hybrid!Y32</f>
        <v>1092.549937</v>
      </c>
      <c r="AA315" s="5">
        <f>[1]Hybrid!Z32</f>
        <v>1227.170157</v>
      </c>
      <c r="AB315" s="5">
        <f>[1]Hybrid!AA32</f>
        <v>1371.3071030000001</v>
      </c>
      <c r="AC315" s="5">
        <f>[1]Hybrid!AB32</f>
        <v>1526.001434</v>
      </c>
      <c r="AD315" s="5">
        <f>[1]Hybrid!AC32</f>
        <v>1692.0267759999999</v>
      </c>
      <c r="AE315" s="5">
        <f>[1]Hybrid!AD32</f>
        <v>1870.411085</v>
      </c>
      <c r="AF315" s="5">
        <f>[1]Hybrid!AE32</f>
        <v>2062.3258780000001</v>
      </c>
      <c r="AG315" s="5">
        <f>[1]Hybrid!AF32</f>
        <v>2268.9280159999998</v>
      </c>
      <c r="AH315" s="5">
        <f>[1]Hybrid!AG32</f>
        <v>2491.2805790000002</v>
      </c>
      <c r="AI315" s="5">
        <f>[1]Hybrid!AH32</f>
        <v>2730.3756960000001</v>
      </c>
      <c r="AJ315" s="5">
        <f>[1]Hybrid!AI32</f>
        <v>2987.20766</v>
      </c>
      <c r="AK315" s="5">
        <f>[1]Hybrid!AJ32</f>
        <v>3262.7476550000001</v>
      </c>
      <c r="AL315" s="5">
        <f>[1]Hybrid!AK32</f>
        <v>3557.8971670000001</v>
      </c>
    </row>
    <row r="316" spans="1:3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16.449083439999999</v>
      </c>
      <c r="E316" s="5">
        <f>[1]Hybrid!D34</f>
        <v>22.036286789999998</v>
      </c>
      <c r="F316" s="5">
        <f>[1]Hybrid!E34</f>
        <v>28.165392659999998</v>
      </c>
      <c r="G316" s="5">
        <f>[1]Hybrid!F34</f>
        <v>34.892828940000001</v>
      </c>
      <c r="H316" s="5">
        <f>[1]Hybrid!G34</f>
        <v>42.119999989999997</v>
      </c>
      <c r="I316" s="5">
        <f>[1]Hybrid!H34</f>
        <v>49.741131009999997</v>
      </c>
      <c r="J316" s="5">
        <f>[1]Hybrid!I34</f>
        <v>57.807971590000001</v>
      </c>
      <c r="K316" s="5">
        <f>[1]Hybrid!J34</f>
        <v>68.07411587</v>
      </c>
      <c r="L316" s="5">
        <f>[1]Hybrid!K34</f>
        <v>82.306465119999999</v>
      </c>
      <c r="M316" s="5">
        <f>[1]Hybrid!L34</f>
        <v>102.6122098</v>
      </c>
      <c r="N316" s="5">
        <f>[1]Hybrid!M34</f>
        <v>130.67554390000001</v>
      </c>
      <c r="O316" s="5">
        <f>[1]Hybrid!N34</f>
        <v>166.4796341</v>
      </c>
      <c r="P316" s="5">
        <f>[1]Hybrid!O34</f>
        <v>209.7874789</v>
      </c>
      <c r="Q316" s="5">
        <f>[1]Hybrid!P34</f>
        <v>260.31436189999999</v>
      </c>
      <c r="R316" s="5">
        <f>[1]Hybrid!Q34</f>
        <v>317.79925580000003</v>
      </c>
      <c r="S316" s="5">
        <f>[1]Hybrid!R34</f>
        <v>382.00483430000003</v>
      </c>
      <c r="T316" s="5">
        <f>[1]Hybrid!S34</f>
        <v>453.29252000000002</v>
      </c>
      <c r="U316" s="5">
        <f>[1]Hybrid!T34</f>
        <v>531.89008709999996</v>
      </c>
      <c r="V316" s="5">
        <f>[1]Hybrid!U34</f>
        <v>617.94404350000002</v>
      </c>
      <c r="W316" s="5">
        <f>[1]Hybrid!V34</f>
        <v>711.44124910000005</v>
      </c>
      <c r="X316" s="5">
        <f>[1]Hybrid!W34</f>
        <v>812.72807260000002</v>
      </c>
      <c r="Y316" s="5">
        <f>[1]Hybrid!X34</f>
        <v>922.05762379999999</v>
      </c>
      <c r="Z316" s="5">
        <f>[1]Hybrid!Y34</f>
        <v>1039.786353</v>
      </c>
      <c r="AA316" s="5">
        <f>[1]Hybrid!Z34</f>
        <v>1166.326131</v>
      </c>
      <c r="AB316" s="5">
        <f>[1]Hybrid!AA34</f>
        <v>1301.5251760000001</v>
      </c>
      <c r="AC316" s="5">
        <f>[1]Hybrid!AB34</f>
        <v>1446.2716720000001</v>
      </c>
      <c r="AD316" s="5">
        <f>[1]Hybrid!AC34</f>
        <v>1601.173765</v>
      </c>
      <c r="AE316" s="5">
        <f>[1]Hybrid!AD34</f>
        <v>1767.0501850000001</v>
      </c>
      <c r="AF316" s="5">
        <f>[1]Hybrid!AE34</f>
        <v>1944.830383</v>
      </c>
      <c r="AG316" s="5">
        <f>[1]Hybrid!AF34</f>
        <v>2135.4075309999998</v>
      </c>
      <c r="AH316" s="5">
        <f>[1]Hybrid!AG34</f>
        <v>2339.5636319999999</v>
      </c>
      <c r="AI316" s="5">
        <f>[1]Hybrid!AH34</f>
        <v>2557.9890719999999</v>
      </c>
      <c r="AJ316" s="5">
        <f>[1]Hybrid!AI34</f>
        <v>2791.352112</v>
      </c>
      <c r="AK316" s="5">
        <f>[1]Hybrid!AJ34</f>
        <v>3040.2789170000001</v>
      </c>
      <c r="AL316" s="5">
        <f>[1]Hybrid!AK34</f>
        <v>3305.313345</v>
      </c>
    </row>
    <row r="317" spans="1:3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12.80962594</v>
      </c>
      <c r="E317" s="5">
        <f>[1]Hybrid!D36</f>
        <v>16.62680422</v>
      </c>
      <c r="F317" s="5">
        <f>[1]Hybrid!E36</f>
        <v>20.82580093</v>
      </c>
      <c r="G317" s="5">
        <f>[1]Hybrid!F36</f>
        <v>25.446735029999999</v>
      </c>
      <c r="H317" s="5">
        <f>[1]Hybrid!G36</f>
        <v>30.419537810000001</v>
      </c>
      <c r="I317" s="5">
        <f>[1]Hybrid!H36</f>
        <v>35.669244980000002</v>
      </c>
      <c r="J317" s="5">
        <f>[1]Hybrid!I36</f>
        <v>41.236270410000003</v>
      </c>
      <c r="K317" s="5">
        <f>[1]Hybrid!J36</f>
        <v>48.35037277</v>
      </c>
      <c r="L317" s="5">
        <f>[1]Hybrid!K36</f>
        <v>58.232267810000003</v>
      </c>
      <c r="M317" s="5">
        <f>[1]Hybrid!L36</f>
        <v>72.313225209999999</v>
      </c>
      <c r="N317" s="5">
        <f>[1]Hybrid!M36</f>
        <v>91.714283559999998</v>
      </c>
      <c r="O317" s="5">
        <f>[1]Hybrid!N36</f>
        <v>116.3946973</v>
      </c>
      <c r="P317" s="5">
        <f>[1]Hybrid!O36</f>
        <v>146.17066159999999</v>
      </c>
      <c r="Q317" s="5">
        <f>[1]Hybrid!P36</f>
        <v>180.83228109999999</v>
      </c>
      <c r="R317" s="5">
        <f>[1]Hybrid!Q36</f>
        <v>220.19046320000001</v>
      </c>
      <c r="S317" s="5">
        <f>[1]Hybrid!R36</f>
        <v>264.069053</v>
      </c>
      <c r="T317" s="5">
        <f>[1]Hybrid!S36</f>
        <v>312.6966607</v>
      </c>
      <c r="U317" s="5">
        <f>[1]Hybrid!T36</f>
        <v>366.21850380000001</v>
      </c>
      <c r="V317" s="5">
        <f>[1]Hybrid!U36</f>
        <v>424.72687029999997</v>
      </c>
      <c r="W317" s="5">
        <f>[1]Hybrid!V36</f>
        <v>488.20400510000002</v>
      </c>
      <c r="X317" s="5">
        <f>[1]Hybrid!W36</f>
        <v>556.87300140000002</v>
      </c>
      <c r="Y317" s="5">
        <f>[1]Hybrid!X36</f>
        <v>630.88735629999996</v>
      </c>
      <c r="Z317" s="5">
        <f>[1]Hybrid!Y36</f>
        <v>710.46362820000002</v>
      </c>
      <c r="AA317" s="5">
        <f>[1]Hybrid!Z36</f>
        <v>795.84690079999996</v>
      </c>
      <c r="AB317" s="5">
        <f>[1]Hybrid!AA36</f>
        <v>886.89050759999998</v>
      </c>
      <c r="AC317" s="5">
        <f>[1]Hybrid!AB36</f>
        <v>984.13695540000003</v>
      </c>
      <c r="AD317" s="5">
        <f>[1]Hybrid!AC36</f>
        <v>1087.921427</v>
      </c>
      <c r="AE317" s="5">
        <f>[1]Hybrid!AD36</f>
        <v>1198.7037</v>
      </c>
      <c r="AF317" s="5">
        <f>[1]Hybrid!AE36</f>
        <v>1317.004046</v>
      </c>
      <c r="AG317" s="5">
        <f>[1]Hybrid!AF36</f>
        <v>1443.3055790000001</v>
      </c>
      <c r="AH317" s="5">
        <f>[1]Hybrid!AG36</f>
        <v>1578.00379</v>
      </c>
      <c r="AI317" s="5">
        <f>[1]Hybrid!AH36</f>
        <v>1721.4189879999999</v>
      </c>
      <c r="AJ317" s="5">
        <f>[1]Hybrid!AI36</f>
        <v>1873.8442110000001</v>
      </c>
      <c r="AK317" s="5">
        <f>[1]Hybrid!AJ36</f>
        <v>2035.5346280000001</v>
      </c>
      <c r="AL317" s="5">
        <f>[1]Hybrid!AK36</f>
        <v>2206.6830770000001</v>
      </c>
    </row>
    <row r="318" spans="1:3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7.589727806</v>
      </c>
      <c r="E318" s="5">
        <f>[1]Hybrid!D38</f>
        <v>9.5752469999999992</v>
      </c>
      <c r="F318" s="5">
        <f>[1]Hybrid!E38</f>
        <v>11.68223579</v>
      </c>
      <c r="G318" s="5">
        <f>[1]Hybrid!F38</f>
        <v>13.90834486</v>
      </c>
      <c r="H318" s="5">
        <f>[1]Hybrid!G38</f>
        <v>16.217858719999999</v>
      </c>
      <c r="I318" s="5">
        <f>[1]Hybrid!H38</f>
        <v>18.568790400000001</v>
      </c>
      <c r="J318" s="5">
        <f>[1]Hybrid!I38</f>
        <v>20.904020760000002</v>
      </c>
      <c r="K318" s="5">
        <f>[1]Hybrid!J38</f>
        <v>23.52322418</v>
      </c>
      <c r="L318" s="5">
        <f>[1]Hybrid!K38</f>
        <v>26.695205949999998</v>
      </c>
      <c r="M318" s="5">
        <f>[1]Hybrid!L38</f>
        <v>30.708029889999999</v>
      </c>
      <c r="N318" s="5">
        <f>[1]Hybrid!M38</f>
        <v>35.787354100000002</v>
      </c>
      <c r="O318" s="5">
        <f>[1]Hybrid!N38</f>
        <v>41.909309499999999</v>
      </c>
      <c r="P318" s="5">
        <f>[1]Hybrid!O38</f>
        <v>49.021839579999998</v>
      </c>
      <c r="Q318" s="5">
        <f>[1]Hybrid!P38</f>
        <v>57.074058110000003</v>
      </c>
      <c r="R318" s="5">
        <f>[1]Hybrid!Q38</f>
        <v>66.025450460000002</v>
      </c>
      <c r="S318" s="5">
        <f>[1]Hybrid!R38</f>
        <v>75.836238320000007</v>
      </c>
      <c r="T318" s="5">
        <f>[1]Hybrid!S38</f>
        <v>86.559132599999998</v>
      </c>
      <c r="U318" s="5">
        <f>[1]Hybrid!T38</f>
        <v>98.234893299999996</v>
      </c>
      <c r="V318" s="5">
        <f>[1]Hybrid!U38</f>
        <v>110.8957687</v>
      </c>
      <c r="W318" s="5">
        <f>[1]Hybrid!V38</f>
        <v>124.5503269</v>
      </c>
      <c r="X318" s="5">
        <f>[1]Hybrid!W38</f>
        <v>139.2609947</v>
      </c>
      <c r="Y318" s="5">
        <f>[1]Hybrid!X38</f>
        <v>155.0728737</v>
      </c>
      <c r="Z318" s="5">
        <f>[1]Hybrid!Y38</f>
        <v>172.04334249999999</v>
      </c>
      <c r="AA318" s="5">
        <f>[1]Hybrid!Z38</f>
        <v>190.23332250000001</v>
      </c>
      <c r="AB318" s="5">
        <f>[1]Hybrid!AA38</f>
        <v>209.6140374</v>
      </c>
      <c r="AC318" s="5">
        <f>[1]Hybrid!AB38</f>
        <v>230.30241169999999</v>
      </c>
      <c r="AD318" s="5">
        <f>[1]Hybrid!AC38</f>
        <v>252.3620904</v>
      </c>
      <c r="AE318" s="5">
        <f>[1]Hybrid!AD38</f>
        <v>275.87832659999998</v>
      </c>
      <c r="AF318" s="5">
        <f>[1]Hybrid!AE38</f>
        <v>300.94879880000002</v>
      </c>
      <c r="AG318" s="5">
        <f>[1]Hybrid!AF38</f>
        <v>327.66464669999999</v>
      </c>
      <c r="AH318" s="5">
        <f>[1]Hybrid!AG38</f>
        <v>356.09988729999998</v>
      </c>
      <c r="AI318" s="5">
        <f>[1]Hybrid!AH38</f>
        <v>386.31403330000001</v>
      </c>
      <c r="AJ318" s="5">
        <f>[1]Hybrid!AI38</f>
        <v>418.36478419999997</v>
      </c>
      <c r="AK318" s="5">
        <f>[1]Hybrid!AJ38</f>
        <v>452.3088942</v>
      </c>
      <c r="AL318" s="5">
        <f>[1]Hybrid!AK38</f>
        <v>488.19915320000001</v>
      </c>
    </row>
    <row r="319" spans="1:3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4.5933149699999998</v>
      </c>
      <c r="E319" s="5">
        <f>[1]Hybrid!D40</f>
        <v>5.8101696540000001</v>
      </c>
      <c r="F319" s="5">
        <f>[1]Hybrid!E40</f>
        <v>7.0948356380000002</v>
      </c>
      <c r="G319" s="5">
        <f>[1]Hybrid!F40</f>
        <v>8.4443247350000004</v>
      </c>
      <c r="H319" s="5">
        <f>[1]Hybrid!G40</f>
        <v>9.835128031</v>
      </c>
      <c r="I319" s="5">
        <f>[1]Hybrid!H40</f>
        <v>11.24032177</v>
      </c>
      <c r="J319" s="5">
        <f>[1]Hybrid!I40</f>
        <v>12.6255705</v>
      </c>
      <c r="K319" s="5">
        <f>[1]Hybrid!J40</f>
        <v>14.1662868</v>
      </c>
      <c r="L319" s="5">
        <f>[1]Hybrid!K40</f>
        <v>16.010654129999999</v>
      </c>
      <c r="M319" s="5">
        <f>[1]Hybrid!L40</f>
        <v>18.307177759999998</v>
      </c>
      <c r="N319" s="5">
        <f>[1]Hybrid!M40</f>
        <v>21.165032369999999</v>
      </c>
      <c r="O319" s="5">
        <f>[1]Hybrid!N40</f>
        <v>24.55994201</v>
      </c>
      <c r="P319" s="5">
        <f>[1]Hybrid!O40</f>
        <v>28.45538346</v>
      </c>
      <c r="Q319" s="5">
        <f>[1]Hybrid!P40</f>
        <v>32.818434719999999</v>
      </c>
      <c r="R319" s="5">
        <f>[1]Hybrid!Q40</f>
        <v>37.623864310000002</v>
      </c>
      <c r="S319" s="5">
        <f>[1]Hybrid!R40</f>
        <v>42.846881889999999</v>
      </c>
      <c r="T319" s="5">
        <f>[1]Hybrid!S40</f>
        <v>48.511758899999997</v>
      </c>
      <c r="U319" s="5">
        <f>[1]Hybrid!T40</f>
        <v>54.637765430000002</v>
      </c>
      <c r="V319" s="5">
        <f>[1]Hybrid!U40</f>
        <v>61.239754920000003</v>
      </c>
      <c r="W319" s="5">
        <f>[1]Hybrid!V40</f>
        <v>68.319160789999998</v>
      </c>
      <c r="X319" s="5">
        <f>[1]Hybrid!W40</f>
        <v>75.904126110000007</v>
      </c>
      <c r="Y319" s="5">
        <f>[1]Hybrid!X40</f>
        <v>84.011222309999994</v>
      </c>
      <c r="Z319" s="5">
        <f>[1]Hybrid!Y40</f>
        <v>92.660647190000006</v>
      </c>
      <c r="AA319" s="5">
        <f>[1]Hybrid!Z40</f>
        <v>101.8708657</v>
      </c>
      <c r="AB319" s="5">
        <f>[1]Hybrid!AA40</f>
        <v>111.6101975</v>
      </c>
      <c r="AC319" s="5">
        <f>[1]Hybrid!AB40</f>
        <v>121.91647089999999</v>
      </c>
      <c r="AD319" s="5">
        <f>[1]Hybrid!AC40</f>
        <v>132.79376909999999</v>
      </c>
      <c r="AE319" s="5">
        <f>[1]Hybrid!AD40</f>
        <v>144.25143009999999</v>
      </c>
      <c r="AF319" s="5">
        <f>[1]Hybrid!AE40</f>
        <v>156.3011171</v>
      </c>
      <c r="AG319" s="5">
        <f>[1]Hybrid!AF40</f>
        <v>168.94806389999999</v>
      </c>
      <c r="AH319" s="5">
        <f>[1]Hybrid!AG40</f>
        <v>182.18599829999999</v>
      </c>
      <c r="AI319" s="5">
        <f>[1]Hybrid!AH40</f>
        <v>195.998524</v>
      </c>
      <c r="AJ319" s="5">
        <f>[1]Hybrid!AI40</f>
        <v>210.36619239999999</v>
      </c>
      <c r="AK319" s="5">
        <f>[1]Hybrid!AJ40</f>
        <v>225.26802699999999</v>
      </c>
      <c r="AL319" s="5">
        <f>[1]Hybrid!AK40</f>
        <v>240.68090140000001</v>
      </c>
    </row>
    <row r="320" spans="1:3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2.2526022399999999</v>
      </c>
      <c r="E320" s="5">
        <f>[1]Hybrid!D42</f>
        <v>2.8080632319999999</v>
      </c>
      <c r="F320" s="5">
        <f>[1]Hybrid!E42</f>
        <v>3.371400312</v>
      </c>
      <c r="G320" s="5">
        <f>[1]Hybrid!F42</f>
        <v>3.936296644</v>
      </c>
      <c r="H320" s="5">
        <f>[1]Hybrid!G42</f>
        <v>4.4913365819999997</v>
      </c>
      <c r="I320" s="5">
        <f>[1]Hybrid!H42</f>
        <v>5.0240042029999996</v>
      </c>
      <c r="J320" s="5">
        <f>[1]Hybrid!I42</f>
        <v>5.5116522430000003</v>
      </c>
      <c r="K320" s="5">
        <f>[1]Hybrid!J42</f>
        <v>5.9939282680000003</v>
      </c>
      <c r="L320" s="5">
        <f>[1]Hybrid!K42</f>
        <v>6.4988632710000003</v>
      </c>
      <c r="M320" s="5">
        <f>[1]Hybrid!L42</f>
        <v>7.0475511749999997</v>
      </c>
      <c r="N320" s="5">
        <f>[1]Hybrid!M42</f>
        <v>7.6538661599999998</v>
      </c>
      <c r="O320" s="5">
        <f>[1]Hybrid!N42</f>
        <v>8.3091641309999993</v>
      </c>
      <c r="P320" s="5">
        <f>[1]Hybrid!O42</f>
        <v>9.0047844030000004</v>
      </c>
      <c r="Q320" s="5">
        <f>[1]Hybrid!P42</f>
        <v>9.7347752589999992</v>
      </c>
      <c r="R320" s="5">
        <f>[1]Hybrid!Q42</f>
        <v>10.49572135</v>
      </c>
      <c r="S320" s="5">
        <f>[1]Hybrid!R42</f>
        <v>11.284088240000001</v>
      </c>
      <c r="T320" s="5">
        <f>[1]Hybrid!S42</f>
        <v>12.10444568</v>
      </c>
      <c r="U320" s="5">
        <f>[1]Hybrid!T42</f>
        <v>12.960758159999999</v>
      </c>
      <c r="V320" s="5">
        <f>[1]Hybrid!U42</f>
        <v>13.85596439</v>
      </c>
      <c r="W320" s="5">
        <f>[1]Hybrid!V42</f>
        <v>14.790214730000001</v>
      </c>
      <c r="X320" s="5">
        <f>[1]Hybrid!W42</f>
        <v>15.766952570000001</v>
      </c>
      <c r="Y320" s="5">
        <f>[1]Hybrid!X42</f>
        <v>16.786651930000001</v>
      </c>
      <c r="Z320" s="5">
        <f>[1]Hybrid!Y42</f>
        <v>17.84917291</v>
      </c>
      <c r="AA320" s="5">
        <f>[1]Hybrid!Z42</f>
        <v>18.95274594</v>
      </c>
      <c r="AB320" s="5">
        <f>[1]Hybrid!AA42</f>
        <v>20.08722624</v>
      </c>
      <c r="AC320" s="5">
        <f>[1]Hybrid!AB42</f>
        <v>21.250411960000001</v>
      </c>
      <c r="AD320" s="5">
        <f>[1]Hybrid!AC42</f>
        <v>22.433561959999999</v>
      </c>
      <c r="AE320" s="5">
        <f>[1]Hybrid!AD42</f>
        <v>23.627443280000001</v>
      </c>
      <c r="AF320" s="5">
        <f>[1]Hybrid!AE42</f>
        <v>24.822996700000001</v>
      </c>
      <c r="AG320" s="5">
        <f>[1]Hybrid!AF42</f>
        <v>26.01075694</v>
      </c>
      <c r="AH320" s="5">
        <f>[1]Hybrid!AG42</f>
        <v>27.180472529999999</v>
      </c>
      <c r="AI320" s="5">
        <f>[1]Hybrid!AH42</f>
        <v>28.32145702</v>
      </c>
      <c r="AJ320" s="5">
        <f>[1]Hybrid!AI42</f>
        <v>29.423816500000001</v>
      </c>
      <c r="AK320" s="5">
        <f>[1]Hybrid!AJ42</f>
        <v>30.478993429999999</v>
      </c>
      <c r="AL320" s="5">
        <f>[1]Hybrid!AK42</f>
        <v>31.47987681</v>
      </c>
    </row>
    <row r="321" spans="1:3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4.0900482120000001</v>
      </c>
      <c r="E321" s="5">
        <f>[1]Hybrid!D44</f>
        <v>5.1055286579999999</v>
      </c>
      <c r="F321" s="5">
        <f>[1]Hybrid!E44</f>
        <v>6.1108742210000004</v>
      </c>
      <c r="G321" s="5">
        <f>[1]Hybrid!F44</f>
        <v>7.0912362800000004</v>
      </c>
      <c r="H321" s="5">
        <f>[1]Hybrid!G44</f>
        <v>8.0251278979999991</v>
      </c>
      <c r="I321" s="5">
        <f>[1]Hybrid!H44</f>
        <v>8.8907218239999999</v>
      </c>
      <c r="J321" s="5">
        <f>[1]Hybrid!I44</f>
        <v>9.6499467750000001</v>
      </c>
      <c r="K321" s="5">
        <f>[1]Hybrid!J44</f>
        <v>10.363625669999999</v>
      </c>
      <c r="L321" s="5">
        <f>[1]Hybrid!K44</f>
        <v>11.07070571</v>
      </c>
      <c r="M321" s="5">
        <f>[1]Hybrid!L44</f>
        <v>11.794898679999999</v>
      </c>
      <c r="N321" s="5">
        <f>[1]Hybrid!M44</f>
        <v>12.54933348</v>
      </c>
      <c r="O321" s="5">
        <f>[1]Hybrid!N44</f>
        <v>13.32061859</v>
      </c>
      <c r="P321" s="5">
        <f>[1]Hybrid!O44</f>
        <v>14.09833989</v>
      </c>
      <c r="Q321" s="5">
        <f>[1]Hybrid!P44</f>
        <v>14.87739667</v>
      </c>
      <c r="R321" s="5">
        <f>[1]Hybrid!Q44</f>
        <v>15.656567620000001</v>
      </c>
      <c r="S321" s="5">
        <f>[1]Hybrid!R44</f>
        <v>16.434383069999999</v>
      </c>
      <c r="T321" s="5">
        <f>[1]Hybrid!S44</f>
        <v>17.218091680000001</v>
      </c>
      <c r="U321" s="5">
        <f>[1]Hybrid!T44</f>
        <v>18.01396888</v>
      </c>
      <c r="V321" s="5">
        <f>[1]Hybrid!U44</f>
        <v>18.826545429999999</v>
      </c>
      <c r="W321" s="5">
        <f>[1]Hybrid!V44</f>
        <v>19.65652218</v>
      </c>
      <c r="X321" s="5">
        <f>[1]Hybrid!W44</f>
        <v>20.507177219999999</v>
      </c>
      <c r="Y321" s="5">
        <f>[1]Hybrid!X44</f>
        <v>21.377598030000001</v>
      </c>
      <c r="Z321" s="5">
        <f>[1]Hybrid!Y44</f>
        <v>22.265294269999998</v>
      </c>
      <c r="AA321" s="5">
        <f>[1]Hybrid!Z44</f>
        <v>23.1651162</v>
      </c>
      <c r="AB321" s="5">
        <f>[1]Hybrid!AA44</f>
        <v>24.06284509</v>
      </c>
      <c r="AC321" s="5">
        <f>[1]Hybrid!AB44</f>
        <v>24.951104879999999</v>
      </c>
      <c r="AD321" s="5">
        <f>[1]Hybrid!AC44</f>
        <v>25.815477009999999</v>
      </c>
      <c r="AE321" s="5">
        <f>[1]Hybrid!AD44</f>
        <v>26.641213489999998</v>
      </c>
      <c r="AF321" s="5">
        <f>[1]Hybrid!AE44</f>
        <v>27.414851200000001</v>
      </c>
      <c r="AG321" s="5">
        <f>[1]Hybrid!AF44</f>
        <v>28.124138009999999</v>
      </c>
      <c r="AH321" s="5">
        <f>[1]Hybrid!AG44</f>
        <v>28.757859459999999</v>
      </c>
      <c r="AI321" s="5">
        <f>[1]Hybrid!AH44</f>
        <v>29.306205510000002</v>
      </c>
      <c r="AJ321" s="5">
        <f>[1]Hybrid!AI44</f>
        <v>29.761891640000002</v>
      </c>
      <c r="AK321" s="5">
        <f>[1]Hybrid!AJ44</f>
        <v>30.120552279999998</v>
      </c>
      <c r="AL321" s="5">
        <f>[1]Hybrid!AK44</f>
        <v>30.380593860000001</v>
      </c>
    </row>
    <row r="322" spans="1:3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0.44916507309999998</v>
      </c>
      <c r="E322" s="5">
        <f>[1]Hybrid!D46</f>
        <v>0.47659266839999997</v>
      </c>
      <c r="F322" s="5">
        <f>[1]Hybrid!E46</f>
        <v>0.50644276450000003</v>
      </c>
      <c r="G322" s="5">
        <f>[1]Hybrid!F46</f>
        <v>0.5383379653</v>
      </c>
      <c r="H322" s="5">
        <f>[1]Hybrid!G46</f>
        <v>0.57152028590000004</v>
      </c>
      <c r="I322" s="5">
        <f>[1]Hybrid!H46</f>
        <v>0.60501372220000005</v>
      </c>
      <c r="J322" s="5">
        <f>[1]Hybrid!I46</f>
        <v>0.63600217299999995</v>
      </c>
      <c r="K322" s="5">
        <f>[1]Hybrid!J46</f>
        <v>0.6662352466</v>
      </c>
      <c r="L322" s="5">
        <f>[1]Hybrid!K46</f>
        <v>0.69648226369999999</v>
      </c>
      <c r="M322" s="5">
        <f>[1]Hybrid!L46</f>
        <v>0.72694742479999996</v>
      </c>
      <c r="N322" s="5">
        <f>[1]Hybrid!M46</f>
        <v>0.7579792555</v>
      </c>
      <c r="O322" s="5">
        <f>[1]Hybrid!N46</f>
        <v>0.78887359499999998</v>
      </c>
      <c r="P322" s="5">
        <f>[1]Hybrid!O46</f>
        <v>0.81890980739999997</v>
      </c>
      <c r="Q322" s="5">
        <f>[1]Hybrid!P46</f>
        <v>0.84757709520000002</v>
      </c>
      <c r="R322" s="5">
        <f>[1]Hybrid!Q46</f>
        <v>0.8745657228</v>
      </c>
      <c r="S322" s="5">
        <f>[1]Hybrid!R46</f>
        <v>0.8995063257</v>
      </c>
      <c r="T322" s="5">
        <f>[1]Hybrid!S46</f>
        <v>0.92256367039999998</v>
      </c>
      <c r="U322" s="5">
        <f>[1]Hybrid!T46</f>
        <v>0.94387217820000002</v>
      </c>
      <c r="V322" s="5">
        <f>[1]Hybrid!U46</f>
        <v>0.96353357719999999</v>
      </c>
      <c r="W322" s="5">
        <f>[1]Hybrid!V46</f>
        <v>0.98154919399999996</v>
      </c>
      <c r="X322" s="5">
        <f>[1]Hybrid!W46</f>
        <v>0.99815763079999997</v>
      </c>
      <c r="Y322" s="5">
        <f>[1]Hybrid!X46</f>
        <v>1.01349343</v>
      </c>
      <c r="Z322" s="5">
        <f>[1]Hybrid!Y46</f>
        <v>1.0277156430000001</v>
      </c>
      <c r="AA322" s="5">
        <f>[1]Hybrid!Z46</f>
        <v>1.0409734879999999</v>
      </c>
      <c r="AB322" s="5">
        <f>[1]Hybrid!AA46</f>
        <v>1.053141814</v>
      </c>
      <c r="AC322" s="5">
        <f>[1]Hybrid!AB46</f>
        <v>1.0645361760000001</v>
      </c>
      <c r="AD322" s="5">
        <f>[1]Hybrid!AC46</f>
        <v>1.0752943690000001</v>
      </c>
      <c r="AE322" s="5">
        <f>[1]Hybrid!AD46</f>
        <v>1.085587173</v>
      </c>
      <c r="AF322" s="5">
        <f>[1]Hybrid!AE46</f>
        <v>1.095570183</v>
      </c>
      <c r="AG322" s="5">
        <f>[1]Hybrid!AF46</f>
        <v>1.105338387</v>
      </c>
      <c r="AH322" s="5">
        <f>[1]Hybrid!AG46</f>
        <v>1.114917629</v>
      </c>
      <c r="AI322" s="5">
        <f>[1]Hybrid!AH46</f>
        <v>1.1242856539999999</v>
      </c>
      <c r="AJ322" s="5">
        <f>[1]Hybrid!AI46</f>
        <v>1.1333997170000001</v>
      </c>
      <c r="AK322" s="5">
        <f>[1]Hybrid!AJ46</f>
        <v>1.142196598</v>
      </c>
      <c r="AL322" s="5">
        <f>[1]Hybrid!AK46</f>
        <v>1.1505898779999999</v>
      </c>
    </row>
    <row r="323" spans="1:3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0.51209632289999996</v>
      </c>
      <c r="E323" s="5">
        <f>[1]Hybrid!D48</f>
        <v>0.53321964850000003</v>
      </c>
      <c r="F323" s="5">
        <f>[1]Hybrid!E48</f>
        <v>0.5568660299</v>
      </c>
      <c r="G323" s="5">
        <f>[1]Hybrid!F48</f>
        <v>0.58263577050000004</v>
      </c>
      <c r="H323" s="5">
        <f>[1]Hybrid!G48</f>
        <v>0.60978915869999994</v>
      </c>
      <c r="I323" s="5">
        <f>[1]Hybrid!H48</f>
        <v>0.63737195729999996</v>
      </c>
      <c r="J323" s="5">
        <f>[1]Hybrid!I48</f>
        <v>0.66262589559999996</v>
      </c>
      <c r="K323" s="5">
        <f>[1]Hybrid!J48</f>
        <v>0.68707205069999999</v>
      </c>
      <c r="L323" s="5">
        <f>[1]Hybrid!K48</f>
        <v>0.71139548740000003</v>
      </c>
      <c r="M323" s="5">
        <f>[1]Hybrid!L48</f>
        <v>0.73575731950000001</v>
      </c>
      <c r="N323" s="5">
        <f>[1]Hybrid!M48</f>
        <v>0.76049374160000005</v>
      </c>
      <c r="O323" s="5">
        <f>[1]Hybrid!N48</f>
        <v>0.78501894189999999</v>
      </c>
      <c r="P323" s="5">
        <f>[1]Hybrid!O48</f>
        <v>0.80871932999999996</v>
      </c>
      <c r="Q323" s="5">
        <f>[1]Hybrid!P48</f>
        <v>0.83116527240000004</v>
      </c>
      <c r="R323" s="5">
        <f>[1]Hybrid!Q48</f>
        <v>0.85210352889999996</v>
      </c>
      <c r="S323" s="5">
        <f>[1]Hybrid!R48</f>
        <v>0.87121255119999996</v>
      </c>
      <c r="T323" s="5">
        <f>[1]Hybrid!S48</f>
        <v>0.88864663669999999</v>
      </c>
      <c r="U323" s="5">
        <f>[1]Hybrid!T48</f>
        <v>0.90454058969999995</v>
      </c>
      <c r="V323" s="5">
        <f>[1]Hybrid!U48</f>
        <v>0.91899855630000005</v>
      </c>
      <c r="W323" s="5">
        <f>[1]Hybrid!V48</f>
        <v>0.93202977190000003</v>
      </c>
      <c r="X323" s="5">
        <f>[1]Hybrid!W48</f>
        <v>0.94385219399999998</v>
      </c>
      <c r="Y323" s="5">
        <f>[1]Hybrid!X48</f>
        <v>0.95458499119999995</v>
      </c>
      <c r="Z323" s="5">
        <f>[1]Hybrid!Y48</f>
        <v>0.96436538719999998</v>
      </c>
      <c r="AA323" s="5">
        <f>[1]Hybrid!Z48</f>
        <v>0.97331810090000004</v>
      </c>
      <c r="AB323" s="5">
        <f>[1]Hybrid!AA48</f>
        <v>0.98131993390000005</v>
      </c>
      <c r="AC323" s="5">
        <f>[1]Hybrid!AB48</f>
        <v>0.9886373074</v>
      </c>
      <c r="AD323" s="5">
        <f>[1]Hybrid!AC48</f>
        <v>0.99537399920000003</v>
      </c>
      <c r="AE323" s="5">
        <f>[1]Hybrid!AD48</f>
        <v>1.00166098</v>
      </c>
      <c r="AF323" s="5">
        <f>[1]Hybrid!AE48</f>
        <v>1.0076162360000001</v>
      </c>
      <c r="AG323" s="5">
        <f>[1]Hybrid!AF48</f>
        <v>1.0133056250000001</v>
      </c>
      <c r="AH323" s="5">
        <f>[1]Hybrid!AG48</f>
        <v>1.018735666</v>
      </c>
      <c r="AI323" s="5">
        <f>[1]Hybrid!AH48</f>
        <v>1.023872192</v>
      </c>
      <c r="AJ323" s="5">
        <f>[1]Hybrid!AI48</f>
        <v>1.0286654230000001</v>
      </c>
      <c r="AK323" s="5">
        <f>[1]Hybrid!AJ48</f>
        <v>1.0330509000000001</v>
      </c>
      <c r="AL323" s="5">
        <f>[1]Hybrid!AK48</f>
        <v>1.0369475930000001</v>
      </c>
    </row>
    <row r="324" spans="1:3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0.41439097930000002</v>
      </c>
      <c r="E324" s="5">
        <f>[1]Hybrid!D50</f>
        <v>0.42516154119999999</v>
      </c>
      <c r="F324" s="5">
        <f>[1]Hybrid!E50</f>
        <v>0.43783175689999998</v>
      </c>
      <c r="G324" s="5">
        <f>[1]Hybrid!F50</f>
        <v>0.45209883890000002</v>
      </c>
      <c r="H324" s="5">
        <f>[1]Hybrid!G50</f>
        <v>0.46744200650000001</v>
      </c>
      <c r="I324" s="5">
        <f>[1]Hybrid!H50</f>
        <v>0.48318857630000001</v>
      </c>
      <c r="J324" s="5">
        <f>[1]Hybrid!I50</f>
        <v>0.49739255440000002</v>
      </c>
      <c r="K324" s="5">
        <f>[1]Hybrid!J50</f>
        <v>0.5110018248</v>
      </c>
      <c r="L324" s="5">
        <f>[1]Hybrid!K50</f>
        <v>0.52445668219999997</v>
      </c>
      <c r="M324" s="5">
        <f>[1]Hybrid!L50</f>
        <v>0.53784788650000004</v>
      </c>
      <c r="N324" s="5">
        <f>[1]Hybrid!M50</f>
        <v>0.55141095139999996</v>
      </c>
      <c r="O324" s="5">
        <f>[1]Hybrid!N50</f>
        <v>0.56479967630000005</v>
      </c>
      <c r="P324" s="5">
        <f>[1]Hybrid!O50</f>
        <v>0.57764019</v>
      </c>
      <c r="Q324" s="5">
        <f>[1]Hybrid!P50</f>
        <v>0.58967402670000002</v>
      </c>
      <c r="R324" s="5">
        <f>[1]Hybrid!Q50</f>
        <v>0.60075365739999997</v>
      </c>
      <c r="S324" s="5">
        <f>[1]Hybrid!R50</f>
        <v>0.61067711979999995</v>
      </c>
      <c r="T324" s="5">
        <f>[1]Hybrid!S50</f>
        <v>0.61954804750000003</v>
      </c>
      <c r="U324" s="5">
        <f>[1]Hybrid!T50</f>
        <v>0.62746248010000005</v>
      </c>
      <c r="V324" s="5">
        <f>[1]Hybrid!U50</f>
        <v>0.63449564430000005</v>
      </c>
      <c r="W324" s="5">
        <f>[1]Hybrid!V50</f>
        <v>0.64065807129999996</v>
      </c>
      <c r="X324" s="5">
        <f>[1]Hybrid!W50</f>
        <v>0.6460927299</v>
      </c>
      <c r="Y324" s="5">
        <f>[1]Hybrid!X50</f>
        <v>0.65087510900000001</v>
      </c>
      <c r="Z324" s="5">
        <f>[1]Hybrid!Y50</f>
        <v>0.65508990810000001</v>
      </c>
      <c r="AA324" s="5">
        <f>[1]Hybrid!Z50</f>
        <v>0.65881144719999996</v>
      </c>
      <c r="AB324" s="5">
        <f>[1]Hybrid!AA50</f>
        <v>0.66195238270000001</v>
      </c>
      <c r="AC324" s="5">
        <f>[1]Hybrid!AB50</f>
        <v>0.66467431210000005</v>
      </c>
      <c r="AD324" s="5">
        <f>[1]Hybrid!AC50</f>
        <v>0.66703165590000002</v>
      </c>
      <c r="AE324" s="5">
        <f>[1]Hybrid!AD50</f>
        <v>0.66909520649999998</v>
      </c>
      <c r="AF324" s="5">
        <f>[1]Hybrid!AE50</f>
        <v>0.67092802220000003</v>
      </c>
      <c r="AG324" s="5">
        <f>[1]Hybrid!AF50</f>
        <v>0.67256106410000005</v>
      </c>
      <c r="AH324" s="5">
        <f>[1]Hybrid!AG50</f>
        <v>0.6739887578</v>
      </c>
      <c r="AI324" s="5">
        <f>[1]Hybrid!AH50</f>
        <v>0.67518093509999999</v>
      </c>
      <c r="AJ324" s="5">
        <f>[1]Hybrid!AI50</f>
        <v>0.6760992321</v>
      </c>
      <c r="AK324" s="5">
        <f>[1]Hybrid!AJ50</f>
        <v>0.67669820869999997</v>
      </c>
      <c r="AL324" s="5">
        <f>[1]Hybrid!AK50</f>
        <v>0.67692438600000004</v>
      </c>
    </row>
    <row r="325" spans="1:3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0.25227018229999998</v>
      </c>
      <c r="E325" s="5">
        <f>[1]Hybrid!D52</f>
        <v>0.25660741999999997</v>
      </c>
      <c r="F325" s="5">
        <f>[1]Hybrid!E52</f>
        <v>0.2619171723</v>
      </c>
      <c r="G325" s="5">
        <f>[1]Hybrid!F52</f>
        <v>0.2679999408</v>
      </c>
      <c r="H325" s="5">
        <f>[1]Hybrid!G52</f>
        <v>0.27455661679999999</v>
      </c>
      <c r="I325" s="5">
        <f>[1]Hybrid!H52</f>
        <v>0.28120953259999998</v>
      </c>
      <c r="J325" s="5">
        <f>[1]Hybrid!I52</f>
        <v>0.2868912757</v>
      </c>
      <c r="K325" s="5">
        <f>[1]Hybrid!J52</f>
        <v>0.29206170419999999</v>
      </c>
      <c r="L325" s="5">
        <f>[1]Hybrid!K52</f>
        <v>0.2969641113</v>
      </c>
      <c r="M325" s="5">
        <f>[1]Hybrid!L52</f>
        <v>0.30166818080000002</v>
      </c>
      <c r="N325" s="5">
        <f>[1]Hybrid!M52</f>
        <v>0.30632669480000002</v>
      </c>
      <c r="O325" s="5">
        <f>[1]Hybrid!N52</f>
        <v>0.31081182909999999</v>
      </c>
      <c r="P325" s="5">
        <f>[1]Hybrid!O52</f>
        <v>0.3149838606</v>
      </c>
      <c r="Q325" s="5">
        <f>[1]Hybrid!P52</f>
        <v>0.3187583236</v>
      </c>
      <c r="R325" s="5">
        <f>[1]Hybrid!Q52</f>
        <v>0.32210033659999998</v>
      </c>
      <c r="S325" s="5">
        <f>[1]Hybrid!R52</f>
        <v>0.32494257360000001</v>
      </c>
      <c r="T325" s="5">
        <f>[1]Hybrid!S52</f>
        <v>0.32735891760000002</v>
      </c>
      <c r="U325" s="5">
        <f>[1]Hybrid!T52</f>
        <v>0.329417921</v>
      </c>
      <c r="V325" s="5">
        <f>[1]Hybrid!U52</f>
        <v>0.33117333859999998</v>
      </c>
      <c r="W325" s="5">
        <f>[1]Hybrid!V52</f>
        <v>0.33264175480000002</v>
      </c>
      <c r="X325" s="5">
        <f>[1]Hybrid!W52</f>
        <v>0.33389813950000002</v>
      </c>
      <c r="Y325" s="5">
        <f>[1]Hybrid!X52</f>
        <v>0.33497994390000002</v>
      </c>
      <c r="Z325" s="5">
        <f>[1]Hybrid!Y52</f>
        <v>0.33592529389999998</v>
      </c>
      <c r="AA325" s="5">
        <f>[1]Hybrid!Z52</f>
        <v>0.33676368420000002</v>
      </c>
      <c r="AB325" s="5">
        <f>[1]Hybrid!AA52</f>
        <v>0.3374421635</v>
      </c>
      <c r="AC325" s="5">
        <f>[1]Hybrid!AB52</f>
        <v>0.33802570780000002</v>
      </c>
      <c r="AD325" s="5">
        <f>[1]Hybrid!AC52</f>
        <v>0.33852349910000001</v>
      </c>
      <c r="AE325" s="5">
        <f>[1]Hybrid!AD52</f>
        <v>0.3389521211</v>
      </c>
      <c r="AF325" s="5">
        <f>[1]Hybrid!AE52</f>
        <v>0.33932739239999998</v>
      </c>
      <c r="AG325" s="5">
        <f>[1]Hybrid!AF52</f>
        <v>0.33965321450000002</v>
      </c>
      <c r="AH325" s="5">
        <f>[1]Hybrid!AG52</f>
        <v>0.33991872309999999</v>
      </c>
      <c r="AI325" s="5">
        <f>[1]Hybrid!AH52</f>
        <v>0.34010338359999998</v>
      </c>
      <c r="AJ325" s="5">
        <f>[1]Hybrid!AI52</f>
        <v>0.34018557900000002</v>
      </c>
      <c r="AK325" s="5">
        <f>[1]Hybrid!AJ52</f>
        <v>0.34014370980000003</v>
      </c>
      <c r="AL325" s="5">
        <f>[1]Hybrid!AK52</f>
        <v>0.33995552979999999</v>
      </c>
    </row>
    <row r="326" spans="1:3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0.1520386702</v>
      </c>
      <c r="E326" s="5">
        <f>[1]Hybrid!D54</f>
        <v>0.15477792100000001</v>
      </c>
      <c r="F326" s="5">
        <f>[1]Hybrid!E54</f>
        <v>0.15800877960000001</v>
      </c>
      <c r="G326" s="5">
        <f>[1]Hybrid!F54</f>
        <v>0.16159609329999999</v>
      </c>
      <c r="H326" s="5">
        <f>[1]Hybrid!G54</f>
        <v>0.16535635160000001</v>
      </c>
      <c r="I326" s="5">
        <f>[1]Hybrid!H54</f>
        <v>0.16906041469999999</v>
      </c>
      <c r="J326" s="5">
        <f>[1]Hybrid!I54</f>
        <v>0.17206000539999999</v>
      </c>
      <c r="K326" s="5">
        <f>[1]Hybrid!J54</f>
        <v>0.17459541640000001</v>
      </c>
      <c r="L326" s="5">
        <f>[1]Hybrid!K54</f>
        <v>0.1768078622</v>
      </c>
      <c r="M326" s="5">
        <f>[1]Hybrid!L54</f>
        <v>0.17873999609999999</v>
      </c>
      <c r="N326" s="5">
        <f>[1]Hybrid!M54</f>
        <v>0.18049109790000001</v>
      </c>
      <c r="O326" s="5">
        <f>[1]Hybrid!N54</f>
        <v>0.1820201203</v>
      </c>
      <c r="P326" s="5">
        <f>[1]Hybrid!O54</f>
        <v>0.1832798159</v>
      </c>
      <c r="Q326" s="5">
        <f>[1]Hybrid!P54</f>
        <v>0.1842512201</v>
      </c>
      <c r="R326" s="5">
        <f>[1]Hybrid!Q54</f>
        <v>0.18493866980000001</v>
      </c>
      <c r="S326" s="5">
        <f>[1]Hybrid!R54</f>
        <v>0.1853249766</v>
      </c>
      <c r="T326" s="5">
        <f>[1]Hybrid!S54</f>
        <v>0.18546195709999999</v>
      </c>
      <c r="U326" s="5">
        <f>[1]Hybrid!T54</f>
        <v>0.18539750690000001</v>
      </c>
      <c r="V326" s="5">
        <f>[1]Hybrid!U54</f>
        <v>0.18516917499999999</v>
      </c>
      <c r="W326" s="5">
        <f>[1]Hybrid!V54</f>
        <v>0.18479243579999999</v>
      </c>
      <c r="X326" s="5">
        <f>[1]Hybrid!W54</f>
        <v>0.18430919339999999</v>
      </c>
      <c r="Y326" s="5">
        <f>[1]Hybrid!X54</f>
        <v>0.18373950950000001</v>
      </c>
      <c r="Z326" s="5">
        <f>[1]Hybrid!Y54</f>
        <v>0.18310150089999999</v>
      </c>
      <c r="AA326" s="5">
        <f>[1]Hybrid!Z54</f>
        <v>0.1824068314</v>
      </c>
      <c r="AB326" s="5">
        <f>[1]Hybrid!AA54</f>
        <v>0.1816249405</v>
      </c>
      <c r="AC326" s="5">
        <f>[1]Hybrid!AB54</f>
        <v>0.1807812121</v>
      </c>
      <c r="AD326" s="5">
        <f>[1]Hybrid!AC54</f>
        <v>0.17987186820000001</v>
      </c>
      <c r="AE326" s="5">
        <f>[1]Hybrid!AD54</f>
        <v>0.17889616389999999</v>
      </c>
      <c r="AF326" s="5">
        <f>[1]Hybrid!AE54</f>
        <v>0.17785396270000001</v>
      </c>
      <c r="AG326" s="5">
        <f>[1]Hybrid!AF54</f>
        <v>0.1767409234</v>
      </c>
      <c r="AH326" s="5">
        <f>[1]Hybrid!AG54</f>
        <v>0.17554721170000001</v>
      </c>
      <c r="AI326" s="5">
        <f>[1]Hybrid!AH54</f>
        <v>0.17425987949999999</v>
      </c>
      <c r="AJ326" s="5">
        <f>[1]Hybrid!AI54</f>
        <v>0.17286716760000001</v>
      </c>
      <c r="AK326" s="5">
        <f>[1]Hybrid!AJ54</f>
        <v>0.17135927249999999</v>
      </c>
      <c r="AL326" s="5">
        <f>[1]Hybrid!AK54</f>
        <v>0.1697280541</v>
      </c>
    </row>
    <row r="327" spans="1:3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7.5298155199999994E-2</v>
      </c>
      <c r="E327" s="5">
        <f>[1]Hybrid!D56</f>
        <v>7.6310798400000004E-2</v>
      </c>
      <c r="F327" s="5">
        <f>[1]Hybrid!E56</f>
        <v>7.7421895099999999E-2</v>
      </c>
      <c r="G327" s="5">
        <f>[1]Hybrid!F56</f>
        <v>7.8549700799999997E-2</v>
      </c>
      <c r="H327" s="5">
        <f>[1]Hybrid!G56</f>
        <v>7.9607128999999999E-2</v>
      </c>
      <c r="I327" s="5">
        <f>[1]Hybrid!H56</f>
        <v>8.0493293899999999E-2</v>
      </c>
      <c r="J327" s="5">
        <f>[1]Hybrid!I56</f>
        <v>8.0929126599999998E-2</v>
      </c>
      <c r="K327" s="5">
        <f>[1]Hybrid!J56</f>
        <v>8.1003294599999998E-2</v>
      </c>
      <c r="L327" s="5">
        <f>[1]Hybrid!K56</f>
        <v>8.0786334700000004E-2</v>
      </c>
      <c r="M327" s="5">
        <f>[1]Hybrid!L56</f>
        <v>8.0310986099999995E-2</v>
      </c>
      <c r="N327" s="5">
        <f>[1]Hybrid!M56</f>
        <v>7.9636063000000007E-2</v>
      </c>
      <c r="O327" s="5">
        <f>[1]Hybrid!N56</f>
        <v>7.8781432999999998E-2</v>
      </c>
      <c r="P327" s="5">
        <f>[1]Hybrid!O56</f>
        <v>7.7765778300000005E-2</v>
      </c>
      <c r="Q327" s="5">
        <f>[1]Hybrid!P56</f>
        <v>7.6614163299999996E-2</v>
      </c>
      <c r="R327" s="5">
        <f>[1]Hybrid!Q56</f>
        <v>7.5354044600000003E-2</v>
      </c>
      <c r="S327" s="5">
        <f>[1]Hybrid!R56</f>
        <v>7.4001586999999994E-2</v>
      </c>
      <c r="T327" s="5">
        <f>[1]Hybrid!S56</f>
        <v>7.2587197500000006E-2</v>
      </c>
      <c r="U327" s="5">
        <f>[1]Hybrid!T56</f>
        <v>7.1136702199999999E-2</v>
      </c>
      <c r="V327" s="5">
        <f>[1]Hybrid!U56</f>
        <v>6.9669444400000002E-2</v>
      </c>
      <c r="W327" s="5">
        <f>[1]Hybrid!V56</f>
        <v>6.8195531300000001E-2</v>
      </c>
      <c r="X327" s="5">
        <f>[1]Hybrid!W56</f>
        <v>6.6728893900000003E-2</v>
      </c>
      <c r="Y327" s="5">
        <f>[1]Hybrid!X56</f>
        <v>6.5275280300000002E-2</v>
      </c>
      <c r="Z327" s="5">
        <f>[1]Hybrid!Y56</f>
        <v>6.3838057099999998E-2</v>
      </c>
      <c r="AA327" s="5">
        <f>[1]Hybrid!Z56</f>
        <v>6.24173451E-2</v>
      </c>
      <c r="AB327" s="5">
        <f>[1]Hybrid!AA56</f>
        <v>6.1002046300000001E-2</v>
      </c>
      <c r="AC327" s="5">
        <f>[1]Hybrid!AB56</f>
        <v>5.9593143699999997E-2</v>
      </c>
      <c r="AD327" s="5">
        <f>[1]Hybrid!AC56</f>
        <v>5.8183902000000003E-2</v>
      </c>
      <c r="AE327" s="5">
        <f>[1]Hybrid!AD56</f>
        <v>5.6768572199999999E-2</v>
      </c>
      <c r="AF327" s="5">
        <f>[1]Hybrid!AE56</f>
        <v>5.5343018399999999E-2</v>
      </c>
      <c r="AG327" s="5">
        <f>[1]Hybrid!AF56</f>
        <v>5.3903933000000001E-2</v>
      </c>
      <c r="AH327" s="5">
        <f>[1]Hybrid!AG56</f>
        <v>5.2448440499999999E-2</v>
      </c>
      <c r="AI327" s="5">
        <f>[1]Hybrid!AH56</f>
        <v>5.0974416000000002E-2</v>
      </c>
      <c r="AJ327" s="5">
        <f>[1]Hybrid!AI56</f>
        <v>4.9481365100000001E-2</v>
      </c>
      <c r="AK327" s="5">
        <f>[1]Hybrid!AJ56</f>
        <v>4.79705011E-2</v>
      </c>
      <c r="AL327" s="5">
        <f>[1]Hybrid!AK56</f>
        <v>4.6444444500000001E-2</v>
      </c>
    </row>
    <row r="328" spans="1:3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0.13588357579999999</v>
      </c>
      <c r="E328" s="5">
        <f>[1]Hybrid!D58</f>
        <v>0.13780474810000001</v>
      </c>
      <c r="F328" s="5">
        <f>[1]Hybrid!E58</f>
        <v>0.1396687442</v>
      </c>
      <c r="G328" s="5">
        <f>[1]Hybrid!F58</f>
        <v>0.14131206239999999</v>
      </c>
      <c r="H328" s="5">
        <f>[1]Hybrid!G58</f>
        <v>0.14258983650000001</v>
      </c>
      <c r="I328" s="5">
        <f>[1]Hybrid!H58</f>
        <v>0.1433442171</v>
      </c>
      <c r="J328" s="5">
        <f>[1]Hybrid!I58</f>
        <v>0.14312140200000001</v>
      </c>
      <c r="K328" s="5">
        <f>[1]Hybrid!J58</f>
        <v>0.1420736467</v>
      </c>
      <c r="L328" s="5">
        <f>[1]Hybrid!K58</f>
        <v>0.14035420530000001</v>
      </c>
      <c r="M328" s="5">
        <f>[1]Hybrid!L58</f>
        <v>0.1380572447</v>
      </c>
      <c r="N328" s="5">
        <f>[1]Hybrid!M58</f>
        <v>0.13531875660000001</v>
      </c>
      <c r="O328" s="5">
        <f>[1]Hybrid!N58</f>
        <v>0.13222613590000001</v>
      </c>
      <c r="P328" s="5">
        <f>[1]Hybrid!O58</f>
        <v>0.1288588876</v>
      </c>
      <c r="Q328" s="5">
        <f>[1]Hybrid!P58</f>
        <v>0.1252951152</v>
      </c>
      <c r="R328" s="5">
        <f>[1]Hybrid!Q58</f>
        <v>0.12160514610000001</v>
      </c>
      <c r="S328" s="5">
        <f>[1]Hybrid!R58</f>
        <v>0.1178361003</v>
      </c>
      <c r="T328" s="5">
        <f>[1]Hybrid!S58</f>
        <v>0.1140426881</v>
      </c>
      <c r="U328" s="5">
        <f>[1]Hybrid!T58</f>
        <v>0.1102684926</v>
      </c>
      <c r="V328" s="5">
        <f>[1]Hybrid!U58</f>
        <v>0.1065445845</v>
      </c>
      <c r="W328" s="5">
        <f>[1]Hybrid!V58</f>
        <v>0.10288766320000001</v>
      </c>
      <c r="X328" s="5">
        <f>[1]Hybrid!W58</f>
        <v>9.9314817999999999E-2</v>
      </c>
      <c r="Y328" s="5">
        <f>[1]Hybrid!X58</f>
        <v>9.5831826800000006E-2</v>
      </c>
      <c r="Z328" s="5">
        <f>[1]Hybrid!Y58</f>
        <v>9.2440167099999998E-2</v>
      </c>
      <c r="AA328" s="5">
        <f>[1]Hybrid!Z58</f>
        <v>8.9136673299999997E-2</v>
      </c>
      <c r="AB328" s="5">
        <f>[1]Hybrid!AA58</f>
        <v>8.5906663100000002E-2</v>
      </c>
      <c r="AC328" s="5">
        <f>[1]Hybrid!AB58</f>
        <v>8.2746463500000006E-2</v>
      </c>
      <c r="AD328" s="5">
        <f>[1]Hybrid!AC58</f>
        <v>7.9645051199999997E-2</v>
      </c>
      <c r="AE328" s="5">
        <f>[1]Hybrid!AD58</f>
        <v>7.6593305599999995E-2</v>
      </c>
      <c r="AF328" s="5">
        <f>[1]Hybrid!AE58</f>
        <v>7.3585370400000003E-2</v>
      </c>
      <c r="AG328" s="5">
        <f>[1]Hybrid!AF58</f>
        <v>7.0617939800000001E-2</v>
      </c>
      <c r="AH328" s="5">
        <f>[1]Hybrid!AG58</f>
        <v>6.7689584699999999E-2</v>
      </c>
      <c r="AI328" s="5">
        <f>[1]Hybrid!AH58</f>
        <v>6.4800648299999999E-2</v>
      </c>
      <c r="AJ328" s="5">
        <f>[1]Hybrid!AI58</f>
        <v>6.1953671799999999E-2</v>
      </c>
      <c r="AK328" s="5">
        <f>[1]Hybrid!AJ58</f>
        <v>5.91530979E-2</v>
      </c>
      <c r="AL328" s="5">
        <f>[1]Hybrid!AK58</f>
        <v>5.6404623700000003E-2</v>
      </c>
    </row>
    <row r="330" spans="1:3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</row>
    <row r="331" spans="1:38" x14ac:dyDescent="0.35">
      <c r="A331" t="s">
        <v>39</v>
      </c>
      <c r="B331" t="s">
        <v>96</v>
      </c>
      <c r="C331" s="6">
        <f t="shared" ref="C331:AL331" si="62">C308+C322+C315</f>
        <v>7105.9689965623002</v>
      </c>
      <c r="D331" s="6">
        <f t="shared" si="62"/>
        <v>7155.2992208330998</v>
      </c>
      <c r="E331" s="6">
        <f t="shared" si="62"/>
        <v>7266.2269615684008</v>
      </c>
      <c r="F331" s="6">
        <f t="shared" si="62"/>
        <v>7418.7781366945001</v>
      </c>
      <c r="G331" s="6">
        <f t="shared" si="62"/>
        <v>7607.1230080352998</v>
      </c>
      <c r="H331" s="6">
        <f t="shared" si="62"/>
        <v>7820.9219879959001</v>
      </c>
      <c r="I331" s="6">
        <f t="shared" si="62"/>
        <v>8047.4653671821998</v>
      </c>
      <c r="J331" s="6">
        <f t="shared" si="62"/>
        <v>8252.5453483330002</v>
      </c>
      <c r="K331" s="6">
        <f t="shared" si="62"/>
        <v>8458.6240881066005</v>
      </c>
      <c r="L331" s="6">
        <f t="shared" si="62"/>
        <v>8676.2284891637009</v>
      </c>
      <c r="M331" s="6">
        <f t="shared" si="62"/>
        <v>8909.4453952248004</v>
      </c>
      <c r="N331" s="6">
        <f t="shared" si="62"/>
        <v>9163.6756735555009</v>
      </c>
      <c r="O331" s="6">
        <f t="shared" si="62"/>
        <v>9429.9810693950003</v>
      </c>
      <c r="P331" s="6">
        <f t="shared" si="62"/>
        <v>9699.1591533073988</v>
      </c>
      <c r="Q331" s="6">
        <f t="shared" si="62"/>
        <v>9964.6091153952002</v>
      </c>
      <c r="R331" s="6">
        <f t="shared" si="62"/>
        <v>10222.254019222799</v>
      </c>
      <c r="S331" s="6">
        <f t="shared" si="62"/>
        <v>10467.404150825701</v>
      </c>
      <c r="T331" s="6">
        <f t="shared" si="62"/>
        <v>10702.4366600704</v>
      </c>
      <c r="U331" s="6">
        <f t="shared" si="62"/>
        <v>10929.1845285782</v>
      </c>
      <c r="V331" s="6">
        <f t="shared" si="62"/>
        <v>11148.9798049772</v>
      </c>
      <c r="W331" s="6">
        <f t="shared" si="62"/>
        <v>11361.778484994</v>
      </c>
      <c r="X331" s="6">
        <f t="shared" si="62"/>
        <v>11570.751199430801</v>
      </c>
      <c r="Y331" s="6">
        <f t="shared" si="62"/>
        <v>11777.70242793</v>
      </c>
      <c r="Z331" s="6">
        <f t="shared" si="62"/>
        <v>11984.832312643</v>
      </c>
      <c r="AA331" s="6">
        <f t="shared" si="62"/>
        <v>12194.277450488</v>
      </c>
      <c r="AB331" s="6">
        <f t="shared" si="62"/>
        <v>12404.310744814</v>
      </c>
      <c r="AC331" s="6">
        <f t="shared" si="62"/>
        <v>12619.613430175999</v>
      </c>
      <c r="AD331" s="6">
        <f t="shared" si="62"/>
        <v>12842.435170369001</v>
      </c>
      <c r="AE331" s="6">
        <f t="shared" si="62"/>
        <v>13075.660242173</v>
      </c>
      <c r="AF331" s="6">
        <f t="shared" si="62"/>
        <v>13322.118318183</v>
      </c>
      <c r="AG331" s="6">
        <f t="shared" si="62"/>
        <v>13583.889654387</v>
      </c>
      <c r="AH331" s="6">
        <f t="shared" si="62"/>
        <v>13862.136486629001</v>
      </c>
      <c r="AI331" s="6">
        <f t="shared" si="62"/>
        <v>14157.388971654</v>
      </c>
      <c r="AJ331" s="6">
        <f t="shared" si="62"/>
        <v>14469.954939717001</v>
      </c>
      <c r="AK331" s="6">
        <f t="shared" si="62"/>
        <v>14799.896981598002</v>
      </c>
      <c r="AL331" s="6">
        <f t="shared" si="62"/>
        <v>15146.955496877999</v>
      </c>
    </row>
    <row r="332" spans="1:38" x14ac:dyDescent="0.35">
      <c r="B332" t="s">
        <v>97</v>
      </c>
      <c r="C332" s="6">
        <f t="shared" ref="C332:AL332" si="63">C309+C323+C316</f>
        <v>8263.1971436354015</v>
      </c>
      <c r="D332" s="6">
        <f t="shared" si="63"/>
        <v>8197.7945507628992</v>
      </c>
      <c r="E332" s="6">
        <f t="shared" si="63"/>
        <v>8199.1715804385003</v>
      </c>
      <c r="F332" s="6">
        <f t="shared" si="63"/>
        <v>8247.1694686898991</v>
      </c>
      <c r="G332" s="6">
        <f t="shared" si="63"/>
        <v>8335.3778897104985</v>
      </c>
      <c r="H332" s="6">
        <f t="shared" si="63"/>
        <v>8453.3897451486991</v>
      </c>
      <c r="I332" s="6">
        <f t="shared" si="63"/>
        <v>8588.4888569673003</v>
      </c>
      <c r="J332" s="6">
        <f t="shared" si="63"/>
        <v>8706.912359485601</v>
      </c>
      <c r="K332" s="6">
        <f t="shared" si="63"/>
        <v>8828.1207239206997</v>
      </c>
      <c r="L332" s="6">
        <f t="shared" si="63"/>
        <v>8961.3894166074006</v>
      </c>
      <c r="M332" s="6">
        <f t="shared" si="63"/>
        <v>9110.0223621195</v>
      </c>
      <c r="N332" s="6">
        <f t="shared" si="63"/>
        <v>9279.0114276416007</v>
      </c>
      <c r="O332" s="6">
        <f t="shared" si="63"/>
        <v>9460.6644300419011</v>
      </c>
      <c r="P332" s="6">
        <f t="shared" si="63"/>
        <v>9646.8997822299989</v>
      </c>
      <c r="Q332" s="6">
        <f t="shared" si="63"/>
        <v>9831.9319861724016</v>
      </c>
      <c r="R332" s="6">
        <f t="shared" si="63"/>
        <v>10012.2074703289</v>
      </c>
      <c r="S332" s="6">
        <f t="shared" si="63"/>
        <v>10183.451026851199</v>
      </c>
      <c r="T332" s="6">
        <f t="shared" si="63"/>
        <v>10347.725745636701</v>
      </c>
      <c r="U332" s="6">
        <f t="shared" si="63"/>
        <v>10506.7113976897</v>
      </c>
      <c r="V332" s="6">
        <f t="shared" si="63"/>
        <v>10661.6288320563</v>
      </c>
      <c r="W332" s="6">
        <f t="shared" si="63"/>
        <v>10812.403278871901</v>
      </c>
      <c r="X332" s="6">
        <f t="shared" si="63"/>
        <v>10961.815844794</v>
      </c>
      <c r="Y332" s="6">
        <f t="shared" si="63"/>
        <v>11111.351038791199</v>
      </c>
      <c r="Z332" s="6">
        <f t="shared" si="63"/>
        <v>11262.804498387201</v>
      </c>
      <c r="AA332" s="6">
        <f t="shared" si="63"/>
        <v>11417.868499100899</v>
      </c>
      <c r="AB332" s="6">
        <f t="shared" si="63"/>
        <v>11574.7135759339</v>
      </c>
      <c r="AC332" s="6">
        <f t="shared" si="63"/>
        <v>11737.227229307402</v>
      </c>
      <c r="AD332" s="6">
        <f t="shared" si="63"/>
        <v>11907.045598999199</v>
      </c>
      <c r="AE332" s="6">
        <f t="shared" si="63"/>
        <v>12086.336335980001</v>
      </c>
      <c r="AF332" s="6">
        <f t="shared" si="63"/>
        <v>12277.215699236</v>
      </c>
      <c r="AG332" s="6">
        <f t="shared" si="63"/>
        <v>12481.138576624999</v>
      </c>
      <c r="AH332" s="6">
        <f t="shared" si="63"/>
        <v>12698.747547666</v>
      </c>
      <c r="AI332" s="6">
        <f t="shared" si="63"/>
        <v>12930.124994192</v>
      </c>
      <c r="AJ332" s="6">
        <f t="shared" si="63"/>
        <v>13175.167157423</v>
      </c>
      <c r="AK332" s="6">
        <f t="shared" si="63"/>
        <v>13433.576527899999</v>
      </c>
      <c r="AL332" s="6">
        <f t="shared" si="63"/>
        <v>13704.799892593001</v>
      </c>
    </row>
    <row r="333" spans="1:38" x14ac:dyDescent="0.35">
      <c r="B333" t="s">
        <v>98</v>
      </c>
      <c r="C333" s="6">
        <f t="shared" ref="C333:AL333" si="64">C310+C324+C317</f>
        <v>6787.4105911386005</v>
      </c>
      <c r="D333" s="6">
        <f t="shared" si="64"/>
        <v>6658.6309129193005</v>
      </c>
      <c r="E333" s="6">
        <f t="shared" si="64"/>
        <v>6581.7970357612003</v>
      </c>
      <c r="F333" s="6">
        <f t="shared" si="64"/>
        <v>6542.2487896868997</v>
      </c>
      <c r="G333" s="6">
        <f t="shared" si="64"/>
        <v>6534.9633538689004</v>
      </c>
      <c r="H333" s="6">
        <f t="shared" si="64"/>
        <v>6552.381403816501</v>
      </c>
      <c r="I333" s="6">
        <f t="shared" si="64"/>
        <v>6585.3257865563</v>
      </c>
      <c r="J333" s="6">
        <f t="shared" si="64"/>
        <v>6609.7848229643996</v>
      </c>
      <c r="K333" s="6">
        <f t="shared" si="64"/>
        <v>6637.8093775948</v>
      </c>
      <c r="L333" s="6">
        <f t="shared" si="64"/>
        <v>6675.2619674921998</v>
      </c>
      <c r="M333" s="6">
        <f t="shared" si="64"/>
        <v>6724.0210920965001</v>
      </c>
      <c r="N333" s="6">
        <f t="shared" si="64"/>
        <v>6787.4109245113996</v>
      </c>
      <c r="O333" s="6">
        <f t="shared" si="64"/>
        <v>6860.6727819763</v>
      </c>
      <c r="P333" s="6">
        <f t="shared" si="64"/>
        <v>6938.6851027900002</v>
      </c>
      <c r="Q333" s="6">
        <f t="shared" si="64"/>
        <v>7017.7801311266994</v>
      </c>
      <c r="R333" s="6">
        <f t="shared" si="64"/>
        <v>7095.7083188573997</v>
      </c>
      <c r="S333" s="6">
        <f t="shared" si="64"/>
        <v>7169.6356501198006</v>
      </c>
      <c r="T333" s="6">
        <f t="shared" si="64"/>
        <v>7240.8273237475005</v>
      </c>
      <c r="U333" s="6">
        <f t="shared" si="64"/>
        <v>7310.3711802800999</v>
      </c>
      <c r="V333" s="6">
        <f t="shared" si="64"/>
        <v>7379.0524719443001</v>
      </c>
      <c r="W333" s="6">
        <f t="shared" si="64"/>
        <v>7446.7783031713006</v>
      </c>
      <c r="X333" s="6">
        <f t="shared" si="64"/>
        <v>7515.2868731299004</v>
      </c>
      <c r="Y333" s="6">
        <f t="shared" si="64"/>
        <v>7585.4319574089996</v>
      </c>
      <c r="Z333" s="6">
        <f t="shared" si="64"/>
        <v>7658.2417041081007</v>
      </c>
      <c r="AA333" s="6">
        <f t="shared" si="64"/>
        <v>7734.6490922472003</v>
      </c>
      <c r="AB333" s="6">
        <f t="shared" si="64"/>
        <v>7813.2726309827003</v>
      </c>
      <c r="AC333" s="6">
        <f t="shared" si="64"/>
        <v>7896.4145637121001</v>
      </c>
      <c r="AD333" s="6">
        <f t="shared" si="64"/>
        <v>7984.8772396559007</v>
      </c>
      <c r="AE333" s="6">
        <f t="shared" si="64"/>
        <v>8079.7866292065</v>
      </c>
      <c r="AF333" s="6">
        <f t="shared" si="64"/>
        <v>8182.2379610222006</v>
      </c>
      <c r="AG333" s="6">
        <f t="shared" si="64"/>
        <v>8292.9093840640999</v>
      </c>
      <c r="AH333" s="6">
        <f t="shared" si="64"/>
        <v>8411.9643567578005</v>
      </c>
      <c r="AI333" s="6">
        <f t="shared" si="64"/>
        <v>8539.2122989350992</v>
      </c>
      <c r="AJ333" s="6">
        <f t="shared" si="64"/>
        <v>8674.3551052321</v>
      </c>
      <c r="AK333" s="6">
        <f t="shared" si="64"/>
        <v>8816.9900242087006</v>
      </c>
      <c r="AL333" s="6">
        <f t="shared" si="64"/>
        <v>8966.5736693859999</v>
      </c>
    </row>
    <row r="334" spans="1:38" x14ac:dyDescent="0.35">
      <c r="B334" t="s">
        <v>99</v>
      </c>
      <c r="C334" s="6">
        <f t="shared" ref="C334:AL334" si="65">C311+C325+C318</f>
        <v>4165.6835237371006</v>
      </c>
      <c r="D334" s="6">
        <f t="shared" si="65"/>
        <v>4061.8900839882999</v>
      </c>
      <c r="E334" s="6">
        <f t="shared" si="65"/>
        <v>3987.6933024200002</v>
      </c>
      <c r="F334" s="6">
        <f t="shared" si="65"/>
        <v>3934.3506149622999</v>
      </c>
      <c r="G334" s="6">
        <f t="shared" si="65"/>
        <v>3898.5949428008003</v>
      </c>
      <c r="H334" s="6">
        <f t="shared" si="65"/>
        <v>3876.0457003368001</v>
      </c>
      <c r="I334" s="6">
        <f t="shared" si="65"/>
        <v>3861.4964169325999</v>
      </c>
      <c r="J334" s="6">
        <f t="shared" si="65"/>
        <v>3841.6355420356999</v>
      </c>
      <c r="K334" s="6">
        <f t="shared" si="65"/>
        <v>3821.9265468842</v>
      </c>
      <c r="L334" s="6">
        <f t="shared" si="65"/>
        <v>3805.1642960612999</v>
      </c>
      <c r="M334" s="6">
        <f t="shared" si="65"/>
        <v>3792.0806660707999</v>
      </c>
      <c r="N334" s="6">
        <f t="shared" si="65"/>
        <v>3784.3516587948002</v>
      </c>
      <c r="O334" s="6">
        <f t="shared" si="65"/>
        <v>3780.0641563291001</v>
      </c>
      <c r="P334" s="6">
        <f t="shared" si="65"/>
        <v>3777.1871304406</v>
      </c>
      <c r="Q334" s="6">
        <f t="shared" si="65"/>
        <v>3774.3985614335998</v>
      </c>
      <c r="R334" s="6">
        <f t="shared" si="65"/>
        <v>3771.0131417966004</v>
      </c>
      <c r="S334" s="6">
        <f t="shared" si="65"/>
        <v>3765.9842958936001</v>
      </c>
      <c r="T334" s="6">
        <f t="shared" si="65"/>
        <v>3760.0671795175999</v>
      </c>
      <c r="U334" s="6">
        <f t="shared" si="65"/>
        <v>3753.9418442209999</v>
      </c>
      <c r="V334" s="6">
        <f t="shared" si="65"/>
        <v>3748.1049310386002</v>
      </c>
      <c r="W334" s="6">
        <f t="shared" si="65"/>
        <v>3742.5907756547999</v>
      </c>
      <c r="X334" s="6">
        <f t="shared" si="65"/>
        <v>3738.1929338395003</v>
      </c>
      <c r="Y334" s="6">
        <f t="shared" si="65"/>
        <v>3735.2398936438999</v>
      </c>
      <c r="Z334" s="6">
        <f t="shared" si="65"/>
        <v>3734.0862607938998</v>
      </c>
      <c r="AA334" s="6">
        <f t="shared" si="65"/>
        <v>3734.9926691842002</v>
      </c>
      <c r="AB334" s="6">
        <f t="shared" si="65"/>
        <v>3737.1550135635002</v>
      </c>
      <c r="AC334" s="6">
        <f t="shared" si="65"/>
        <v>3741.3396484078003</v>
      </c>
      <c r="AD334" s="6">
        <f t="shared" si="65"/>
        <v>3747.5932778991</v>
      </c>
      <c r="AE334" s="6">
        <f t="shared" si="65"/>
        <v>3756.0804727211003</v>
      </c>
      <c r="AF334" s="6">
        <f t="shared" si="65"/>
        <v>3766.9752881924001</v>
      </c>
      <c r="AG334" s="6">
        <f t="shared" si="65"/>
        <v>3780.3092019144997</v>
      </c>
      <c r="AH334" s="6">
        <f t="shared" si="65"/>
        <v>3795.9283420230995</v>
      </c>
      <c r="AI334" s="6">
        <f t="shared" si="65"/>
        <v>3813.5588606836</v>
      </c>
      <c r="AJ334" s="6">
        <f t="shared" si="65"/>
        <v>3832.9228837789997</v>
      </c>
      <c r="AK334" s="6">
        <f t="shared" si="65"/>
        <v>3853.7518259098001</v>
      </c>
      <c r="AL334" s="6">
        <f t="shared" si="65"/>
        <v>3875.7746857298002</v>
      </c>
    </row>
    <row r="335" spans="1:38" x14ac:dyDescent="0.35">
      <c r="B335" t="s">
        <v>100</v>
      </c>
      <c r="C335" s="6">
        <f t="shared" ref="C335:AL335" si="66">C312+C326+C319</f>
        <v>2507.3524895615005</v>
      </c>
      <c r="D335" s="6">
        <f t="shared" si="66"/>
        <v>2447.2317326401999</v>
      </c>
      <c r="E335" s="6">
        <f t="shared" si="66"/>
        <v>2404.0896305750002</v>
      </c>
      <c r="F335" s="6">
        <f t="shared" si="66"/>
        <v>2372.3576784176003</v>
      </c>
      <c r="G335" s="6">
        <f t="shared" si="66"/>
        <v>2349.9070998283</v>
      </c>
      <c r="H335" s="6">
        <f t="shared" si="66"/>
        <v>2334.0778093826002</v>
      </c>
      <c r="I335" s="6">
        <f t="shared" si="66"/>
        <v>2321.7317741847</v>
      </c>
      <c r="J335" s="6">
        <f t="shared" si="66"/>
        <v>2304.8056715053999</v>
      </c>
      <c r="K335" s="6">
        <f t="shared" si="66"/>
        <v>2286.1661352163997</v>
      </c>
      <c r="L335" s="6">
        <f t="shared" si="66"/>
        <v>2267.4424709922</v>
      </c>
      <c r="M335" s="6">
        <f t="shared" si="66"/>
        <v>2249.0808187560997</v>
      </c>
      <c r="N335" s="6">
        <f t="shared" si="66"/>
        <v>2232.1706564678998</v>
      </c>
      <c r="O335" s="6">
        <f t="shared" si="66"/>
        <v>2215.9951081303002</v>
      </c>
      <c r="P335" s="6">
        <f t="shared" si="66"/>
        <v>2199.7745982758997</v>
      </c>
      <c r="Q335" s="6">
        <f t="shared" si="66"/>
        <v>2183.0925109401001</v>
      </c>
      <c r="R335" s="6">
        <f t="shared" si="66"/>
        <v>2165.8330559798001</v>
      </c>
      <c r="S335" s="6">
        <f t="shared" si="66"/>
        <v>2147.6349148666</v>
      </c>
      <c r="T335" s="6">
        <f t="shared" si="66"/>
        <v>2129.0206848571002</v>
      </c>
      <c r="U335" s="6">
        <f t="shared" si="66"/>
        <v>2110.4610529368997</v>
      </c>
      <c r="V335" s="6">
        <f t="shared" si="66"/>
        <v>2092.2996320950001</v>
      </c>
      <c r="W335" s="6">
        <f t="shared" si="66"/>
        <v>2074.6061862258002</v>
      </c>
      <c r="X335" s="6">
        <f t="shared" si="66"/>
        <v>2057.7980073034</v>
      </c>
      <c r="Y335" s="6">
        <f t="shared" si="66"/>
        <v>2042.0216938194999</v>
      </c>
      <c r="Z335" s="6">
        <f t="shared" si="66"/>
        <v>2027.4091296908998</v>
      </c>
      <c r="AA335" s="6">
        <f t="shared" si="66"/>
        <v>2014.0184315314</v>
      </c>
      <c r="AB335" s="6">
        <f t="shared" si="66"/>
        <v>2001.3605174404997</v>
      </c>
      <c r="AC335" s="6">
        <f t="shared" si="66"/>
        <v>1989.6946471121</v>
      </c>
      <c r="AD335" s="6">
        <f t="shared" si="66"/>
        <v>1978.9008369682001</v>
      </c>
      <c r="AE335" s="6">
        <f t="shared" si="66"/>
        <v>1968.9073122638997</v>
      </c>
      <c r="AF335" s="6">
        <f t="shared" si="66"/>
        <v>1959.6576230627002</v>
      </c>
      <c r="AG335" s="6">
        <f t="shared" si="66"/>
        <v>1951.0440338234002</v>
      </c>
      <c r="AH335" s="6">
        <f t="shared" si="66"/>
        <v>1942.8874765116998</v>
      </c>
      <c r="AI335" s="6">
        <f t="shared" si="66"/>
        <v>1934.9678188795001</v>
      </c>
      <c r="AJ335" s="6">
        <f t="shared" si="66"/>
        <v>1927.0822505676001</v>
      </c>
      <c r="AK335" s="6">
        <f t="shared" si="66"/>
        <v>1919.0552372725001</v>
      </c>
      <c r="AL335" s="6">
        <f t="shared" si="66"/>
        <v>1910.7336274541001</v>
      </c>
    </row>
    <row r="336" spans="1:38" x14ac:dyDescent="0.35">
      <c r="B336" t="s">
        <v>101</v>
      </c>
      <c r="C336" s="6">
        <f t="shared" ref="C336:AL336" si="67">C313+C327+C320</f>
        <v>1245.466605953</v>
      </c>
      <c r="D336" s="6">
        <f t="shared" si="67"/>
        <v>1212.9150083951999</v>
      </c>
      <c r="E336" s="6">
        <f t="shared" si="67"/>
        <v>1187.3341470304001</v>
      </c>
      <c r="F336" s="6">
        <f t="shared" si="67"/>
        <v>1165.7205632071002</v>
      </c>
      <c r="G336" s="6">
        <f t="shared" si="67"/>
        <v>1146.8599623448001</v>
      </c>
      <c r="H336" s="6">
        <f t="shared" si="67"/>
        <v>1129.502549711</v>
      </c>
      <c r="I336" s="6">
        <f t="shared" si="67"/>
        <v>1112.2647314968999</v>
      </c>
      <c r="J336" s="6">
        <f t="shared" si="67"/>
        <v>1091.6632963696002</v>
      </c>
      <c r="K336" s="6">
        <f t="shared" si="67"/>
        <v>1068.7166045626</v>
      </c>
      <c r="L336" s="6">
        <f t="shared" si="67"/>
        <v>1044.2053746056999</v>
      </c>
      <c r="M336" s="6">
        <f t="shared" si="67"/>
        <v>1018.4473451611</v>
      </c>
      <c r="N336" s="6">
        <f t="shared" si="67"/>
        <v>992.06471022299991</v>
      </c>
      <c r="O336" s="6">
        <f t="shared" si="67"/>
        <v>965.18993596400003</v>
      </c>
      <c r="P336" s="6">
        <f t="shared" si="67"/>
        <v>937.94516278130004</v>
      </c>
      <c r="Q336" s="6">
        <f t="shared" si="67"/>
        <v>910.53493532229993</v>
      </c>
      <c r="R336" s="6">
        <f t="shared" si="67"/>
        <v>883.19707889460005</v>
      </c>
      <c r="S336" s="6">
        <f t="shared" si="67"/>
        <v>856.03653632699991</v>
      </c>
      <c r="T336" s="6">
        <f t="shared" si="67"/>
        <v>829.3394792775</v>
      </c>
      <c r="U336" s="6">
        <f t="shared" si="67"/>
        <v>803.33765516219989</v>
      </c>
      <c r="V336" s="6">
        <f t="shared" si="67"/>
        <v>778.18609783440002</v>
      </c>
      <c r="W336" s="6">
        <f t="shared" si="67"/>
        <v>753.92966436130007</v>
      </c>
      <c r="X336" s="6">
        <f t="shared" si="67"/>
        <v>730.66606056389992</v>
      </c>
      <c r="Y336" s="6">
        <f t="shared" si="67"/>
        <v>708.39564451030003</v>
      </c>
      <c r="Z336" s="6">
        <f t="shared" si="67"/>
        <v>687.09409606710005</v>
      </c>
      <c r="AA336" s="6">
        <f t="shared" si="67"/>
        <v>666.70121328510004</v>
      </c>
      <c r="AB336" s="6">
        <f t="shared" si="67"/>
        <v>647.01950288629996</v>
      </c>
      <c r="AC336" s="6">
        <f t="shared" si="67"/>
        <v>628.00955500369992</v>
      </c>
      <c r="AD336" s="6">
        <f t="shared" si="67"/>
        <v>609.53716516200006</v>
      </c>
      <c r="AE336" s="6">
        <f t="shared" si="67"/>
        <v>591.48413185219999</v>
      </c>
      <c r="AF336" s="6">
        <f t="shared" si="67"/>
        <v>573.75583121839998</v>
      </c>
      <c r="AG336" s="6">
        <f t="shared" si="67"/>
        <v>556.27067517299997</v>
      </c>
      <c r="AH336" s="6">
        <f t="shared" si="67"/>
        <v>538.95458697050003</v>
      </c>
      <c r="AI336" s="6">
        <f t="shared" si="67"/>
        <v>521.74481513599994</v>
      </c>
      <c r="AJ336" s="6">
        <f t="shared" si="67"/>
        <v>504.60128346509998</v>
      </c>
      <c r="AK336" s="6">
        <f t="shared" si="67"/>
        <v>487.50756013109998</v>
      </c>
      <c r="AL336" s="6">
        <f t="shared" si="67"/>
        <v>470.46692835450006</v>
      </c>
    </row>
    <row r="337" spans="1:38" x14ac:dyDescent="0.35">
      <c r="B337" t="s">
        <v>102</v>
      </c>
      <c r="C337" s="6">
        <f t="shared" ref="C337:AL337" si="68">C314+C328+C321</f>
        <v>2242.8616504070001</v>
      </c>
      <c r="D337" s="6">
        <f t="shared" si="68"/>
        <v>2187.6697487878</v>
      </c>
      <c r="E337" s="6">
        <f t="shared" si="68"/>
        <v>2142.7280674060999</v>
      </c>
      <c r="F337" s="6">
        <f t="shared" si="68"/>
        <v>2102.1014529652002</v>
      </c>
      <c r="G337" s="6">
        <f t="shared" si="68"/>
        <v>2063.4495683424002</v>
      </c>
      <c r="H337" s="6">
        <f t="shared" si="68"/>
        <v>2024.7065967345</v>
      </c>
      <c r="I337" s="6">
        <f t="shared" si="68"/>
        <v>1983.7031380410999</v>
      </c>
      <c r="J337" s="6">
        <f t="shared" si="68"/>
        <v>1934.780146177</v>
      </c>
      <c r="K337" s="6">
        <f t="shared" si="68"/>
        <v>1879.6918913166999</v>
      </c>
      <c r="L337" s="6">
        <f t="shared" si="68"/>
        <v>1820.1641539152999</v>
      </c>
      <c r="M337" s="6">
        <f t="shared" si="68"/>
        <v>1757.1868439246998</v>
      </c>
      <c r="N337" s="6">
        <f t="shared" si="68"/>
        <v>1692.2320562366001</v>
      </c>
      <c r="O337" s="6">
        <f t="shared" si="68"/>
        <v>1626.1544967259001</v>
      </c>
      <c r="P337" s="6">
        <f t="shared" si="68"/>
        <v>1559.7153987776001</v>
      </c>
      <c r="Q337" s="6">
        <f t="shared" si="68"/>
        <v>1493.6637277852001</v>
      </c>
      <c r="R337" s="6">
        <f t="shared" si="68"/>
        <v>1428.6591877660999</v>
      </c>
      <c r="S337" s="6">
        <f t="shared" si="68"/>
        <v>1365.0858621703001</v>
      </c>
      <c r="T337" s="6">
        <f t="shared" si="68"/>
        <v>1303.4319603680999</v>
      </c>
      <c r="U337" s="6">
        <f t="shared" si="68"/>
        <v>1244.0555403726</v>
      </c>
      <c r="V337" s="6">
        <f t="shared" si="68"/>
        <v>1187.1690140144999</v>
      </c>
      <c r="W337" s="6">
        <f t="shared" si="68"/>
        <v>1132.8168208431998</v>
      </c>
      <c r="X337" s="6">
        <f t="shared" si="68"/>
        <v>1081.0596470379999</v>
      </c>
      <c r="Y337" s="6">
        <f t="shared" si="68"/>
        <v>1031.8275758568</v>
      </c>
      <c r="Z337" s="6">
        <f t="shared" si="68"/>
        <v>985.00759193710007</v>
      </c>
      <c r="AA337" s="6">
        <f t="shared" si="68"/>
        <v>940.43844927329997</v>
      </c>
      <c r="AB337" s="6">
        <f t="shared" si="68"/>
        <v>897.82252605309998</v>
      </c>
      <c r="AC337" s="6">
        <f t="shared" si="68"/>
        <v>857.01123064350008</v>
      </c>
      <c r="AD337" s="6">
        <f t="shared" si="68"/>
        <v>817.76968846120008</v>
      </c>
      <c r="AE337" s="6">
        <f t="shared" si="68"/>
        <v>779.89429829560004</v>
      </c>
      <c r="AF337" s="6">
        <f t="shared" si="68"/>
        <v>743.2295140704</v>
      </c>
      <c r="AG337" s="6">
        <f t="shared" si="68"/>
        <v>707.65806104979993</v>
      </c>
      <c r="AH337" s="6">
        <f t="shared" si="68"/>
        <v>673.0917583447</v>
      </c>
      <c r="AI337" s="6">
        <f t="shared" si="68"/>
        <v>639.46985125829997</v>
      </c>
      <c r="AJ337" s="6">
        <f t="shared" si="68"/>
        <v>606.76449691180005</v>
      </c>
      <c r="AK337" s="6">
        <f t="shared" si="68"/>
        <v>574.97689867789995</v>
      </c>
      <c r="AL337" s="6">
        <f t="shared" si="68"/>
        <v>544.1288356837</v>
      </c>
    </row>
    <row r="339" spans="1:3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7139.7193399999996</v>
      </c>
      <c r="E339" s="6">
        <f>[1]Hybrid!D19</f>
        <v>7244.7318789999999</v>
      </c>
      <c r="F339" s="6">
        <f>[1]Hybrid!E19</f>
        <v>7390.8125209999998</v>
      </c>
      <c r="G339" s="6">
        <f>[1]Hybrid!F19</f>
        <v>7572.0753050000003</v>
      </c>
      <c r="H339" s="6">
        <f>[1]Hybrid!G19</f>
        <v>7778.2813269999997</v>
      </c>
      <c r="I339" s="6">
        <f>[1]Hybrid!H19</f>
        <v>7996.8294569999998</v>
      </c>
      <c r="J339" s="6">
        <f>[1]Hybrid!I19</f>
        <v>8221.9155439999995</v>
      </c>
      <c r="K339" s="6">
        <f>[1]Hybrid!J19</f>
        <v>8451.72019</v>
      </c>
      <c r="L339" s="6">
        <f>[1]Hybrid!K19</f>
        <v>8685.5089200000002</v>
      </c>
      <c r="M339" s="6">
        <f>[1]Hybrid!L19</f>
        <v>8923.6926370000001</v>
      </c>
      <c r="N339" s="6">
        <f>[1]Hybrid!M19</f>
        <v>9160.9097880000008</v>
      </c>
      <c r="O339" s="6">
        <f>[1]Hybrid!N19</f>
        <v>9393.6213320000006</v>
      </c>
      <c r="P339" s="6">
        <f>[1]Hybrid!O19</f>
        <v>9618.4845609999993</v>
      </c>
      <c r="Q339" s="6">
        <f>[1]Hybrid!P19</f>
        <v>9832.7601730000006</v>
      </c>
      <c r="R339" s="6">
        <f>[1]Hybrid!Q19</f>
        <v>10034.659390000001</v>
      </c>
      <c r="S339" s="6">
        <f>[1]Hybrid!R19</f>
        <v>10228.52644</v>
      </c>
      <c r="T339" s="6">
        <f>[1]Hybrid!S19</f>
        <v>10415.339319999999</v>
      </c>
      <c r="U339" s="6">
        <f>[1]Hybrid!T19</f>
        <v>10594.657999999999</v>
      </c>
      <c r="V339" s="6">
        <f>[1]Hybrid!U19</f>
        <v>10766.134110000001</v>
      </c>
      <c r="W339" s="6">
        <f>[1]Hybrid!V19</f>
        <v>10928.81027</v>
      </c>
      <c r="X339" s="6">
        <f>[1]Hybrid!W19</f>
        <v>11085.166429999999</v>
      </c>
      <c r="Y339" s="6">
        <f>[1]Hybrid!X19</f>
        <v>11236.70549</v>
      </c>
      <c r="Z339" s="6">
        <f>[1]Hybrid!Y19</f>
        <v>11385.28052</v>
      </c>
      <c r="AA339" s="6">
        <f>[1]Hybrid!Z19</f>
        <v>11532.704040000001</v>
      </c>
      <c r="AB339" s="6">
        <f>[1]Hybrid!AA19</f>
        <v>11677.38355</v>
      </c>
      <c r="AC339" s="6">
        <f>[1]Hybrid!AB19</f>
        <v>11823.68173</v>
      </c>
      <c r="AD339" s="6">
        <f>[1]Hybrid!AC19</f>
        <v>11973.705819999999</v>
      </c>
      <c r="AE339" s="6">
        <f>[1]Hybrid!AD19</f>
        <v>12129.56488</v>
      </c>
      <c r="AF339" s="6">
        <f>[1]Hybrid!AE19</f>
        <v>12293.083329999999</v>
      </c>
      <c r="AG339" s="6">
        <f>[1]Hybrid!AF19</f>
        <v>12465.334220000001</v>
      </c>
      <c r="AH339" s="6">
        <f>[1]Hybrid!AG19</f>
        <v>12646.557119999999</v>
      </c>
      <c r="AI339" s="6">
        <f>[1]Hybrid!AH19</f>
        <v>12836.26708</v>
      </c>
      <c r="AJ339" s="6">
        <f>[1]Hybrid!AI19</f>
        <v>13033.37866</v>
      </c>
      <c r="AK339" s="6">
        <f>[1]Hybrid!AJ19</f>
        <v>13236.32296</v>
      </c>
      <c r="AL339" s="6">
        <f>[1]Hybrid!AK19</f>
        <v>13443.140890000001</v>
      </c>
    </row>
    <row r="340" spans="1:3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8180.8333709999997</v>
      </c>
      <c r="E340" s="6">
        <f>[1]Hybrid!D21</f>
        <v>8176.6020740000004</v>
      </c>
      <c r="F340" s="6">
        <f>[1]Hybrid!E21</f>
        <v>8218.4472089999999</v>
      </c>
      <c r="G340" s="6">
        <f>[1]Hybrid!F21</f>
        <v>8299.9024229999995</v>
      </c>
      <c r="H340" s="6">
        <f>[1]Hybrid!G21</f>
        <v>8410.6599540000007</v>
      </c>
      <c r="I340" s="6">
        <f>[1]Hybrid!H21</f>
        <v>8538.1103509999994</v>
      </c>
      <c r="J340" s="6">
        <f>[1]Hybrid!I21</f>
        <v>8676.0427540000001</v>
      </c>
      <c r="K340" s="6">
        <f>[1]Hybrid!J21</f>
        <v>8822.0795569999991</v>
      </c>
      <c r="L340" s="6">
        <f>[1]Hybrid!K21</f>
        <v>8974.9735579999997</v>
      </c>
      <c r="M340" s="6">
        <f>[1]Hybrid!L21</f>
        <v>9134.6502939999991</v>
      </c>
      <c r="N340" s="6">
        <f>[1]Hybrid!M21</f>
        <v>9295.7482089999994</v>
      </c>
      <c r="O340" s="6">
        <f>[1]Hybrid!N21</f>
        <v>9454.7754760000007</v>
      </c>
      <c r="P340" s="6">
        <f>[1]Hybrid!O21</f>
        <v>9608.5448890000007</v>
      </c>
      <c r="Q340" s="6">
        <f>[1]Hybrid!P21</f>
        <v>9754.4969469999996</v>
      </c>
      <c r="R340" s="6">
        <f>[1]Hybrid!Q21</f>
        <v>9890.9730560000007</v>
      </c>
      <c r="S340" s="6">
        <f>[1]Hybrid!R21</f>
        <v>10022.06626</v>
      </c>
      <c r="T340" s="6">
        <f>[1]Hybrid!S21</f>
        <v>10148.83599</v>
      </c>
      <c r="U340" s="6">
        <f>[1]Hybrid!T21</f>
        <v>10270.953949999999</v>
      </c>
      <c r="V340" s="6">
        <f>[1]Hybrid!U21</f>
        <v>10388.060530000001</v>
      </c>
      <c r="W340" s="6">
        <f>[1]Hybrid!V21</f>
        <v>10499.133599999999</v>
      </c>
      <c r="X340" s="6">
        <f>[1]Hybrid!W21</f>
        <v>10606.23684</v>
      </c>
      <c r="Y340" s="6">
        <f>[1]Hybrid!X21</f>
        <v>10710.4836</v>
      </c>
      <c r="Z340" s="6">
        <f>[1]Hybrid!Y21</f>
        <v>10813.27051</v>
      </c>
      <c r="AA340" s="6">
        <f>[1]Hybrid!Z21</f>
        <v>10915.919379999999</v>
      </c>
      <c r="AB340" s="6">
        <f>[1]Hybrid!AA21</f>
        <v>11016.61356</v>
      </c>
      <c r="AC340" s="6">
        <f>[1]Hybrid!AB21</f>
        <v>11118.94764</v>
      </c>
      <c r="AD340" s="6">
        <f>[1]Hybrid!AC21</f>
        <v>11224.4367</v>
      </c>
      <c r="AE340" s="6">
        <f>[1]Hybrid!AD21</f>
        <v>11334.58232</v>
      </c>
      <c r="AF340" s="6">
        <f>[1]Hybrid!AE21</f>
        <v>11450.63114</v>
      </c>
      <c r="AG340" s="6">
        <f>[1]Hybrid!AF21</f>
        <v>11573.16517</v>
      </c>
      <c r="AH340" s="6">
        <f>[1]Hybrid!AG21</f>
        <v>11702.03909</v>
      </c>
      <c r="AI340" s="6">
        <f>[1]Hybrid!AH21</f>
        <v>11836.48918</v>
      </c>
      <c r="AJ340" s="6">
        <f>[1]Hybrid!AI21</f>
        <v>11975.254569999999</v>
      </c>
      <c r="AK340" s="6">
        <f>[1]Hybrid!AJ21</f>
        <v>12116.69175</v>
      </c>
      <c r="AL340" s="6">
        <f>[1]Hybrid!AK21</f>
        <v>12258.867469999999</v>
      </c>
    </row>
    <row r="341" spans="1:3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6645.4068960000004</v>
      </c>
      <c r="E341" s="6">
        <f>[1]Hybrid!D23</f>
        <v>6564.7450699999999</v>
      </c>
      <c r="F341" s="6">
        <f>[1]Hybrid!E23</f>
        <v>6520.9851570000001</v>
      </c>
      <c r="G341" s="6">
        <f>[1]Hybrid!F23</f>
        <v>6509.0645189999996</v>
      </c>
      <c r="H341" s="6">
        <f>[1]Hybrid!G23</f>
        <v>6521.4944230000001</v>
      </c>
      <c r="I341" s="6">
        <f>[1]Hybrid!H23</f>
        <v>6549.1733510000004</v>
      </c>
      <c r="J341" s="6">
        <f>[1]Hybrid!I23</f>
        <v>6587.3468439999997</v>
      </c>
      <c r="K341" s="6">
        <f>[1]Hybrid!J23</f>
        <v>6633.9229249999999</v>
      </c>
      <c r="L341" s="6">
        <f>[1]Hybrid!K23</f>
        <v>6687.6553880000001</v>
      </c>
      <c r="M341" s="6">
        <f>[1]Hybrid!L23</f>
        <v>6748.1618609999996</v>
      </c>
      <c r="N341" s="6">
        <f>[1]Hybrid!M23</f>
        <v>6811.5721489999996</v>
      </c>
      <c r="O341" s="6">
        <f>[1]Hybrid!N23</f>
        <v>6875.3896249999998</v>
      </c>
      <c r="P341" s="6">
        <f>[1]Hybrid!O23</f>
        <v>6937.4044110000004</v>
      </c>
      <c r="Q341" s="6">
        <f>[1]Hybrid!P23</f>
        <v>6995.872128</v>
      </c>
      <c r="R341" s="6">
        <f>[1]Hybrid!Q23</f>
        <v>7049.6639260000002</v>
      </c>
      <c r="S341" s="6">
        <f>[1]Hybrid!R23</f>
        <v>7101.5406590000002</v>
      </c>
      <c r="T341" s="6">
        <f>[1]Hybrid!S23</f>
        <v>7152.2918099999997</v>
      </c>
      <c r="U341" s="6">
        <f>[1]Hybrid!T23</f>
        <v>7201.7304139999997</v>
      </c>
      <c r="V341" s="6">
        <f>[1]Hybrid!U23</f>
        <v>7249.5724760000003</v>
      </c>
      <c r="W341" s="6">
        <f>[1]Hybrid!V23</f>
        <v>7295.0275949999996</v>
      </c>
      <c r="X341" s="6">
        <f>[1]Hybrid!W23</f>
        <v>7339.3044479999999</v>
      </c>
      <c r="Y341" s="6">
        <f>[1]Hybrid!X23</f>
        <v>7382.9490189999997</v>
      </c>
      <c r="Z341" s="6">
        <f>[1]Hybrid!Y23</f>
        <v>7426.672028</v>
      </c>
      <c r="AA341" s="6">
        <f>[1]Hybrid!Z23</f>
        <v>7471.1127230000002</v>
      </c>
      <c r="AB341" s="6">
        <f>[1]Hybrid!AA23</f>
        <v>7514.8263180000004</v>
      </c>
      <c r="AC341" s="6">
        <f>[1]Hybrid!AB23</f>
        <v>7559.9196179999999</v>
      </c>
      <c r="AD341" s="6">
        <f>[1]Hybrid!AC23</f>
        <v>7607.1204349999998</v>
      </c>
      <c r="AE341" s="6">
        <f>[1]Hybrid!AD23</f>
        <v>7657.1426449999999</v>
      </c>
      <c r="AF341" s="6">
        <f>[1]Hybrid!AE23</f>
        <v>7710.5405199999996</v>
      </c>
      <c r="AG341" s="6">
        <f>[1]Hybrid!AF23</f>
        <v>7767.4495829999996</v>
      </c>
      <c r="AH341" s="6">
        <f>[1]Hybrid!AG23</f>
        <v>7827.5531170000004</v>
      </c>
      <c r="AI341" s="6">
        <f>[1]Hybrid!AH23</f>
        <v>7890.1597089999996</v>
      </c>
      <c r="AJ341" s="6">
        <f>[1]Hybrid!AI23</f>
        <v>7954.2877429999999</v>
      </c>
      <c r="AK341" s="6">
        <f>[1]Hybrid!AJ23</f>
        <v>8018.7450140000001</v>
      </c>
      <c r="AL341" s="6">
        <f>[1]Hybrid!AK23</f>
        <v>8082.1938129999999</v>
      </c>
    </row>
    <row r="342" spans="1:3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4054.0480859999998</v>
      </c>
      <c r="E342" s="6">
        <f>[1]Hybrid!D25</f>
        <v>3977.8614480000001</v>
      </c>
      <c r="F342" s="6">
        <f>[1]Hybrid!E25</f>
        <v>3922.4064619999999</v>
      </c>
      <c r="G342" s="6">
        <f>[1]Hybrid!F25</f>
        <v>3884.4185980000002</v>
      </c>
      <c r="H342" s="6">
        <f>[1]Hybrid!G25</f>
        <v>3859.5532840000001</v>
      </c>
      <c r="I342" s="6">
        <f>[1]Hybrid!H25</f>
        <v>3842.6464169999999</v>
      </c>
      <c r="J342" s="6">
        <f>[1]Hybrid!I25</f>
        <v>3830.8870689999999</v>
      </c>
      <c r="K342" s="6">
        <f>[1]Hybrid!J25</f>
        <v>3822.9503749999999</v>
      </c>
      <c r="L342" s="6">
        <f>[1]Hybrid!K25</f>
        <v>3818.0390379999999</v>
      </c>
      <c r="M342" s="6">
        <f>[1]Hybrid!L25</f>
        <v>3815.8701679999999</v>
      </c>
      <c r="N342" s="6">
        <f>[1]Hybrid!M25</f>
        <v>3814.519139</v>
      </c>
      <c r="O342" s="6">
        <f>[1]Hybrid!N25</f>
        <v>3812.9212429999998</v>
      </c>
      <c r="P342" s="6">
        <f>[1]Hybrid!O25</f>
        <v>3810.2663600000001</v>
      </c>
      <c r="Q342" s="6">
        <f>[1]Hybrid!P25</f>
        <v>3806.013031</v>
      </c>
      <c r="R342" s="6">
        <f>[1]Hybrid!Q25</f>
        <v>3799.903785</v>
      </c>
      <c r="S342" s="6">
        <f>[1]Hybrid!R25</f>
        <v>3793.5595870000002</v>
      </c>
      <c r="T342" s="6">
        <f>[1]Hybrid!S25</f>
        <v>3787.6343919999999</v>
      </c>
      <c r="U342" s="6">
        <f>[1]Hybrid!T25</f>
        <v>3782.2227760000001</v>
      </c>
      <c r="V342" s="6">
        <f>[1]Hybrid!U25</f>
        <v>3777.2680949999999</v>
      </c>
      <c r="W342" s="6">
        <f>[1]Hybrid!V25</f>
        <v>3772.3788370000002</v>
      </c>
      <c r="X342" s="6">
        <f>[1]Hybrid!W25</f>
        <v>3768.0400239999999</v>
      </c>
      <c r="Y342" s="6">
        <f>[1]Hybrid!X25</f>
        <v>3764.366125</v>
      </c>
      <c r="Z342" s="6">
        <f>[1]Hybrid!Y25</f>
        <v>3761.5027700000001</v>
      </c>
      <c r="AA342" s="6">
        <f>[1]Hybrid!Z25</f>
        <v>3759.5126489999998</v>
      </c>
      <c r="AB342" s="6">
        <f>[1]Hybrid!AA25</f>
        <v>3757.4465690000002</v>
      </c>
      <c r="AC342" s="6">
        <f>[1]Hybrid!AB25</f>
        <v>3755.9824859999999</v>
      </c>
      <c r="AD342" s="6">
        <f>[1]Hybrid!AC25</f>
        <v>3755.1409269999999</v>
      </c>
      <c r="AE342" s="6">
        <f>[1]Hybrid!AD25</f>
        <v>3754.9329400000001</v>
      </c>
      <c r="AF342" s="6">
        <f>[1]Hybrid!AE25</f>
        <v>3755.321414</v>
      </c>
      <c r="AG342" s="6">
        <f>[1]Hybrid!AF25</f>
        <v>3756.1181379999998</v>
      </c>
      <c r="AH342" s="6">
        <f>[1]Hybrid!AG25</f>
        <v>3756.9794080000001</v>
      </c>
      <c r="AI342" s="6">
        <f>[1]Hybrid!AH25</f>
        <v>3757.4491290000001</v>
      </c>
      <c r="AJ342" s="6">
        <f>[1]Hybrid!AI25</f>
        <v>3757.002281</v>
      </c>
      <c r="AK342" s="6">
        <f>[1]Hybrid!AJ25</f>
        <v>3755.0845549999999</v>
      </c>
      <c r="AL342" s="6">
        <f>[1]Hybrid!AK25</f>
        <v>3751.1439409999998</v>
      </c>
    </row>
    <row r="343" spans="1:3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2442.4863789999999</v>
      </c>
      <c r="E343" s="6">
        <f>[1]Hybrid!D27</f>
        <v>2398.124683</v>
      </c>
      <c r="F343" s="6">
        <f>[1]Hybrid!E27</f>
        <v>2365.1048340000002</v>
      </c>
      <c r="G343" s="6">
        <f>[1]Hybrid!F27</f>
        <v>2341.3011780000002</v>
      </c>
      <c r="H343" s="6">
        <f>[1]Hybrid!G27</f>
        <v>2324.0773250000002</v>
      </c>
      <c r="I343" s="6">
        <f>[1]Hybrid!H27</f>
        <v>2310.322392</v>
      </c>
      <c r="J343" s="6">
        <f>[1]Hybrid!I27</f>
        <v>2298.3283689999998</v>
      </c>
      <c r="K343" s="6">
        <f>[1]Hybrid!J27</f>
        <v>2287.296292</v>
      </c>
      <c r="L343" s="6">
        <f>[1]Hybrid!K27</f>
        <v>2276.7750599999999</v>
      </c>
      <c r="M343" s="6">
        <f>[1]Hybrid!L27</f>
        <v>2266.6407410000002</v>
      </c>
      <c r="N343" s="6">
        <f>[1]Hybrid!M27</f>
        <v>2255.9006359999998</v>
      </c>
      <c r="O343" s="6">
        <f>[1]Hybrid!N27</f>
        <v>2244.1237850000002</v>
      </c>
      <c r="P343" s="6">
        <f>[1]Hybrid!O27</f>
        <v>2231.0671349999998</v>
      </c>
      <c r="Q343" s="6">
        <f>[1]Hybrid!P27</f>
        <v>2216.644018</v>
      </c>
      <c r="R343" s="6">
        <f>[1]Hybrid!Q27</f>
        <v>2200.9034029999998</v>
      </c>
      <c r="S343" s="6">
        <f>[1]Hybrid!R27</f>
        <v>2184.8990549999999</v>
      </c>
      <c r="T343" s="6">
        <f>[1]Hybrid!S27</f>
        <v>2169.1529089999999</v>
      </c>
      <c r="U343" s="6">
        <f>[1]Hybrid!T27</f>
        <v>2153.8366249999999</v>
      </c>
      <c r="V343" s="6">
        <f>[1]Hybrid!U27</f>
        <v>2138.9833859999999</v>
      </c>
      <c r="W343" s="6">
        <f>[1]Hybrid!V27</f>
        <v>2124.3983239999998</v>
      </c>
      <c r="X343" s="6">
        <f>[1]Hybrid!W27</f>
        <v>2110.308113</v>
      </c>
      <c r="Y343" s="6">
        <f>[1]Hybrid!X27</f>
        <v>2096.7135600000001</v>
      </c>
      <c r="Z343" s="6">
        <f>[1]Hybrid!Y27</f>
        <v>2083.6067939999998</v>
      </c>
      <c r="AA343" s="6">
        <f>[1]Hybrid!Z27</f>
        <v>2070.912116</v>
      </c>
      <c r="AB343" s="6">
        <f>[1]Hybrid!AA27</f>
        <v>2058.0169980000001</v>
      </c>
      <c r="AC343" s="6">
        <f>[1]Hybrid!AB27</f>
        <v>2045.1318839999999</v>
      </c>
      <c r="AD343" s="6">
        <f>[1]Hybrid!AC27</f>
        <v>2032.126319</v>
      </c>
      <c r="AE343" s="6">
        <f>[1]Hybrid!AD27</f>
        <v>2018.868174</v>
      </c>
      <c r="AF343" s="6">
        <f>[1]Hybrid!AE27</f>
        <v>2005.217938</v>
      </c>
      <c r="AG343" s="6">
        <f>[1]Hybrid!AF27</f>
        <v>1990.9851000000001</v>
      </c>
      <c r="AH343" s="6">
        <f>[1]Hybrid!AG27</f>
        <v>1975.931405</v>
      </c>
      <c r="AI343" s="6">
        <f>[1]Hybrid!AH27</f>
        <v>1959.7956449999999</v>
      </c>
      <c r="AJ343" s="6">
        <f>[1]Hybrid!AI27</f>
        <v>1942.316636</v>
      </c>
      <c r="AK343" s="6">
        <f>[1]Hybrid!AJ27</f>
        <v>1923.252915</v>
      </c>
      <c r="AL343" s="6">
        <f>[1]Hybrid!AK27</f>
        <v>1902.3972429999999</v>
      </c>
    </row>
    <row r="344" spans="1:3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1210.5871079999999</v>
      </c>
      <c r="E344" s="6">
        <f>[1]Hybrid!D29</f>
        <v>1184.4497730000001</v>
      </c>
      <c r="F344" s="6">
        <f>[1]Hybrid!E29</f>
        <v>1162.271741</v>
      </c>
      <c r="G344" s="6">
        <f>[1]Hybrid!F29</f>
        <v>1142.845116</v>
      </c>
      <c r="H344" s="6">
        <f>[1]Hybrid!G29</f>
        <v>1124.9316060000001</v>
      </c>
      <c r="I344" s="6">
        <f>[1]Hybrid!H29</f>
        <v>1107.1602339999999</v>
      </c>
      <c r="J344" s="6">
        <f>[1]Hybrid!I29</f>
        <v>1088.8162910000001</v>
      </c>
      <c r="K344" s="6">
        <f>[1]Hybrid!J29</f>
        <v>1069.6272140000001</v>
      </c>
      <c r="L344" s="6">
        <f>[1]Hybrid!K29</f>
        <v>1049.513657</v>
      </c>
      <c r="M344" s="6">
        <f>[1]Hybrid!L29</f>
        <v>1028.557135</v>
      </c>
      <c r="N344" s="6">
        <f>[1]Hybrid!M29</f>
        <v>1006.589295</v>
      </c>
      <c r="O344" s="6">
        <f>[1]Hybrid!N29</f>
        <v>983.71747919999996</v>
      </c>
      <c r="P344" s="6">
        <f>[1]Hybrid!O29</f>
        <v>960.14370780000002</v>
      </c>
      <c r="Q344" s="6">
        <f>[1]Hybrid!P29</f>
        <v>936.10686850000002</v>
      </c>
      <c r="R344" s="6">
        <f>[1]Hybrid!Q29</f>
        <v>911.84664940000005</v>
      </c>
      <c r="S344" s="6">
        <f>[1]Hybrid!R29</f>
        <v>887.87646549999999</v>
      </c>
      <c r="T344" s="6">
        <f>[1]Hybrid!S29</f>
        <v>864.50958890000004</v>
      </c>
      <c r="U344" s="6">
        <f>[1]Hybrid!T29</f>
        <v>841.89644080000005</v>
      </c>
      <c r="V344" s="6">
        <f>[1]Hybrid!U29</f>
        <v>820.08974330000001</v>
      </c>
      <c r="W344" s="6">
        <f>[1]Hybrid!V29</f>
        <v>799.02920529999994</v>
      </c>
      <c r="X344" s="6">
        <f>[1]Hybrid!W29</f>
        <v>778.73851249999996</v>
      </c>
      <c r="Y344" s="6">
        <f>[1]Hybrid!X29</f>
        <v>759.15146870000001</v>
      </c>
      <c r="Z344" s="6">
        <f>[1]Hybrid!Y29</f>
        <v>740.18019360000005</v>
      </c>
      <c r="AA344" s="6">
        <f>[1]Hybrid!Z29</f>
        <v>721.70115369999996</v>
      </c>
      <c r="AB344" s="6">
        <f>[1]Hybrid!AA29</f>
        <v>703.44266000000005</v>
      </c>
      <c r="AC344" s="6">
        <f>[1]Hybrid!AB29</f>
        <v>685.34667730000001</v>
      </c>
      <c r="AD344" s="6">
        <f>[1]Hybrid!AC29</f>
        <v>667.27576450000004</v>
      </c>
      <c r="AE344" s="6">
        <f>[1]Hybrid!AD29</f>
        <v>649.10864489999994</v>
      </c>
      <c r="AF344" s="6">
        <f>[1]Hybrid!AE29</f>
        <v>630.75014329999999</v>
      </c>
      <c r="AG344" s="6">
        <f>[1]Hybrid!AF29</f>
        <v>612.12497480000002</v>
      </c>
      <c r="AH344" s="6">
        <f>[1]Hybrid!AG29</f>
        <v>593.17935850000003</v>
      </c>
      <c r="AI344" s="6">
        <f>[1]Hybrid!AH29</f>
        <v>573.88503040000001</v>
      </c>
      <c r="AJ344" s="6">
        <f>[1]Hybrid!AI29</f>
        <v>554.24076739999998</v>
      </c>
      <c r="AK344" s="6">
        <f>[1]Hybrid!AJ29</f>
        <v>534.27191540000001</v>
      </c>
      <c r="AL344" s="6">
        <f>[1]Hybrid!AK29</f>
        <v>514.02799630000004</v>
      </c>
    </row>
    <row r="345" spans="1:3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2183.4438169999999</v>
      </c>
      <c r="E345" s="6">
        <f>[1]Hybrid!D31</f>
        <v>2137.4847340000001</v>
      </c>
      <c r="F345" s="6">
        <f>[1]Hybrid!E31</f>
        <v>2095.8509100000001</v>
      </c>
      <c r="G345" s="6">
        <f>[1]Hybrid!F31</f>
        <v>2056.21702</v>
      </c>
      <c r="H345" s="6">
        <f>[1]Hybrid!G31</f>
        <v>2016.538879</v>
      </c>
      <c r="I345" s="6">
        <f>[1]Hybrid!H31</f>
        <v>1974.6690719999999</v>
      </c>
      <c r="J345" s="6">
        <f>[1]Hybrid!I31</f>
        <v>1929.6550789999999</v>
      </c>
      <c r="K345" s="6">
        <f>[1]Hybrid!J31</f>
        <v>1881.359784</v>
      </c>
      <c r="L345" s="6">
        <f>[1]Hybrid!K31</f>
        <v>1830.0155520000001</v>
      </c>
      <c r="M345" s="6">
        <f>[1]Hybrid!L31</f>
        <v>1776.1273309999999</v>
      </c>
      <c r="N345" s="6">
        <f>[1]Hybrid!M31</f>
        <v>1719.886857</v>
      </c>
      <c r="O345" s="6">
        <f>[1]Hybrid!N31</f>
        <v>1661.926451</v>
      </c>
      <c r="P345" s="6">
        <f>[1]Hybrid!O31</f>
        <v>1602.9902</v>
      </c>
      <c r="Q345" s="6">
        <f>[1]Hybrid!P31</f>
        <v>1543.8005290000001</v>
      </c>
      <c r="R345" s="6">
        <f>[1]Hybrid!Q31</f>
        <v>1484.9860060000001</v>
      </c>
      <c r="S345" s="6">
        <f>[1]Hybrid!R31</f>
        <v>1427.4402359999999</v>
      </c>
      <c r="T345" s="6">
        <f>[1]Hybrid!S31</f>
        <v>1371.735606</v>
      </c>
      <c r="U345" s="6">
        <f>[1]Hybrid!T31</f>
        <v>1318.161257</v>
      </c>
      <c r="V345" s="6">
        <f>[1]Hybrid!U31</f>
        <v>1266.8146670000001</v>
      </c>
      <c r="W345" s="6">
        <f>[1]Hybrid!V31</f>
        <v>1217.603022</v>
      </c>
      <c r="X345" s="6">
        <f>[1]Hybrid!W31</f>
        <v>1170.491794</v>
      </c>
      <c r="Y345" s="6">
        <f>[1]Hybrid!X31</f>
        <v>1125.3173039999999</v>
      </c>
      <c r="Z345" s="6">
        <f>[1]Hybrid!Y31</f>
        <v>1081.8765080000001</v>
      </c>
      <c r="AA345" s="6">
        <f>[1]Hybrid!Z31</f>
        <v>1039.9174</v>
      </c>
      <c r="AB345" s="6">
        <f>[1]Hybrid!AA31</f>
        <v>999.03142749999995</v>
      </c>
      <c r="AC345" s="6">
        <f>[1]Hybrid!AB31</f>
        <v>959.05234859999996</v>
      </c>
      <c r="AD345" s="6">
        <f>[1]Hybrid!AC31</f>
        <v>919.75192570000002</v>
      </c>
      <c r="AE345" s="6">
        <f>[1]Hybrid!AD31</f>
        <v>880.94873250000001</v>
      </c>
      <c r="AF345" s="6">
        <f>[1]Hybrid!AE31</f>
        <v>842.52506040000003</v>
      </c>
      <c r="AG345" s="6">
        <f>[1]Hybrid!AF31</f>
        <v>804.41911889999994</v>
      </c>
      <c r="AH345" s="6">
        <f>[1]Hybrid!AG31</f>
        <v>766.62089990000004</v>
      </c>
      <c r="AI345" s="6">
        <f>[1]Hybrid!AH31</f>
        <v>729.16784070000006</v>
      </c>
      <c r="AJ345" s="6">
        <f>[1]Hybrid!AI31</f>
        <v>692.1369191</v>
      </c>
      <c r="AK345" s="6">
        <f>[1]Hybrid!AJ31</f>
        <v>655.63495560000001</v>
      </c>
      <c r="AL345" s="6">
        <f>[1]Hybrid!AK31</f>
        <v>619.78803359999995</v>
      </c>
    </row>
    <row r="346" spans="1:3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15.130715759999999</v>
      </c>
      <c r="E346" s="6">
        <f>[1]Hybrid!D33</f>
        <v>21.018488900000001</v>
      </c>
      <c r="F346" s="6">
        <f>[1]Hybrid!E33</f>
        <v>27.459171940000001</v>
      </c>
      <c r="G346" s="6">
        <f>[1]Hybrid!F33</f>
        <v>34.509364079999997</v>
      </c>
      <c r="H346" s="6">
        <f>[1]Hybrid!G33</f>
        <v>42.06913874</v>
      </c>
      <c r="I346" s="6">
        <f>[1]Hybrid!H33</f>
        <v>50.030893509999999</v>
      </c>
      <c r="J346" s="6">
        <f>[1]Hybrid!I33</f>
        <v>58.417175880000002</v>
      </c>
      <c r="K346" s="6">
        <f>[1]Hybrid!J33</f>
        <v>67.337870839999994</v>
      </c>
      <c r="L346" s="6">
        <f>[1]Hybrid!K33</f>
        <v>76.938975049999996</v>
      </c>
      <c r="M346" s="6">
        <f>[1]Hybrid!L33</f>
        <v>87.399564409999996</v>
      </c>
      <c r="N346" s="6">
        <f>[1]Hybrid!M33</f>
        <v>98.820367970000007</v>
      </c>
      <c r="O346" s="6">
        <f>[1]Hybrid!N33</f>
        <v>111.31724</v>
      </c>
      <c r="P346" s="6">
        <f>[1]Hybrid!O33</f>
        <v>124.9953953</v>
      </c>
      <c r="Q346" s="6">
        <f>[1]Hybrid!P33</f>
        <v>139.95626060000001</v>
      </c>
      <c r="R346" s="6">
        <f>[1]Hybrid!Q33</f>
        <v>156.30873339999999</v>
      </c>
      <c r="S346" s="6">
        <f>[1]Hybrid!R33</f>
        <v>174.25122690000001</v>
      </c>
      <c r="T346" s="6">
        <f>[1]Hybrid!S33</f>
        <v>193.83186069999999</v>
      </c>
      <c r="U346" s="6">
        <f>[1]Hybrid!T33</f>
        <v>215.03852019999999</v>
      </c>
      <c r="V346" s="6">
        <f>[1]Hybrid!U33</f>
        <v>237.8658513</v>
      </c>
      <c r="W346" s="6">
        <f>[1]Hybrid!V33</f>
        <v>262.30491490000003</v>
      </c>
      <c r="X346" s="6">
        <f>[1]Hybrid!W33</f>
        <v>288.48584080000001</v>
      </c>
      <c r="Y346" s="6">
        <f>[1]Hybrid!X33</f>
        <v>316.54455539999998</v>
      </c>
      <c r="Z346" s="6">
        <f>[1]Hybrid!Y33</f>
        <v>346.66689179999997</v>
      </c>
      <c r="AA346" s="6">
        <f>[1]Hybrid!Z33</f>
        <v>379.07665759999998</v>
      </c>
      <c r="AB346" s="6">
        <f>[1]Hybrid!AA33</f>
        <v>413.87589809999997</v>
      </c>
      <c r="AC346" s="6">
        <f>[1]Hybrid!AB33</f>
        <v>451.47498330000002</v>
      </c>
      <c r="AD346" s="6">
        <f>[1]Hybrid!AC33</f>
        <v>492.23804740000003</v>
      </c>
      <c r="AE346" s="6">
        <f>[1]Hybrid!AD33</f>
        <v>536.58542809999994</v>
      </c>
      <c r="AF346" s="6">
        <f>[1]Hybrid!AE33</f>
        <v>584.98142089999999</v>
      </c>
      <c r="AG346" s="6">
        <f>[1]Hybrid!AF33</f>
        <v>637.90381669999999</v>
      </c>
      <c r="AH346" s="6">
        <f>[1]Hybrid!AG33</f>
        <v>695.82911950000005</v>
      </c>
      <c r="AI346" s="6">
        <f>[1]Hybrid!AH33</f>
        <v>759.22816569999998</v>
      </c>
      <c r="AJ346" s="6">
        <f>[1]Hybrid!AI33</f>
        <v>828.56329549999998</v>
      </c>
      <c r="AK346" s="6">
        <f>[1]Hybrid!AJ33</f>
        <v>904.28579609999997</v>
      </c>
      <c r="AL346" s="6">
        <f>[1]Hybrid!AK33</f>
        <v>986.83205150000003</v>
      </c>
    </row>
    <row r="347" spans="1:3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16.449083439999999</v>
      </c>
      <c r="E347" s="6">
        <f>[1]Hybrid!D35</f>
        <v>22.036286789999998</v>
      </c>
      <c r="F347" s="6">
        <f>[1]Hybrid!E35</f>
        <v>28.165392659999998</v>
      </c>
      <c r="G347" s="6">
        <f>[1]Hybrid!F35</f>
        <v>34.892828950000002</v>
      </c>
      <c r="H347" s="6">
        <f>[1]Hybrid!G35</f>
        <v>42.120000019999999</v>
      </c>
      <c r="I347" s="6">
        <f>[1]Hybrid!H35</f>
        <v>49.741131070000002</v>
      </c>
      <c r="J347" s="6">
        <f>[1]Hybrid!I35</f>
        <v>57.77746089</v>
      </c>
      <c r="K347" s="6">
        <f>[1]Hybrid!J35</f>
        <v>66.33560086</v>
      </c>
      <c r="L347" s="6">
        <f>[1]Hybrid!K35</f>
        <v>75.557232929999998</v>
      </c>
      <c r="M347" s="6">
        <f>[1]Hybrid!L35</f>
        <v>85.615640799999994</v>
      </c>
      <c r="N347" s="6">
        <f>[1]Hybrid!M35</f>
        <v>96.60834199</v>
      </c>
      <c r="O347" s="6">
        <f>[1]Hybrid!N35</f>
        <v>108.64783629999999</v>
      </c>
      <c r="P347" s="6">
        <f>[1]Hybrid!O35</f>
        <v>121.83692480000001</v>
      </c>
      <c r="Q347" s="6">
        <f>[1]Hybrid!P35</f>
        <v>136.27510079999999</v>
      </c>
      <c r="R347" s="6">
        <f>[1]Hybrid!Q35</f>
        <v>152.0690725</v>
      </c>
      <c r="S347" s="6">
        <f>[1]Hybrid!R35</f>
        <v>169.4133535</v>
      </c>
      <c r="T347" s="6">
        <f>[1]Hybrid!S35</f>
        <v>188.3592447</v>
      </c>
      <c r="U347" s="6">
        <f>[1]Hybrid!T35</f>
        <v>208.8990982</v>
      </c>
      <c r="V347" s="6">
        <f>[1]Hybrid!U35</f>
        <v>231.0296366</v>
      </c>
      <c r="W347" s="6">
        <f>[1]Hybrid!V35</f>
        <v>254.7412454</v>
      </c>
      <c r="X347" s="6">
        <f>[1]Hybrid!W35</f>
        <v>280.15637930000003</v>
      </c>
      <c r="Y347" s="6">
        <f>[1]Hybrid!X35</f>
        <v>307.40025250000002</v>
      </c>
      <c r="Z347" s="6">
        <f>[1]Hybrid!Y35</f>
        <v>336.6432878</v>
      </c>
      <c r="AA347" s="6">
        <f>[1]Hybrid!Z35</f>
        <v>368.08863239999999</v>
      </c>
      <c r="AB347" s="6">
        <f>[1]Hybrid!AA35</f>
        <v>401.81634459999998</v>
      </c>
      <c r="AC347" s="6">
        <f>[1]Hybrid!AB35</f>
        <v>438.19983589999998</v>
      </c>
      <c r="AD347" s="6">
        <f>[1]Hybrid!AC35</f>
        <v>477.5610385</v>
      </c>
      <c r="AE347" s="6">
        <f>[1]Hybrid!AD35</f>
        <v>520.26872040000001</v>
      </c>
      <c r="AF347" s="6">
        <f>[1]Hybrid!AE35</f>
        <v>566.72639909999998</v>
      </c>
      <c r="AG347" s="6">
        <f>[1]Hybrid!AF35</f>
        <v>617.3424493</v>
      </c>
      <c r="AH347" s="6">
        <f>[1]Hybrid!AG35</f>
        <v>672.51538879999998</v>
      </c>
      <c r="AI347" s="6">
        <f>[1]Hybrid!AH35</f>
        <v>732.62932590000003</v>
      </c>
      <c r="AJ347" s="6">
        <f>[1]Hybrid!AI35</f>
        <v>798.0510544</v>
      </c>
      <c r="AK347" s="6">
        <f>[1]Hybrid!AJ35</f>
        <v>869.12767140000005</v>
      </c>
      <c r="AL347" s="6">
        <f>[1]Hybrid!AK35</f>
        <v>946.18329359999996</v>
      </c>
    </row>
    <row r="348" spans="1:3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12.80962594</v>
      </c>
      <c r="E348" s="6">
        <f>[1]Hybrid!D37</f>
        <v>16.62680422</v>
      </c>
      <c r="F348" s="6">
        <f>[1]Hybrid!E37</f>
        <v>20.825800940000001</v>
      </c>
      <c r="G348" s="6">
        <f>[1]Hybrid!F37</f>
        <v>25.44673504</v>
      </c>
      <c r="H348" s="6">
        <f>[1]Hybrid!G37</f>
        <v>30.41953784</v>
      </c>
      <c r="I348" s="6">
        <f>[1]Hybrid!H37</f>
        <v>35.669245019999998</v>
      </c>
      <c r="J348" s="6">
        <f>[1]Hybrid!I37</f>
        <v>41.209939259999999</v>
      </c>
      <c r="K348" s="6">
        <f>[1]Hybrid!J37</f>
        <v>47.115603419999999</v>
      </c>
      <c r="L348" s="6">
        <f>[1]Hybrid!K37</f>
        <v>53.484621179999998</v>
      </c>
      <c r="M348" s="6">
        <f>[1]Hybrid!L37</f>
        <v>60.437009979999999</v>
      </c>
      <c r="N348" s="6">
        <f>[1]Hybrid!M37</f>
        <v>68.040029700000005</v>
      </c>
      <c r="O348" s="6">
        <f>[1]Hybrid!N37</f>
        <v>76.371613609999997</v>
      </c>
      <c r="P348" s="6">
        <f>[1]Hybrid!O37</f>
        <v>85.503378960000006</v>
      </c>
      <c r="Q348" s="6">
        <f>[1]Hybrid!P37</f>
        <v>95.504917789999993</v>
      </c>
      <c r="R348" s="6">
        <f>[1]Hybrid!Q37</f>
        <v>106.4508515</v>
      </c>
      <c r="S348" s="6">
        <f>[1]Hybrid!R37</f>
        <v>118.47773100000001</v>
      </c>
      <c r="T348" s="6">
        <f>[1]Hybrid!S37</f>
        <v>131.62429280000001</v>
      </c>
      <c r="U348" s="6">
        <f>[1]Hybrid!T37</f>
        <v>145.88795049999999</v>
      </c>
      <c r="V348" s="6">
        <f>[1]Hybrid!U37</f>
        <v>161.2676726</v>
      </c>
      <c r="W348" s="6">
        <f>[1]Hybrid!V37</f>
        <v>177.75603570000001</v>
      </c>
      <c r="X348" s="6">
        <f>[1]Hybrid!W37</f>
        <v>195.43552149999999</v>
      </c>
      <c r="Y348" s="6">
        <f>[1]Hybrid!X37</f>
        <v>214.38850210000001</v>
      </c>
      <c r="Z348" s="6">
        <f>[1]Hybrid!Y37</f>
        <v>234.72654660000001</v>
      </c>
      <c r="AA348" s="6">
        <f>[1]Hybrid!Z37</f>
        <v>256.58112360000001</v>
      </c>
      <c r="AB348" s="6">
        <f>[1]Hybrid!AA37</f>
        <v>279.99470220000001</v>
      </c>
      <c r="AC348" s="6">
        <f>[1]Hybrid!AB37</f>
        <v>305.20983269999999</v>
      </c>
      <c r="AD348" s="6">
        <f>[1]Hybrid!AC37</f>
        <v>332.42881519999997</v>
      </c>
      <c r="AE348" s="6">
        <f>[1]Hybrid!AD37</f>
        <v>361.88143050000002</v>
      </c>
      <c r="AF348" s="6">
        <f>[1]Hybrid!AE37</f>
        <v>393.81650919999998</v>
      </c>
      <c r="AG348" s="6">
        <f>[1]Hybrid!AF37</f>
        <v>428.48105980000003</v>
      </c>
      <c r="AH348" s="6">
        <f>[1]Hybrid!AG37</f>
        <v>466.10994920000002</v>
      </c>
      <c r="AI348" s="6">
        <f>[1]Hybrid!AH37</f>
        <v>506.92271060000002</v>
      </c>
      <c r="AJ348" s="6">
        <f>[1]Hybrid!AI37</f>
        <v>551.12160249999999</v>
      </c>
      <c r="AK348" s="6">
        <f>[1]Hybrid!AJ37</f>
        <v>598.89021219999995</v>
      </c>
      <c r="AL348" s="6">
        <f>[1]Hybrid!AK37</f>
        <v>650.39166409999996</v>
      </c>
    </row>
    <row r="349" spans="1:3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7.589727806</v>
      </c>
      <c r="E349" s="6">
        <f>[1]Hybrid!D39</f>
        <v>9.5752469999999992</v>
      </c>
      <c r="F349" s="6">
        <f>[1]Hybrid!E39</f>
        <v>11.68223579</v>
      </c>
      <c r="G349" s="6">
        <f>[1]Hybrid!F39</f>
        <v>13.908344870000001</v>
      </c>
      <c r="H349" s="6">
        <f>[1]Hybrid!G39</f>
        <v>16.217858719999999</v>
      </c>
      <c r="I349" s="6">
        <f>[1]Hybrid!H39</f>
        <v>18.568790400000001</v>
      </c>
      <c r="J349" s="6">
        <f>[1]Hybrid!I39</f>
        <v>20.951652429999999</v>
      </c>
      <c r="K349" s="6">
        <f>[1]Hybrid!J39</f>
        <v>23.378096119999999</v>
      </c>
      <c r="L349" s="6">
        <f>[1]Hybrid!K39</f>
        <v>25.867458620000001</v>
      </c>
      <c r="M349" s="6">
        <f>[1]Hybrid!L39</f>
        <v>28.445884660000001</v>
      </c>
      <c r="N349" s="6">
        <f>[1]Hybrid!M39</f>
        <v>31.118476139999999</v>
      </c>
      <c r="O349" s="6">
        <f>[1]Hybrid!N39</f>
        <v>33.896901839999998</v>
      </c>
      <c r="P349" s="6">
        <f>[1]Hybrid!O39</f>
        <v>36.792584490000003</v>
      </c>
      <c r="Q349" s="6">
        <f>[1]Hybrid!P39</f>
        <v>39.817599479999998</v>
      </c>
      <c r="R349" s="6">
        <f>[1]Hybrid!Q39</f>
        <v>42.986131020000002</v>
      </c>
      <c r="S349" s="6">
        <f>[1]Hybrid!R39</f>
        <v>46.335901339999999</v>
      </c>
      <c r="T349" s="6">
        <f>[1]Hybrid!S39</f>
        <v>49.879343280000001</v>
      </c>
      <c r="U349" s="6">
        <f>[1]Hybrid!T39</f>
        <v>53.6168975</v>
      </c>
      <c r="V349" s="6">
        <f>[1]Hybrid!U39</f>
        <v>57.547722059999998</v>
      </c>
      <c r="W349" s="6">
        <f>[1]Hybrid!V39</f>
        <v>61.666685710000003</v>
      </c>
      <c r="X349" s="6">
        <f>[1]Hybrid!W39</f>
        <v>65.991159870000004</v>
      </c>
      <c r="Y349" s="6">
        <f>[1]Hybrid!X39</f>
        <v>70.53521902</v>
      </c>
      <c r="Z349" s="6">
        <f>[1]Hybrid!Y39</f>
        <v>75.317706220000005</v>
      </c>
      <c r="AA349" s="6">
        <f>[1]Hybrid!Z39</f>
        <v>80.359180550000005</v>
      </c>
      <c r="AB349" s="6">
        <f>[1]Hybrid!AA39</f>
        <v>85.654069309999997</v>
      </c>
      <c r="AC349" s="6">
        <f>[1]Hybrid!AB39</f>
        <v>91.244287589999999</v>
      </c>
      <c r="AD349" s="6">
        <f>[1]Hybrid!AC39</f>
        <v>97.157285990000005</v>
      </c>
      <c r="AE349" s="6">
        <f>[1]Hybrid!AD39</f>
        <v>103.4232385</v>
      </c>
      <c r="AF349" s="6">
        <f>[1]Hybrid!AE39</f>
        <v>110.0734933</v>
      </c>
      <c r="AG349" s="6">
        <f>[1]Hybrid!AF39</f>
        <v>117.1360576</v>
      </c>
      <c r="AH349" s="6">
        <f>[1]Hybrid!AG39</f>
        <v>124.6337674</v>
      </c>
      <c r="AI349" s="6">
        <f>[1]Hybrid!AH39</f>
        <v>132.5842025</v>
      </c>
      <c r="AJ349" s="6">
        <f>[1]Hybrid!AI39</f>
        <v>140.99991729999999</v>
      </c>
      <c r="AK349" s="6">
        <f>[1]Hybrid!AJ39</f>
        <v>149.8888638</v>
      </c>
      <c r="AL349" s="6">
        <f>[1]Hybrid!AK39</f>
        <v>159.2548074</v>
      </c>
    </row>
    <row r="350" spans="1:3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4.5933149699999998</v>
      </c>
      <c r="E350" s="6">
        <f>[1]Hybrid!D41</f>
        <v>5.8101696540000001</v>
      </c>
      <c r="F350" s="6">
        <f>[1]Hybrid!E41</f>
        <v>7.0948356380000002</v>
      </c>
      <c r="G350" s="6">
        <f>[1]Hybrid!F41</f>
        <v>8.4443247370000005</v>
      </c>
      <c r="H350" s="6">
        <f>[1]Hybrid!G41</f>
        <v>9.8351280350000003</v>
      </c>
      <c r="I350" s="6">
        <f>[1]Hybrid!H41</f>
        <v>11.24032178</v>
      </c>
      <c r="J350" s="6">
        <f>[1]Hybrid!I41</f>
        <v>12.653069970000001</v>
      </c>
      <c r="K350" s="6">
        <f>[1]Hybrid!J41</f>
        <v>14.07951029</v>
      </c>
      <c r="L350" s="6">
        <f>[1]Hybrid!K41</f>
        <v>15.530363619999999</v>
      </c>
      <c r="M350" s="6">
        <f>[1]Hybrid!L41</f>
        <v>17.020196869999999</v>
      </c>
      <c r="N350" s="6">
        <f>[1]Hybrid!M41</f>
        <v>18.55147255</v>
      </c>
      <c r="O350" s="6">
        <f>[1]Hybrid!N41</f>
        <v>20.131019689999999</v>
      </c>
      <c r="P350" s="6">
        <f>[1]Hybrid!O41</f>
        <v>21.765996850000001</v>
      </c>
      <c r="Q350" s="6">
        <f>[1]Hybrid!P41</f>
        <v>23.46414231</v>
      </c>
      <c r="R350" s="6">
        <f>[1]Hybrid!Q41</f>
        <v>25.234335120000001</v>
      </c>
      <c r="S350" s="6">
        <f>[1]Hybrid!R41</f>
        <v>27.098963739999999</v>
      </c>
      <c r="T350" s="6">
        <f>[1]Hybrid!S41</f>
        <v>29.06635327</v>
      </c>
      <c r="U350" s="6">
        <f>[1]Hybrid!T41</f>
        <v>31.13767846</v>
      </c>
      <c r="V350" s="6">
        <f>[1]Hybrid!U41</f>
        <v>33.312671819999998</v>
      </c>
      <c r="W350" s="6">
        <f>[1]Hybrid!V41</f>
        <v>35.58777868</v>
      </c>
      <c r="X350" s="6">
        <f>[1]Hybrid!W41</f>
        <v>37.971210110000001</v>
      </c>
      <c r="Y350" s="6">
        <f>[1]Hybrid!X41</f>
        <v>40.46840229</v>
      </c>
      <c r="Z350" s="6">
        <f>[1]Hybrid!Y41</f>
        <v>43.086438049999998</v>
      </c>
      <c r="AA350" s="6">
        <f>[1]Hybrid!Z41</f>
        <v>45.83207427</v>
      </c>
      <c r="AB350" s="6">
        <f>[1]Hybrid!AA41</f>
        <v>48.696200210000001</v>
      </c>
      <c r="AC350" s="6">
        <f>[1]Hybrid!AB41</f>
        <v>51.694530919999998</v>
      </c>
      <c r="AD350" s="6">
        <f>[1]Hybrid!AC41</f>
        <v>54.83328143</v>
      </c>
      <c r="AE350" s="6">
        <f>[1]Hybrid!AD41</f>
        <v>58.118673690000001</v>
      </c>
      <c r="AF350" s="6">
        <f>[1]Hybrid!AE41</f>
        <v>61.556406330000002</v>
      </c>
      <c r="AG350" s="6">
        <f>[1]Hybrid!AF41</f>
        <v>65.149425559999997</v>
      </c>
      <c r="AH350" s="6">
        <f>[1]Hybrid!AG41</f>
        <v>68.897165849999993</v>
      </c>
      <c r="AI350" s="6">
        <f>[1]Hybrid!AH41</f>
        <v>72.795752680000007</v>
      </c>
      <c r="AJ350" s="6">
        <f>[1]Hybrid!AI41</f>
        <v>76.838385070000001</v>
      </c>
      <c r="AK350" s="6">
        <f>[1]Hybrid!AJ41</f>
        <v>81.015842919999997</v>
      </c>
      <c r="AL350" s="6">
        <f>[1]Hybrid!AK41</f>
        <v>85.31701022</v>
      </c>
    </row>
    <row r="351" spans="1:3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2.2526022399999999</v>
      </c>
      <c r="E351" s="6">
        <f>[1]Hybrid!D43</f>
        <v>2.8080632319999999</v>
      </c>
      <c r="F351" s="6">
        <f>[1]Hybrid!E43</f>
        <v>3.371400312</v>
      </c>
      <c r="G351" s="6">
        <f>[1]Hybrid!F43</f>
        <v>3.9362966450000001</v>
      </c>
      <c r="H351" s="6">
        <f>[1]Hybrid!G43</f>
        <v>4.4913365839999999</v>
      </c>
      <c r="I351" s="6">
        <f>[1]Hybrid!H43</f>
        <v>5.0240042049999998</v>
      </c>
      <c r="J351" s="6">
        <f>[1]Hybrid!I43</f>
        <v>5.5295146160000002</v>
      </c>
      <c r="K351" s="6">
        <f>[1]Hybrid!J43</f>
        <v>6.0080339330000001</v>
      </c>
      <c r="L351" s="6">
        <f>[1]Hybrid!K43</f>
        <v>6.4615187350000003</v>
      </c>
      <c r="M351" s="6">
        <f>[1]Hybrid!L43</f>
        <v>6.8932971380000003</v>
      </c>
      <c r="N351" s="6">
        <f>[1]Hybrid!M43</f>
        <v>7.3033072370000003</v>
      </c>
      <c r="O351" s="6">
        <f>[1]Hybrid!N43</f>
        <v>7.6938772379999998</v>
      </c>
      <c r="P351" s="6">
        <f>[1]Hybrid!O43</f>
        <v>8.0680711970000001</v>
      </c>
      <c r="Q351" s="6">
        <f>[1]Hybrid!P43</f>
        <v>8.4292975319999996</v>
      </c>
      <c r="R351" s="6">
        <f>[1]Hybrid!Q43</f>
        <v>8.7810815830000006</v>
      </c>
      <c r="S351" s="6">
        <f>[1]Hybrid!R43</f>
        <v>9.1304761889999995</v>
      </c>
      <c r="T351" s="6">
        <f>[1]Hybrid!S43</f>
        <v>9.4812872640000005</v>
      </c>
      <c r="U351" s="6">
        <f>[1]Hybrid!T43</f>
        <v>9.8351839020000007</v>
      </c>
      <c r="V351" s="6">
        <f>[1]Hybrid!U43</f>
        <v>10.1927945</v>
      </c>
      <c r="W351" s="6">
        <f>[1]Hybrid!V43</f>
        <v>10.553272229999999</v>
      </c>
      <c r="X351" s="6">
        <f>[1]Hybrid!W43</f>
        <v>10.91758269</v>
      </c>
      <c r="Y351" s="6">
        <f>[1]Hybrid!X43</f>
        <v>11.2853935</v>
      </c>
      <c r="Z351" s="6">
        <f>[1]Hybrid!Y43</f>
        <v>11.656049810000001</v>
      </c>
      <c r="AA351" s="6">
        <f>[1]Hybrid!Z43</f>
        <v>12.02811985</v>
      </c>
      <c r="AB351" s="6">
        <f>[1]Hybrid!AA43</f>
        <v>12.396634260000001</v>
      </c>
      <c r="AC351" s="6">
        <f>[1]Hybrid!AB43</f>
        <v>12.760724959999999</v>
      </c>
      <c r="AD351" s="6">
        <f>[1]Hybrid!AC43</f>
        <v>13.117402009999999</v>
      </c>
      <c r="AE351" s="6">
        <f>[1]Hybrid!AD43</f>
        <v>13.463486339999999</v>
      </c>
      <c r="AF351" s="6">
        <f>[1]Hybrid!AE43</f>
        <v>13.79583865</v>
      </c>
      <c r="AG351" s="6">
        <f>[1]Hybrid!AF43</f>
        <v>14.11121973</v>
      </c>
      <c r="AH351" s="6">
        <f>[1]Hybrid!AG43</f>
        <v>14.406360279999999</v>
      </c>
      <c r="AI351" s="6">
        <f>[1]Hybrid!AH43</f>
        <v>14.678141370000001</v>
      </c>
      <c r="AJ351" s="6">
        <f>[1]Hybrid!AI43</f>
        <v>14.923754750000001</v>
      </c>
      <c r="AK351" s="6">
        <f>[1]Hybrid!AJ43</f>
        <v>15.14084113</v>
      </c>
      <c r="AL351" s="6">
        <f>[1]Hybrid!AK43</f>
        <v>15.32759177</v>
      </c>
    </row>
    <row r="352" spans="1:3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4.0900482130000002</v>
      </c>
      <c r="E352" s="6">
        <f>[1]Hybrid!D45</f>
        <v>5.105528659</v>
      </c>
      <c r="F352" s="6">
        <f>[1]Hybrid!E45</f>
        <v>6.1108742219999996</v>
      </c>
      <c r="G352" s="6">
        <f>[1]Hybrid!F45</f>
        <v>7.0912362819999997</v>
      </c>
      <c r="H352" s="6">
        <f>[1]Hybrid!G45</f>
        <v>8.0251279029999996</v>
      </c>
      <c r="I352" s="6">
        <f>[1]Hybrid!H45</f>
        <v>8.8907218310000005</v>
      </c>
      <c r="J352" s="6">
        <f>[1]Hybrid!I45</f>
        <v>9.6804954569999992</v>
      </c>
      <c r="K352" s="6">
        <f>[1]Hybrid!J45</f>
        <v>10.395959939999999</v>
      </c>
      <c r="L352" s="6">
        <f>[1]Hybrid!K45</f>
        <v>11.04192538</v>
      </c>
      <c r="M352" s="6">
        <f>[1]Hybrid!L45</f>
        <v>11.62544113</v>
      </c>
      <c r="N352" s="6">
        <f>[1]Hybrid!M45</f>
        <v>12.149058630000001</v>
      </c>
      <c r="O352" s="6">
        <f>[1]Hybrid!N45</f>
        <v>12.61957142</v>
      </c>
      <c r="P352" s="6">
        <f>[1]Hybrid!O45</f>
        <v>13.045071460000001</v>
      </c>
      <c r="Q352" s="6">
        <f>[1]Hybrid!P45</f>
        <v>13.43386432</v>
      </c>
      <c r="R352" s="6">
        <f>[1]Hybrid!Q45</f>
        <v>13.79381699</v>
      </c>
      <c r="S352" s="6">
        <f>[1]Hybrid!R45</f>
        <v>14.136896480000001</v>
      </c>
      <c r="T352" s="6">
        <f>[1]Hybrid!S45</f>
        <v>14.47049163</v>
      </c>
      <c r="U352" s="6">
        <f>[1]Hybrid!T45</f>
        <v>14.79858295</v>
      </c>
      <c r="V352" s="6">
        <f>[1]Hybrid!U45</f>
        <v>15.12305512</v>
      </c>
      <c r="W352" s="6">
        <f>[1]Hybrid!V45</f>
        <v>15.44322017</v>
      </c>
      <c r="X352" s="6">
        <f>[1]Hybrid!W45</f>
        <v>15.75992265</v>
      </c>
      <c r="Y352" s="6">
        <f>[1]Hybrid!X45</f>
        <v>16.07187463</v>
      </c>
      <c r="Z352" s="6">
        <f>[1]Hybrid!Y45</f>
        <v>16.376911280000002</v>
      </c>
      <c r="AA352" s="6">
        <f>[1]Hybrid!Z45</f>
        <v>16.671471700000001</v>
      </c>
      <c r="AB352" s="6">
        <f>[1]Hybrid!AA45</f>
        <v>16.947676810000001</v>
      </c>
      <c r="AC352" s="6">
        <f>[1]Hybrid!AB45</f>
        <v>17.202138269999999</v>
      </c>
      <c r="AD352" s="6">
        <f>[1]Hybrid!AC45</f>
        <v>17.429212769999999</v>
      </c>
      <c r="AE352" s="6">
        <f>[1]Hybrid!AD45</f>
        <v>17.623418239999999</v>
      </c>
      <c r="AF352" s="6">
        <f>[1]Hybrid!AE45</f>
        <v>17.780003969999999</v>
      </c>
      <c r="AG352" s="6">
        <f>[1]Hybrid!AF45</f>
        <v>17.894971030000001</v>
      </c>
      <c r="AH352" s="6">
        <f>[1]Hybrid!AG45</f>
        <v>17.965217590000002</v>
      </c>
      <c r="AI352" s="6">
        <f>[1]Hybrid!AH45</f>
        <v>17.988713069999999</v>
      </c>
      <c r="AJ352" s="6">
        <f>[1]Hybrid!AI45</f>
        <v>17.964579109999999</v>
      </c>
      <c r="AK352" s="6">
        <f>[1]Hybrid!AJ45</f>
        <v>17.893095890000001</v>
      </c>
      <c r="AL352" s="6">
        <f>[1]Hybrid!AK45</f>
        <v>17.775635300000001</v>
      </c>
    </row>
    <row r="353" spans="1:3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0.44916507309999998</v>
      </c>
      <c r="E353" s="6">
        <f>[1]Hybrid!D47</f>
        <v>0.47659266839999997</v>
      </c>
      <c r="F353" s="6">
        <f>[1]Hybrid!E47</f>
        <v>0.50644276440000002</v>
      </c>
      <c r="G353" s="6">
        <f>[1]Hybrid!F47</f>
        <v>0.53833796509999998</v>
      </c>
      <c r="H353" s="6">
        <f>[1]Hybrid!G47</f>
        <v>0.57152028570000002</v>
      </c>
      <c r="I353" s="6">
        <f>[1]Hybrid!H47</f>
        <v>0.60501372200000003</v>
      </c>
      <c r="J353" s="6">
        <f>[1]Hybrid!I47</f>
        <v>0.63839190729999995</v>
      </c>
      <c r="K353" s="6">
        <f>[1]Hybrid!J47</f>
        <v>0.67155193930000001</v>
      </c>
      <c r="L353" s="6">
        <f>[1]Hybrid!K47</f>
        <v>0.70447659770000004</v>
      </c>
      <c r="M353" s="6">
        <f>[1]Hybrid!L47</f>
        <v>0.73724116100000003</v>
      </c>
      <c r="N353" s="6">
        <f>[1]Hybrid!M47</f>
        <v>0.76943393930000004</v>
      </c>
      <c r="O353" s="6">
        <f>[1]Hybrid!N47</f>
        <v>0.80078703159999998</v>
      </c>
      <c r="P353" s="6">
        <f>[1]Hybrid!O47</f>
        <v>0.83104263730000005</v>
      </c>
      <c r="Q353" s="6">
        <f>[1]Hybrid!P47</f>
        <v>0.85998790680000003</v>
      </c>
      <c r="R353" s="6">
        <f>[1]Hybrid!Q47</f>
        <v>0.88748523940000001</v>
      </c>
      <c r="S353" s="6">
        <f>[1]Hybrid!R47</f>
        <v>0.9139091788</v>
      </c>
      <c r="T353" s="6">
        <f>[1]Hybrid!S47</f>
        <v>0.93935646279999996</v>
      </c>
      <c r="U353" s="6">
        <f>[1]Hybrid!T47</f>
        <v>0.96380504519999999</v>
      </c>
      <c r="V353" s="6">
        <f>[1]Hybrid!U47</f>
        <v>0.98723908169999997</v>
      </c>
      <c r="W353" s="6">
        <f>[1]Hybrid!V47</f>
        <v>1.0095902800000001</v>
      </c>
      <c r="X353" s="6">
        <f>[1]Hybrid!W47</f>
        <v>1.0310771249999999</v>
      </c>
      <c r="Y353" s="6">
        <f>[1]Hybrid!X47</f>
        <v>1.051838582</v>
      </c>
      <c r="Z353" s="6">
        <f>[1]Hybrid!Y47</f>
        <v>1.0720441709999999</v>
      </c>
      <c r="AA353" s="6">
        <f>[1]Hybrid!Z47</f>
        <v>1.0918615300000001</v>
      </c>
      <c r="AB353" s="6">
        <f>[1]Hybrid!AA47</f>
        <v>1.111173604</v>
      </c>
      <c r="AC353" s="6">
        <f>[1]Hybrid!AB47</f>
        <v>1.1303605480000001</v>
      </c>
      <c r="AD353" s="6">
        <f>[1]Hybrid!AC47</f>
        <v>1.149617798</v>
      </c>
      <c r="AE353" s="6">
        <f>[1]Hybrid!AD47</f>
        <v>1.1691425019999999</v>
      </c>
      <c r="AF353" s="6">
        <f>[1]Hybrid!AE47</f>
        <v>1.1891093619999999</v>
      </c>
      <c r="AG353" s="6">
        <f>[1]Hybrid!AF47</f>
        <v>1.2096309700000001</v>
      </c>
      <c r="AH353" s="6">
        <f>[1]Hybrid!AG47</f>
        <v>1.2307498699999999</v>
      </c>
      <c r="AI353" s="6">
        <f>[1]Hybrid!AH47</f>
        <v>1.2524466480000001</v>
      </c>
      <c r="AJ353" s="6">
        <f>[1]Hybrid!AI47</f>
        <v>1.274649484</v>
      </c>
      <c r="AK353" s="6">
        <f>[1]Hybrid!AJ47</f>
        <v>1.2972433370000001</v>
      </c>
      <c r="AL353" s="6">
        <f>[1]Hybrid!AK47</f>
        <v>1.3200773139999999</v>
      </c>
    </row>
    <row r="354" spans="1:3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0.51209632289999996</v>
      </c>
      <c r="E354" s="6">
        <f>[1]Hybrid!D49</f>
        <v>0.53321964850000003</v>
      </c>
      <c r="F354" s="6">
        <f>[1]Hybrid!E49</f>
        <v>0.5568660298</v>
      </c>
      <c r="G354" s="6">
        <f>[1]Hybrid!F49</f>
        <v>0.58263577040000003</v>
      </c>
      <c r="H354" s="6">
        <f>[1]Hybrid!G49</f>
        <v>0.60978915850000004</v>
      </c>
      <c r="I354" s="6">
        <f>[1]Hybrid!H49</f>
        <v>0.63737195710000005</v>
      </c>
      <c r="J354" s="6">
        <f>[1]Hybrid!I49</f>
        <v>0.66494468230000003</v>
      </c>
      <c r="K354" s="6">
        <f>[1]Hybrid!J49</f>
        <v>0.69237674829999996</v>
      </c>
      <c r="L354" s="6">
        <f>[1]Hybrid!K49</f>
        <v>0.71962515250000003</v>
      </c>
      <c r="M354" s="6">
        <f>[1]Hybrid!L49</f>
        <v>0.74673994939999999</v>
      </c>
      <c r="N354" s="6">
        <f>[1]Hybrid!M49</f>
        <v>0.77332340399999999</v>
      </c>
      <c r="O354" s="6">
        <f>[1]Hybrid!N49</f>
        <v>0.7991246648</v>
      </c>
      <c r="P354" s="6">
        <f>[1]Hybrid!O49</f>
        <v>0.82391132099999997</v>
      </c>
      <c r="Q354" s="6">
        <f>[1]Hybrid!P49</f>
        <v>0.84749738419999998</v>
      </c>
      <c r="R354" s="6">
        <f>[1]Hybrid!Q49</f>
        <v>0.86976744289999997</v>
      </c>
      <c r="S354" s="6">
        <f>[1]Hybrid!R49</f>
        <v>0.89108565579999999</v>
      </c>
      <c r="T354" s="6">
        <f>[1]Hybrid!S49</f>
        <v>0.91156532550000002</v>
      </c>
      <c r="U354" s="6">
        <f>[1]Hybrid!T49</f>
        <v>0.93120301309999998</v>
      </c>
      <c r="V354" s="6">
        <f>[1]Hybrid!U49</f>
        <v>0.94999071989999995</v>
      </c>
      <c r="W354" s="6">
        <f>[1]Hybrid!V49</f>
        <v>0.96786293590000005</v>
      </c>
      <c r="X354" s="6">
        <f>[1]Hybrid!W49</f>
        <v>0.98501080460000001</v>
      </c>
      <c r="Y354" s="6">
        <f>[1]Hybrid!X49</f>
        <v>1.001547178</v>
      </c>
      <c r="Z354" s="6">
        <f>[1]Hybrid!Y49</f>
        <v>1.01760893</v>
      </c>
      <c r="AA354" s="6">
        <f>[1]Hybrid!Z49</f>
        <v>1.033327229</v>
      </c>
      <c r="AB354" s="6">
        <f>[1]Hybrid!AA49</f>
        <v>1.048570019</v>
      </c>
      <c r="AC354" s="6">
        <f>[1]Hybrid!AB49</f>
        <v>1.063656224</v>
      </c>
      <c r="AD354" s="6">
        <f>[1]Hybrid!AC49</f>
        <v>1.078733637</v>
      </c>
      <c r="AE354" s="6">
        <f>[1]Hybrid!AD49</f>
        <v>1.0939495809999999</v>
      </c>
      <c r="AF354" s="6">
        <f>[1]Hybrid!AE49</f>
        <v>1.109430575</v>
      </c>
      <c r="AG354" s="6">
        <f>[1]Hybrid!AF49</f>
        <v>1.125247543</v>
      </c>
      <c r="AH354" s="6">
        <f>[1]Hybrid!AG49</f>
        <v>1.1414096760000001</v>
      </c>
      <c r="AI354" s="6">
        <f>[1]Hybrid!AH49</f>
        <v>1.15787269</v>
      </c>
      <c r="AJ354" s="6">
        <f>[1]Hybrid!AI49</f>
        <v>1.1745483080000001</v>
      </c>
      <c r="AK354" s="6">
        <f>[1]Hybrid!AJ49</f>
        <v>1.1913133840000001</v>
      </c>
      <c r="AL354" s="6">
        <f>[1]Hybrid!AK49</f>
        <v>1.2080173789999999</v>
      </c>
    </row>
    <row r="355" spans="1:3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0.41439097930000002</v>
      </c>
      <c r="E355" s="6">
        <f>[1]Hybrid!D51</f>
        <v>0.42516154119999999</v>
      </c>
      <c r="F355" s="6">
        <f>[1]Hybrid!E51</f>
        <v>0.43783175689999998</v>
      </c>
      <c r="G355" s="6">
        <f>[1]Hybrid!F51</f>
        <v>0.45209883880000001</v>
      </c>
      <c r="H355" s="6">
        <f>[1]Hybrid!G51</f>
        <v>0.46744200629999999</v>
      </c>
      <c r="I355" s="6">
        <f>[1]Hybrid!H51</f>
        <v>0.48318857609999999</v>
      </c>
      <c r="J355" s="6">
        <f>[1]Hybrid!I51</f>
        <v>0.499013604</v>
      </c>
      <c r="K355" s="6">
        <f>[1]Hybrid!J51</f>
        <v>0.51480504890000001</v>
      </c>
      <c r="L355" s="6">
        <f>[1]Hybrid!K51</f>
        <v>0.53051524930000005</v>
      </c>
      <c r="M355" s="6">
        <f>[1]Hybrid!L51</f>
        <v>0.54616394660000001</v>
      </c>
      <c r="N355" s="6">
        <f>[1]Hybrid!M51</f>
        <v>0.56147413329999996</v>
      </c>
      <c r="O355" s="6">
        <f>[1]Hybrid!N51</f>
        <v>0.57627620670000002</v>
      </c>
      <c r="P355" s="6">
        <f>[1]Hybrid!O51</f>
        <v>0.59041893190000005</v>
      </c>
      <c r="Q355" s="6">
        <f>[1]Hybrid!P51</f>
        <v>0.60378518550000004</v>
      </c>
      <c r="R355" s="6">
        <f>[1]Hybrid!Q51</f>
        <v>0.6163054711</v>
      </c>
      <c r="S355" s="6">
        <f>[1]Hybrid!R51</f>
        <v>0.62823403349999996</v>
      </c>
      <c r="T355" s="6">
        <f>[1]Hybrid!S51</f>
        <v>0.63966166020000004</v>
      </c>
      <c r="U355" s="6">
        <f>[1]Hybrid!T51</f>
        <v>0.65059659380000001</v>
      </c>
      <c r="V355" s="6">
        <f>[1]Hybrid!U51</f>
        <v>0.66103718769999997</v>
      </c>
      <c r="W355" s="6">
        <f>[1]Hybrid!V51</f>
        <v>0.6709374978</v>
      </c>
      <c r="X355" s="6">
        <f>[1]Hybrid!W51</f>
        <v>0.68041722869999999</v>
      </c>
      <c r="Y355" s="6">
        <f>[1]Hybrid!X51</f>
        <v>0.68954083190000004</v>
      </c>
      <c r="Z355" s="6">
        <f>[1]Hybrid!Y51</f>
        <v>0.69838613989999998</v>
      </c>
      <c r="AA355" s="6">
        <f>[1]Hybrid!Z51</f>
        <v>0.70702476299999995</v>
      </c>
      <c r="AB355" s="6">
        <f>[1]Hybrid!AA51</f>
        <v>0.71535293280000001</v>
      </c>
      <c r="AC355" s="6">
        <f>[1]Hybrid!AB51</f>
        <v>0.72356229419999996</v>
      </c>
      <c r="AD355" s="6">
        <f>[1]Hybrid!AC51</f>
        <v>0.73173043699999996</v>
      </c>
      <c r="AE355" s="6">
        <f>[1]Hybrid!AD51</f>
        <v>0.73993368930000003</v>
      </c>
      <c r="AF355" s="6">
        <f>[1]Hybrid!AE51</f>
        <v>0.74823486770000003</v>
      </c>
      <c r="AG355" s="6">
        <f>[1]Hybrid!AF51</f>
        <v>0.75666130639999996</v>
      </c>
      <c r="AH355" s="6">
        <f>[1]Hybrid!AG51</f>
        <v>0.76520152470000002</v>
      </c>
      <c r="AI355" s="6">
        <f>[1]Hybrid!AH51</f>
        <v>0.77381120989999996</v>
      </c>
      <c r="AJ355" s="6">
        <f>[1]Hybrid!AI51</f>
        <v>0.78241991830000002</v>
      </c>
      <c r="AK355" s="6">
        <f>[1]Hybrid!AJ51</f>
        <v>0.79093749950000003</v>
      </c>
      <c r="AL355" s="6">
        <f>[1]Hybrid!AK51</f>
        <v>0.79925941919999999</v>
      </c>
    </row>
    <row r="356" spans="1:3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0.25227018229999998</v>
      </c>
      <c r="E356" s="6">
        <f>[1]Hybrid!D53</f>
        <v>0.25660741999999997</v>
      </c>
      <c r="F356" s="6">
        <f>[1]Hybrid!E53</f>
        <v>0.2619171723</v>
      </c>
      <c r="G356" s="6">
        <f>[1]Hybrid!F53</f>
        <v>0.26799994069999999</v>
      </c>
      <c r="H356" s="6">
        <f>[1]Hybrid!G53</f>
        <v>0.27455661679999999</v>
      </c>
      <c r="I356" s="6">
        <f>[1]Hybrid!H53</f>
        <v>0.28120953259999998</v>
      </c>
      <c r="J356" s="6">
        <f>[1]Hybrid!I53</f>
        <v>0.28776855540000001</v>
      </c>
      <c r="K356" s="6">
        <f>[1]Hybrid!J53</f>
        <v>0.2941619037</v>
      </c>
      <c r="L356" s="6">
        <f>[1]Hybrid!K53</f>
        <v>0.30035794220000001</v>
      </c>
      <c r="M356" s="6">
        <f>[1]Hybrid!L53</f>
        <v>0.30636501640000002</v>
      </c>
      <c r="N356" s="6">
        <f>[1]Hybrid!M53</f>
        <v>0.31205117630000001</v>
      </c>
      <c r="O356" s="6">
        <f>[1]Hybrid!N53</f>
        <v>0.31735237890000001</v>
      </c>
      <c r="P356" s="6">
        <f>[1]Hybrid!O53</f>
        <v>0.32222301110000001</v>
      </c>
      <c r="Q356" s="6">
        <f>[1]Hybrid!P53</f>
        <v>0.32663758459999997</v>
      </c>
      <c r="R356" s="6">
        <f>[1]Hybrid!Q53</f>
        <v>0.33059252230000002</v>
      </c>
      <c r="S356" s="6">
        <f>[1]Hybrid!R53</f>
        <v>0.3342405966</v>
      </c>
      <c r="T356" s="6">
        <f>[1]Hybrid!S53</f>
        <v>0.33765439000000003</v>
      </c>
      <c r="U356" s="6">
        <f>[1]Hybrid!T53</f>
        <v>0.34085922969999999</v>
      </c>
      <c r="V356" s="6">
        <f>[1]Hybrid!U53</f>
        <v>0.34386677430000001</v>
      </c>
      <c r="W356" s="6">
        <f>[1]Hybrid!V53</f>
        <v>0.34665945079999999</v>
      </c>
      <c r="X356" s="6">
        <f>[1]Hybrid!W53</f>
        <v>0.34929186340000001</v>
      </c>
      <c r="Y356" s="6">
        <f>[1]Hybrid!X53</f>
        <v>0.35178724379999998</v>
      </c>
      <c r="Z356" s="6">
        <f>[1]Hybrid!Y53</f>
        <v>0.35417073840000002</v>
      </c>
      <c r="AA356" s="6">
        <f>[1]Hybrid!Z53</f>
        <v>0.35645990560000002</v>
      </c>
      <c r="AB356" s="6">
        <f>[1]Hybrid!AA53</f>
        <v>0.35858660749999999</v>
      </c>
      <c r="AC356" s="6">
        <f>[1]Hybrid!AB53</f>
        <v>0.36061745719999999</v>
      </c>
      <c r="AD356" s="6">
        <f>[1]Hybrid!AC53</f>
        <v>0.36256410569999997</v>
      </c>
      <c r="AE356" s="6">
        <f>[1]Hybrid!AD53</f>
        <v>0.36443681379999998</v>
      </c>
      <c r="AF356" s="6">
        <f>[1]Hybrid!AE53</f>
        <v>0.36624122710000001</v>
      </c>
      <c r="AG356" s="6">
        <f>[1]Hybrid!AF53</f>
        <v>0.3679697019</v>
      </c>
      <c r="AH356" s="6">
        <f>[1]Hybrid!AG53</f>
        <v>0.36960077829999999</v>
      </c>
      <c r="AI356" s="6">
        <f>[1]Hybrid!AH53</f>
        <v>0.37110264900000001</v>
      </c>
      <c r="AJ356" s="6">
        <f>[1]Hybrid!AI53</f>
        <v>0.37243672169999997</v>
      </c>
      <c r="AK356" s="6">
        <f>[1]Hybrid!AJ53</f>
        <v>0.37356092369999999</v>
      </c>
      <c r="AL356" s="6">
        <f>[1]Hybrid!AK53</f>
        <v>0.37443238039999999</v>
      </c>
    </row>
    <row r="357" spans="1:3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0.1520386702</v>
      </c>
      <c r="E357" s="6">
        <f>[1]Hybrid!D55</f>
        <v>0.15477792100000001</v>
      </c>
      <c r="F357" s="6">
        <f>[1]Hybrid!E55</f>
        <v>0.15800877960000001</v>
      </c>
      <c r="G357" s="6">
        <f>[1]Hybrid!F55</f>
        <v>0.16159609329999999</v>
      </c>
      <c r="H357" s="6">
        <f>[1]Hybrid!G55</f>
        <v>0.16535635160000001</v>
      </c>
      <c r="I357" s="6">
        <f>[1]Hybrid!H55</f>
        <v>0.16906041469999999</v>
      </c>
      <c r="J357" s="6">
        <f>[1]Hybrid!I55</f>
        <v>0.17259098240000001</v>
      </c>
      <c r="K357" s="6">
        <f>[1]Hybrid!J55</f>
        <v>0.17590328890000001</v>
      </c>
      <c r="L357" s="6">
        <f>[1]Hybrid!K55</f>
        <v>0.17897936710000001</v>
      </c>
      <c r="M357" s="6">
        <f>[1]Hybrid!L55</f>
        <v>0.18182690939999999</v>
      </c>
      <c r="N357" s="6">
        <f>[1]Hybrid!M55</f>
        <v>0.1843793312</v>
      </c>
      <c r="O357" s="6">
        <f>[1]Hybrid!N55</f>
        <v>0.18661491180000001</v>
      </c>
      <c r="P357" s="6">
        <f>[1]Hybrid!O55</f>
        <v>0.18852625649999999</v>
      </c>
      <c r="Q357" s="6">
        <f>[1]Hybrid!P55</f>
        <v>0.1901179818</v>
      </c>
      <c r="R357" s="6">
        <f>[1]Hybrid!Q55</f>
        <v>0.1914052443</v>
      </c>
      <c r="S357" s="6">
        <f>[1]Hybrid!R55</f>
        <v>0.192486987</v>
      </c>
      <c r="T357" s="6">
        <f>[1]Hybrid!S55</f>
        <v>0.193418179</v>
      </c>
      <c r="U357" s="6">
        <f>[1]Hybrid!T55</f>
        <v>0.19422433929999999</v>
      </c>
      <c r="V357" s="6">
        <f>[1]Hybrid!U55</f>
        <v>0.19491888020000001</v>
      </c>
      <c r="W357" s="6">
        <f>[1]Hybrid!V55</f>
        <v>0.19549543429999999</v>
      </c>
      <c r="X357" s="6">
        <f>[1]Hybrid!W55</f>
        <v>0.19598217230000001</v>
      </c>
      <c r="Y357" s="6">
        <f>[1]Hybrid!X55</f>
        <v>0.19638801049999999</v>
      </c>
      <c r="Z357" s="6">
        <f>[1]Hybrid!Y55</f>
        <v>0.1967205846</v>
      </c>
      <c r="AA357" s="6">
        <f>[1]Hybrid!Z55</f>
        <v>0.1969813031</v>
      </c>
      <c r="AB357" s="6">
        <f>[1]Hybrid!AA55</f>
        <v>0.19712589189999999</v>
      </c>
      <c r="AC357" s="6">
        <f>[1]Hybrid!AB55</f>
        <v>0.19717797840000001</v>
      </c>
      <c r="AD357" s="6">
        <f>[1]Hybrid!AC55</f>
        <v>0.1971324498</v>
      </c>
      <c r="AE357" s="6">
        <f>[1]Hybrid!AD55</f>
        <v>0.1969835191</v>
      </c>
      <c r="AF357" s="6">
        <f>[1]Hybrid!AE55</f>
        <v>0.1967242773</v>
      </c>
      <c r="AG357" s="6">
        <f>[1]Hybrid!AF55</f>
        <v>0.19634305020000001</v>
      </c>
      <c r="AH357" s="6">
        <f>[1]Hybrid!AG55</f>
        <v>0.19582363720000001</v>
      </c>
      <c r="AI357" s="6">
        <f>[1]Hybrid!AH55</f>
        <v>0.19514736369999999</v>
      </c>
      <c r="AJ357" s="6">
        <f>[1]Hybrid!AI55</f>
        <v>0.19429501699999999</v>
      </c>
      <c r="AK357" s="6">
        <f>[1]Hybrid!AJ55</f>
        <v>0.19324853410000001</v>
      </c>
      <c r="AL357" s="6">
        <f>[1]Hybrid!AK55</f>
        <v>0.19199227760000001</v>
      </c>
    </row>
    <row r="358" spans="1:3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7.5298155199999994E-2</v>
      </c>
      <c r="E358" s="6">
        <f>[1]Hybrid!D57</f>
        <v>7.6310798400000004E-2</v>
      </c>
      <c r="F358" s="6">
        <f>[1]Hybrid!E57</f>
        <v>7.7421895099999999E-2</v>
      </c>
      <c r="G358" s="6">
        <f>[1]Hybrid!F57</f>
        <v>7.8549700799999997E-2</v>
      </c>
      <c r="H358" s="6">
        <f>[1]Hybrid!G57</f>
        <v>7.9607128999999999E-2</v>
      </c>
      <c r="I358" s="6">
        <f>[1]Hybrid!H57</f>
        <v>8.0493293899999999E-2</v>
      </c>
      <c r="J358" s="6">
        <f>[1]Hybrid!I57</f>
        <v>8.1159785100000006E-2</v>
      </c>
      <c r="K358" s="6">
        <f>[1]Hybrid!J57</f>
        <v>8.1593690799999993E-2</v>
      </c>
      <c r="L358" s="6">
        <f>[1]Hybrid!K57</f>
        <v>8.1797356099999996E-2</v>
      </c>
      <c r="M358" s="6">
        <f>[1]Hybrid!L57</f>
        <v>8.1785975100000005E-2</v>
      </c>
      <c r="N358" s="6">
        <f>[1]Hybrid!M57</f>
        <v>8.15533336E-2</v>
      </c>
      <c r="O358" s="6">
        <f>[1]Hybrid!N57</f>
        <v>8.1115666500000003E-2</v>
      </c>
      <c r="P358" s="6">
        <f>[1]Hybrid!O57</f>
        <v>8.0496849800000006E-2</v>
      </c>
      <c r="Q358" s="6">
        <f>[1]Hybrid!P57</f>
        <v>7.97236853E-2</v>
      </c>
      <c r="R358" s="6">
        <f>[1]Hybrid!Q57</f>
        <v>7.8822928599999995E-2</v>
      </c>
      <c r="S358" s="6">
        <f>[1]Hybrid!R57</f>
        <v>7.7844226399999994E-2</v>
      </c>
      <c r="T358" s="6">
        <f>[1]Hybrid!S57</f>
        <v>7.6820664799999994E-2</v>
      </c>
      <c r="U358" s="6">
        <f>[1]Hybrid!T57</f>
        <v>7.5771628800000004E-2</v>
      </c>
      <c r="V358" s="6">
        <f>[1]Hybrid!U57</f>
        <v>7.4708067500000003E-2</v>
      </c>
      <c r="W358" s="6">
        <f>[1]Hybrid!V57</f>
        <v>7.3631096199999996E-2</v>
      </c>
      <c r="X358" s="6">
        <f>[1]Hybrid!W57</f>
        <v>7.2548421000000002E-2</v>
      </c>
      <c r="Y358" s="6">
        <f>[1]Hybrid!X57</f>
        <v>7.14598704E-2</v>
      </c>
      <c r="Z358" s="6">
        <f>[1]Hybrid!Y57</f>
        <v>7.0363028899999999E-2</v>
      </c>
      <c r="AA358" s="6">
        <f>[1]Hybrid!Z57</f>
        <v>6.9252062500000003E-2</v>
      </c>
      <c r="AB358" s="6">
        <f>[1]Hybrid!AA57</f>
        <v>6.8108246999999997E-2</v>
      </c>
      <c r="AC358" s="6">
        <f>[1]Hybrid!AB57</f>
        <v>6.6930201999999994E-2</v>
      </c>
      <c r="AD358" s="6">
        <f>[1]Hybrid!AC57</f>
        <v>6.5709582700000005E-2</v>
      </c>
      <c r="AE358" s="6">
        <f>[1]Hybrid!AD57</f>
        <v>6.44390252E-2</v>
      </c>
      <c r="AF358" s="6">
        <f>[1]Hybrid!AE57</f>
        <v>6.3113026099999997E-2</v>
      </c>
      <c r="AG358" s="6">
        <f>[1]Hybrid!AF57</f>
        <v>6.1727474300000001E-2</v>
      </c>
      <c r="AH358" s="6">
        <f>[1]Hybrid!AG57</f>
        <v>6.0279830399999998E-2</v>
      </c>
      <c r="AI358" s="6">
        <f>[1]Hybrid!AH57</f>
        <v>5.8769505499999999E-2</v>
      </c>
      <c r="AJ358" s="6">
        <f>[1]Hybrid!AI57</f>
        <v>5.7198034699999997E-2</v>
      </c>
      <c r="AK358" s="6">
        <f>[1]Hybrid!AJ57</f>
        <v>5.5569081200000002E-2</v>
      </c>
      <c r="AL358" s="6">
        <f>[1]Hybrid!AK57</f>
        <v>5.3888275800000003E-2</v>
      </c>
    </row>
    <row r="359" spans="1:3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0.13588357579999999</v>
      </c>
      <c r="E359" s="6">
        <f>[1]Hybrid!D59</f>
        <v>0.13780474810000001</v>
      </c>
      <c r="F359" s="6">
        <f>[1]Hybrid!E59</f>
        <v>0.1396687442</v>
      </c>
      <c r="G359" s="6">
        <f>[1]Hybrid!F59</f>
        <v>0.14131206239999999</v>
      </c>
      <c r="H359" s="6">
        <f>[1]Hybrid!G59</f>
        <v>0.14258983650000001</v>
      </c>
      <c r="I359" s="6">
        <f>[1]Hybrid!H59</f>
        <v>0.1433442171</v>
      </c>
      <c r="J359" s="6">
        <f>[1]Hybrid!I59</f>
        <v>0.14351356539999999</v>
      </c>
      <c r="K359" s="6">
        <f>[1]Hybrid!J59</f>
        <v>0.1431023706</v>
      </c>
      <c r="L359" s="6">
        <f>[1]Hybrid!K59</f>
        <v>0.1421449853</v>
      </c>
      <c r="M359" s="6">
        <f>[1]Hybrid!L59</f>
        <v>0.14069803410000001</v>
      </c>
      <c r="N359" s="6">
        <f>[1]Hybrid!M59</f>
        <v>0.13879159069999999</v>
      </c>
      <c r="O359" s="6">
        <f>[1]Hybrid!N59</f>
        <v>0.13649211659999999</v>
      </c>
      <c r="P359" s="6">
        <f>[1]Hybrid!O59</f>
        <v>0.1338754432</v>
      </c>
      <c r="Q359" s="6">
        <f>[1]Hybrid!P59</f>
        <v>0.13101570730000001</v>
      </c>
      <c r="R359" s="6">
        <f>[1]Hybrid!Q59</f>
        <v>0.12797924999999999</v>
      </c>
      <c r="S359" s="6">
        <f>[1]Hybrid!R59</f>
        <v>0.1248546416</v>
      </c>
      <c r="T359" s="6">
        <f>[1]Hybrid!S59</f>
        <v>0.12170377340000001</v>
      </c>
      <c r="U359" s="6">
        <f>[1]Hybrid!T59</f>
        <v>0.1185646145</v>
      </c>
      <c r="V359" s="6">
        <f>[1]Hybrid!U59</f>
        <v>0.1154585499</v>
      </c>
      <c r="W359" s="6">
        <f>[1]Hybrid!V59</f>
        <v>0.1123902782</v>
      </c>
      <c r="X359" s="6">
        <f>[1]Hybrid!W59</f>
        <v>0.1093684949</v>
      </c>
      <c r="Y359" s="6">
        <f>[1]Hybrid!X59</f>
        <v>0.1063902756</v>
      </c>
      <c r="Z359" s="6">
        <f>[1]Hybrid!Y59</f>
        <v>0.1034485015</v>
      </c>
      <c r="AA359" s="6">
        <f>[1]Hybrid!Z59</f>
        <v>0.1005310583</v>
      </c>
      <c r="AB359" s="6">
        <f>[1]Hybrid!AA59</f>
        <v>9.7611789399999996E-2</v>
      </c>
      <c r="AC359" s="6">
        <f>[1]Hybrid!AB59</f>
        <v>9.4683858600000004E-2</v>
      </c>
      <c r="AD359" s="6">
        <f>[1]Hybrid!AC59</f>
        <v>9.1734562000000006E-2</v>
      </c>
      <c r="AE359" s="6">
        <f>[1]Hybrid!AD59</f>
        <v>8.8754430199999998E-2</v>
      </c>
      <c r="AF359" s="6">
        <f>[1]Hybrid!AE59</f>
        <v>8.5738752200000004E-2</v>
      </c>
      <c r="AG359" s="6">
        <f>[1]Hybrid!AF59</f>
        <v>8.2687039800000001E-2</v>
      </c>
      <c r="AH359" s="6">
        <f>[1]Hybrid!AG59</f>
        <v>7.96027817E-2</v>
      </c>
      <c r="AI359" s="6">
        <f>[1]Hybrid!AH59</f>
        <v>7.6493169E-2</v>
      </c>
      <c r="AJ359" s="6">
        <f>[1]Hybrid!AI59</f>
        <v>7.3368509999999998E-2</v>
      </c>
      <c r="AK359" s="6">
        <f>[1]Hybrid!AJ59</f>
        <v>7.0241478800000007E-2</v>
      </c>
      <c r="AL359" s="6">
        <f>[1]Hybrid!AK59</f>
        <v>6.7126274599999994E-2</v>
      </c>
    </row>
    <row r="361" spans="1:3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</row>
    <row r="362" spans="1:3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69">D339+D346+D353</f>
        <v>7155.2992208330998</v>
      </c>
      <c r="E362" s="6">
        <f t="shared" si="69"/>
        <v>7266.2269605684005</v>
      </c>
      <c r="F362" s="6">
        <f t="shared" si="69"/>
        <v>7418.7781357043996</v>
      </c>
      <c r="G362" s="6">
        <f t="shared" si="69"/>
        <v>7607.1230070451002</v>
      </c>
      <c r="H362" s="6">
        <f t="shared" si="69"/>
        <v>7820.9219860256999</v>
      </c>
      <c r="I362" s="6">
        <f t="shared" si="69"/>
        <v>8047.465364232</v>
      </c>
      <c r="J362" s="6">
        <f t="shared" si="69"/>
        <v>8280.9711117872994</v>
      </c>
      <c r="K362" s="6">
        <f t="shared" si="69"/>
        <v>8519.7296127792997</v>
      </c>
      <c r="L362" s="6">
        <f t="shared" si="69"/>
        <v>8763.1523716477004</v>
      </c>
      <c r="M362" s="6">
        <f t="shared" si="69"/>
        <v>9011.8294425709992</v>
      </c>
      <c r="N362" s="6">
        <f t="shared" si="69"/>
        <v>9260.499589909301</v>
      </c>
      <c r="O362" s="6">
        <f t="shared" si="69"/>
        <v>9505.7393590316005</v>
      </c>
      <c r="P362" s="6">
        <f t="shared" si="69"/>
        <v>9744.3109989372988</v>
      </c>
      <c r="Q362" s="6">
        <f t="shared" si="69"/>
        <v>9973.5764215068011</v>
      </c>
      <c r="R362" s="6">
        <f t="shared" si="69"/>
        <v>10191.8556086394</v>
      </c>
      <c r="S362" s="6">
        <f t="shared" si="69"/>
        <v>10403.6915760788</v>
      </c>
      <c r="T362" s="6">
        <f t="shared" si="69"/>
        <v>10610.1105371628</v>
      </c>
      <c r="U362" s="6">
        <f t="shared" si="69"/>
        <v>10810.660325245199</v>
      </c>
      <c r="V362" s="6">
        <f t="shared" si="69"/>
        <v>11004.9872003817</v>
      </c>
      <c r="W362" s="6">
        <f t="shared" si="69"/>
        <v>11192.12477518</v>
      </c>
      <c r="X362" s="6">
        <f t="shared" si="69"/>
        <v>11374.683347925</v>
      </c>
      <c r="Y362" s="6">
        <f t="shared" si="69"/>
        <v>11554.301883982</v>
      </c>
      <c r="Z362" s="6">
        <f t="shared" si="69"/>
        <v>11733.019455971</v>
      </c>
      <c r="AA362" s="6">
        <f t="shared" si="69"/>
        <v>11912.872559130001</v>
      </c>
      <c r="AB362" s="6">
        <f t="shared" si="69"/>
        <v>12092.370621704</v>
      </c>
      <c r="AC362" s="6">
        <f t="shared" si="69"/>
        <v>12276.287073848001</v>
      </c>
      <c r="AD362" s="6">
        <f t="shared" si="69"/>
        <v>12467.093485198</v>
      </c>
      <c r="AE362" s="6">
        <f t="shared" si="69"/>
        <v>12667.319450601999</v>
      </c>
      <c r="AF362" s="6">
        <f t="shared" si="69"/>
        <v>12879.253860261999</v>
      </c>
      <c r="AG362" s="6">
        <f t="shared" si="69"/>
        <v>13104.44766767</v>
      </c>
      <c r="AH362" s="6">
        <f t="shared" si="69"/>
        <v>13343.616989369999</v>
      </c>
      <c r="AI362" s="6">
        <f t="shared" si="69"/>
        <v>13596.747692348001</v>
      </c>
      <c r="AJ362" s="6">
        <f t="shared" si="69"/>
        <v>13863.216604984</v>
      </c>
      <c r="AK362" s="6">
        <f t="shared" si="69"/>
        <v>14141.905999436998</v>
      </c>
      <c r="AL362" s="6">
        <f t="shared" si="69"/>
        <v>14431.293018814</v>
      </c>
    </row>
    <row r="363" spans="1:38" x14ac:dyDescent="0.35">
      <c r="B363" t="s">
        <v>97</v>
      </c>
      <c r="C363" s="6">
        <f t="shared" ref="C363:AL363" si="70">C340+C347+C354</f>
        <v>8263.1971436354015</v>
      </c>
      <c r="D363" s="6">
        <f t="shared" si="70"/>
        <v>8197.7945507628992</v>
      </c>
      <c r="E363" s="6">
        <f t="shared" si="70"/>
        <v>8199.1715804385003</v>
      </c>
      <c r="F363" s="6">
        <f t="shared" si="70"/>
        <v>8247.1694676897987</v>
      </c>
      <c r="G363" s="6">
        <f t="shared" si="70"/>
        <v>8335.3778877204004</v>
      </c>
      <c r="H363" s="6">
        <f t="shared" si="70"/>
        <v>8453.3897431785008</v>
      </c>
      <c r="I363" s="6">
        <f t="shared" si="70"/>
        <v>8588.4888540271004</v>
      </c>
      <c r="J363" s="6">
        <f t="shared" si="70"/>
        <v>8734.4851595722994</v>
      </c>
      <c r="K363" s="6">
        <f t="shared" si="70"/>
        <v>8889.1075346082998</v>
      </c>
      <c r="L363" s="6">
        <f t="shared" si="70"/>
        <v>9051.2504160824992</v>
      </c>
      <c r="M363" s="6">
        <f t="shared" si="70"/>
        <v>9221.0126747493996</v>
      </c>
      <c r="N363" s="6">
        <f t="shared" si="70"/>
        <v>9393.1298743940006</v>
      </c>
      <c r="O363" s="6">
        <f t="shared" si="70"/>
        <v>9564.2224369648011</v>
      </c>
      <c r="P363" s="6">
        <f t="shared" si="70"/>
        <v>9731.2057251210008</v>
      </c>
      <c r="Q363" s="6">
        <f t="shared" si="70"/>
        <v>9891.6195451841995</v>
      </c>
      <c r="R363" s="6">
        <f t="shared" si="70"/>
        <v>10043.911895942902</v>
      </c>
      <c r="S363" s="6">
        <f t="shared" si="70"/>
        <v>10192.370699155799</v>
      </c>
      <c r="T363" s="6">
        <f t="shared" si="70"/>
        <v>10338.106800025498</v>
      </c>
      <c r="U363" s="6">
        <f t="shared" si="70"/>
        <v>10480.784251213099</v>
      </c>
      <c r="V363" s="6">
        <f t="shared" si="70"/>
        <v>10620.040157319901</v>
      </c>
      <c r="W363" s="6">
        <f t="shared" si="70"/>
        <v>10754.8427083359</v>
      </c>
      <c r="X363" s="6">
        <f t="shared" si="70"/>
        <v>10887.378230104599</v>
      </c>
      <c r="Y363" s="6">
        <f t="shared" si="70"/>
        <v>11018.885399678</v>
      </c>
      <c r="Z363" s="6">
        <f t="shared" si="70"/>
        <v>11150.93140673</v>
      </c>
      <c r="AA363" s="6">
        <f t="shared" si="70"/>
        <v>11285.041339629001</v>
      </c>
      <c r="AB363" s="6">
        <f t="shared" si="70"/>
        <v>11419.478474619</v>
      </c>
      <c r="AC363" s="6">
        <f t="shared" si="70"/>
        <v>11558.211132124001</v>
      </c>
      <c r="AD363" s="6">
        <f t="shared" si="70"/>
        <v>11703.076472137</v>
      </c>
      <c r="AE363" s="6">
        <f t="shared" si="70"/>
        <v>11855.944989980999</v>
      </c>
      <c r="AF363" s="6">
        <f t="shared" si="70"/>
        <v>12018.466969674999</v>
      </c>
      <c r="AG363" s="6">
        <f t="shared" si="70"/>
        <v>12191.632866843</v>
      </c>
      <c r="AH363" s="6">
        <f t="shared" si="70"/>
        <v>12375.695888476001</v>
      </c>
      <c r="AI363" s="6">
        <f t="shared" si="70"/>
        <v>12570.276378590001</v>
      </c>
      <c r="AJ363" s="6">
        <f t="shared" si="70"/>
        <v>12774.480172707999</v>
      </c>
      <c r="AK363" s="6">
        <f t="shared" si="70"/>
        <v>12987.010734784</v>
      </c>
      <c r="AL363" s="6">
        <f t="shared" si="70"/>
        <v>13206.258780978998</v>
      </c>
    </row>
    <row r="364" spans="1:38" x14ac:dyDescent="0.35">
      <c r="B364" t="s">
        <v>98</v>
      </c>
      <c r="C364" s="6">
        <f t="shared" ref="C364:AL364" si="71">C341+C348+C355</f>
        <v>6787.4105911386005</v>
      </c>
      <c r="D364" s="6">
        <f t="shared" si="71"/>
        <v>6658.6309129193005</v>
      </c>
      <c r="E364" s="6">
        <f t="shared" si="71"/>
        <v>6581.7970357612003</v>
      </c>
      <c r="F364" s="6">
        <f t="shared" si="71"/>
        <v>6542.2487896968996</v>
      </c>
      <c r="G364" s="6">
        <f t="shared" si="71"/>
        <v>6534.9633528787999</v>
      </c>
      <c r="H364" s="6">
        <f t="shared" si="71"/>
        <v>6552.3814028463003</v>
      </c>
      <c r="I364" s="6">
        <f t="shared" si="71"/>
        <v>6585.3257845960998</v>
      </c>
      <c r="J364" s="6">
        <f t="shared" si="71"/>
        <v>6629.0557968639996</v>
      </c>
      <c r="K364" s="6">
        <f t="shared" si="71"/>
        <v>6681.5533334688998</v>
      </c>
      <c r="L364" s="6">
        <f t="shared" si="71"/>
        <v>6741.6705244293007</v>
      </c>
      <c r="M364" s="6">
        <f t="shared" si="71"/>
        <v>6809.1450349265997</v>
      </c>
      <c r="N364" s="6">
        <f t="shared" si="71"/>
        <v>6880.1736528332995</v>
      </c>
      <c r="O364" s="6">
        <f t="shared" si="71"/>
        <v>6952.3375148166997</v>
      </c>
      <c r="P364" s="6">
        <f t="shared" si="71"/>
        <v>7023.4982088919005</v>
      </c>
      <c r="Q364" s="6">
        <f t="shared" si="71"/>
        <v>7091.9808309754999</v>
      </c>
      <c r="R364" s="6">
        <f t="shared" si="71"/>
        <v>7156.7310829710996</v>
      </c>
      <c r="S364" s="6">
        <f t="shared" si="71"/>
        <v>7220.6466240335003</v>
      </c>
      <c r="T364" s="6">
        <f t="shared" si="71"/>
        <v>7284.5557644601995</v>
      </c>
      <c r="U364" s="6">
        <f t="shared" si="71"/>
        <v>7348.2689610938005</v>
      </c>
      <c r="V364" s="6">
        <f t="shared" si="71"/>
        <v>7411.5011857876998</v>
      </c>
      <c r="W364" s="6">
        <f t="shared" si="71"/>
        <v>7473.4545681977997</v>
      </c>
      <c r="X364" s="6">
        <f t="shared" si="71"/>
        <v>7535.4203867286997</v>
      </c>
      <c r="Y364" s="6">
        <f t="shared" si="71"/>
        <v>7598.027061931899</v>
      </c>
      <c r="Z364" s="6">
        <f t="shared" si="71"/>
        <v>7662.0969607399002</v>
      </c>
      <c r="AA364" s="6">
        <f t="shared" si="71"/>
        <v>7728.4008713630001</v>
      </c>
      <c r="AB364" s="6">
        <f t="shared" si="71"/>
        <v>7795.5363731327998</v>
      </c>
      <c r="AC364" s="6">
        <f t="shared" si="71"/>
        <v>7865.8530129942001</v>
      </c>
      <c r="AD364" s="6">
        <f t="shared" si="71"/>
        <v>7940.2809806369996</v>
      </c>
      <c r="AE364" s="6">
        <f t="shared" si="71"/>
        <v>8019.7640091892999</v>
      </c>
      <c r="AF364" s="6">
        <f t="shared" si="71"/>
        <v>8105.1052640676999</v>
      </c>
      <c r="AG364" s="6">
        <f t="shared" si="71"/>
        <v>8196.6873041063991</v>
      </c>
      <c r="AH364" s="6">
        <f t="shared" si="71"/>
        <v>8294.4282677247011</v>
      </c>
      <c r="AI364" s="6">
        <f t="shared" si="71"/>
        <v>8397.856230809899</v>
      </c>
      <c r="AJ364" s="6">
        <f t="shared" si="71"/>
        <v>8506.1917654182998</v>
      </c>
      <c r="AK364" s="6">
        <f t="shared" si="71"/>
        <v>8618.4261636994997</v>
      </c>
      <c r="AL364" s="6">
        <f t="shared" si="71"/>
        <v>8733.3847365191996</v>
      </c>
    </row>
    <row r="365" spans="1:38" x14ac:dyDescent="0.35">
      <c r="B365" t="s">
        <v>99</v>
      </c>
      <c r="C365" s="6">
        <f t="shared" ref="C365:AL365" si="72">C342+C349+C356</f>
        <v>4165.6835237371006</v>
      </c>
      <c r="D365" s="6">
        <f t="shared" si="72"/>
        <v>4061.8900839882999</v>
      </c>
      <c r="E365" s="6">
        <f t="shared" si="72"/>
        <v>3987.6933024200002</v>
      </c>
      <c r="F365" s="6">
        <f t="shared" si="72"/>
        <v>3934.3506149622999</v>
      </c>
      <c r="G365" s="6">
        <f t="shared" si="72"/>
        <v>3898.5949428107001</v>
      </c>
      <c r="H365" s="6">
        <f t="shared" si="72"/>
        <v>3876.0456993368002</v>
      </c>
      <c r="I365" s="6">
        <f t="shared" si="72"/>
        <v>3861.4964169325999</v>
      </c>
      <c r="J365" s="6">
        <f t="shared" si="72"/>
        <v>3852.1264899854</v>
      </c>
      <c r="K365" s="6">
        <f t="shared" si="72"/>
        <v>3846.6226330237</v>
      </c>
      <c r="L365" s="6">
        <f t="shared" si="72"/>
        <v>3844.2068545622001</v>
      </c>
      <c r="M365" s="6">
        <f t="shared" si="72"/>
        <v>3844.6224176763999</v>
      </c>
      <c r="N365" s="6">
        <f t="shared" si="72"/>
        <v>3845.9496663163</v>
      </c>
      <c r="O365" s="6">
        <f t="shared" si="72"/>
        <v>3847.1354972188997</v>
      </c>
      <c r="P365" s="6">
        <f t="shared" si="72"/>
        <v>3847.3811675011002</v>
      </c>
      <c r="Q365" s="6">
        <f t="shared" si="72"/>
        <v>3846.1572680646</v>
      </c>
      <c r="R365" s="6">
        <f t="shared" si="72"/>
        <v>3843.2205085422997</v>
      </c>
      <c r="S365" s="6">
        <f t="shared" si="72"/>
        <v>3840.2297289366002</v>
      </c>
      <c r="T365" s="6">
        <f t="shared" si="72"/>
        <v>3837.8513896699997</v>
      </c>
      <c r="U365" s="6">
        <f t="shared" si="72"/>
        <v>3836.1805327297002</v>
      </c>
      <c r="V365" s="6">
        <f t="shared" si="72"/>
        <v>3835.1596838342998</v>
      </c>
      <c r="W365" s="6">
        <f t="shared" si="72"/>
        <v>3834.3921821608001</v>
      </c>
      <c r="X365" s="6">
        <f t="shared" si="72"/>
        <v>3834.3804757334001</v>
      </c>
      <c r="Y365" s="6">
        <f t="shared" si="72"/>
        <v>3835.2531312638002</v>
      </c>
      <c r="Z365" s="6">
        <f t="shared" si="72"/>
        <v>3837.1746469584004</v>
      </c>
      <c r="AA365" s="6">
        <f t="shared" si="72"/>
        <v>3840.2282894555997</v>
      </c>
      <c r="AB365" s="6">
        <f t="shared" si="72"/>
        <v>3843.4592249175003</v>
      </c>
      <c r="AC365" s="6">
        <f t="shared" si="72"/>
        <v>3847.5873910472001</v>
      </c>
      <c r="AD365" s="6">
        <f t="shared" si="72"/>
        <v>3852.6607770957003</v>
      </c>
      <c r="AE365" s="6">
        <f t="shared" si="72"/>
        <v>3858.7206153138</v>
      </c>
      <c r="AF365" s="6">
        <f t="shared" si="72"/>
        <v>3865.7611485271</v>
      </c>
      <c r="AG365" s="6">
        <f t="shared" si="72"/>
        <v>3873.6221653019002</v>
      </c>
      <c r="AH365" s="6">
        <f t="shared" si="72"/>
        <v>3881.9827761783004</v>
      </c>
      <c r="AI365" s="6">
        <f t="shared" si="72"/>
        <v>3890.4044341490003</v>
      </c>
      <c r="AJ365" s="6">
        <f t="shared" si="72"/>
        <v>3898.3746350217002</v>
      </c>
      <c r="AK365" s="6">
        <f t="shared" si="72"/>
        <v>3905.3469797236999</v>
      </c>
      <c r="AL365" s="6">
        <f t="shared" si="72"/>
        <v>3910.7731807803998</v>
      </c>
    </row>
    <row r="366" spans="1:38" x14ac:dyDescent="0.35">
      <c r="B366" t="s">
        <v>100</v>
      </c>
      <c r="C366" s="6">
        <f t="shared" ref="C366:AL366" si="73">C343+C350+C357</f>
        <v>2507.3524895615005</v>
      </c>
      <c r="D366" s="6">
        <f t="shared" si="73"/>
        <v>2447.2317326401999</v>
      </c>
      <c r="E366" s="6">
        <f t="shared" si="73"/>
        <v>2404.0896305750002</v>
      </c>
      <c r="F366" s="6">
        <f t="shared" si="73"/>
        <v>2372.3576784176003</v>
      </c>
      <c r="G366" s="6">
        <f t="shared" si="73"/>
        <v>2349.9070988303001</v>
      </c>
      <c r="H366" s="6">
        <f t="shared" si="73"/>
        <v>2334.0778093866002</v>
      </c>
      <c r="I366" s="6">
        <f t="shared" si="73"/>
        <v>2321.7317741947004</v>
      </c>
      <c r="J366" s="6">
        <f t="shared" si="73"/>
        <v>2311.1540299523999</v>
      </c>
      <c r="K366" s="6">
        <f t="shared" si="73"/>
        <v>2301.5517055789001</v>
      </c>
      <c r="L366" s="6">
        <f t="shared" si="73"/>
        <v>2292.4844029871001</v>
      </c>
      <c r="M366" s="6">
        <f t="shared" si="73"/>
        <v>2283.8427647794001</v>
      </c>
      <c r="N366" s="6">
        <f t="shared" si="73"/>
        <v>2274.6364878812001</v>
      </c>
      <c r="O366" s="6">
        <f t="shared" si="73"/>
        <v>2264.4414196018001</v>
      </c>
      <c r="P366" s="6">
        <f t="shared" si="73"/>
        <v>2253.0216581065001</v>
      </c>
      <c r="Q366" s="6">
        <f t="shared" si="73"/>
        <v>2240.2982782918002</v>
      </c>
      <c r="R366" s="6">
        <f t="shared" si="73"/>
        <v>2226.3291433642999</v>
      </c>
      <c r="S366" s="6">
        <f t="shared" si="73"/>
        <v>2212.1905057269996</v>
      </c>
      <c r="T366" s="6">
        <f t="shared" si="73"/>
        <v>2198.4126804490002</v>
      </c>
      <c r="U366" s="6">
        <f t="shared" si="73"/>
        <v>2185.1685277993001</v>
      </c>
      <c r="V366" s="6">
        <f t="shared" si="73"/>
        <v>2172.4909767002</v>
      </c>
      <c r="W366" s="6">
        <f t="shared" si="73"/>
        <v>2160.1815981143</v>
      </c>
      <c r="X366" s="6">
        <f t="shared" si="73"/>
        <v>2148.4753052822998</v>
      </c>
      <c r="Y366" s="6">
        <f t="shared" si="73"/>
        <v>2137.3783503005002</v>
      </c>
      <c r="Z366" s="6">
        <f t="shared" si="73"/>
        <v>2126.8899526345999</v>
      </c>
      <c r="AA366" s="6">
        <f t="shared" si="73"/>
        <v>2116.9411715730998</v>
      </c>
      <c r="AB366" s="6">
        <f t="shared" si="73"/>
        <v>2106.9103241019002</v>
      </c>
      <c r="AC366" s="6">
        <f t="shared" si="73"/>
        <v>2097.0235928983998</v>
      </c>
      <c r="AD366" s="6">
        <f t="shared" si="73"/>
        <v>2087.1567328798001</v>
      </c>
      <c r="AE366" s="6">
        <f t="shared" si="73"/>
        <v>2077.1838312090999</v>
      </c>
      <c r="AF366" s="6">
        <f t="shared" si="73"/>
        <v>2066.9710686072999</v>
      </c>
      <c r="AG366" s="6">
        <f t="shared" si="73"/>
        <v>2056.3308686102</v>
      </c>
      <c r="AH366" s="6">
        <f t="shared" si="73"/>
        <v>2045.0243944872</v>
      </c>
      <c r="AI366" s="6">
        <f t="shared" si="73"/>
        <v>2032.7865450437</v>
      </c>
      <c r="AJ366" s="6">
        <f t="shared" si="73"/>
        <v>2019.349316087</v>
      </c>
      <c r="AK366" s="6">
        <f t="shared" si="73"/>
        <v>2004.4620064541</v>
      </c>
      <c r="AL366" s="6">
        <f t="shared" si="73"/>
        <v>1987.9062454975999</v>
      </c>
    </row>
    <row r="367" spans="1:38" x14ac:dyDescent="0.35">
      <c r="B367" t="s">
        <v>101</v>
      </c>
      <c r="C367" s="6">
        <f t="shared" ref="C367:AL367" si="74">C344+C351+C358</f>
        <v>1245.466605953</v>
      </c>
      <c r="D367" s="6">
        <f t="shared" si="74"/>
        <v>1212.9150083951999</v>
      </c>
      <c r="E367" s="6">
        <f t="shared" si="74"/>
        <v>1187.3341470304001</v>
      </c>
      <c r="F367" s="6">
        <f t="shared" si="74"/>
        <v>1165.7205632071002</v>
      </c>
      <c r="G367" s="6">
        <f t="shared" si="74"/>
        <v>1146.8599623458001</v>
      </c>
      <c r="H367" s="6">
        <f t="shared" si="74"/>
        <v>1129.502549713</v>
      </c>
      <c r="I367" s="6">
        <f t="shared" si="74"/>
        <v>1112.2647314988999</v>
      </c>
      <c r="J367" s="6">
        <f t="shared" si="74"/>
        <v>1094.4269654011</v>
      </c>
      <c r="K367" s="6">
        <f t="shared" si="74"/>
        <v>1075.7168416238001</v>
      </c>
      <c r="L367" s="6">
        <f t="shared" si="74"/>
        <v>1056.0569730911</v>
      </c>
      <c r="M367" s="6">
        <f t="shared" si="74"/>
        <v>1035.5322181131</v>
      </c>
      <c r="N367" s="6">
        <f t="shared" si="74"/>
        <v>1013.9741555706</v>
      </c>
      <c r="O367" s="6">
        <f t="shared" si="74"/>
        <v>991.49247210449994</v>
      </c>
      <c r="P367" s="6">
        <f t="shared" si="74"/>
        <v>968.29227584680007</v>
      </c>
      <c r="Q367" s="6">
        <f t="shared" si="74"/>
        <v>944.61588971729998</v>
      </c>
      <c r="R367" s="6">
        <f t="shared" si="74"/>
        <v>920.70655391159994</v>
      </c>
      <c r="S367" s="6">
        <f t="shared" si="74"/>
        <v>897.08478591539995</v>
      </c>
      <c r="T367" s="6">
        <f t="shared" si="74"/>
        <v>874.06769682880008</v>
      </c>
      <c r="U367" s="6">
        <f t="shared" si="74"/>
        <v>851.80739633080009</v>
      </c>
      <c r="V367" s="6">
        <f t="shared" si="74"/>
        <v>830.35724586749996</v>
      </c>
      <c r="W367" s="6">
        <f t="shared" si="74"/>
        <v>809.65610862619985</v>
      </c>
      <c r="X367" s="6">
        <f t="shared" si="74"/>
        <v>789.72864361099994</v>
      </c>
      <c r="Y367" s="6">
        <f t="shared" si="74"/>
        <v>770.50832207040003</v>
      </c>
      <c r="Z367" s="6">
        <f t="shared" si="74"/>
        <v>751.9066064389001</v>
      </c>
      <c r="AA367" s="6">
        <f t="shared" si="74"/>
        <v>733.79852561250004</v>
      </c>
      <c r="AB367" s="6">
        <f t="shared" si="74"/>
        <v>715.90740250700014</v>
      </c>
      <c r="AC367" s="6">
        <f t="shared" si="74"/>
        <v>698.17433246199994</v>
      </c>
      <c r="AD367" s="6">
        <f t="shared" si="74"/>
        <v>680.45887609270005</v>
      </c>
      <c r="AE367" s="6">
        <f t="shared" si="74"/>
        <v>662.63657026520002</v>
      </c>
      <c r="AF367" s="6">
        <f t="shared" si="74"/>
        <v>644.60909497609998</v>
      </c>
      <c r="AG367" s="6">
        <f t="shared" si="74"/>
        <v>626.29792200430006</v>
      </c>
      <c r="AH367" s="6">
        <f t="shared" si="74"/>
        <v>607.64599861039994</v>
      </c>
      <c r="AI367" s="6">
        <f t="shared" si="74"/>
        <v>588.62194127550003</v>
      </c>
      <c r="AJ367" s="6">
        <f t="shared" si="74"/>
        <v>569.22172018470008</v>
      </c>
      <c r="AK367" s="6">
        <f t="shared" si="74"/>
        <v>549.46832561120004</v>
      </c>
      <c r="AL367" s="6">
        <f t="shared" si="74"/>
        <v>529.40947634580004</v>
      </c>
    </row>
    <row r="368" spans="1:38" x14ac:dyDescent="0.35">
      <c r="B368" t="s">
        <v>102</v>
      </c>
      <c r="C368" s="6">
        <f t="shared" ref="C368:AL368" si="75">C345+C352+C359</f>
        <v>2242.8616504070001</v>
      </c>
      <c r="D368" s="6">
        <f t="shared" si="75"/>
        <v>2187.6697487888</v>
      </c>
      <c r="E368" s="6">
        <f t="shared" si="75"/>
        <v>2142.7280674070998</v>
      </c>
      <c r="F368" s="6">
        <f t="shared" si="75"/>
        <v>2102.1014529662002</v>
      </c>
      <c r="G368" s="6">
        <f t="shared" si="75"/>
        <v>2063.4495683444002</v>
      </c>
      <c r="H368" s="6">
        <f t="shared" si="75"/>
        <v>2024.7065967395001</v>
      </c>
      <c r="I368" s="6">
        <f t="shared" si="75"/>
        <v>1983.7031380481001</v>
      </c>
      <c r="J368" s="6">
        <f t="shared" si="75"/>
        <v>1939.4790880224</v>
      </c>
      <c r="K368" s="6">
        <f t="shared" si="75"/>
        <v>1891.8988463106</v>
      </c>
      <c r="L368" s="6">
        <f t="shared" si="75"/>
        <v>1841.1996223653002</v>
      </c>
      <c r="M368" s="6">
        <f t="shared" si="75"/>
        <v>1787.8934701640999</v>
      </c>
      <c r="N368" s="6">
        <f t="shared" si="75"/>
        <v>1732.1747072206999</v>
      </c>
      <c r="O368" s="6">
        <f t="shared" si="75"/>
        <v>1674.6825145366001</v>
      </c>
      <c r="P368" s="6">
        <f t="shared" si="75"/>
        <v>1616.1691469031998</v>
      </c>
      <c r="Q368" s="6">
        <f t="shared" si="75"/>
        <v>1557.3654090273003</v>
      </c>
      <c r="R368" s="6">
        <f t="shared" si="75"/>
        <v>1498.9078022400001</v>
      </c>
      <c r="S368" s="6">
        <f t="shared" si="75"/>
        <v>1441.7019871215998</v>
      </c>
      <c r="T368" s="6">
        <f t="shared" si="75"/>
        <v>1386.3278014033999</v>
      </c>
      <c r="U368" s="6">
        <f t="shared" si="75"/>
        <v>1333.0784045645</v>
      </c>
      <c r="V368" s="6">
        <f t="shared" si="75"/>
        <v>1282.0531806699</v>
      </c>
      <c r="W368" s="6">
        <f t="shared" si="75"/>
        <v>1233.1586324482</v>
      </c>
      <c r="X368" s="6">
        <f t="shared" si="75"/>
        <v>1186.3610851449</v>
      </c>
      <c r="Y368" s="6">
        <f t="shared" si="75"/>
        <v>1141.4955689055998</v>
      </c>
      <c r="Z368" s="6">
        <f t="shared" si="75"/>
        <v>1098.3568677815001</v>
      </c>
      <c r="AA368" s="6">
        <f t="shared" si="75"/>
        <v>1056.6894027583</v>
      </c>
      <c r="AB368" s="6">
        <f t="shared" si="75"/>
        <v>1016.0767160994</v>
      </c>
      <c r="AC368" s="6">
        <f t="shared" si="75"/>
        <v>976.34917072859992</v>
      </c>
      <c r="AD368" s="6">
        <f t="shared" si="75"/>
        <v>937.27287303200012</v>
      </c>
      <c r="AE368" s="6">
        <f t="shared" si="75"/>
        <v>898.66090517019995</v>
      </c>
      <c r="AF368" s="6">
        <f t="shared" si="75"/>
        <v>860.39080312220005</v>
      </c>
      <c r="AG368" s="6">
        <f t="shared" si="75"/>
        <v>822.39677696979993</v>
      </c>
      <c r="AH368" s="6">
        <f t="shared" si="75"/>
        <v>784.66572027170002</v>
      </c>
      <c r="AI368" s="6">
        <f t="shared" si="75"/>
        <v>747.23304693900002</v>
      </c>
      <c r="AJ368" s="6">
        <f t="shared" si="75"/>
        <v>710.17486672000007</v>
      </c>
      <c r="AK368" s="6">
        <f t="shared" si="75"/>
        <v>673.59829296880002</v>
      </c>
      <c r="AL368" s="6">
        <f t="shared" si="75"/>
        <v>637.63079517459994</v>
      </c>
    </row>
    <row r="370" spans="1:3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</row>
    <row r="371" spans="1:3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5.987398829</v>
      </c>
      <c r="E371" s="6">
        <f>[1]Results!H104</f>
        <v>9.7216995849999996</v>
      </c>
      <c r="F371" s="6">
        <f>[1]Results!I104</f>
        <v>14.72550581</v>
      </c>
      <c r="G371" s="6">
        <f>[1]Results!J104</f>
        <v>21.136822559999999</v>
      </c>
      <c r="H371" s="6">
        <f>[1]Results!K104</f>
        <v>28.986906229999999</v>
      </c>
      <c r="I371" s="6">
        <f>[1]Results!L104</f>
        <v>37.641656040000001</v>
      </c>
      <c r="J371" s="6">
        <f>[1]Results!M104</f>
        <v>46.873312929999997</v>
      </c>
      <c r="K371" s="6">
        <f>[1]Results!N104</f>
        <v>57.509496230000003</v>
      </c>
      <c r="L371" s="6">
        <f>[1]Results!O104</f>
        <v>70.743714260000004</v>
      </c>
      <c r="M371" s="6">
        <f>[1]Results!P104</f>
        <v>86.202584470000005</v>
      </c>
      <c r="N371" s="6">
        <f>[1]Results!Q104</f>
        <v>103.1955016</v>
      </c>
      <c r="O371" s="6">
        <f>[1]Results!R104</f>
        <v>121.12035729999999</v>
      </c>
      <c r="P371" s="6">
        <f>[1]Results!S104</f>
        <v>139.47689410000001</v>
      </c>
      <c r="Q371" s="6">
        <f>[1]Results!T104</f>
        <v>157.967285</v>
      </c>
      <c r="R371" s="6">
        <f>[1]Results!U104</f>
        <v>176.42533969999999</v>
      </c>
      <c r="S371" s="6">
        <f>[1]Results!V104</f>
        <v>194.76181460000001</v>
      </c>
      <c r="T371" s="6">
        <f>[1]Results!W104</f>
        <v>212.93171630000001</v>
      </c>
      <c r="U371" s="6">
        <f>[1]Results!X104</f>
        <v>230.91485</v>
      </c>
      <c r="V371" s="6">
        <f>[1]Results!Y104</f>
        <v>248.69946479999999</v>
      </c>
      <c r="W371" s="6">
        <f>[1]Results!Z104</f>
        <v>266.25325859999998</v>
      </c>
      <c r="X371" s="6">
        <f>[1]Results!AA104</f>
        <v>283.62675489999998</v>
      </c>
      <c r="Y371" s="6">
        <f>[1]Results!AB104</f>
        <v>300.79347480000001</v>
      </c>
      <c r="Z371" s="6">
        <f>[1]Results!AC104</f>
        <v>317.75450430000001</v>
      </c>
      <c r="AA371" s="6">
        <f>[1]Results!AD104</f>
        <v>334.5116147</v>
      </c>
      <c r="AB371" s="6">
        <f>[1]Results!AE104</f>
        <v>350.99481830000002</v>
      </c>
      <c r="AC371" s="6">
        <f>[1]Results!AF104</f>
        <v>367.31665149999998</v>
      </c>
      <c r="AD371" s="6">
        <f>[1]Results!AG104</f>
        <v>383.44136049999997</v>
      </c>
      <c r="AE371" s="6">
        <f>[1]Results!AH104</f>
        <v>399.37146869999998</v>
      </c>
      <c r="AF371" s="6">
        <f>[1]Results!AI104</f>
        <v>415.10948580000002</v>
      </c>
      <c r="AG371" s="6">
        <f>[1]Results!AJ104</f>
        <v>430.65784680000002</v>
      </c>
      <c r="AH371" s="6">
        <f>[1]Results!AK104</f>
        <v>446.018888</v>
      </c>
      <c r="AI371" s="6">
        <f>[1]Results!AL104</f>
        <v>461.19485759999998</v>
      </c>
      <c r="AJ371" s="6">
        <f>[1]Results!AM104</f>
        <v>476.18794350000002</v>
      </c>
      <c r="AK371" s="6">
        <f>[1]Results!AN104</f>
        <v>491.00029910000001</v>
      </c>
      <c r="AL371" s="6">
        <f>[1]Results!AO104</f>
        <v>505.63406170000002</v>
      </c>
    </row>
    <row r="372" spans="1:38" x14ac:dyDescent="0.35">
      <c r="B372" t="s">
        <v>58</v>
      </c>
      <c r="C372" s="6">
        <f>[1]Results!F105</f>
        <v>68.80476281</v>
      </c>
      <c r="D372" s="6">
        <f>[1]Results!G105</f>
        <v>77.827730720000005</v>
      </c>
      <c r="E372" s="6">
        <f>[1]Results!H105</f>
        <v>88.898412100000002</v>
      </c>
      <c r="F372" s="6">
        <f>[1]Results!I105</f>
        <v>101.06671660000001</v>
      </c>
      <c r="G372" s="6">
        <f>[1]Results!J105</f>
        <v>113.93173090000001</v>
      </c>
      <c r="H372" s="6">
        <f>[1]Results!K105</f>
        <v>126.95945639999999</v>
      </c>
      <c r="I372" s="6">
        <f>[1]Results!L105</f>
        <v>139.1611001</v>
      </c>
      <c r="J372" s="6">
        <f>[1]Results!M105</f>
        <v>150.9928701</v>
      </c>
      <c r="K372" s="6">
        <f>[1]Results!N105</f>
        <v>161.99995559999999</v>
      </c>
      <c r="L372" s="6">
        <f>[1]Results!O105</f>
        <v>170.7782943</v>
      </c>
      <c r="M372" s="6">
        <f>[1]Results!P105</f>
        <v>178.47292680000001</v>
      </c>
      <c r="N372" s="6">
        <f>[1]Results!Q105</f>
        <v>183.4716962</v>
      </c>
      <c r="O372" s="6">
        <f>[1]Results!R105</f>
        <v>187.37862939999999</v>
      </c>
      <c r="P372" s="6">
        <f>[1]Results!S105</f>
        <v>190.65966649999999</v>
      </c>
      <c r="Q372" s="6">
        <f>[1]Results!T105</f>
        <v>193.5972198</v>
      </c>
      <c r="R372" s="6">
        <f>[1]Results!U105</f>
        <v>196.35137589999999</v>
      </c>
      <c r="S372" s="6">
        <f>[1]Results!V105</f>
        <v>199.00985109999999</v>
      </c>
      <c r="T372" s="6">
        <f>[1]Results!W105</f>
        <v>201.61835170000001</v>
      </c>
      <c r="U372" s="6">
        <f>[1]Results!X105</f>
        <v>204.19886980000001</v>
      </c>
      <c r="V372" s="6">
        <f>[1]Results!Y105</f>
        <v>206.76547009999999</v>
      </c>
      <c r="W372" s="6">
        <f>[1]Results!Z105</f>
        <v>208.63949840000001</v>
      </c>
      <c r="X372" s="6">
        <f>[1]Results!AA105</f>
        <v>211.19786690000001</v>
      </c>
      <c r="Y372" s="6">
        <f>[1]Results!AB105</f>
        <v>213.7584344</v>
      </c>
      <c r="Z372" s="6">
        <f>[1]Results!AC105</f>
        <v>216.3227881</v>
      </c>
      <c r="AA372" s="6">
        <f>[1]Results!AD105</f>
        <v>218.89180970000001</v>
      </c>
      <c r="AB372" s="6">
        <f>[1]Results!AE105</f>
        <v>219.5904257</v>
      </c>
      <c r="AC372" s="6">
        <f>[1]Results!AF105</f>
        <v>221.28328149999999</v>
      </c>
      <c r="AD372" s="6">
        <f>[1]Results!AG105</f>
        <v>222.97693799999999</v>
      </c>
      <c r="AE372" s="6">
        <f>[1]Results!AH105</f>
        <v>224.67137389999999</v>
      </c>
      <c r="AF372" s="6">
        <f>[1]Results!AI105</f>
        <v>226.36654859999999</v>
      </c>
      <c r="AG372" s="6">
        <f>[1]Results!AJ105</f>
        <v>228.0624636</v>
      </c>
      <c r="AH372" s="6">
        <f>[1]Results!AK105</f>
        <v>229.759187</v>
      </c>
      <c r="AI372" s="6">
        <f>[1]Results!AL105</f>
        <v>231.4568433</v>
      </c>
      <c r="AJ372" s="6">
        <f>[1]Results!AM105</f>
        <v>233.15558590000001</v>
      </c>
      <c r="AK372" s="6">
        <f>[1]Results!AN105</f>
        <v>234.85557209999999</v>
      </c>
      <c r="AL372" s="6">
        <f>[1]Results!AO105</f>
        <v>236.55694500000001</v>
      </c>
    </row>
    <row r="373" spans="1:38" x14ac:dyDescent="0.35">
      <c r="B373" t="s">
        <v>59</v>
      </c>
      <c r="C373" s="6">
        <f>[1]Results!F106</f>
        <v>408.28039699999999</v>
      </c>
      <c r="D373" s="6">
        <f>[1]Results!G106</f>
        <v>425.15943820000001</v>
      </c>
      <c r="E373" s="6">
        <f>[1]Results!H106</f>
        <v>442.00447759999997</v>
      </c>
      <c r="F373" s="6">
        <f>[1]Results!I106</f>
        <v>456.98778620000002</v>
      </c>
      <c r="G373" s="6">
        <f>[1]Results!J106</f>
        <v>470.15990729999999</v>
      </c>
      <c r="H373" s="6">
        <f>[1]Results!K106</f>
        <v>481.83168239999998</v>
      </c>
      <c r="I373" s="6">
        <f>[1]Results!L106</f>
        <v>491.05830909999997</v>
      </c>
      <c r="J373" s="6">
        <f>[1]Results!M106</f>
        <v>499.92339090000002</v>
      </c>
      <c r="K373" s="6">
        <f>[1]Results!N106</f>
        <v>508.05017729999997</v>
      </c>
      <c r="L373" s="6">
        <f>[1]Results!O106</f>
        <v>515.61752890000002</v>
      </c>
      <c r="M373" s="6">
        <f>[1]Results!P106</f>
        <v>525.82852700000001</v>
      </c>
      <c r="N373" s="6">
        <f>[1]Results!Q106</f>
        <v>533.00736219999999</v>
      </c>
      <c r="O373" s="6">
        <f>[1]Results!R106</f>
        <v>540.12981809999997</v>
      </c>
      <c r="P373" s="6">
        <f>[1]Results!S106</f>
        <v>547.23099530000002</v>
      </c>
      <c r="Q373" s="6">
        <f>[1]Results!T106</f>
        <v>554.32831940000005</v>
      </c>
      <c r="R373" s="6">
        <f>[1]Results!U106</f>
        <v>561.43048810000005</v>
      </c>
      <c r="S373" s="6">
        <f>[1]Results!V106</f>
        <v>568.5418889</v>
      </c>
      <c r="T373" s="6">
        <f>[1]Results!W106</f>
        <v>575.66478029999996</v>
      </c>
      <c r="U373" s="6">
        <f>[1]Results!X106</f>
        <v>582.8003688</v>
      </c>
      <c r="V373" s="6">
        <f>[1]Results!Y106</f>
        <v>589.94934079999996</v>
      </c>
      <c r="W373" s="6">
        <f>[1]Results!Z106</f>
        <v>595.18301689999998</v>
      </c>
      <c r="X373" s="6">
        <f>[1]Results!AA106</f>
        <v>602.35364059999995</v>
      </c>
      <c r="Y373" s="6">
        <f>[1]Results!AB106</f>
        <v>609.5385933</v>
      </c>
      <c r="Z373" s="6">
        <f>[1]Results!AC106</f>
        <v>616.73807980000004</v>
      </c>
      <c r="AA373" s="6">
        <f>[1]Results!AD106</f>
        <v>623.95228859999997</v>
      </c>
      <c r="AB373" s="6">
        <f>[1]Results!AE106</f>
        <v>625.91543090000005</v>
      </c>
      <c r="AC373" s="6">
        <f>[1]Results!AF106</f>
        <v>630.66936320000002</v>
      </c>
      <c r="AD373" s="6">
        <f>[1]Results!AG106</f>
        <v>635.42511990000003</v>
      </c>
      <c r="AE373" s="6">
        <f>[1]Results!AH106</f>
        <v>640.18281379999996</v>
      </c>
      <c r="AF373" s="6">
        <f>[1]Results!AI106</f>
        <v>644.94255569999996</v>
      </c>
      <c r="AG373" s="6">
        <f>[1]Results!AJ106</f>
        <v>649.70445500000005</v>
      </c>
      <c r="AH373" s="6">
        <f>[1]Results!AK106</f>
        <v>654.46861950000005</v>
      </c>
      <c r="AI373" s="6">
        <f>[1]Results!AL106</f>
        <v>659.23515569999995</v>
      </c>
      <c r="AJ373" s="6">
        <f>[1]Results!AM106</f>
        <v>664.00416889999997</v>
      </c>
      <c r="AK373" s="6">
        <f>[1]Results!AN106</f>
        <v>668.77576299999998</v>
      </c>
      <c r="AL373" s="6">
        <f>[1]Results!AO106</f>
        <v>673.55004059999999</v>
      </c>
    </row>
    <row r="374" spans="1:38" x14ac:dyDescent="0.35">
      <c r="B374" t="s">
        <v>60</v>
      </c>
      <c r="C374" s="6">
        <f>[1]Results!F107</f>
        <v>954.38155940000001</v>
      </c>
      <c r="D374" s="6">
        <f>[1]Results!G107</f>
        <v>947.21728470000005</v>
      </c>
      <c r="E374" s="6">
        <f>[1]Results!H107</f>
        <v>939.3684379</v>
      </c>
      <c r="F374" s="6">
        <f>[1]Results!I107</f>
        <v>931.00877790000004</v>
      </c>
      <c r="G374" s="6">
        <f>[1]Results!J107</f>
        <v>922.29808400000002</v>
      </c>
      <c r="H374" s="6">
        <f>[1]Results!K107</f>
        <v>913.3958212</v>
      </c>
      <c r="I374" s="6">
        <f>[1]Results!L107</f>
        <v>904.45038899999997</v>
      </c>
      <c r="J374" s="6">
        <f>[1]Results!M107</f>
        <v>895.52603090000002</v>
      </c>
      <c r="K374" s="6">
        <f>[1]Results!N107</f>
        <v>886.62542199999996</v>
      </c>
      <c r="L374" s="6">
        <f>[1]Results!O107</f>
        <v>877.77995510000005</v>
      </c>
      <c r="M374" s="6">
        <f>[1]Results!P107</f>
        <v>869.00818049999998</v>
      </c>
      <c r="N374" s="6">
        <f>[1]Results!Q107</f>
        <v>860.31916330000001</v>
      </c>
      <c r="O374" s="6">
        <f>[1]Results!R107</f>
        <v>851.71629940000003</v>
      </c>
      <c r="P374" s="6">
        <f>[1]Results!S107</f>
        <v>843.20098989999997</v>
      </c>
      <c r="Q374" s="6">
        <f>[1]Results!T107</f>
        <v>834.77345969999999</v>
      </c>
      <c r="R374" s="6">
        <f>[1]Results!U107</f>
        <v>826.43335830000001</v>
      </c>
      <c r="S374" s="6">
        <f>[1]Results!V107</f>
        <v>818.18005640000001</v>
      </c>
      <c r="T374" s="6">
        <f>[1]Results!W107</f>
        <v>810.01279169999998</v>
      </c>
      <c r="U374" s="6">
        <f>[1]Results!X107</f>
        <v>801.9307417</v>
      </c>
      <c r="V374" s="6">
        <f>[1]Results!Y107</f>
        <v>793.9330582</v>
      </c>
      <c r="W374" s="6">
        <f>[1]Results!Z107</f>
        <v>786.01888570000006</v>
      </c>
      <c r="X374" s="6">
        <f>[1]Results!AA107</f>
        <v>778.18710490000001</v>
      </c>
      <c r="Y374" s="6">
        <f>[1]Results!AB107</f>
        <v>770.43713170000001</v>
      </c>
      <c r="Z374" s="6">
        <f>[1]Results!AC107</f>
        <v>762.76812289999998</v>
      </c>
      <c r="AA374" s="6">
        <f>[1]Results!AD107</f>
        <v>755.17924310000001</v>
      </c>
      <c r="AB374" s="6">
        <f>[1]Results!AE107</f>
        <v>747.66966500000001</v>
      </c>
      <c r="AC374" s="6">
        <f>[1]Results!AF107</f>
        <v>740.2378483</v>
      </c>
      <c r="AD374" s="6">
        <f>[1]Results!AG107</f>
        <v>732.88337039999999</v>
      </c>
      <c r="AE374" s="6">
        <f>[1]Results!AH107</f>
        <v>725.60543059999998</v>
      </c>
      <c r="AF374" s="6">
        <f>[1]Results!AI107</f>
        <v>718.40323690000002</v>
      </c>
      <c r="AG374" s="6">
        <f>[1]Results!AJ107</f>
        <v>711.27600529999995</v>
      </c>
      <c r="AH374" s="6">
        <f>[1]Results!AK107</f>
        <v>704.22295989999998</v>
      </c>
      <c r="AI374" s="6">
        <f>[1]Results!AL107</f>
        <v>697.24333320000005</v>
      </c>
      <c r="AJ374" s="6">
        <f>[1]Results!AM107</f>
        <v>690.33636539999998</v>
      </c>
      <c r="AK374" s="6">
        <f>[1]Results!AN107</f>
        <v>683.50130469999999</v>
      </c>
      <c r="AL374" s="6">
        <f>[1]Results!AO107</f>
        <v>676.73740729999997</v>
      </c>
    </row>
    <row r="375" spans="1:38" x14ac:dyDescent="0.35">
      <c r="B375" t="s">
        <v>61</v>
      </c>
      <c r="C375" s="6">
        <f>[1]Results!F108</f>
        <v>878.79999729999997</v>
      </c>
      <c r="D375" s="6">
        <f>[1]Results!G108</f>
        <v>867.86991079999996</v>
      </c>
      <c r="E375" s="6">
        <f>[1]Results!H108</f>
        <v>856.89817619999997</v>
      </c>
      <c r="F375" s="6">
        <f>[1]Results!I108</f>
        <v>845.95795940000005</v>
      </c>
      <c r="G375" s="6">
        <f>[1]Results!J108</f>
        <v>835.0970777</v>
      </c>
      <c r="H375" s="6">
        <f>[1]Results!K108</f>
        <v>824.34559620000005</v>
      </c>
      <c r="I375" s="6">
        <f>[1]Results!L108</f>
        <v>813.72024680000004</v>
      </c>
      <c r="J375" s="6">
        <f>[1]Results!M108</f>
        <v>803.22780479999994</v>
      </c>
      <c r="K375" s="6">
        <f>[1]Results!N108</f>
        <v>792.86982939999996</v>
      </c>
      <c r="L375" s="6">
        <f>[1]Results!O108</f>
        <v>782.64709530000005</v>
      </c>
      <c r="M375" s="6">
        <f>[1]Results!P108</f>
        <v>772.55910349999999</v>
      </c>
      <c r="N375" s="6">
        <f>[1]Results!Q108</f>
        <v>762.60510850000003</v>
      </c>
      <c r="O375" s="6">
        <f>[1]Results!R108</f>
        <v>752.78325670000004</v>
      </c>
      <c r="P375" s="6">
        <f>[1]Results!S108</f>
        <v>743.09195799999998</v>
      </c>
      <c r="Q375" s="6">
        <f>[1]Results!T108</f>
        <v>733.52956500000005</v>
      </c>
      <c r="R375" s="6">
        <f>[1]Results!U108</f>
        <v>724.09441370000002</v>
      </c>
      <c r="S375" s="6">
        <f>[1]Results!V108</f>
        <v>714.78484300000002</v>
      </c>
      <c r="T375" s="6">
        <f>[1]Results!W108</f>
        <v>705.59920420000003</v>
      </c>
      <c r="U375" s="6">
        <f>[1]Results!X108</f>
        <v>696.53586610000002</v>
      </c>
      <c r="V375" s="6">
        <f>[1]Results!Y108</f>
        <v>687.59321720000003</v>
      </c>
      <c r="W375" s="6">
        <f>[1]Results!Z108</f>
        <v>678.76966619999996</v>
      </c>
      <c r="X375" s="6">
        <f>[1]Results!AA108</f>
        <v>670.06337789999998</v>
      </c>
      <c r="Y375" s="6">
        <f>[1]Results!AB108</f>
        <v>661.47306890000004</v>
      </c>
      <c r="Z375" s="6">
        <f>[1]Results!AC108</f>
        <v>652.99720939999997</v>
      </c>
      <c r="AA375" s="6">
        <f>[1]Results!AD108</f>
        <v>644.63428950000002</v>
      </c>
      <c r="AB375" s="6">
        <f>[1]Results!AE108</f>
        <v>636.38281930000005</v>
      </c>
      <c r="AC375" s="6">
        <f>[1]Results!AF108</f>
        <v>628.24060729999997</v>
      </c>
      <c r="AD375" s="6">
        <f>[1]Results!AG108</f>
        <v>620.20659250000006</v>
      </c>
      <c r="AE375" s="6">
        <f>[1]Results!AH108</f>
        <v>612.27934570000002</v>
      </c>
      <c r="AF375" s="6">
        <f>[1]Results!AI108</f>
        <v>604.45745680000005</v>
      </c>
      <c r="AG375" s="6">
        <f>[1]Results!AJ108</f>
        <v>596.73953429999995</v>
      </c>
      <c r="AH375" s="6">
        <f>[1]Results!AK108</f>
        <v>589.12420499999996</v>
      </c>
      <c r="AI375" s="6">
        <f>[1]Results!AL108</f>
        <v>581.61011389999999</v>
      </c>
      <c r="AJ375" s="6">
        <f>[1]Results!AM108</f>
        <v>574.19592390000003</v>
      </c>
      <c r="AK375" s="6">
        <f>[1]Results!AN108</f>
        <v>566.88031569999998</v>
      </c>
      <c r="AL375" s="6">
        <f>[1]Results!AO108</f>
        <v>559.6619872</v>
      </c>
    </row>
    <row r="376" spans="1:38" x14ac:dyDescent="0.35">
      <c r="B376" t="s">
        <v>62</v>
      </c>
      <c r="C376" s="6">
        <f>[1]Results!F109</f>
        <v>139.85209269999999</v>
      </c>
      <c r="D376" s="6">
        <f>[1]Results!G109</f>
        <v>137.94033959999999</v>
      </c>
      <c r="E376" s="6">
        <f>[1]Results!H109</f>
        <v>136.0367478</v>
      </c>
      <c r="F376" s="6">
        <f>[1]Results!I109</f>
        <v>134.148278</v>
      </c>
      <c r="G376" s="6">
        <f>[1]Results!J109</f>
        <v>132.28015450000001</v>
      </c>
      <c r="H376" s="6">
        <f>[1]Results!K109</f>
        <v>130.435193</v>
      </c>
      <c r="I376" s="6">
        <f>[1]Results!L109</f>
        <v>128.61463169999999</v>
      </c>
      <c r="J376" s="6">
        <f>[1]Results!M109</f>
        <v>126.8188842</v>
      </c>
      <c r="K376" s="6">
        <f>[1]Results!N109</f>
        <v>125.0479665</v>
      </c>
      <c r="L376" s="6">
        <f>[1]Results!O109</f>
        <v>123.3017055</v>
      </c>
      <c r="M376" s="6">
        <f>[1]Results!P109</f>
        <v>121.5798393</v>
      </c>
      <c r="N376" s="6">
        <f>[1]Results!Q109</f>
        <v>119.8820657</v>
      </c>
      <c r="O376" s="6">
        <f>[1]Results!R109</f>
        <v>118.2080661</v>
      </c>
      <c r="P376" s="6">
        <f>[1]Results!S109</f>
        <v>116.5575159</v>
      </c>
      <c r="Q376" s="6">
        <f>[1]Results!T109</f>
        <v>114.9300904</v>
      </c>
      <c r="R376" s="6">
        <f>[1]Results!U109</f>
        <v>113.325467</v>
      </c>
      <c r="S376" s="6">
        <f>[1]Results!V109</f>
        <v>111.7433266</v>
      </c>
      <c r="T376" s="6">
        <f>[1]Results!W109</f>
        <v>110.18335399999999</v>
      </c>
      <c r="U376" s="6">
        <f>[1]Results!X109</f>
        <v>108.6452381</v>
      </c>
      <c r="V376" s="6">
        <f>[1]Results!Y109</f>
        <v>107.12867230000001</v>
      </c>
      <c r="W376" s="6">
        <f>[1]Results!Z109</f>
        <v>105.633354</v>
      </c>
      <c r="X376" s="6">
        <f>[1]Results!AA109</f>
        <v>104.158985</v>
      </c>
      <c r="Y376" s="6">
        <f>[1]Results!AB109</f>
        <v>102.7052711</v>
      </c>
      <c r="Z376" s="6">
        <f>[1]Results!AC109</f>
        <v>101.27192239999999</v>
      </c>
      <c r="AA376" s="6">
        <f>[1]Results!AD109</f>
        <v>99.858652950000007</v>
      </c>
      <c r="AB376" s="6">
        <f>[1]Results!AE109</f>
        <v>98.46518098</v>
      </c>
      <c r="AC376" s="6">
        <f>[1]Results!AF109</f>
        <v>97.091228569999998</v>
      </c>
      <c r="AD376" s="6">
        <f>[1]Results!AG109</f>
        <v>95.73652165</v>
      </c>
      <c r="AE376" s="6">
        <f>[1]Results!AH109</f>
        <v>94.400790060000006</v>
      </c>
      <c r="AF376" s="6">
        <f>[1]Results!AI109</f>
        <v>93.083767440000003</v>
      </c>
      <c r="AG376" s="6">
        <f>[1]Results!AJ109</f>
        <v>91.785191170000004</v>
      </c>
      <c r="AH376" s="6">
        <f>[1]Results!AK109</f>
        <v>90.504802330000004</v>
      </c>
      <c r="AI376" s="6">
        <f>[1]Results!AL109</f>
        <v>89.242345630000003</v>
      </c>
      <c r="AJ376" s="6">
        <f>[1]Results!AM109</f>
        <v>87.997569389999995</v>
      </c>
      <c r="AK376" s="6">
        <f>[1]Results!AN109</f>
        <v>86.770225449999998</v>
      </c>
      <c r="AL376" s="6">
        <f>[1]Results!AO109</f>
        <v>85.560069170000006</v>
      </c>
    </row>
    <row r="377" spans="1:38" x14ac:dyDescent="0.35">
      <c r="B377" t="s">
        <v>63</v>
      </c>
      <c r="C377" s="6">
        <f>[1]Results!F110</f>
        <v>3.874567114</v>
      </c>
      <c r="D377" s="6">
        <f>[1]Results!G110</f>
        <v>3.7242706870000002</v>
      </c>
      <c r="E377" s="6">
        <f>[1]Results!H110</f>
        <v>3.580155676</v>
      </c>
      <c r="F377" s="6">
        <f>[1]Results!I110</f>
        <v>3.4419608070000001</v>
      </c>
      <c r="G377" s="6">
        <f>[1]Results!J110</f>
        <v>3.309436576</v>
      </c>
      <c r="H377" s="6">
        <f>[1]Results!K110</f>
        <v>3.1823445769999998</v>
      </c>
      <c r="I377" s="6">
        <f>[1]Results!L110</f>
        <v>3.0604567930000002</v>
      </c>
      <c r="J377" s="6">
        <f>[1]Results!M110</f>
        <v>2.943555001</v>
      </c>
      <c r="K377" s="6">
        <f>[1]Results!N110</f>
        <v>2.8314302690000002</v>
      </c>
      <c r="L377" s="6">
        <f>[1]Results!O110</f>
        <v>2.7238825310000001</v>
      </c>
      <c r="M377" s="6">
        <f>[1]Results!P110</f>
        <v>2.6207201850000001</v>
      </c>
      <c r="N377" s="6">
        <f>[1]Results!Q110</f>
        <v>2.5217597280000001</v>
      </c>
      <c r="O377" s="6">
        <f>[1]Results!R110</f>
        <v>2.4268254090000001</v>
      </c>
      <c r="P377" s="6">
        <f>[1]Results!S110</f>
        <v>2.3357489</v>
      </c>
      <c r="Q377" s="6">
        <f>[1]Results!T110</f>
        <v>2.248368975</v>
      </c>
      <c r="R377" s="6">
        <f>[1]Results!U110</f>
        <v>2.164531212</v>
      </c>
      <c r="S377" s="6">
        <f>[1]Results!V110</f>
        <v>2.084087705</v>
      </c>
      <c r="T377" s="6">
        <f>[1]Results!W110</f>
        <v>2.006896786</v>
      </c>
      <c r="U377" s="6">
        <f>[1]Results!X110</f>
        <v>1.9328227609999999</v>
      </c>
      <c r="V377" s="6">
        <f>[1]Results!Y110</f>
        <v>1.8617356599999999</v>
      </c>
      <c r="W377" s="6">
        <f>[1]Results!Z110</f>
        <v>1.793510994</v>
      </c>
      <c r="X377" s="6">
        <f>[1]Results!AA110</f>
        <v>1.72802952</v>
      </c>
      <c r="Y377" s="6">
        <f>[1]Results!AB110</f>
        <v>1.665177022</v>
      </c>
      <c r="Z377" s="6">
        <f>[1]Results!AC110</f>
        <v>1.6048440980000001</v>
      </c>
      <c r="AA377" s="6">
        <f>[1]Results!AD110</f>
        <v>1.546925954</v>
      </c>
      <c r="AB377" s="6">
        <f>[1]Results!AE110</f>
        <v>1.491322211</v>
      </c>
      <c r="AC377" s="6">
        <f>[1]Results!AF110</f>
        <v>1.4379367190000001</v>
      </c>
      <c r="AD377" s="6">
        <f>[1]Results!AG110</f>
        <v>1.386677376</v>
      </c>
      <c r="AE377" s="6">
        <f>[1]Results!AH110</f>
        <v>1.3374559589999999</v>
      </c>
      <c r="AF377" s="6">
        <f>[1]Results!AI110</f>
        <v>1.2901879549999999</v>
      </c>
      <c r="AG377" s="6">
        <f>[1]Results!AJ110</f>
        <v>1.244792412</v>
      </c>
      <c r="AH377" s="6">
        <f>[1]Results!AK110</f>
        <v>1.201191782</v>
      </c>
      <c r="AI377" s="6">
        <f>[1]Results!AL110</f>
        <v>1.159311778</v>
      </c>
      <c r="AJ377" s="6">
        <f>[1]Results!AM110</f>
        <v>1.1190812400000001</v>
      </c>
      <c r="AK377" s="6">
        <f>[1]Results!AN110</f>
        <v>1.0804319979999999</v>
      </c>
      <c r="AL377" s="6">
        <f>[1]Results!AO110</f>
        <v>1.0432987469999999</v>
      </c>
    </row>
    <row r="379" spans="1:3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</row>
    <row r="380" spans="1:3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5.9873988220000003</v>
      </c>
      <c r="E380" s="6">
        <f>[1]Results!H112</f>
        <v>9.7216995520000005</v>
      </c>
      <c r="F380" s="6">
        <f>[1]Results!I112</f>
        <v>14.72550575</v>
      </c>
      <c r="G380" s="6">
        <f>[1]Results!J112</f>
        <v>21.136822500000001</v>
      </c>
      <c r="H380" s="6">
        <f>[1]Results!K112</f>
        <v>28.986906250000001</v>
      </c>
      <c r="I380" s="6">
        <f>[1]Results!L112</f>
        <v>37.641656130000001</v>
      </c>
      <c r="J380" s="6">
        <f>[1]Results!M112</f>
        <v>46.873311510000001</v>
      </c>
      <c r="K380" s="6">
        <f>[1]Results!N112</f>
        <v>56.669990030000001</v>
      </c>
      <c r="L380" s="6">
        <f>[1]Results!O112</f>
        <v>67.163745719999994</v>
      </c>
      <c r="M380" s="6">
        <f>[1]Results!P112</f>
        <v>78.481265870000001</v>
      </c>
      <c r="N380" s="6">
        <f>[1]Results!Q112</f>
        <v>90.573120119999999</v>
      </c>
      <c r="O380" s="6">
        <f>[1]Results!R112</f>
        <v>103.4443417</v>
      </c>
      <c r="P380" s="6">
        <f>[1]Results!S112</f>
        <v>116.9923555</v>
      </c>
      <c r="Q380" s="6">
        <f>[1]Results!T112</f>
        <v>131.0670729</v>
      </c>
      <c r="R380" s="6">
        <f>[1]Results!U112</f>
        <v>145.50076749999999</v>
      </c>
      <c r="S380" s="6">
        <f>[1]Results!V112</f>
        <v>160.13335559999999</v>
      </c>
      <c r="T380" s="6">
        <f>[1]Results!W112</f>
        <v>174.84128820000001</v>
      </c>
      <c r="U380" s="6">
        <f>[1]Results!X112</f>
        <v>189.5498959</v>
      </c>
      <c r="V380" s="6">
        <f>[1]Results!Y112</f>
        <v>204.1434892</v>
      </c>
      <c r="W380" s="6">
        <f>[1]Results!Z112</f>
        <v>218.49206760000001</v>
      </c>
      <c r="X380" s="6">
        <f>[1]Results!AA112</f>
        <v>232.5791499</v>
      </c>
      <c r="Y380" s="6">
        <f>[1]Results!AB112</f>
        <v>246.34927630000001</v>
      </c>
      <c r="Z380" s="6">
        <f>[1]Results!AC112</f>
        <v>259.8098397</v>
      </c>
      <c r="AA380" s="6">
        <f>[1]Results!AD112</f>
        <v>272.9990712</v>
      </c>
      <c r="AB380" s="6">
        <f>[1]Results!AE112</f>
        <v>285.90721129999997</v>
      </c>
      <c r="AC380" s="6">
        <f>[1]Results!AF112</f>
        <v>298.72598260000001</v>
      </c>
      <c r="AD380" s="6">
        <f>[1]Results!AG112</f>
        <v>311.51059400000003</v>
      </c>
      <c r="AE380" s="6">
        <f>[1]Results!AH112</f>
        <v>324.35361920000003</v>
      </c>
      <c r="AF380" s="6">
        <f>[1]Results!AI112</f>
        <v>337.33550159999999</v>
      </c>
      <c r="AG380" s="6">
        <f>[1]Results!AJ112</f>
        <v>350.51417359999999</v>
      </c>
      <c r="AH380" s="6">
        <f>[1]Results!AK112</f>
        <v>363.91680919999999</v>
      </c>
      <c r="AI380" s="6">
        <f>[1]Results!AL112</f>
        <v>377.53797200000002</v>
      </c>
      <c r="AJ380" s="6">
        <f>[1]Results!AM112</f>
        <v>391.34456990000001</v>
      </c>
      <c r="AK380" s="6">
        <f>[1]Results!AN112</f>
        <v>405.28542800000002</v>
      </c>
      <c r="AL380" s="6">
        <f>[1]Results!AO112</f>
        <v>419.30203390000003</v>
      </c>
    </row>
    <row r="381" spans="1:38" x14ac:dyDescent="0.35">
      <c r="B381" t="s">
        <v>58</v>
      </c>
      <c r="C381" s="6">
        <f>[1]Results!F113</f>
        <v>68.80476281</v>
      </c>
      <c r="D381" s="6">
        <f>[1]Results!G113</f>
        <v>77.827730689999996</v>
      </c>
      <c r="E381" s="6">
        <f>[1]Results!H113</f>
        <v>88.898411899999999</v>
      </c>
      <c r="F381" s="6">
        <f>[1]Results!I113</f>
        <v>101.0667162</v>
      </c>
      <c r="G381" s="6">
        <f>[1]Results!J113</f>
        <v>113.9317301</v>
      </c>
      <c r="H381" s="6">
        <f>[1]Results!K113</f>
        <v>126.95945519999999</v>
      </c>
      <c r="I381" s="6">
        <f>[1]Results!L113</f>
        <v>139.1610986</v>
      </c>
      <c r="J381" s="6">
        <f>[1]Results!M113</f>
        <v>150.99286660000001</v>
      </c>
      <c r="K381" s="6">
        <f>[1]Results!N113</f>
        <v>162.4418871</v>
      </c>
      <c r="L381" s="6">
        <f>[1]Results!O113</f>
        <v>173.38576560000001</v>
      </c>
      <c r="M381" s="6">
        <f>[1]Results!P113</f>
        <v>184.71514999999999</v>
      </c>
      <c r="N381" s="6">
        <f>[1]Results!Q113</f>
        <v>194.23953760000001</v>
      </c>
      <c r="O381" s="6">
        <f>[1]Results!R113</f>
        <v>202.94489250000001</v>
      </c>
      <c r="P381" s="6">
        <f>[1]Results!S113</f>
        <v>210.86820650000001</v>
      </c>
      <c r="Q381" s="6">
        <f>[1]Results!T113</f>
        <v>218.11451740000001</v>
      </c>
      <c r="R381" s="6">
        <f>[1]Results!U113</f>
        <v>224.82349199999999</v>
      </c>
      <c r="S381" s="6">
        <f>[1]Results!V113</f>
        <v>231.1391299</v>
      </c>
      <c r="T381" s="6">
        <f>[1]Results!W113</f>
        <v>237.17581469999999</v>
      </c>
      <c r="U381" s="6">
        <f>[1]Results!X113</f>
        <v>243.0016454</v>
      </c>
      <c r="V381" s="6">
        <f>[1]Results!Y113</f>
        <v>248.72814869999999</v>
      </c>
      <c r="W381" s="6">
        <f>[1]Results!Z113</f>
        <v>253.76899969999999</v>
      </c>
      <c r="X381" s="6">
        <f>[1]Results!AA113</f>
        <v>259.56382150000002</v>
      </c>
      <c r="Y381" s="6">
        <f>[1]Results!AB113</f>
        <v>265.4568817</v>
      </c>
      <c r="Z381" s="6">
        <f>[1]Results!AC113</f>
        <v>271.44327909999998</v>
      </c>
      <c r="AA381" s="6">
        <f>[1]Results!AD113</f>
        <v>277.48994499999998</v>
      </c>
      <c r="AB381" s="6">
        <f>[1]Results!AE113</f>
        <v>281.66653600000001</v>
      </c>
      <c r="AC381" s="6">
        <f>[1]Results!AF113</f>
        <v>286.76516579999998</v>
      </c>
      <c r="AD381" s="6">
        <f>[1]Results!AG113</f>
        <v>291.70846010000002</v>
      </c>
      <c r="AE381" s="6">
        <f>[1]Results!AH113</f>
        <v>296.41209650000002</v>
      </c>
      <c r="AF381" s="6">
        <f>[1]Results!AI113</f>
        <v>300.80139630000002</v>
      </c>
      <c r="AG381" s="6">
        <f>[1]Results!AJ113</f>
        <v>304.82135269999998</v>
      </c>
      <c r="AH381" s="6">
        <f>[1]Results!AK113</f>
        <v>308.44536970000001</v>
      </c>
      <c r="AI381" s="6">
        <f>[1]Results!AL113</f>
        <v>311.67818340000002</v>
      </c>
      <c r="AJ381" s="6">
        <f>[1]Results!AM113</f>
        <v>314.55195320000001</v>
      </c>
      <c r="AK381" s="6">
        <f>[1]Results!AN113</f>
        <v>317.11736480000002</v>
      </c>
      <c r="AL381" s="6">
        <f>[1]Results!AO113</f>
        <v>319.43313920000003</v>
      </c>
    </row>
    <row r="382" spans="1:38" x14ac:dyDescent="0.35">
      <c r="B382" t="s">
        <v>59</v>
      </c>
      <c r="C382" s="6">
        <f>[1]Results!F114</f>
        <v>408.28039699999999</v>
      </c>
      <c r="D382" s="6">
        <f>[1]Results!G114</f>
        <v>425.15943820000001</v>
      </c>
      <c r="E382" s="6">
        <f>[1]Results!H114</f>
        <v>442.0044777</v>
      </c>
      <c r="F382" s="6">
        <f>[1]Results!I114</f>
        <v>456.98778650000003</v>
      </c>
      <c r="G382" s="6">
        <f>[1]Results!J114</f>
        <v>470.15990790000001</v>
      </c>
      <c r="H382" s="6">
        <f>[1]Results!K114</f>
        <v>481.83168330000001</v>
      </c>
      <c r="I382" s="6">
        <f>[1]Results!L114</f>
        <v>491.05831019999999</v>
      </c>
      <c r="J382" s="6">
        <f>[1]Results!M114</f>
        <v>499.92339190000001</v>
      </c>
      <c r="K382" s="6">
        <f>[1]Results!N114</f>
        <v>508.43134079999999</v>
      </c>
      <c r="L382" s="6">
        <f>[1]Results!O114</f>
        <v>516.55755999999997</v>
      </c>
      <c r="M382" s="6">
        <f>[1]Results!P114</f>
        <v>527.26443570000004</v>
      </c>
      <c r="N382" s="6">
        <f>[1]Results!Q114</f>
        <v>534.81260559999998</v>
      </c>
      <c r="O382" s="6">
        <f>[1]Results!R114</f>
        <v>542.187141</v>
      </c>
      <c r="P382" s="6">
        <f>[1]Results!S114</f>
        <v>549.45313950000002</v>
      </c>
      <c r="Q382" s="6">
        <f>[1]Results!T114</f>
        <v>556.65688009999997</v>
      </c>
      <c r="R382" s="6">
        <f>[1]Results!U114</f>
        <v>563.82857799999999</v>
      </c>
      <c r="S382" s="6">
        <f>[1]Results!V114</f>
        <v>570.98694220000004</v>
      </c>
      <c r="T382" s="6">
        <f>[1]Results!W114</f>
        <v>578.14398229999995</v>
      </c>
      <c r="U382" s="6">
        <f>[1]Results!X114</f>
        <v>585.30919779999999</v>
      </c>
      <c r="V382" s="6">
        <f>[1]Results!Y114</f>
        <v>592.48970580000002</v>
      </c>
      <c r="W382" s="6">
        <f>[1]Results!Z114</f>
        <v>597.76215979999995</v>
      </c>
      <c r="X382" s="6">
        <f>[1]Results!AA114</f>
        <v>604.98306379999997</v>
      </c>
      <c r="Y382" s="6">
        <f>[1]Results!AB114</f>
        <v>612.23234509999997</v>
      </c>
      <c r="Z382" s="6">
        <f>[1]Results!AC114</f>
        <v>619.51037840000004</v>
      </c>
      <c r="AA382" s="6">
        <f>[1]Results!AD114</f>
        <v>626.81485580000003</v>
      </c>
      <c r="AB382" s="6">
        <f>[1]Results!AE114</f>
        <v>628.87506970000004</v>
      </c>
      <c r="AC382" s="6">
        <f>[1]Results!AF114</f>
        <v>633.72627829999999</v>
      </c>
      <c r="AD382" s="6">
        <f>[1]Results!AG114</f>
        <v>638.57254469999998</v>
      </c>
      <c r="AE382" s="6">
        <f>[1]Results!AH114</f>
        <v>643.4082674</v>
      </c>
      <c r="AF382" s="6">
        <f>[1]Results!AI114</f>
        <v>648.23026800000002</v>
      </c>
      <c r="AG382" s="6">
        <f>[1]Results!AJ114</f>
        <v>653.03815159999999</v>
      </c>
      <c r="AH382" s="6">
        <f>[1]Results!AK114</f>
        <v>657.83382700000004</v>
      </c>
      <c r="AI382" s="6">
        <f>[1]Results!AL114</f>
        <v>662.62045000000001</v>
      </c>
      <c r="AJ382" s="6">
        <f>[1]Results!AM114</f>
        <v>667.40138190000005</v>
      </c>
      <c r="AK382" s="6">
        <f>[1]Results!AN114</f>
        <v>672.17951559999995</v>
      </c>
      <c r="AL382" s="6">
        <f>[1]Results!AO114</f>
        <v>676.95701919999999</v>
      </c>
    </row>
    <row r="383" spans="1:38" x14ac:dyDescent="0.35">
      <c r="B383" t="s">
        <v>60</v>
      </c>
      <c r="C383" s="6">
        <f>[1]Results!F115</f>
        <v>954.38155940000001</v>
      </c>
      <c r="D383" s="6">
        <f>[1]Results!G115</f>
        <v>947.21728470000005</v>
      </c>
      <c r="E383" s="6">
        <f>[1]Results!H115</f>
        <v>939.36843799999997</v>
      </c>
      <c r="F383" s="6">
        <f>[1]Results!I115</f>
        <v>931.00877809999997</v>
      </c>
      <c r="G383" s="6">
        <f>[1]Results!J115</f>
        <v>922.29808419999995</v>
      </c>
      <c r="H383" s="6">
        <f>[1]Results!K115</f>
        <v>913.39582150000001</v>
      </c>
      <c r="I383" s="6">
        <f>[1]Results!L115</f>
        <v>904.45038939999995</v>
      </c>
      <c r="J383" s="6">
        <f>[1]Results!M115</f>
        <v>895.52603260000001</v>
      </c>
      <c r="K383" s="6">
        <f>[1]Results!N115</f>
        <v>886.64128870000002</v>
      </c>
      <c r="L383" s="6">
        <f>[1]Results!O115</f>
        <v>877.8113879</v>
      </c>
      <c r="M383" s="6">
        <f>[1]Results!P115</f>
        <v>869.05001749999997</v>
      </c>
      <c r="N383" s="6">
        <f>[1]Results!Q115</f>
        <v>860.36693019999996</v>
      </c>
      <c r="O383" s="6">
        <f>[1]Results!R115</f>
        <v>851.76710300000002</v>
      </c>
      <c r="P383" s="6">
        <f>[1]Results!S115</f>
        <v>843.25316899999996</v>
      </c>
      <c r="Q383" s="6">
        <f>[1]Results!T115</f>
        <v>834.82611350000002</v>
      </c>
      <c r="R383" s="6">
        <f>[1]Results!U115</f>
        <v>826.48601280000003</v>
      </c>
      <c r="S383" s="6">
        <f>[1]Results!V115</f>
        <v>818.23246670000003</v>
      </c>
      <c r="T383" s="6">
        <f>[1]Results!W115</f>
        <v>810.06483619999995</v>
      </c>
      <c r="U383" s="6">
        <f>[1]Results!X115</f>
        <v>801.98237140000003</v>
      </c>
      <c r="V383" s="6">
        <f>[1]Results!Y115</f>
        <v>793.98426940000002</v>
      </c>
      <c r="W383" s="6">
        <f>[1]Results!Z115</f>
        <v>786.06971039999996</v>
      </c>
      <c r="X383" s="6">
        <f>[1]Results!AA115</f>
        <v>778.23760770000001</v>
      </c>
      <c r="Y383" s="6">
        <f>[1]Results!AB115</f>
        <v>770.48740369999996</v>
      </c>
      <c r="Z383" s="6">
        <f>[1]Results!AC115</f>
        <v>762.8182663</v>
      </c>
      <c r="AA383" s="6">
        <f>[1]Results!AD115</f>
        <v>755.22934710000004</v>
      </c>
      <c r="AB383" s="6">
        <f>[1]Results!AE115</f>
        <v>747.71978039999999</v>
      </c>
      <c r="AC383" s="6">
        <f>[1]Results!AF115</f>
        <v>740.28796999999997</v>
      </c>
      <c r="AD383" s="6">
        <f>[1]Results!AG115</f>
        <v>732.93343800000002</v>
      </c>
      <c r="AE383" s="6">
        <f>[1]Results!AH115</f>
        <v>725.65534909999997</v>
      </c>
      <c r="AF383" s="6">
        <f>[1]Results!AI115</f>
        <v>718.45290450000005</v>
      </c>
      <c r="AG383" s="6">
        <f>[1]Results!AJ115</f>
        <v>711.32533550000005</v>
      </c>
      <c r="AH383" s="6">
        <f>[1]Results!AK115</f>
        <v>704.27189120000003</v>
      </c>
      <c r="AI383" s="6">
        <f>[1]Results!AL115</f>
        <v>697.29182790000004</v>
      </c>
      <c r="AJ383" s="6">
        <f>[1]Results!AM115</f>
        <v>690.38440330000003</v>
      </c>
      <c r="AK383" s="6">
        <f>[1]Results!AN115</f>
        <v>683.54887670000005</v>
      </c>
      <c r="AL383" s="6">
        <f>[1]Results!AO115</f>
        <v>676.78451059999998</v>
      </c>
    </row>
    <row r="384" spans="1:38" x14ac:dyDescent="0.35">
      <c r="B384" t="s">
        <v>61</v>
      </c>
      <c r="C384" s="6">
        <f>[1]Results!F116</f>
        <v>878.79999729999997</v>
      </c>
      <c r="D384" s="6">
        <f>[1]Results!G116</f>
        <v>867.86991079999996</v>
      </c>
      <c r="E384" s="6">
        <f>[1]Results!H116</f>
        <v>856.89817619999997</v>
      </c>
      <c r="F384" s="6">
        <f>[1]Results!I116</f>
        <v>845.95795940000005</v>
      </c>
      <c r="G384" s="6">
        <f>[1]Results!J116</f>
        <v>835.0970777</v>
      </c>
      <c r="H384" s="6">
        <f>[1]Results!K116</f>
        <v>824.34559620000005</v>
      </c>
      <c r="I384" s="6">
        <f>[1]Results!L116</f>
        <v>813.72024680000004</v>
      </c>
      <c r="J384" s="6">
        <f>[1]Results!M116</f>
        <v>803.22780699999998</v>
      </c>
      <c r="K384" s="6">
        <f>[1]Results!N116</f>
        <v>792.87037380000004</v>
      </c>
      <c r="L384" s="6">
        <f>[1]Results!O116</f>
        <v>782.64812810000001</v>
      </c>
      <c r="M384" s="6">
        <f>[1]Results!P116</f>
        <v>772.5604525</v>
      </c>
      <c r="N384" s="6">
        <f>[1]Results!Q116</f>
        <v>762.60663699999998</v>
      </c>
      <c r="O384" s="6">
        <f>[1]Results!R116</f>
        <v>752.78488070000003</v>
      </c>
      <c r="P384" s="6">
        <f>[1]Results!S116</f>
        <v>743.09363069999995</v>
      </c>
      <c r="Q384" s="6">
        <f>[1]Results!T116</f>
        <v>733.53126159999999</v>
      </c>
      <c r="R384" s="6">
        <f>[1]Results!U116</f>
        <v>724.0961211</v>
      </c>
      <c r="S384" s="6">
        <f>[1]Results!V116</f>
        <v>714.78655460000004</v>
      </c>
      <c r="T384" s="6">
        <f>[1]Results!W116</f>
        <v>705.60091699999998</v>
      </c>
      <c r="U384" s="6">
        <f>[1]Results!X116</f>
        <v>696.53757919999998</v>
      </c>
      <c r="V384" s="6">
        <f>[1]Results!Y116</f>
        <v>687.59493050000003</v>
      </c>
      <c r="W384" s="6">
        <f>[1]Results!Z116</f>
        <v>678.77138009999999</v>
      </c>
      <c r="X384" s="6">
        <f>[1]Results!AA116</f>
        <v>670.06509310000001</v>
      </c>
      <c r="Y384" s="6">
        <f>[1]Results!AB116</f>
        <v>661.47478650000005</v>
      </c>
      <c r="Z384" s="6">
        <f>[1]Results!AC116</f>
        <v>652.99893039999995</v>
      </c>
      <c r="AA384" s="6">
        <f>[1]Results!AD116</f>
        <v>644.6360148</v>
      </c>
      <c r="AB384" s="6">
        <f>[1]Results!AE116</f>
        <v>636.3845493</v>
      </c>
      <c r="AC384" s="6">
        <f>[1]Results!AF116</f>
        <v>628.24234179999996</v>
      </c>
      <c r="AD384" s="6">
        <f>[1]Results!AG116</f>
        <v>620.20833040000002</v>
      </c>
      <c r="AE384" s="6">
        <f>[1]Results!AH116</f>
        <v>612.28108589999999</v>
      </c>
      <c r="AF384" s="6">
        <f>[1]Results!AI116</f>
        <v>604.45919800000001</v>
      </c>
      <c r="AG384" s="6">
        <f>[1]Results!AJ116</f>
        <v>596.74127539999995</v>
      </c>
      <c r="AH384" s="6">
        <f>[1]Results!AK116</f>
        <v>589.12594539999998</v>
      </c>
      <c r="AI384" s="6">
        <f>[1]Results!AL116</f>
        <v>581.61185290000003</v>
      </c>
      <c r="AJ384" s="6">
        <f>[1]Results!AM116</f>
        <v>574.1976611</v>
      </c>
      <c r="AK384" s="6">
        <f>[1]Results!AN116</f>
        <v>566.88205059999996</v>
      </c>
      <c r="AL384" s="6">
        <f>[1]Results!AO116</f>
        <v>559.66371939999999</v>
      </c>
    </row>
    <row r="385" spans="1:38" x14ac:dyDescent="0.35">
      <c r="B385" t="s">
        <v>62</v>
      </c>
      <c r="C385" s="6">
        <f>[1]Results!F117</f>
        <v>139.85209269999999</v>
      </c>
      <c r="D385" s="6">
        <f>[1]Results!G117</f>
        <v>137.94033959999999</v>
      </c>
      <c r="E385" s="6">
        <f>[1]Results!H117</f>
        <v>136.0367478</v>
      </c>
      <c r="F385" s="6">
        <f>[1]Results!I117</f>
        <v>134.148278</v>
      </c>
      <c r="G385" s="6">
        <f>[1]Results!J117</f>
        <v>132.28015450000001</v>
      </c>
      <c r="H385" s="6">
        <f>[1]Results!K117</f>
        <v>130.435193</v>
      </c>
      <c r="I385" s="6">
        <f>[1]Results!L117</f>
        <v>128.61463169999999</v>
      </c>
      <c r="J385" s="6">
        <f>[1]Results!M117</f>
        <v>126.8188842</v>
      </c>
      <c r="K385" s="6">
        <f>[1]Results!N117</f>
        <v>125.0479667</v>
      </c>
      <c r="L385" s="6">
        <f>[1]Results!O117</f>
        <v>123.3017059</v>
      </c>
      <c r="M385" s="6">
        <f>[1]Results!P117</f>
        <v>121.5798401</v>
      </c>
      <c r="N385" s="6">
        <f>[1]Results!Q117</f>
        <v>119.88206700000001</v>
      </c>
      <c r="O385" s="6">
        <f>[1]Results!R117</f>
        <v>118.208068</v>
      </c>
      <c r="P385" s="6">
        <f>[1]Results!S117</f>
        <v>116.5575185</v>
      </c>
      <c r="Q385" s="6">
        <f>[1]Results!T117</f>
        <v>114.9300937</v>
      </c>
      <c r="R385" s="6">
        <f>[1]Results!U117</f>
        <v>113.32547099999999</v>
      </c>
      <c r="S385" s="6">
        <f>[1]Results!V117</f>
        <v>111.7433314</v>
      </c>
      <c r="T385" s="6">
        <f>[1]Results!W117</f>
        <v>110.18335949999999</v>
      </c>
      <c r="U385" s="6">
        <f>[1]Results!X117</f>
        <v>108.6452445</v>
      </c>
      <c r="V385" s="6">
        <f>[1]Results!Y117</f>
        <v>107.1286795</v>
      </c>
      <c r="W385" s="6">
        <f>[1]Results!Z117</f>
        <v>105.63336200000001</v>
      </c>
      <c r="X385" s="6">
        <f>[1]Results!AA117</f>
        <v>104.1589938</v>
      </c>
      <c r="Y385" s="6">
        <f>[1]Results!AB117</f>
        <v>102.7052807</v>
      </c>
      <c r="Z385" s="6">
        <f>[1]Results!AC117</f>
        <v>101.2719328</v>
      </c>
      <c r="AA385" s="6">
        <f>[1]Results!AD117</f>
        <v>99.858664189999999</v>
      </c>
      <c r="AB385" s="6">
        <f>[1]Results!AE117</f>
        <v>98.465193020000001</v>
      </c>
      <c r="AC385" s="6">
        <f>[1]Results!AF117</f>
        <v>97.09124138</v>
      </c>
      <c r="AD385" s="6">
        <f>[1]Results!AG117</f>
        <v>95.736535230000001</v>
      </c>
      <c r="AE385" s="6">
        <f>[1]Results!AH117</f>
        <v>94.400804390000005</v>
      </c>
      <c r="AF385" s="6">
        <f>[1]Results!AI117</f>
        <v>93.083782510000006</v>
      </c>
      <c r="AG385" s="6">
        <f>[1]Results!AJ117</f>
        <v>91.785206959999996</v>
      </c>
      <c r="AH385" s="6">
        <f>[1]Results!AK117</f>
        <v>90.504818819999997</v>
      </c>
      <c r="AI385" s="6">
        <f>[1]Results!AL117</f>
        <v>89.242362810000003</v>
      </c>
      <c r="AJ385" s="6">
        <f>[1]Results!AM117</f>
        <v>87.997587229999993</v>
      </c>
      <c r="AK385" s="6">
        <f>[1]Results!AN117</f>
        <v>86.77024394</v>
      </c>
      <c r="AL385" s="6">
        <f>[1]Results!AO117</f>
        <v>85.560088280000002</v>
      </c>
    </row>
    <row r="386" spans="1:38" x14ac:dyDescent="0.35">
      <c r="B386" t="s">
        <v>63</v>
      </c>
      <c r="C386" s="6">
        <f>[1]Results!F118</f>
        <v>3.874567114</v>
      </c>
      <c r="D386" s="6">
        <f>[1]Results!G118</f>
        <v>3.7242706870000002</v>
      </c>
      <c r="E386" s="6">
        <f>[1]Results!H118</f>
        <v>3.580155676</v>
      </c>
      <c r="F386" s="6">
        <f>[1]Results!I118</f>
        <v>3.4419608070000001</v>
      </c>
      <c r="G386" s="6">
        <f>[1]Results!J118</f>
        <v>3.309436576</v>
      </c>
      <c r="H386" s="6">
        <f>[1]Results!K118</f>
        <v>3.1823445769999998</v>
      </c>
      <c r="I386" s="6">
        <f>[1]Results!L118</f>
        <v>3.0604567930000002</v>
      </c>
      <c r="J386" s="6">
        <f>[1]Results!M118</f>
        <v>2.9435550020000001</v>
      </c>
      <c r="K386" s="6">
        <f>[1]Results!N118</f>
        <v>2.8314302750000002</v>
      </c>
      <c r="L386" s="6">
        <f>[1]Results!O118</f>
        <v>2.7238825449999999</v>
      </c>
      <c r="M386" s="6">
        <f>[1]Results!P118</f>
        <v>2.6207202139999999</v>
      </c>
      <c r="N386" s="6">
        <f>[1]Results!Q118</f>
        <v>2.5217597770000002</v>
      </c>
      <c r="O386" s="6">
        <f>[1]Results!R118</f>
        <v>2.426825483</v>
      </c>
      <c r="P386" s="6">
        <f>[1]Results!S118</f>
        <v>2.3357490009999999</v>
      </c>
      <c r="Q386" s="6">
        <f>[1]Results!T118</f>
        <v>2.2483691029999999</v>
      </c>
      <c r="R386" s="6">
        <f>[1]Results!U118</f>
        <v>2.164531368</v>
      </c>
      <c r="S386" s="6">
        <f>[1]Results!V118</f>
        <v>2.0840878859999998</v>
      </c>
      <c r="T386" s="6">
        <f>[1]Results!W118</f>
        <v>2.0068969920000002</v>
      </c>
      <c r="U386" s="6">
        <f>[1]Results!X118</f>
        <v>1.9328229910000001</v>
      </c>
      <c r="V386" s="6">
        <f>[1]Results!Y118</f>
        <v>1.861735914</v>
      </c>
      <c r="W386" s="6">
        <f>[1]Results!Z118</f>
        <v>1.7935112710000001</v>
      </c>
      <c r="X386" s="6">
        <f>[1]Results!AA118</f>
        <v>1.7280298190000001</v>
      </c>
      <c r="Y386" s="6">
        <f>[1]Results!AB118</f>
        <v>1.6651773430000001</v>
      </c>
      <c r="Z386" s="6">
        <f>[1]Results!AC118</f>
        <v>1.604844438</v>
      </c>
      <c r="AA386" s="6">
        <f>[1]Results!AD118</f>
        <v>1.5469263120000001</v>
      </c>
      <c r="AB386" s="6">
        <f>[1]Results!AE118</f>
        <v>1.4913225859999999</v>
      </c>
      <c r="AC386" s="6">
        <f>[1]Results!AF118</f>
        <v>1.43793711</v>
      </c>
      <c r="AD386" s="6">
        <f>[1]Results!AG118</f>
        <v>1.3866777800000001</v>
      </c>
      <c r="AE386" s="6">
        <f>[1]Results!AH118</f>
        <v>1.3374563749999999</v>
      </c>
      <c r="AF386" s="6">
        <f>[1]Results!AI118</f>
        <v>1.290188382</v>
      </c>
      <c r="AG386" s="6">
        <f>[1]Results!AJ118</f>
        <v>1.2447928479999999</v>
      </c>
      <c r="AH386" s="6">
        <f>[1]Results!AK118</f>
        <v>1.201192225</v>
      </c>
      <c r="AI386" s="6">
        <f>[1]Results!AL118</f>
        <v>1.159312227</v>
      </c>
      <c r="AJ386" s="6">
        <f>[1]Results!AM118</f>
        <v>1.1190816939999999</v>
      </c>
      <c r="AK386" s="6">
        <f>[1]Results!AN118</f>
        <v>1.080432455</v>
      </c>
      <c r="AL386" s="6">
        <f>[1]Results!AO118</f>
        <v>1.043299207</v>
      </c>
    </row>
    <row r="388" spans="1:38" x14ac:dyDescent="0.35">
      <c r="A388" s="12" t="s">
        <v>92</v>
      </c>
      <c r="B388" s="6" t="str">
        <f>[1]Emissions!A830</f>
        <v>ems_ci_co2_sagr_2</v>
      </c>
      <c r="C388" s="6">
        <f>[1]Emissions!B830</f>
        <v>14.16949179</v>
      </c>
      <c r="D388" s="6">
        <f>[1]Emissions!C830</f>
        <v>14.303277019999999</v>
      </c>
      <c r="E388" s="6">
        <f>[1]Emissions!D830</f>
        <v>14.469113549999999</v>
      </c>
      <c r="F388" s="6">
        <f>[1]Emissions!E830</f>
        <v>14.64712892</v>
      </c>
      <c r="G388" s="6">
        <f>[1]Emissions!F830</f>
        <v>14.90196263</v>
      </c>
      <c r="H388" s="6">
        <f>[1]Emissions!G830</f>
        <v>15.223806379999999</v>
      </c>
      <c r="I388" s="6">
        <f>[1]Emissions!H830</f>
        <v>15.57622471</v>
      </c>
      <c r="J388" s="6">
        <f>[1]Emissions!I830</f>
        <v>15.11695505</v>
      </c>
      <c r="K388" s="6">
        <f>[1]Emissions!J830</f>
        <v>14.57966085</v>
      </c>
      <c r="L388" s="6">
        <f>[1]Emissions!K830</f>
        <v>14.076339920000001</v>
      </c>
      <c r="M388" s="6">
        <f>[1]Emissions!L830</f>
        <v>13.57547025</v>
      </c>
      <c r="N388" s="6">
        <f>[1]Emissions!M830</f>
        <v>13.083151539999999</v>
      </c>
      <c r="O388" s="6">
        <f>[1]Emissions!N830</f>
        <v>12.59139716</v>
      </c>
      <c r="P388" s="6">
        <f>[1]Emissions!O830</f>
        <v>12.09956201</v>
      </c>
      <c r="Q388" s="6">
        <f>[1]Emissions!P830</f>
        <v>11.611657879999999</v>
      </c>
      <c r="R388" s="6">
        <f>[1]Emissions!Q830</f>
        <v>11.12980003</v>
      </c>
      <c r="S388" s="6">
        <f>[1]Emissions!R830</f>
        <v>10.644250039999999</v>
      </c>
      <c r="T388" s="6">
        <f>[1]Emissions!S830</f>
        <v>10.16313783</v>
      </c>
      <c r="U388" s="6">
        <f>[1]Emissions!T830</f>
        <v>9.6925401870000005</v>
      </c>
      <c r="V388" s="6">
        <f>[1]Emissions!U830</f>
        <v>9.2352793789999996</v>
      </c>
      <c r="W388" s="6">
        <f>[1]Emissions!V830</f>
        <v>8.7905977960000001</v>
      </c>
      <c r="X388" s="6">
        <f>[1]Emissions!W830</f>
        <v>8.3602204209999993</v>
      </c>
      <c r="Y388" s="6">
        <f>[1]Emissions!X830</f>
        <v>7.9431510259999998</v>
      </c>
      <c r="Z388" s="6">
        <f>[1]Emissions!Y830</f>
        <v>7.5367980970000001</v>
      </c>
      <c r="AA388" s="6">
        <f>[1]Emissions!Z830</f>
        <v>7.1372452009999998</v>
      </c>
      <c r="AB388" s="6">
        <f>[1]Emissions!AA830</f>
        <v>6.7366401590000002</v>
      </c>
      <c r="AC388" s="6">
        <f>[1]Emissions!AB830</f>
        <v>6.3325855720000002</v>
      </c>
      <c r="AD388" s="6">
        <f>[1]Emissions!AC830</f>
        <v>5.9223572339999997</v>
      </c>
      <c r="AE388" s="6">
        <f>[1]Emissions!AD830</f>
        <v>5.5005123549999997</v>
      </c>
      <c r="AF388" s="6">
        <f>[1]Emissions!AE830</f>
        <v>5.0594874049999996</v>
      </c>
      <c r="AG388" s="6">
        <f>[1]Emissions!AF830</f>
        <v>4.5907560790000002</v>
      </c>
      <c r="AH388" s="6">
        <f>[1]Emissions!AG830</f>
        <v>4.08571595</v>
      </c>
      <c r="AI388" s="6">
        <f>[1]Emissions!AH830</f>
        <v>3.5355974699999999</v>
      </c>
      <c r="AJ388" s="6">
        <f>[1]Emissions!AI830</f>
        <v>2.930956202</v>
      </c>
      <c r="AK388" s="6">
        <f>[1]Emissions!AJ830</f>
        <v>2.2612702900000001</v>
      </c>
      <c r="AL388" s="6">
        <f>[1]Emissions!AK830</f>
        <v>1.5142658339999999</v>
      </c>
    </row>
    <row r="389" spans="1:38" x14ac:dyDescent="0.35">
      <c r="A389" t="s">
        <v>39</v>
      </c>
      <c r="B389" s="6" t="str">
        <f>[1]Emissions!A832</f>
        <v>ems_ci_co2_sfor_2</v>
      </c>
      <c r="C389" s="6">
        <f>[1]Emissions!B832</f>
        <v>0.53965023619999997</v>
      </c>
      <c r="D389" s="6">
        <f>[1]Emissions!C832</f>
        <v>0.53166398940000004</v>
      </c>
      <c r="E389" s="6">
        <f>[1]Emissions!D832</f>
        <v>0.52242385229999999</v>
      </c>
      <c r="F389" s="6">
        <f>[1]Emissions!E832</f>
        <v>0.51187891299999999</v>
      </c>
      <c r="G389" s="6">
        <f>[1]Emissions!F832</f>
        <v>0.50562051159999999</v>
      </c>
      <c r="H389" s="6">
        <f>[1]Emissions!G832</f>
        <v>0.50252519780000005</v>
      </c>
      <c r="I389" s="6">
        <f>[1]Emissions!H832</f>
        <v>0.50107057769999996</v>
      </c>
      <c r="J389" s="6">
        <f>[1]Emissions!I832</f>
        <v>0.4692571512</v>
      </c>
      <c r="K389" s="6">
        <f>[1]Emissions!J832</f>
        <v>0.43699713559999998</v>
      </c>
      <c r="L389" s="6">
        <f>[1]Emissions!K832</f>
        <v>0.40806454190000002</v>
      </c>
      <c r="M389" s="6">
        <f>[1]Emissions!L832</f>
        <v>0.381741412</v>
      </c>
      <c r="N389" s="6">
        <f>[1]Emissions!M832</f>
        <v>0.3595381077</v>
      </c>
      <c r="O389" s="6">
        <f>[1]Emissions!N832</f>
        <v>0.33994197770000001</v>
      </c>
      <c r="P389" s="6">
        <f>[1]Emissions!O832</f>
        <v>0.32209191549999999</v>
      </c>
      <c r="Q389" s="6">
        <f>[1]Emissions!P832</f>
        <v>0.30562157220000002</v>
      </c>
      <c r="R389" s="6">
        <f>[1]Emissions!Q832</f>
        <v>0.2902935519</v>
      </c>
      <c r="S389" s="6">
        <f>[1]Emissions!R832</f>
        <v>0.27456020819999999</v>
      </c>
      <c r="T389" s="6">
        <f>[1]Emissions!S832</f>
        <v>0.25926753650000001</v>
      </c>
      <c r="U389" s="6">
        <f>[1]Emissions!T832</f>
        <v>0.24472538360000001</v>
      </c>
      <c r="V389" s="6">
        <f>[1]Emissions!U832</f>
        <v>0.23101853650000001</v>
      </c>
      <c r="W389" s="6">
        <f>[1]Emissions!V832</f>
        <v>0.2180864461</v>
      </c>
      <c r="X389" s="6">
        <f>[1]Emissions!W832</f>
        <v>0.2059709509</v>
      </c>
      <c r="Y389" s="6">
        <f>[1]Emissions!X832</f>
        <v>0.1946024385</v>
      </c>
      <c r="Z389" s="6">
        <f>[1]Emissions!Y832</f>
        <v>0.1838900302</v>
      </c>
      <c r="AA389" s="6">
        <f>[1]Emissions!Z832</f>
        <v>0.17373534639999999</v>
      </c>
      <c r="AB389" s="6">
        <f>[1]Emissions!AA832</f>
        <v>0.1639333804</v>
      </c>
      <c r="AC389" s="6">
        <f>[1]Emissions!AB832</f>
        <v>0.15461872939999999</v>
      </c>
      <c r="AD389" s="6">
        <f>[1]Emissions!AC832</f>
        <v>0.14563408929999999</v>
      </c>
      <c r="AE389" s="6">
        <f>[1]Emissions!AD832</f>
        <v>0.1368543656</v>
      </c>
      <c r="AF389" s="6">
        <f>[1]Emissions!AE832</f>
        <v>0.1281317005</v>
      </c>
      <c r="AG389" s="6">
        <f>[1]Emissions!AF832</f>
        <v>0.1193116188</v>
      </c>
      <c r="AH389" s="6">
        <f>[1]Emissions!AG832</f>
        <v>0.1102484765</v>
      </c>
      <c r="AI389" s="6">
        <f>[1]Emissions!AH832</f>
        <v>0.10079658380000001</v>
      </c>
      <c r="AJ389" s="6">
        <f>[1]Emissions!AI832</f>
        <v>9.0793162999999996E-2</v>
      </c>
      <c r="AK389" s="6">
        <f>[1]Emissions!AJ832</f>
        <v>8.0049720500000004E-2</v>
      </c>
      <c r="AL389" s="6">
        <f>[1]Emissions!AK832</f>
        <v>6.8336396600000002E-2</v>
      </c>
    </row>
    <row r="390" spans="1:38" x14ac:dyDescent="0.35">
      <c r="B390" s="6" t="str">
        <f>[1]Emissions!A834</f>
        <v>ems_ci_co2_sfoo_2</v>
      </c>
      <c r="C390" s="6">
        <f>[1]Emissions!B834</f>
        <v>8.6183733870000001</v>
      </c>
      <c r="D390" s="6">
        <f>[1]Emissions!C834</f>
        <v>8.6008852620000003</v>
      </c>
      <c r="E390" s="6">
        <f>[1]Emissions!D834</f>
        <v>8.5956643709999998</v>
      </c>
      <c r="F390" s="6">
        <f>[1]Emissions!E834</f>
        <v>8.5827595859999999</v>
      </c>
      <c r="G390" s="6">
        <f>[1]Emissions!F834</f>
        <v>8.6472023090000008</v>
      </c>
      <c r="H390" s="6">
        <f>[1]Emissions!G834</f>
        <v>8.773688795</v>
      </c>
      <c r="I390" s="6">
        <f>[1]Emissions!H834</f>
        <v>8.8883159549999995</v>
      </c>
      <c r="J390" s="6">
        <f>[1]Emissions!I834</f>
        <v>8.4812686480000004</v>
      </c>
      <c r="K390" s="6">
        <f>[1]Emissions!J834</f>
        <v>8.0340470160000006</v>
      </c>
      <c r="L390" s="6">
        <f>[1]Emissions!K834</f>
        <v>7.6209861429999997</v>
      </c>
      <c r="M390" s="6">
        <f>[1]Emissions!L834</f>
        <v>7.2386283039999997</v>
      </c>
      <c r="N390" s="6">
        <f>[1]Emissions!M834</f>
        <v>6.9064780060000004</v>
      </c>
      <c r="O390" s="6">
        <f>[1]Emissions!N834</f>
        <v>6.6059120340000002</v>
      </c>
      <c r="P390" s="6">
        <f>[1]Emissions!O834</f>
        <v>6.3258871430000001</v>
      </c>
      <c r="Q390" s="6">
        <f>[1]Emissions!P834</f>
        <v>6.0615120830000002</v>
      </c>
      <c r="R390" s="6">
        <f>[1]Emissions!Q834</f>
        <v>5.8100275229999996</v>
      </c>
      <c r="S390" s="6">
        <f>[1]Emissions!R834</f>
        <v>5.5696533380000002</v>
      </c>
      <c r="T390" s="6">
        <f>[1]Emissions!S834</f>
        <v>5.3409205389999999</v>
      </c>
      <c r="U390" s="6">
        <f>[1]Emissions!T834</f>
        <v>5.1246112369999999</v>
      </c>
      <c r="V390" s="6">
        <f>[1]Emissions!U834</f>
        <v>4.9211382610000003</v>
      </c>
      <c r="W390" s="6">
        <f>[1]Emissions!V834</f>
        <v>4.7295585229999997</v>
      </c>
      <c r="X390" s="6">
        <f>[1]Emissions!W834</f>
        <v>4.551192189</v>
      </c>
      <c r="Y390" s="6">
        <f>[1]Emissions!X834</f>
        <v>4.3856613449999999</v>
      </c>
      <c r="Z390" s="6">
        <f>[1]Emissions!Y834</f>
        <v>4.2319286260000002</v>
      </c>
      <c r="AA390" s="6">
        <f>[1]Emissions!Z834</f>
        <v>4.0884329890000002</v>
      </c>
      <c r="AB390" s="6">
        <f>[1]Emissions!AA834</f>
        <v>3.950971563</v>
      </c>
      <c r="AC390" s="6">
        <f>[1]Emissions!AB834</f>
        <v>3.8194435580000001</v>
      </c>
      <c r="AD390" s="6">
        <f>[1]Emissions!AC834</f>
        <v>3.6931681620000001</v>
      </c>
      <c r="AE390" s="6">
        <f>[1]Emissions!AD834</f>
        <v>3.5697156830000001</v>
      </c>
      <c r="AF390" s="6">
        <f>[1]Emissions!AE834</f>
        <v>3.445433688</v>
      </c>
      <c r="AG390" s="6">
        <f>[1]Emissions!AF834</f>
        <v>3.315954487</v>
      </c>
      <c r="AH390" s="6">
        <f>[1]Emissions!AG834</f>
        <v>3.1767037359999999</v>
      </c>
      <c r="AI390" s="6">
        <f>[1]Emissions!AH834</f>
        <v>3.022824049</v>
      </c>
      <c r="AJ390" s="6">
        <f>[1]Emissions!AI834</f>
        <v>2.8487738349999998</v>
      </c>
      <c r="AK390" s="6">
        <f>[1]Emissions!AJ834</f>
        <v>2.648189812</v>
      </c>
      <c r="AL390" s="6">
        <f>[1]Emissions!AK834</f>
        <v>2.413520031</v>
      </c>
    </row>
    <row r="391" spans="1:38" x14ac:dyDescent="0.35">
      <c r="B391" s="6" t="str">
        <f>[1]Emissions!A836</f>
        <v>ems_ci_co2_sveh_2</v>
      </c>
      <c r="C391" s="6">
        <f>[1]Emissions!B836</f>
        <v>1.1119214829999999</v>
      </c>
      <c r="D391" s="6">
        <f>[1]Emissions!C836</f>
        <v>1.1115926920000001</v>
      </c>
      <c r="E391" s="6">
        <f>[1]Emissions!D836</f>
        <v>1.106938567</v>
      </c>
      <c r="F391" s="6">
        <f>[1]Emissions!E836</f>
        <v>1.0942032349999999</v>
      </c>
      <c r="G391" s="6">
        <f>[1]Emissions!F836</f>
        <v>1.091256684</v>
      </c>
      <c r="H391" s="6">
        <f>[1]Emissions!G836</f>
        <v>1.0986779360000001</v>
      </c>
      <c r="I391" s="6">
        <f>[1]Emissions!H836</f>
        <v>1.100043745</v>
      </c>
      <c r="J391" s="6">
        <f>[1]Emissions!I836</f>
        <v>1.0063542809999999</v>
      </c>
      <c r="K391" s="6">
        <f>[1]Emissions!J836</f>
        <v>0.89754392969999996</v>
      </c>
      <c r="L391" s="6">
        <f>[1]Emissions!K836</f>
        <v>0.79583058839999998</v>
      </c>
      <c r="M391" s="6">
        <f>[1]Emissions!L836</f>
        <v>0.6980864376</v>
      </c>
      <c r="N391" s="6">
        <f>[1]Emissions!M836</f>
        <v>0.60862901830000005</v>
      </c>
      <c r="O391" s="6">
        <f>[1]Emissions!N836</f>
        <v>0.52759920689999995</v>
      </c>
      <c r="P391" s="6">
        <f>[1]Emissions!O836</f>
        <v>0.45548064179999997</v>
      </c>
      <c r="Q391" s="6">
        <f>[1]Emissions!P836</f>
        <v>0.39262004360000002</v>
      </c>
      <c r="R391" s="6">
        <f>[1]Emissions!Q836</f>
        <v>0.33856978360000001</v>
      </c>
      <c r="S391" s="6">
        <f>[1]Emissions!R836</f>
        <v>0.29274001789999998</v>
      </c>
      <c r="T391" s="6">
        <f>[1]Emissions!S836</f>
        <v>0.2542153103</v>
      </c>
      <c r="U391" s="6">
        <f>[1]Emissions!T836</f>
        <v>0.22195416840000001</v>
      </c>
      <c r="V391" s="6">
        <f>[1]Emissions!U836</f>
        <v>0.19506812279999999</v>
      </c>
      <c r="W391" s="6">
        <f>[1]Emissions!V836</f>
        <v>0.1728104178</v>
      </c>
      <c r="X391" s="6">
        <f>[1]Emissions!W836</f>
        <v>0.15452787009999999</v>
      </c>
      <c r="Y391" s="6">
        <f>[1]Emissions!X836</f>
        <v>0.1396172058</v>
      </c>
      <c r="Z391" s="6">
        <f>[1]Emissions!Y836</f>
        <v>0.1274926633</v>
      </c>
      <c r="AA391" s="6">
        <f>[1]Emissions!Z836</f>
        <v>0.1176442179</v>
      </c>
      <c r="AB391" s="6">
        <f>[1]Emissions!AA836</f>
        <v>0.1096523606</v>
      </c>
      <c r="AC391" s="6">
        <f>[1]Emissions!AB836</f>
        <v>0.1033052545</v>
      </c>
      <c r="AD391" s="6">
        <f>[1]Emissions!AC836</f>
        <v>9.8262834300000004E-2</v>
      </c>
      <c r="AE391" s="6">
        <f>[1]Emissions!AD836</f>
        <v>9.4126981499999998E-2</v>
      </c>
      <c r="AF391" s="6">
        <f>[1]Emissions!AE836</f>
        <v>9.0424898399999995E-2</v>
      </c>
      <c r="AG391" s="6">
        <f>[1]Emissions!AF836</f>
        <v>8.6671571599999997E-2</v>
      </c>
      <c r="AH391" s="6">
        <f>[1]Emissions!AG836</f>
        <v>8.2407175499999999E-2</v>
      </c>
      <c r="AI391" s="6">
        <f>[1]Emissions!AH836</f>
        <v>7.7144499399999997E-2</v>
      </c>
      <c r="AJ391" s="6">
        <f>[1]Emissions!AI836</f>
        <v>7.0283804199999994E-2</v>
      </c>
      <c r="AK391" s="6">
        <f>[1]Emissions!AJ836</f>
        <v>6.1095319100000003E-2</v>
      </c>
      <c r="AL391" s="6">
        <f>[1]Emissions!AK836</f>
        <v>4.8669369400000002E-2</v>
      </c>
    </row>
    <row r="392" spans="1:38" x14ac:dyDescent="0.35">
      <c r="B392" s="6" t="str">
        <f>[1]Emissions!A838</f>
        <v>ems_ci_co2_sgla_2</v>
      </c>
      <c r="C392" s="6">
        <f>[1]Emissions!B838</f>
        <v>7.7695963619999997</v>
      </c>
      <c r="D392" s="6">
        <f>[1]Emissions!C838</f>
        <v>7.8393669570000002</v>
      </c>
      <c r="E392" s="6">
        <f>[1]Emissions!D838</f>
        <v>7.9210981709999997</v>
      </c>
      <c r="F392" s="6">
        <f>[1]Emissions!E838</f>
        <v>7.996627277</v>
      </c>
      <c r="G392" s="6">
        <f>[1]Emissions!F838</f>
        <v>8.1131043340000009</v>
      </c>
      <c r="H392" s="6">
        <f>[1]Emissions!G838</f>
        <v>8.2664827590000005</v>
      </c>
      <c r="I392" s="6">
        <f>[1]Emissions!H838</f>
        <v>8.4273943439999996</v>
      </c>
      <c r="J392" s="6">
        <f>[1]Emissions!I838</f>
        <v>8.2645746029999998</v>
      </c>
      <c r="K392" s="6">
        <f>[1]Emissions!J838</f>
        <v>8.058399026</v>
      </c>
      <c r="L392" s="6">
        <f>[1]Emissions!K838</f>
        <v>7.871480719</v>
      </c>
      <c r="M392" s="6">
        <f>[1]Emissions!L838</f>
        <v>7.6943860749999997</v>
      </c>
      <c r="N392" s="6">
        <f>[1]Emissions!M838</f>
        <v>7.5377174030000003</v>
      </c>
      <c r="O392" s="6">
        <f>[1]Emissions!N838</f>
        <v>7.3948840029999996</v>
      </c>
      <c r="P392" s="6">
        <f>[1]Emissions!O838</f>
        <v>7.2632833650000004</v>
      </c>
      <c r="Q392" s="6">
        <f>[1]Emissions!P838</f>
        <v>7.1434290029999996</v>
      </c>
      <c r="R392" s="6">
        <f>[1]Emissions!Q838</f>
        <v>7.0352533350000002</v>
      </c>
      <c r="S392" s="6">
        <f>[1]Emissions!R838</f>
        <v>6.9326925380000004</v>
      </c>
      <c r="T392" s="6">
        <f>[1]Emissions!S838</f>
        <v>6.8365599179999998</v>
      </c>
      <c r="U392" s="6">
        <f>[1]Emissions!T838</f>
        <v>6.7495326159999998</v>
      </c>
      <c r="V392" s="6">
        <f>[1]Emissions!U838</f>
        <v>6.6735107249999999</v>
      </c>
      <c r="W392" s="6">
        <f>[1]Emissions!V838</f>
        <v>6.6087421490000002</v>
      </c>
      <c r="X392" s="6">
        <f>[1]Emissions!W838</f>
        <v>6.5573870689999998</v>
      </c>
      <c r="Y392" s="6">
        <f>[1]Emissions!X838</f>
        <v>6.520260382</v>
      </c>
      <c r="Z392" s="6">
        <f>[1]Emissions!Y838</f>
        <v>6.4972484499999998</v>
      </c>
      <c r="AA392" s="6">
        <f>[1]Emissions!Z838</f>
        <v>6.4875577980000001</v>
      </c>
      <c r="AB392" s="6">
        <f>[1]Emissions!AA838</f>
        <v>6.4874189480000002</v>
      </c>
      <c r="AC392" s="6">
        <f>[1]Emissions!AB838</f>
        <v>6.4972026209999996</v>
      </c>
      <c r="AD392" s="6">
        <f>[1]Emissions!AC838</f>
        <v>6.5184090269999997</v>
      </c>
      <c r="AE392" s="6">
        <f>[1]Emissions!AD838</f>
        <v>6.5501075550000003</v>
      </c>
      <c r="AF392" s="6">
        <f>[1]Emissions!AE838</f>
        <v>6.589892259</v>
      </c>
      <c r="AG392" s="6">
        <f>[1]Emissions!AF838</f>
        <v>6.6348044120000003</v>
      </c>
      <c r="AH392" s="6">
        <f>[1]Emissions!AG838</f>
        <v>6.6823229700000004</v>
      </c>
      <c r="AI392" s="6">
        <f>[1]Emissions!AH838</f>
        <v>6.7303252330000003</v>
      </c>
      <c r="AJ392" s="6">
        <f>[1]Emissions!AI838</f>
        <v>6.7764507910000003</v>
      </c>
      <c r="AK392" s="6">
        <f>[1]Emissions!AJ838</f>
        <v>6.818246137</v>
      </c>
      <c r="AL392" s="6">
        <f>[1]Emissions!AK838</f>
        <v>6.8531369020000001</v>
      </c>
    </row>
    <row r="393" spans="1:38" x14ac:dyDescent="0.35">
      <c r="B393" s="6" t="str">
        <f>[1]Emissions!A840</f>
        <v>ems_ci_co2_spap_2</v>
      </c>
      <c r="C393" s="6">
        <f>[1]Emissions!B840</f>
        <v>2.5336109609999999</v>
      </c>
      <c r="D393" s="6">
        <f>[1]Emissions!C840</f>
        <v>2.5595269639999998</v>
      </c>
      <c r="E393" s="6">
        <f>[1]Emissions!D840</f>
        <v>2.5887821799999999</v>
      </c>
      <c r="F393" s="6">
        <f>[1]Emissions!E840</f>
        <v>2.6135281670000001</v>
      </c>
      <c r="G393" s="6">
        <f>[1]Emissions!F840</f>
        <v>2.6534636250000001</v>
      </c>
      <c r="H393" s="6">
        <f>[1]Emissions!G840</f>
        <v>2.7051351299999999</v>
      </c>
      <c r="I393" s="6">
        <f>[1]Emissions!H840</f>
        <v>2.7526995639999998</v>
      </c>
      <c r="J393" s="6">
        <f>[1]Emissions!I840</f>
        <v>2.6705118470000002</v>
      </c>
      <c r="K393" s="6">
        <f>[1]Emissions!J840</f>
        <v>2.5794589619999999</v>
      </c>
      <c r="L393" s="6">
        <f>[1]Emissions!K840</f>
        <v>2.5056672459999998</v>
      </c>
      <c r="M393" s="6">
        <f>[1]Emissions!L840</f>
        <v>2.4359168169999998</v>
      </c>
      <c r="N393" s="6">
        <f>[1]Emissions!M840</f>
        <v>2.3694191579999999</v>
      </c>
      <c r="O393" s="6">
        <f>[1]Emissions!N840</f>
        <v>2.3039575540000001</v>
      </c>
      <c r="P393" s="6">
        <f>[1]Emissions!O840</f>
        <v>2.2401569389999998</v>
      </c>
      <c r="Q393" s="6">
        <f>[1]Emissions!P840</f>
        <v>2.1797014419999998</v>
      </c>
      <c r="R393" s="6">
        <f>[1]Emissions!Q840</f>
        <v>2.123257438</v>
      </c>
      <c r="S393" s="6">
        <f>[1]Emissions!R840</f>
        <v>2.0690933280000001</v>
      </c>
      <c r="T393" s="6">
        <f>[1]Emissions!S840</f>
        <v>2.0186777130000002</v>
      </c>
      <c r="U393" s="6">
        <f>[1]Emissions!T840</f>
        <v>1.9726895170000001</v>
      </c>
      <c r="V393" s="6">
        <f>[1]Emissions!U840</f>
        <v>1.931272232</v>
      </c>
      <c r="W393" s="6">
        <f>[1]Emissions!V840</f>
        <v>1.894127117</v>
      </c>
      <c r="X393" s="6">
        <f>[1]Emissions!W840</f>
        <v>1.861568777</v>
      </c>
      <c r="Y393" s="6">
        <f>[1]Emissions!X840</f>
        <v>1.8335346530000001</v>
      </c>
      <c r="Z393" s="6">
        <f>[1]Emissions!Y840</f>
        <v>1.8096873449999999</v>
      </c>
      <c r="AA393" s="6">
        <f>[1]Emissions!Z840</f>
        <v>1.789429253</v>
      </c>
      <c r="AB393" s="6">
        <f>[1]Emissions!AA840</f>
        <v>1.77142472</v>
      </c>
      <c r="AC393" s="6">
        <f>[1]Emissions!AB840</f>
        <v>1.755997284</v>
      </c>
      <c r="AD393" s="6">
        <f>[1]Emissions!AC840</f>
        <v>1.7429809140000001</v>
      </c>
      <c r="AE393" s="6">
        <f>[1]Emissions!AD840</f>
        <v>1.731763223</v>
      </c>
      <c r="AF393" s="6">
        <f>[1]Emissions!AE840</f>
        <v>1.721145081</v>
      </c>
      <c r="AG393" s="6">
        <f>[1]Emissions!AF840</f>
        <v>1.70973284</v>
      </c>
      <c r="AH393" s="6">
        <f>[1]Emissions!AG840</f>
        <v>1.6963429940000001</v>
      </c>
      <c r="AI393" s="6">
        <f>[1]Emissions!AH840</f>
        <v>1.679985179</v>
      </c>
      <c r="AJ393" s="6">
        <f>[1]Emissions!AI840</f>
        <v>1.659650139</v>
      </c>
      <c r="AK393" s="6">
        <f>[1]Emissions!AJ840</f>
        <v>1.634299495</v>
      </c>
      <c r="AL393" s="6">
        <f>[1]Emissions!AK840</f>
        <v>1.602839836</v>
      </c>
    </row>
    <row r="394" spans="1:38" x14ac:dyDescent="0.35">
      <c r="B394" s="6" t="str">
        <f>[1]Emissions!A842</f>
        <v>ems_ci_co2_sche_2</v>
      </c>
      <c r="C394" s="6">
        <f>[1]Emissions!B842</f>
        <v>13.59787135</v>
      </c>
      <c r="D394" s="6">
        <f>[1]Emissions!C842</f>
        <v>13.920883760000001</v>
      </c>
      <c r="E394" s="6">
        <f>[1]Emissions!D842</f>
        <v>14.27789125</v>
      </c>
      <c r="F394" s="6">
        <f>[1]Emissions!E842</f>
        <v>14.643234140000001</v>
      </c>
      <c r="G394" s="6">
        <f>[1]Emissions!F842</f>
        <v>15.03174583</v>
      </c>
      <c r="H394" s="6">
        <f>[1]Emissions!G842</f>
        <v>15.442791740000001</v>
      </c>
      <c r="I394" s="6">
        <f>[1]Emissions!H842</f>
        <v>15.84753486</v>
      </c>
      <c r="J394" s="6">
        <f>[1]Emissions!I842</f>
        <v>15.875357729999999</v>
      </c>
      <c r="K394" s="6">
        <f>[1]Emissions!J842</f>
        <v>15.85994339</v>
      </c>
      <c r="L394" s="6">
        <f>[1]Emissions!K842</f>
        <v>15.941653090000001</v>
      </c>
      <c r="M394" s="6">
        <f>[1]Emissions!L842</f>
        <v>15.99417197</v>
      </c>
      <c r="N394" s="6">
        <f>[1]Emissions!M842</f>
        <v>15.943363160000001</v>
      </c>
      <c r="O394" s="6">
        <f>[1]Emissions!N842</f>
        <v>15.81096438</v>
      </c>
      <c r="P394" s="6">
        <f>[1]Emissions!O842</f>
        <v>15.630999109999999</v>
      </c>
      <c r="Q394" s="6">
        <f>[1]Emissions!P842</f>
        <v>15.43742934</v>
      </c>
      <c r="R394" s="6">
        <f>[1]Emissions!Q842</f>
        <v>15.24850094</v>
      </c>
      <c r="S394" s="6">
        <f>[1]Emissions!R842</f>
        <v>15.082026620000001</v>
      </c>
      <c r="T394" s="6">
        <f>[1]Emissions!S842</f>
        <v>14.94393013</v>
      </c>
      <c r="U394" s="6">
        <f>[1]Emissions!T842</f>
        <v>14.83961622</v>
      </c>
      <c r="V394" s="6">
        <f>[1]Emissions!U842</f>
        <v>14.769661429999999</v>
      </c>
      <c r="W394" s="6">
        <f>[1]Emissions!V842</f>
        <v>14.732075030000001</v>
      </c>
      <c r="X394" s="6">
        <f>[1]Emissions!W842</f>
        <v>14.728750700000001</v>
      </c>
      <c r="Y394" s="6">
        <f>[1]Emissions!X842</f>
        <v>14.760130609999999</v>
      </c>
      <c r="Z394" s="6">
        <f>[1]Emissions!Y842</f>
        <v>14.82441854</v>
      </c>
      <c r="AA394" s="6">
        <f>[1]Emissions!Z842</f>
        <v>14.917389610000001</v>
      </c>
      <c r="AB394" s="6">
        <f>[1]Emissions!AA842</f>
        <v>15.030941049999999</v>
      </c>
      <c r="AC394" s="6">
        <f>[1]Emissions!AB842</f>
        <v>15.166893659999999</v>
      </c>
      <c r="AD394" s="6">
        <f>[1]Emissions!AC842</f>
        <v>15.329460389999999</v>
      </c>
      <c r="AE394" s="6">
        <f>[1]Emissions!AD842</f>
        <v>15.5160868</v>
      </c>
      <c r="AF394" s="6">
        <f>[1]Emissions!AE842</f>
        <v>15.717286980000001</v>
      </c>
      <c r="AG394" s="6">
        <f>[1]Emissions!AF842</f>
        <v>15.921676919999999</v>
      </c>
      <c r="AH394" s="6">
        <f>[1]Emissions!AG842</f>
        <v>16.121088969999999</v>
      </c>
      <c r="AI394" s="6">
        <f>[1]Emissions!AH842</f>
        <v>16.31029479</v>
      </c>
      <c r="AJ394" s="6">
        <f>[1]Emissions!AI842</f>
        <v>16.48403424</v>
      </c>
      <c r="AK394" s="6">
        <f>[1]Emissions!AJ842</f>
        <v>16.63709635</v>
      </c>
      <c r="AL394" s="6">
        <f>[1]Emissions!AK842</f>
        <v>16.764414680000002</v>
      </c>
    </row>
    <row r="395" spans="1:38" x14ac:dyDescent="0.35">
      <c r="B395" s="6" t="str">
        <f>[1]Emissions!A844</f>
        <v>ems_ci_co2_spla_2</v>
      </c>
      <c r="C395" s="6">
        <f>[1]Emissions!B844</f>
        <v>1.4824302970000001</v>
      </c>
      <c r="D395" s="6">
        <f>[1]Emissions!C844</f>
        <v>1.4894130809999999</v>
      </c>
      <c r="E395" s="6">
        <f>[1]Emissions!D844</f>
        <v>1.497062052</v>
      </c>
      <c r="F395" s="6">
        <f>[1]Emissions!E844</f>
        <v>1.499274335</v>
      </c>
      <c r="G395" s="6">
        <f>[1]Emissions!F844</f>
        <v>1.5133262139999999</v>
      </c>
      <c r="H395" s="6">
        <f>[1]Emissions!G844</f>
        <v>1.5371031369999999</v>
      </c>
      <c r="I395" s="6">
        <f>[1]Emissions!H844</f>
        <v>1.5632015880000001</v>
      </c>
      <c r="J395" s="6">
        <f>[1]Emissions!I844</f>
        <v>1.4799389279999999</v>
      </c>
      <c r="K395" s="6">
        <f>[1]Emissions!J844</f>
        <v>1.3912371589999999</v>
      </c>
      <c r="L395" s="6">
        <f>[1]Emissions!K844</f>
        <v>1.3151021039999999</v>
      </c>
      <c r="M395" s="6">
        <f>[1]Emissions!L844</f>
        <v>1.2429449239999999</v>
      </c>
      <c r="N395" s="6">
        <f>[1]Emissions!M844</f>
        <v>1.175200469</v>
      </c>
      <c r="O395" s="6">
        <f>[1]Emissions!N844</f>
        <v>1.1107939250000001</v>
      </c>
      <c r="P395" s="6">
        <f>[1]Emissions!O844</f>
        <v>1.0499106840000001</v>
      </c>
      <c r="Q395" s="6">
        <f>[1]Emissions!P844</f>
        <v>0.99316531900000005</v>
      </c>
      <c r="R395" s="6">
        <f>[1]Emissions!Q844</f>
        <v>0.94049925209999996</v>
      </c>
      <c r="S395" s="6">
        <f>[1]Emissions!R844</f>
        <v>0.88992519469999998</v>
      </c>
      <c r="T395" s="6">
        <f>[1]Emissions!S844</f>
        <v>0.8421568451</v>
      </c>
      <c r="U395" s="6">
        <f>[1]Emissions!T844</f>
        <v>0.7974663528</v>
      </c>
      <c r="V395" s="6">
        <f>[1]Emissions!U844</f>
        <v>0.75577636069999998</v>
      </c>
      <c r="W395" s="6">
        <f>[1]Emissions!V844</f>
        <v>0.71682048460000003</v>
      </c>
      <c r="X395" s="6">
        <f>[1]Emissions!W844</f>
        <v>0.68039748</v>
      </c>
      <c r="Y395" s="6">
        <f>[1]Emissions!X844</f>
        <v>0.64620162339999998</v>
      </c>
      <c r="Z395" s="6">
        <f>[1]Emissions!Y844</f>
        <v>0.61377062829999995</v>
      </c>
      <c r="AA395" s="6">
        <f>[1]Emissions!Z844</f>
        <v>0.58253408510000004</v>
      </c>
      <c r="AB395" s="6">
        <f>[1]Emissions!AA844</f>
        <v>0.55179206920000001</v>
      </c>
      <c r="AC395" s="6">
        <f>[1]Emissions!AB844</f>
        <v>0.52118987159999997</v>
      </c>
      <c r="AD395" s="6">
        <f>[1]Emissions!AC844</f>
        <v>0.49026796649999999</v>
      </c>
      <c r="AE395" s="6">
        <f>[1]Emissions!AD844</f>
        <v>0.45833658030000002</v>
      </c>
      <c r="AF395" s="6">
        <f>[1]Emissions!AE844</f>
        <v>0.42449347139999999</v>
      </c>
      <c r="AG395" s="6">
        <f>[1]Emissions!AF844</f>
        <v>0.38780200500000001</v>
      </c>
      <c r="AH395" s="6">
        <f>[1]Emissions!AG844</f>
        <v>0.34740241490000001</v>
      </c>
      <c r="AI395" s="6">
        <f>[1]Emissions!AH844</f>
        <v>0.30244918009999999</v>
      </c>
      <c r="AJ395" s="6">
        <f>[1]Emissions!AI844</f>
        <v>0.2519951553</v>
      </c>
      <c r="AK395" s="6">
        <f>[1]Emissions!AJ844</f>
        <v>0.19492658409999999</v>
      </c>
      <c r="AL395" s="6">
        <f>[1]Emissions!AK844</f>
        <v>0.12983903520000001</v>
      </c>
    </row>
    <row r="396" spans="1:38" x14ac:dyDescent="0.35">
      <c r="B396" s="6" t="str">
        <f>[1]Emissions!A846</f>
        <v>ems_ci_co2_smet_2</v>
      </c>
      <c r="C396" s="6">
        <f>[1]Emissions!B846</f>
        <v>19.467183070000001</v>
      </c>
      <c r="D396" s="6">
        <f>[1]Emissions!C846</f>
        <v>19.626559969999999</v>
      </c>
      <c r="E396" s="6">
        <f>[1]Emissions!D846</f>
        <v>19.80658708</v>
      </c>
      <c r="F396" s="6">
        <f>[1]Emissions!E846</f>
        <v>19.915275149999999</v>
      </c>
      <c r="G396" s="6">
        <f>[1]Emissions!F846</f>
        <v>20.164044969999999</v>
      </c>
      <c r="H396" s="6">
        <f>[1]Emissions!G846</f>
        <v>20.523415239999999</v>
      </c>
      <c r="I396" s="6">
        <f>[1]Emissions!H846</f>
        <v>20.905683920000001</v>
      </c>
      <c r="J396" s="6">
        <f>[1]Emissions!I846</f>
        <v>20.308585699999998</v>
      </c>
      <c r="K396" s="6">
        <f>[1]Emissions!J846</f>
        <v>19.593554919999999</v>
      </c>
      <c r="L396" s="6">
        <f>[1]Emissions!K846</f>
        <v>19.01187998</v>
      </c>
      <c r="M396" s="6">
        <f>[1]Emissions!L846</f>
        <v>18.459765220000001</v>
      </c>
      <c r="N396" s="6">
        <f>[1]Emissions!M846</f>
        <v>17.97026838</v>
      </c>
      <c r="O396" s="6">
        <f>[1]Emissions!N846</f>
        <v>17.517303080000001</v>
      </c>
      <c r="P396" s="6">
        <f>[1]Emissions!O846</f>
        <v>17.101727440000001</v>
      </c>
      <c r="Q396" s="6">
        <f>[1]Emissions!P846</f>
        <v>16.735178900000001</v>
      </c>
      <c r="R396" s="6">
        <f>[1]Emissions!Q846</f>
        <v>16.420561410000001</v>
      </c>
      <c r="S396" s="6">
        <f>[1]Emissions!R846</f>
        <v>16.115544740000001</v>
      </c>
      <c r="T396" s="6">
        <f>[1]Emissions!S846</f>
        <v>15.839476080000001</v>
      </c>
      <c r="U396" s="6">
        <f>[1]Emissions!T846</f>
        <v>15.6038034</v>
      </c>
      <c r="V396" s="6">
        <f>[1]Emissions!U846</f>
        <v>15.41230382</v>
      </c>
      <c r="W396" s="6">
        <f>[1]Emissions!V846</f>
        <v>15.26492683</v>
      </c>
      <c r="X396" s="6">
        <f>[1]Emissions!W846</f>
        <v>15.16342418</v>
      </c>
      <c r="Y396" s="6">
        <f>[1]Emissions!X846</f>
        <v>15.108624300000001</v>
      </c>
      <c r="Z396" s="6">
        <f>[1]Emissions!Y846</f>
        <v>15.09871525</v>
      </c>
      <c r="AA396" s="6">
        <f>[1]Emissions!Z846</f>
        <v>15.129648469999999</v>
      </c>
      <c r="AB396" s="6">
        <f>[1]Emissions!AA846</f>
        <v>15.194225980000001</v>
      </c>
      <c r="AC396" s="6">
        <f>[1]Emissions!AB846</f>
        <v>15.292821849999999</v>
      </c>
      <c r="AD396" s="6">
        <f>[1]Emissions!AC846</f>
        <v>15.4283512</v>
      </c>
      <c r="AE396" s="6">
        <f>[1]Emissions!AD846</f>
        <v>15.59776203</v>
      </c>
      <c r="AF396" s="6">
        <f>[1]Emissions!AE846</f>
        <v>15.792340749999999</v>
      </c>
      <c r="AG396" s="6">
        <f>[1]Emissions!AF846</f>
        <v>16.0019244</v>
      </c>
      <c r="AH396" s="6">
        <f>[1]Emissions!AG846</f>
        <v>16.21924083</v>
      </c>
      <c r="AI396" s="6">
        <f>[1]Emissions!AH846</f>
        <v>16.43960002</v>
      </c>
      <c r="AJ396" s="6">
        <f>[1]Emissions!AI846</f>
        <v>16.658281030000001</v>
      </c>
      <c r="AK396" s="6">
        <f>[1]Emissions!AJ846</f>
        <v>16.87071662</v>
      </c>
      <c r="AL396" s="6">
        <f>[1]Emissions!AK846</f>
        <v>17.072488700000001</v>
      </c>
    </row>
    <row r="397" spans="1:38" x14ac:dyDescent="0.35">
      <c r="B397" s="6" t="str">
        <f>[1]Emissions!A848</f>
        <v>ems_ci_co2_sigo_2</v>
      </c>
      <c r="C397" s="6">
        <f>[1]Emissions!B848</f>
        <v>1.2165118079999999</v>
      </c>
      <c r="D397" s="6">
        <f>[1]Emissions!C848</f>
        <v>1.238486464</v>
      </c>
      <c r="E397" s="6">
        <f>[1]Emissions!D848</f>
        <v>1.260094324</v>
      </c>
      <c r="F397" s="6">
        <f>[1]Emissions!E848</f>
        <v>1.277274695</v>
      </c>
      <c r="G397" s="6">
        <f>[1]Emissions!F848</f>
        <v>1.300914044</v>
      </c>
      <c r="H397" s="6">
        <f>[1]Emissions!G848</f>
        <v>1.3304254170000001</v>
      </c>
      <c r="I397" s="6">
        <f>[1]Emissions!H848</f>
        <v>1.3557324340000001</v>
      </c>
      <c r="J397" s="6">
        <f>[1]Emissions!I848</f>
        <v>1.2927102159999999</v>
      </c>
      <c r="K397" s="6">
        <f>[1]Emissions!J848</f>
        <v>1.223682631</v>
      </c>
      <c r="L397" s="6">
        <f>[1]Emissions!K848</f>
        <v>1.166105996</v>
      </c>
      <c r="M397" s="6">
        <f>[1]Emissions!L848</f>
        <v>1.109001481</v>
      </c>
      <c r="N397" s="6">
        <f>[1]Emissions!M848</f>
        <v>1.051435648</v>
      </c>
      <c r="O397" s="6">
        <f>[1]Emissions!N848</f>
        <v>0.9932164523</v>
      </c>
      <c r="P397" s="6">
        <f>[1]Emissions!O848</f>
        <v>0.9358322966</v>
      </c>
      <c r="Q397" s="6">
        <f>[1]Emissions!P848</f>
        <v>0.88104697170000001</v>
      </c>
      <c r="R397" s="6">
        <f>[1]Emissions!Q848</f>
        <v>0.82951283340000004</v>
      </c>
      <c r="S397" s="6">
        <f>[1]Emissions!R848</f>
        <v>0.78151618450000004</v>
      </c>
      <c r="T397" s="6">
        <f>[1]Emissions!S848</f>
        <v>0.73757514960000004</v>
      </c>
      <c r="U397" s="6">
        <f>[1]Emissions!T848</f>
        <v>0.69757000449999995</v>
      </c>
      <c r="V397" s="6">
        <f>[1]Emissions!U848</f>
        <v>0.66111906949999999</v>
      </c>
      <c r="W397" s="6">
        <f>[1]Emissions!V848</f>
        <v>0.6278504936</v>
      </c>
      <c r="X397" s="6">
        <f>[1]Emissions!W848</f>
        <v>0.59746273120000004</v>
      </c>
      <c r="Y397" s="6">
        <f>[1]Emissions!X848</f>
        <v>0.56966832219999997</v>
      </c>
      <c r="Z397" s="6">
        <f>[1]Emissions!Y848</f>
        <v>0.54397743809999999</v>
      </c>
      <c r="AA397" s="6">
        <f>[1]Emissions!Z848</f>
        <v>0.51979676090000004</v>
      </c>
      <c r="AB397" s="6">
        <f>[1]Emissions!AA848</f>
        <v>0.49655465659999998</v>
      </c>
      <c r="AC397" s="6">
        <f>[1]Emissions!AB848</f>
        <v>0.47383582909999999</v>
      </c>
      <c r="AD397" s="6">
        <f>[1]Emissions!AC848</f>
        <v>0.4514848092</v>
      </c>
      <c r="AE397" s="6">
        <f>[1]Emissions!AD848</f>
        <v>0.42878866729999998</v>
      </c>
      <c r="AF397" s="6">
        <f>[1]Emissions!AE848</f>
        <v>0.4047208035</v>
      </c>
      <c r="AG397" s="6">
        <f>[1]Emissions!AF848</f>
        <v>0.37821554569999999</v>
      </c>
      <c r="AH397" s="6">
        <f>[1]Emissions!AG848</f>
        <v>0.34834812570000001</v>
      </c>
      <c r="AI397" s="6">
        <f>[1]Emissions!AH848</f>
        <v>0.31422185349999998</v>
      </c>
      <c r="AJ397" s="6">
        <f>[1]Emissions!AI848</f>
        <v>0.27477368229999999</v>
      </c>
      <c r="AK397" s="6">
        <f>[1]Emissions!AJ848</f>
        <v>0.22876952079999999</v>
      </c>
      <c r="AL397" s="6">
        <f>[1]Emissions!AK848</f>
        <v>0.1747476097</v>
      </c>
    </row>
    <row r="398" spans="1:38" x14ac:dyDescent="0.35">
      <c r="B398" s="6" t="str">
        <f>[1]Emissions!A850</f>
        <v>ems_ci_co2_scgo_2</v>
      </c>
      <c r="C398" s="6">
        <f>[1]Emissions!B850</f>
        <v>2.2734885</v>
      </c>
      <c r="D398" s="6">
        <f>[1]Emissions!C850</f>
        <v>2.2896343639999999</v>
      </c>
      <c r="E398" s="6">
        <f>[1]Emissions!D850</f>
        <v>2.3089104489999999</v>
      </c>
      <c r="F398" s="6">
        <f>[1]Emissions!E850</f>
        <v>2.3253201040000002</v>
      </c>
      <c r="G398" s="6">
        <f>[1]Emissions!F850</f>
        <v>2.3563093639999999</v>
      </c>
      <c r="H398" s="6">
        <f>[1]Emissions!G850</f>
        <v>2.3999413299999999</v>
      </c>
      <c r="I398" s="6">
        <f>[1]Emissions!H850</f>
        <v>2.444530238</v>
      </c>
      <c r="J398" s="6">
        <f>[1]Emissions!I850</f>
        <v>2.362334218</v>
      </c>
      <c r="K398" s="6">
        <f>[1]Emissions!J850</f>
        <v>2.2648470070000002</v>
      </c>
      <c r="L398" s="6">
        <f>[1]Emissions!K850</f>
        <v>2.1759880169999999</v>
      </c>
      <c r="M398" s="6">
        <f>[1]Emissions!L850</f>
        <v>2.0890242780000001</v>
      </c>
      <c r="N398" s="6">
        <f>[1]Emissions!M850</f>
        <v>2.0072100100000001</v>
      </c>
      <c r="O398" s="6">
        <f>[1]Emissions!N850</f>
        <v>1.9283500849999999</v>
      </c>
      <c r="P398" s="6">
        <f>[1]Emissions!O850</f>
        <v>1.852314402</v>
      </c>
      <c r="Q398" s="6">
        <f>[1]Emissions!P850</f>
        <v>1.780110793</v>
      </c>
      <c r="R398" s="6">
        <f>[1]Emissions!Q850</f>
        <v>1.7122198259999999</v>
      </c>
      <c r="S398" s="6">
        <f>[1]Emissions!R850</f>
        <v>1.6457541389999999</v>
      </c>
      <c r="T398" s="6">
        <f>[1]Emissions!S850</f>
        <v>1.5825782100000001</v>
      </c>
      <c r="U398" s="6">
        <f>[1]Emissions!T850</f>
        <v>1.523713672</v>
      </c>
      <c r="V398" s="6">
        <f>[1]Emissions!U850</f>
        <v>1.4696386189999999</v>
      </c>
      <c r="W398" s="6">
        <f>[1]Emissions!V850</f>
        <v>1.420356795</v>
      </c>
      <c r="X398" s="6">
        <f>[1]Emissions!W850</f>
        <v>1.3762214070000001</v>
      </c>
      <c r="Y398" s="6">
        <f>[1]Emissions!X850</f>
        <v>1.337174705</v>
      </c>
      <c r="Z398" s="6">
        <f>[1]Emissions!Y850</f>
        <v>1.3029060100000001</v>
      </c>
      <c r="AA398" s="6">
        <f>[1]Emissions!Z850</f>
        <v>1.2729281189999999</v>
      </c>
      <c r="AB398" s="6">
        <f>[1]Emissions!AA850</f>
        <v>1.2462090729999999</v>
      </c>
      <c r="AC398" s="6">
        <f>[1]Emissions!AB850</f>
        <v>1.223121318</v>
      </c>
      <c r="AD398" s="6">
        <f>[1]Emissions!AC850</f>
        <v>1.203152384</v>
      </c>
      <c r="AE398" s="6">
        <f>[1]Emissions!AD850</f>
        <v>1.1855627580000001</v>
      </c>
      <c r="AF398" s="6">
        <f>[1]Emissions!AE850</f>
        <v>1.169206282</v>
      </c>
      <c r="AG398" s="6">
        <f>[1]Emissions!AF850</f>
        <v>1.1527868269999999</v>
      </c>
      <c r="AH398" s="6">
        <f>[1]Emissions!AG850</f>
        <v>1.1351252489999999</v>
      </c>
      <c r="AI398" s="6">
        <f>[1]Emissions!AH850</f>
        <v>1.1151263380000001</v>
      </c>
      <c r="AJ398" s="6">
        <f>[1]Emissions!AI850</f>
        <v>1.0916019669999999</v>
      </c>
      <c r="AK398" s="6">
        <f>[1]Emissions!AJ850</f>
        <v>1.0632767679999999</v>
      </c>
      <c r="AL398" s="6">
        <f>[1]Emissions!AK850</f>
        <v>1.028748467</v>
      </c>
    </row>
    <row r="399" spans="1:38" x14ac:dyDescent="0.35">
      <c r="B399" s="6" t="str">
        <f>[1]Emissions!A852</f>
        <v>ems_ci_co2_scon_2</v>
      </c>
      <c r="C399" s="6">
        <f>[1]Emissions!B852</f>
        <v>7.4270601950000001</v>
      </c>
      <c r="D399" s="6">
        <f>[1]Emissions!C852</f>
        <v>7.1022539379999996</v>
      </c>
      <c r="E399" s="6">
        <f>[1]Emissions!D852</f>
        <v>6.7602301950000001</v>
      </c>
      <c r="F399" s="6">
        <f>[1]Emissions!E852</f>
        <v>6.3688931679999996</v>
      </c>
      <c r="G399" s="6">
        <f>[1]Emissions!F852</f>
        <v>6.15851404</v>
      </c>
      <c r="H399" s="6">
        <f>[1]Emissions!G852</f>
        <v>6.0994773599999998</v>
      </c>
      <c r="I399" s="6">
        <f>[1]Emissions!H852</f>
        <v>6.126566822</v>
      </c>
      <c r="J399" s="6">
        <f>[1]Emissions!I852</f>
        <v>5.3633090699999997</v>
      </c>
      <c r="K399" s="6">
        <f>[1]Emissions!J852</f>
        <v>4.5524785919999999</v>
      </c>
      <c r="L399" s="6">
        <f>[1]Emissions!K852</f>
        <v>3.8371394799999998</v>
      </c>
      <c r="M399" s="6">
        <f>[1]Emissions!L852</f>
        <v>3.2465615579999998</v>
      </c>
      <c r="N399" s="6">
        <f>[1]Emissions!M852</f>
        <v>2.8257953969999998</v>
      </c>
      <c r="O399" s="6">
        <f>[1]Emissions!N852</f>
        <v>2.5139615860000002</v>
      </c>
      <c r="P399" s="6">
        <f>[1]Emissions!O852</f>
        <v>2.2703007469999998</v>
      </c>
      <c r="Q399" s="6">
        <f>[1]Emissions!P852</f>
        <v>2.0716323239999999</v>
      </c>
      <c r="R399" s="6">
        <f>[1]Emissions!Q852</f>
        <v>1.904543654</v>
      </c>
      <c r="S399" s="6">
        <f>[1]Emissions!R852</f>
        <v>1.745377148</v>
      </c>
      <c r="T399" s="6">
        <f>[1]Emissions!S852</f>
        <v>1.5977715050000001</v>
      </c>
      <c r="U399" s="6">
        <f>[1]Emissions!T852</f>
        <v>1.464796572</v>
      </c>
      <c r="V399" s="6">
        <f>[1]Emissions!U852</f>
        <v>1.347731762</v>
      </c>
      <c r="W399" s="6">
        <f>[1]Emissions!V852</f>
        <v>1.246467631</v>
      </c>
      <c r="X399" s="6">
        <f>[1]Emissions!W852</f>
        <v>1.1605736870000001</v>
      </c>
      <c r="Y399" s="6">
        <f>[1]Emissions!X852</f>
        <v>1.0889737079999999</v>
      </c>
      <c r="Z399" s="6">
        <f>[1]Emissions!Y852</f>
        <v>1.030275448</v>
      </c>
      <c r="AA399" s="6">
        <f>[1]Emissions!Z852</f>
        <v>0.98315510009999996</v>
      </c>
      <c r="AB399" s="6">
        <f>[1]Emissions!AA852</f>
        <v>0.94603395869999996</v>
      </c>
      <c r="AC399" s="6">
        <f>[1]Emissions!AB852</f>
        <v>0.91825434930000005</v>
      </c>
      <c r="AD399" s="6">
        <f>[1]Emissions!AC852</f>
        <v>0.89878576889999995</v>
      </c>
      <c r="AE399" s="6">
        <f>[1]Emissions!AD852</f>
        <v>0.88581095830000001</v>
      </c>
      <c r="AF399" s="6">
        <f>[1]Emissions!AE852</f>
        <v>0.87682044079999999</v>
      </c>
      <c r="AG399" s="6">
        <f>[1]Emissions!AF852</f>
        <v>0.86858674010000003</v>
      </c>
      <c r="AH399" s="6">
        <f>[1]Emissions!AG852</f>
        <v>0.85688101210000001</v>
      </c>
      <c r="AI399" s="6">
        <f>[1]Emissions!AH852</f>
        <v>0.83552494259999999</v>
      </c>
      <c r="AJ399" s="6">
        <f>[1]Emissions!AI852</f>
        <v>0.79465355589999997</v>
      </c>
      <c r="AK399" s="6">
        <f>[1]Emissions!AJ852</f>
        <v>0.7180853572</v>
      </c>
      <c r="AL399" s="6">
        <f>[1]Emissions!AK852</f>
        <v>0.57786927480000005</v>
      </c>
    </row>
    <row r="400" spans="1:38" x14ac:dyDescent="0.35">
      <c r="B400" s="6" t="str">
        <f>[1]Emissions!A854</f>
        <v>ems_ci_co2_srai_2</v>
      </c>
      <c r="C400" s="6">
        <f>[1]Emissions!B854</f>
        <v>1.7345464589999999</v>
      </c>
      <c r="D400" s="6">
        <f>[1]Emissions!C854</f>
        <v>1.7615824440000001</v>
      </c>
      <c r="E400" s="6">
        <f>[1]Emissions!D854</f>
        <v>1.7921825899999999</v>
      </c>
      <c r="F400" s="6">
        <f>[1]Emissions!E854</f>
        <v>1.8248628600000001</v>
      </c>
      <c r="G400" s="6">
        <f>[1]Emissions!F854</f>
        <v>1.860979347</v>
      </c>
      <c r="H400" s="6">
        <f>[1]Emissions!G854</f>
        <v>1.9001614229999999</v>
      </c>
      <c r="I400" s="6">
        <f>[1]Emissions!H854</f>
        <v>1.940142756</v>
      </c>
      <c r="J400" s="6">
        <f>[1]Emissions!I854</f>
        <v>1.9031125849999999</v>
      </c>
      <c r="K400" s="6">
        <f>[1]Emissions!J854</f>
        <v>1.8606683449999999</v>
      </c>
      <c r="L400" s="6">
        <f>[1]Emissions!K854</f>
        <v>1.8218961140000001</v>
      </c>
      <c r="M400" s="6">
        <f>[1]Emissions!L854</f>
        <v>1.7813736680000001</v>
      </c>
      <c r="N400" s="6">
        <f>[1]Emissions!M854</f>
        <v>1.734932278</v>
      </c>
      <c r="O400" s="6">
        <f>[1]Emissions!N854</f>
        <v>1.6832497289999999</v>
      </c>
      <c r="P400" s="6">
        <f>[1]Emissions!O854</f>
        <v>1.627774383</v>
      </c>
      <c r="Q400" s="6">
        <f>[1]Emissions!P854</f>
        <v>1.5701549910000001</v>
      </c>
      <c r="R400" s="6">
        <f>[1]Emissions!Q854</f>
        <v>1.5114317820000001</v>
      </c>
      <c r="S400" s="6">
        <f>[1]Emissions!R854</f>
        <v>1.4519197429999999</v>
      </c>
      <c r="T400" s="6">
        <f>[1]Emissions!S854</f>
        <v>1.3924431310000001</v>
      </c>
      <c r="U400" s="6">
        <f>[1]Emissions!T854</f>
        <v>1.333503272</v>
      </c>
      <c r="V400" s="6">
        <f>[1]Emissions!U854</f>
        <v>1.2752439170000001</v>
      </c>
      <c r="W400" s="6">
        <f>[1]Emissions!V854</f>
        <v>1.2173624709999999</v>
      </c>
      <c r="X400" s="6">
        <f>[1]Emissions!W854</f>
        <v>1.1601543780000001</v>
      </c>
      <c r="Y400" s="6">
        <f>[1]Emissions!X854</f>
        <v>1.1033843270000001</v>
      </c>
      <c r="Z400" s="6">
        <f>[1]Emissions!Y854</f>
        <v>1.0467359540000001</v>
      </c>
      <c r="AA400" s="6">
        <f>[1]Emissions!Z854</f>
        <v>0.98977096590000002</v>
      </c>
      <c r="AB400" s="6">
        <f>[1]Emissions!AA854</f>
        <v>0.9314461356</v>
      </c>
      <c r="AC400" s="6">
        <f>[1]Emissions!AB854</f>
        <v>0.87196450969999995</v>
      </c>
      <c r="AD400" s="6">
        <f>[1]Emissions!AC854</f>
        <v>0.81089126410000001</v>
      </c>
      <c r="AE400" s="6">
        <f>[1]Emissions!AD854</f>
        <v>0.74769722829999996</v>
      </c>
      <c r="AF400" s="6">
        <f>[1]Emissions!AE854</f>
        <v>0.68168483339999997</v>
      </c>
      <c r="AG400" s="6">
        <f>[1]Emissions!AF854</f>
        <v>0.61211613359999995</v>
      </c>
      <c r="AH400" s="6">
        <f>[1]Emissions!AG854</f>
        <v>0.53832652049999996</v>
      </c>
      <c r="AI400" s="6">
        <f>[1]Emissions!AH854</f>
        <v>0.4597282358</v>
      </c>
      <c r="AJ400" s="6">
        <f>[1]Emissions!AI854</f>
        <v>0.37577152330000002</v>
      </c>
      <c r="AK400" s="6">
        <f>[1]Emissions!AJ854</f>
        <v>0.28592491069999998</v>
      </c>
      <c r="AL400" s="6">
        <f>[1]Emissions!AK854</f>
        <v>0.18965551550000001</v>
      </c>
    </row>
    <row r="401" spans="2:38" x14ac:dyDescent="0.35">
      <c r="B401" s="6" t="str">
        <f>[1]Emissions!A856</f>
        <v>ems_ci_co2_sroa_2</v>
      </c>
      <c r="C401" s="6">
        <f>[1]Emissions!B856</f>
        <v>17.318265199999999</v>
      </c>
      <c r="D401" s="6">
        <f>[1]Emissions!C856</f>
        <v>17.59112958</v>
      </c>
      <c r="E401" s="6">
        <f>[1]Emissions!D856</f>
        <v>17.900316539999999</v>
      </c>
      <c r="F401" s="6">
        <f>[1]Emissions!E856</f>
        <v>18.230765170000002</v>
      </c>
      <c r="G401" s="6">
        <f>[1]Emissions!F856</f>
        <v>18.59461692</v>
      </c>
      <c r="H401" s="6">
        <f>[1]Emissions!G856</f>
        <v>18.987844240000001</v>
      </c>
      <c r="I401" s="6">
        <f>[1]Emissions!H856</f>
        <v>19.388456690000002</v>
      </c>
      <c r="J401" s="6">
        <f>[1]Emissions!I856</f>
        <v>19.024296400000001</v>
      </c>
      <c r="K401" s="6">
        <f>[1]Emissions!J856</f>
        <v>18.609322559999999</v>
      </c>
      <c r="L401" s="6">
        <f>[1]Emissions!K856</f>
        <v>18.233066050000001</v>
      </c>
      <c r="M401" s="6">
        <f>[1]Emissions!L856</f>
        <v>17.840199380000001</v>
      </c>
      <c r="N401" s="6">
        <f>[1]Emissions!M856</f>
        <v>17.387197929999999</v>
      </c>
      <c r="O401" s="6">
        <f>[1]Emissions!N856</f>
        <v>16.88063215</v>
      </c>
      <c r="P401" s="6">
        <f>[1]Emissions!O856</f>
        <v>16.33500883</v>
      </c>
      <c r="Q401" s="6">
        <f>[1]Emissions!P856</f>
        <v>15.76684949</v>
      </c>
      <c r="R401" s="6">
        <f>[1]Emissions!Q856</f>
        <v>15.186564349999999</v>
      </c>
      <c r="S401" s="6">
        <f>[1]Emissions!R856</f>
        <v>14.597531630000001</v>
      </c>
      <c r="T401" s="6">
        <f>[1]Emissions!S856</f>
        <v>14.007841709999999</v>
      </c>
      <c r="U401" s="6">
        <f>[1]Emissions!T856</f>
        <v>13.42241372</v>
      </c>
      <c r="V401" s="6">
        <f>[1]Emissions!U856</f>
        <v>12.842616400000001</v>
      </c>
      <c r="W401" s="6">
        <f>[1]Emissions!V856</f>
        <v>12.265345719999999</v>
      </c>
      <c r="X401" s="6">
        <f>[1]Emissions!W856</f>
        <v>11.69356146</v>
      </c>
      <c r="Y401" s="6">
        <f>[1]Emissions!X856</f>
        <v>11.124908570000001</v>
      </c>
      <c r="Z401" s="6">
        <f>[1]Emissions!Y856</f>
        <v>10.55625201</v>
      </c>
      <c r="AA401" s="6">
        <f>[1]Emissions!Z856</f>
        <v>9.9832392339999991</v>
      </c>
      <c r="AB401" s="6">
        <f>[1]Emissions!AA856</f>
        <v>9.3954198689999995</v>
      </c>
      <c r="AC401" s="6">
        <f>[1]Emissions!AB856</f>
        <v>8.7949370869999992</v>
      </c>
      <c r="AD401" s="6">
        <f>[1]Emissions!AC856</f>
        <v>8.1775465319999991</v>
      </c>
      <c r="AE401" s="6">
        <f>[1]Emissions!AD856</f>
        <v>7.5381373930000004</v>
      </c>
      <c r="AF401" s="6">
        <f>[1]Emissions!AE856</f>
        <v>6.8699502219999999</v>
      </c>
      <c r="AG401" s="6">
        <f>[1]Emissions!AF856</f>
        <v>6.1658361639999999</v>
      </c>
      <c r="AH401" s="6">
        <f>[1]Emissions!AG856</f>
        <v>5.4193897680000003</v>
      </c>
      <c r="AI401" s="6">
        <f>[1]Emissions!AH856</f>
        <v>4.6249976210000003</v>
      </c>
      <c r="AJ401" s="6">
        <f>[1]Emissions!AI856</f>
        <v>3.777464025</v>
      </c>
      <c r="AK401" s="6">
        <f>[1]Emissions!AJ856</f>
        <v>2.8718076450000001</v>
      </c>
      <c r="AL401" s="6">
        <f>[1]Emissions!AK856</f>
        <v>1.9030724720000001</v>
      </c>
    </row>
    <row r="402" spans="2:38" x14ac:dyDescent="0.35">
      <c r="B402" s="6" t="str">
        <f>[1]Emissions!A858</f>
        <v>ems_ci_co2_swat_2</v>
      </c>
      <c r="C402" s="6">
        <f>[1]Emissions!B858</f>
        <v>3.8248369960000002</v>
      </c>
      <c r="D402" s="6">
        <f>[1]Emissions!C858</f>
        <v>3.9509260799999999</v>
      </c>
      <c r="E402" s="6">
        <f>[1]Emissions!D858</f>
        <v>4.0834679679999999</v>
      </c>
      <c r="F402" s="6">
        <f>[1]Emissions!E858</f>
        <v>4.212785395</v>
      </c>
      <c r="G402" s="6">
        <f>[1]Emissions!F858</f>
        <v>4.3444067510000002</v>
      </c>
      <c r="H402" s="6">
        <f>[1]Emissions!G858</f>
        <v>4.480408605</v>
      </c>
      <c r="I402" s="6">
        <f>[1]Emissions!H858</f>
        <v>4.6179070969999998</v>
      </c>
      <c r="J402" s="6">
        <f>[1]Emissions!I858</f>
        <v>4.579808635</v>
      </c>
      <c r="K402" s="6">
        <f>[1]Emissions!J858</f>
        <v>4.5485739709999997</v>
      </c>
      <c r="L402" s="6">
        <f>[1]Emissions!K858</f>
        <v>4.5733315159999997</v>
      </c>
      <c r="M402" s="6">
        <f>[1]Emissions!L858</f>
        <v>4.5933838920000003</v>
      </c>
      <c r="N402" s="6">
        <f>[1]Emissions!M858</f>
        <v>4.5689772770000001</v>
      </c>
      <c r="O402" s="6">
        <f>[1]Emissions!N858</f>
        <v>4.499808303</v>
      </c>
      <c r="P402" s="6">
        <f>[1]Emissions!O858</f>
        <v>4.397774278</v>
      </c>
      <c r="Q402" s="6">
        <f>[1]Emissions!P858</f>
        <v>4.277579566</v>
      </c>
      <c r="R402" s="6">
        <f>[1]Emissions!Q858</f>
        <v>4.1477671230000004</v>
      </c>
      <c r="S402" s="6">
        <f>[1]Emissions!R858</f>
        <v>4.0171511830000002</v>
      </c>
      <c r="T402" s="6">
        <f>[1]Emissions!S858</f>
        <v>3.8913020170000001</v>
      </c>
      <c r="U402" s="6">
        <f>[1]Emissions!T858</f>
        <v>3.772434982</v>
      </c>
      <c r="V402" s="6">
        <f>[1]Emissions!U858</f>
        <v>3.6597876989999998</v>
      </c>
      <c r="W402" s="6">
        <f>[1]Emissions!V858</f>
        <v>3.5521196119999998</v>
      </c>
      <c r="X402" s="6">
        <f>[1]Emissions!W858</f>
        <v>3.448556424</v>
      </c>
      <c r="Y402" s="6">
        <f>[1]Emissions!X858</f>
        <v>3.3484869399999999</v>
      </c>
      <c r="Z402" s="6">
        <f>[1]Emissions!Y858</f>
        <v>3.2494156759999999</v>
      </c>
      <c r="AA402" s="6">
        <f>[1]Emissions!Z858</f>
        <v>3.14801551</v>
      </c>
      <c r="AB402" s="6">
        <f>[1]Emissions!AA858</f>
        <v>3.0415991550000001</v>
      </c>
      <c r="AC402" s="6">
        <f>[1]Emissions!AB858</f>
        <v>2.9303953269999998</v>
      </c>
      <c r="AD402" s="6">
        <f>[1]Emissions!AC858</f>
        <v>2.8156217140000002</v>
      </c>
      <c r="AE402" s="6">
        <f>[1]Emissions!AD858</f>
        <v>2.6944004530000001</v>
      </c>
      <c r="AF402" s="6">
        <f>[1]Emissions!AE858</f>
        <v>2.5618085549999998</v>
      </c>
      <c r="AG402" s="6">
        <f>[1]Emissions!AF858</f>
        <v>2.413159668</v>
      </c>
      <c r="AH402" s="6">
        <f>[1]Emissions!AG858</f>
        <v>2.2457704270000001</v>
      </c>
      <c r="AI402" s="6">
        <f>[1]Emissions!AH858</f>
        <v>2.057944269</v>
      </c>
      <c r="AJ402" s="6">
        <f>[1]Emissions!AI858</f>
        <v>1.8471651870000001</v>
      </c>
      <c r="AK402" s="6">
        <f>[1]Emissions!AJ858</f>
        <v>1.6106098499999999</v>
      </c>
      <c r="AL402" s="6">
        <f>[1]Emissions!AK858</f>
        <v>1.345327414</v>
      </c>
    </row>
    <row r="403" spans="2:38" x14ac:dyDescent="0.35">
      <c r="B403" s="6" t="str">
        <f>[1]Emissions!A860</f>
        <v>ems_ci_co2_sair_2</v>
      </c>
      <c r="C403" s="6">
        <f>[1]Emissions!B860</f>
        <v>19.2035819</v>
      </c>
      <c r="D403" s="6">
        <f>[1]Emissions!C860</f>
        <v>19.617989250000001</v>
      </c>
      <c r="E403" s="6">
        <f>[1]Emissions!D860</f>
        <v>20.084786260000001</v>
      </c>
      <c r="F403" s="6">
        <f>[1]Emissions!E860</f>
        <v>20.552097839999998</v>
      </c>
      <c r="G403" s="6">
        <f>[1]Emissions!F860</f>
        <v>21.077135479999999</v>
      </c>
      <c r="H403" s="6">
        <f>[1]Emissions!G860</f>
        <v>21.671541399999999</v>
      </c>
      <c r="I403" s="6">
        <f>[1]Emissions!H860</f>
        <v>22.320216909999999</v>
      </c>
      <c r="J403" s="6">
        <f>[1]Emissions!I860</f>
        <v>22.01737168</v>
      </c>
      <c r="K403" s="6">
        <f>[1]Emissions!J860</f>
        <v>21.617649920000002</v>
      </c>
      <c r="L403" s="6">
        <f>[1]Emissions!K860</f>
        <v>21.33729851</v>
      </c>
      <c r="M403" s="6">
        <f>[1]Emissions!L860</f>
        <v>21.055710390000002</v>
      </c>
      <c r="N403" s="6">
        <f>[1]Emissions!M860</f>
        <v>20.713916510000001</v>
      </c>
      <c r="O403" s="6">
        <f>[1]Emissions!N860</f>
        <v>20.316669610000002</v>
      </c>
      <c r="P403" s="6">
        <f>[1]Emissions!O860</f>
        <v>19.872936249999999</v>
      </c>
      <c r="Q403" s="6">
        <f>[1]Emissions!P860</f>
        <v>19.397857640000002</v>
      </c>
      <c r="R403" s="6">
        <f>[1]Emissions!Q860</f>
        <v>18.89831289</v>
      </c>
      <c r="S403" s="6">
        <f>[1]Emissions!R860</f>
        <v>18.356993379999999</v>
      </c>
      <c r="T403" s="6">
        <f>[1]Emissions!S860</f>
        <v>17.792291519999999</v>
      </c>
      <c r="U403" s="6">
        <f>[1]Emissions!T860</f>
        <v>17.221301159999999</v>
      </c>
      <c r="V403" s="6">
        <f>[1]Emissions!U860</f>
        <v>16.65465056</v>
      </c>
      <c r="W403" s="6">
        <f>[1]Emissions!V860</f>
        <v>16.095494720000001</v>
      </c>
      <c r="X403" s="6">
        <f>[1]Emissions!W860</f>
        <v>15.551965750000001</v>
      </c>
      <c r="Y403" s="6">
        <f>[1]Emissions!X860</f>
        <v>15.025772509999999</v>
      </c>
      <c r="Z403" s="6">
        <f>[1]Emissions!Y860</f>
        <v>14.51264958</v>
      </c>
      <c r="AA403" s="6">
        <f>[1]Emissions!Z860</f>
        <v>14.00419909</v>
      </c>
      <c r="AB403" s="6">
        <f>[1]Emissions!AA860</f>
        <v>13.484235419999999</v>
      </c>
      <c r="AC403" s="6">
        <f>[1]Emissions!AB860</f>
        <v>12.956281990000001</v>
      </c>
      <c r="AD403" s="6">
        <f>[1]Emissions!AC860</f>
        <v>12.418012389999999</v>
      </c>
      <c r="AE403" s="6">
        <f>[1]Emissions!AD860</f>
        <v>11.859997720000001</v>
      </c>
      <c r="AF403" s="6">
        <f>[1]Emissions!AE860</f>
        <v>11.26672907</v>
      </c>
      <c r="AG403" s="6">
        <f>[1]Emissions!AF860</f>
        <v>10.620904619999999</v>
      </c>
      <c r="AH403" s="6">
        <f>[1]Emissions!AG860</f>
        <v>9.9075480589999998</v>
      </c>
      <c r="AI403" s="6">
        <f>[1]Emissions!AH860</f>
        <v>9.1128357680000001</v>
      </c>
      <c r="AJ403" s="6">
        <f>[1]Emissions!AI860</f>
        <v>8.2206484240000002</v>
      </c>
      <c r="AK403" s="6">
        <f>[1]Emissions!AJ860</f>
        <v>7.2124260810000003</v>
      </c>
      <c r="AL403" s="6">
        <f>[1]Emissions!AK860</f>
        <v>6.066227714</v>
      </c>
    </row>
    <row r="404" spans="2:38" x14ac:dyDescent="0.35">
      <c r="B404" s="6" t="str">
        <f>[1]Emissions!A862</f>
        <v>ems_ci_co2_spri_2</v>
      </c>
      <c r="C404" s="6">
        <f>[1]Emissions!B862</f>
        <v>30.586880480000001</v>
      </c>
      <c r="D404" s="6">
        <f>[1]Emissions!C862</f>
        <v>30.295702940000002</v>
      </c>
      <c r="E404" s="6">
        <f>[1]Emissions!D862</f>
        <v>30.007811669999999</v>
      </c>
      <c r="F404" s="6">
        <f>[1]Emissions!E862</f>
        <v>29.595204890000002</v>
      </c>
      <c r="G404" s="6">
        <f>[1]Emissions!F862</f>
        <v>29.56543697</v>
      </c>
      <c r="H404" s="6">
        <f>[1]Emissions!G862</f>
        <v>29.826083220000001</v>
      </c>
      <c r="I404" s="6">
        <f>[1]Emissions!H862</f>
        <v>30.138004389999999</v>
      </c>
      <c r="J404" s="6">
        <f>[1]Emissions!I862</f>
        <v>27.99512</v>
      </c>
      <c r="K404" s="6">
        <f>[1]Emissions!J862</f>
        <v>25.782499730000001</v>
      </c>
      <c r="L404" s="6">
        <f>[1]Emissions!K862</f>
        <v>23.79733517</v>
      </c>
      <c r="M404" s="6">
        <f>[1]Emissions!L862</f>
        <v>22.029666049999999</v>
      </c>
      <c r="N404" s="6">
        <f>[1]Emissions!M862</f>
        <v>20.582219370000001</v>
      </c>
      <c r="O404" s="6">
        <f>[1]Emissions!N862</f>
        <v>19.33764656</v>
      </c>
      <c r="P404" s="6">
        <f>[1]Emissions!O862</f>
        <v>18.22923587</v>
      </c>
      <c r="Q404" s="6">
        <f>[1]Emissions!P862</f>
        <v>17.22257239</v>
      </c>
      <c r="R404" s="6">
        <f>[1]Emissions!Q862</f>
        <v>16.29607781</v>
      </c>
      <c r="S404" s="6">
        <f>[1]Emissions!R862</f>
        <v>15.39806929</v>
      </c>
      <c r="T404" s="6">
        <f>[1]Emissions!S862</f>
        <v>14.54357036</v>
      </c>
      <c r="U404" s="6">
        <f>[1]Emissions!T862</f>
        <v>13.740339150000001</v>
      </c>
      <c r="V404" s="6">
        <f>[1]Emissions!U862</f>
        <v>12.990718469999999</v>
      </c>
      <c r="W404" s="6">
        <f>[1]Emissions!V862</f>
        <v>12.290901610000001</v>
      </c>
      <c r="X404" s="6">
        <f>[1]Emissions!W862</f>
        <v>11.64262325</v>
      </c>
      <c r="Y404" s="6">
        <f>[1]Emissions!X862</f>
        <v>11.041274230000001</v>
      </c>
      <c r="Z404" s="6">
        <f>[1]Emissions!Y862</f>
        <v>10.480612860000001</v>
      </c>
      <c r="AA404" s="6">
        <f>[1]Emissions!Z862</f>
        <v>9.9531196780000002</v>
      </c>
      <c r="AB404" s="6">
        <f>[1]Emissions!AA862</f>
        <v>9.4444774850000002</v>
      </c>
      <c r="AC404" s="6">
        <f>[1]Emissions!AB862</f>
        <v>8.9538691910000008</v>
      </c>
      <c r="AD404" s="6">
        <f>[1]Emissions!AC862</f>
        <v>8.4731636090000002</v>
      </c>
      <c r="AE404" s="6">
        <f>[1]Emissions!AD862</f>
        <v>7.991459205</v>
      </c>
      <c r="AF404" s="6">
        <f>[1]Emissions!AE862</f>
        <v>7.4947709079999996</v>
      </c>
      <c r="AG404" s="6">
        <f>[1]Emissions!AF862</f>
        <v>6.9670284750000002</v>
      </c>
      <c r="AH404" s="6">
        <f>[1]Emissions!AG862</f>
        <v>6.3908656989999999</v>
      </c>
      <c r="AI404" s="6">
        <f>[1]Emissions!AH862</f>
        <v>5.7466586160000004</v>
      </c>
      <c r="AJ404" s="6">
        <f>[1]Emissions!AI862</f>
        <v>5.0104870379999999</v>
      </c>
      <c r="AK404" s="6">
        <f>[1]Emissions!AJ862</f>
        <v>4.1520146970000003</v>
      </c>
      <c r="AL404" s="6">
        <f>[1]Emissions!AK862</f>
        <v>3.130401972</v>
      </c>
    </row>
    <row r="405" spans="2:38" x14ac:dyDescent="0.35">
      <c r="B405" s="6" t="str">
        <f>[1]Emissions!A864</f>
        <v>ems_ci_co2_spub_2</v>
      </c>
      <c r="C405" s="6">
        <f>[1]Emissions!B864</f>
        <v>13.7942412</v>
      </c>
      <c r="D405" s="6">
        <f>[1]Emissions!C864</f>
        <v>13.412458859999999</v>
      </c>
      <c r="E405" s="6">
        <f>[1]Emissions!D864</f>
        <v>13.03889496</v>
      </c>
      <c r="F405" s="6">
        <f>[1]Emissions!E864</f>
        <v>12.60448463</v>
      </c>
      <c r="G405" s="6">
        <f>[1]Emissions!F864</f>
        <v>12.39260612</v>
      </c>
      <c r="H405" s="6">
        <f>[1]Emissions!G864</f>
        <v>12.33419896</v>
      </c>
      <c r="I405" s="6">
        <f>[1]Emissions!H864</f>
        <v>12.315647800000001</v>
      </c>
      <c r="J405" s="6">
        <f>[1]Emissions!I864</f>
        <v>11.23006133</v>
      </c>
      <c r="K405" s="6">
        <f>[1]Emissions!J864</f>
        <v>10.19575657</v>
      </c>
      <c r="L405" s="6">
        <f>[1]Emissions!K864</f>
        <v>9.2885109410000002</v>
      </c>
      <c r="M405" s="6">
        <f>[1]Emissions!L864</f>
        <v>8.5188618629999997</v>
      </c>
      <c r="N405" s="6">
        <f>[1]Emissions!M864</f>
        <v>7.9153009570000004</v>
      </c>
      <c r="O405" s="6">
        <f>[1]Emissions!N864</f>
        <v>7.4236809639999999</v>
      </c>
      <c r="P405" s="6">
        <f>[1]Emissions!O864</f>
        <v>7.0057800879999999</v>
      </c>
      <c r="Q405" s="6">
        <f>[1]Emissions!P864</f>
        <v>6.6381585830000001</v>
      </c>
      <c r="R405" s="6">
        <f>[1]Emissions!Q864</f>
        <v>6.3061162079999997</v>
      </c>
      <c r="S405" s="6">
        <f>[1]Emissions!R864</f>
        <v>5.9872275549999996</v>
      </c>
      <c r="T405" s="6">
        <f>[1]Emissions!S864</f>
        <v>5.6831646349999998</v>
      </c>
      <c r="U405" s="6">
        <f>[1]Emissions!T864</f>
        <v>5.3945114570000001</v>
      </c>
      <c r="V405" s="6">
        <f>[1]Emissions!U864</f>
        <v>5.1209558480000004</v>
      </c>
      <c r="W405" s="6">
        <f>[1]Emissions!V864</f>
        <v>4.8579862269999996</v>
      </c>
      <c r="X405" s="6">
        <f>[1]Emissions!W864</f>
        <v>4.6113332299999996</v>
      </c>
      <c r="Y405" s="6">
        <f>[1]Emissions!X864</f>
        <v>4.3765381049999998</v>
      </c>
      <c r="Z405" s="6">
        <f>[1]Emissions!Y864</f>
        <v>4.1513528380000002</v>
      </c>
      <c r="AA405" s="6">
        <f>[1]Emissions!Z864</f>
        <v>3.9336523859999999</v>
      </c>
      <c r="AB405" s="6">
        <f>[1]Emissions!AA864</f>
        <v>3.7137608989999999</v>
      </c>
      <c r="AC405" s="6">
        <f>[1]Emissions!AB864</f>
        <v>3.5006347330000001</v>
      </c>
      <c r="AD405" s="6">
        <f>[1]Emissions!AC864</f>
        <v>3.2891072590000001</v>
      </c>
      <c r="AE405" s="6">
        <f>[1]Emissions!AD864</f>
        <v>3.0757599299999998</v>
      </c>
      <c r="AF405" s="6">
        <f>[1]Emissions!AE864</f>
        <v>2.8568864779999998</v>
      </c>
      <c r="AG405" s="6">
        <f>[1]Emissions!AF864</f>
        <v>2.6283459219999998</v>
      </c>
      <c r="AH405" s="6">
        <f>[1]Emissions!AG864</f>
        <v>2.3855492069999999</v>
      </c>
      <c r="AI405" s="6">
        <f>[1]Emissions!AH864</f>
        <v>2.1231166520000002</v>
      </c>
      <c r="AJ405" s="6">
        <f>[1]Emissions!AI864</f>
        <v>1.8342852329999999</v>
      </c>
      <c r="AK405" s="6">
        <f>[1]Emissions!AJ864</f>
        <v>1.5101599859999999</v>
      </c>
      <c r="AL405" s="6">
        <f>[1]Emissions!AK864</f>
        <v>1.1380035690000001</v>
      </c>
    </row>
    <row r="406" spans="2:38" x14ac:dyDescent="0.35">
      <c r="B406" s="6" t="str">
        <f>[1]Emissions!A866</f>
        <v>ems_ci_co2_smin_2</v>
      </c>
      <c r="C406" s="6">
        <f>[1]Emissions!B866</f>
        <v>1.049167145</v>
      </c>
      <c r="D406" s="6">
        <f>[1]Emissions!C866</f>
        <v>1.0656250350000001</v>
      </c>
      <c r="E406" s="6">
        <f>[1]Emissions!D866</f>
        <v>1.084675469</v>
      </c>
      <c r="F406" s="6">
        <f>[1]Emissions!E866</f>
        <v>1.1049197180000001</v>
      </c>
      <c r="G406" s="6">
        <f>[1]Emissions!F866</f>
        <v>1.127433318</v>
      </c>
      <c r="H406" s="6">
        <f>[1]Emissions!G866</f>
        <v>1.152124639</v>
      </c>
      <c r="I406" s="6">
        <f>[1]Emissions!H866</f>
        <v>1.1777657530000001</v>
      </c>
      <c r="J406" s="6">
        <f>[1]Emissions!I866</f>
        <v>1.1513757</v>
      </c>
      <c r="K406" s="6">
        <f>[1]Emissions!J866</f>
        <v>1.1209331309999999</v>
      </c>
      <c r="L406" s="6">
        <f>[1]Emissions!K866</f>
        <v>1.093156019</v>
      </c>
      <c r="M406" s="6">
        <f>[1]Emissions!L866</f>
        <v>1.064892366</v>
      </c>
      <c r="N406" s="6">
        <f>[1]Emissions!M866</f>
        <v>1.033293901</v>
      </c>
      <c r="O406" s="6">
        <f>[1]Emissions!N866</f>
        <v>0.99837965839999998</v>
      </c>
      <c r="P406" s="6">
        <f>[1]Emissions!O866</f>
        <v>0.96114625840000001</v>
      </c>
      <c r="Q406" s="6">
        <f>[1]Emissions!P866</f>
        <v>0.92281940780000005</v>
      </c>
      <c r="R406" s="6">
        <f>[1]Emissions!Q866</f>
        <v>0.88420455819999999</v>
      </c>
      <c r="S406" s="6">
        <f>[1]Emissions!R866</f>
        <v>0.84707820990000005</v>
      </c>
      <c r="T406" s="6">
        <f>[1]Emissions!S866</f>
        <v>0.81060464600000004</v>
      </c>
      <c r="U406" s="6">
        <f>[1]Emissions!T866</f>
        <v>0.77495893110000003</v>
      </c>
      <c r="V406" s="6">
        <f>[1]Emissions!U866</f>
        <v>0.74018354149999999</v>
      </c>
      <c r="W406" s="6">
        <f>[1]Emissions!V866</f>
        <v>0.70609908259999998</v>
      </c>
      <c r="X406" s="6">
        <f>[1]Emissions!W866</f>
        <v>0.67273680729999996</v>
      </c>
      <c r="Y406" s="6">
        <f>[1]Emissions!X866</f>
        <v>0.6399485426</v>
      </c>
      <c r="Z406" s="6">
        <f>[1]Emissions!Y866</f>
        <v>0.6074475157</v>
      </c>
      <c r="AA406" s="6">
        <f>[1]Emissions!Z866</f>
        <v>0.57485619980000002</v>
      </c>
      <c r="AB406" s="6">
        <f>[1]Emissions!AA866</f>
        <v>0.54155423329999997</v>
      </c>
      <c r="AC406" s="6">
        <f>[1]Emissions!AB866</f>
        <v>0.50721396569999999</v>
      </c>
      <c r="AD406" s="6">
        <f>[1]Emissions!AC866</f>
        <v>0.47190764149999997</v>
      </c>
      <c r="AE406" s="6">
        <f>[1]Emissions!AD866</f>
        <v>0.4352816733</v>
      </c>
      <c r="AF406" s="6">
        <f>[1]Emissions!AE866</f>
        <v>0.39683377739999998</v>
      </c>
      <c r="AG406" s="6">
        <f>[1]Emissions!AF866</f>
        <v>0.35607185470000002</v>
      </c>
      <c r="AH406" s="6">
        <f>[1]Emissions!AG866</f>
        <v>0.3126174666</v>
      </c>
      <c r="AI406" s="6">
        <f>[1]Emissions!AH866</f>
        <v>0.26617918820000003</v>
      </c>
      <c r="AJ406" s="6">
        <f>[1]Emissions!AI866</f>
        <v>0.21649175109999999</v>
      </c>
      <c r="AK406" s="6">
        <f>[1]Emissions!AJ866</f>
        <v>0.1633225109</v>
      </c>
      <c r="AL406" s="6">
        <f>[1]Emissions!AK866</f>
        <v>0.1064690033</v>
      </c>
    </row>
    <row r="407" spans="2:38" x14ac:dyDescent="0.35">
      <c r="B407" s="6" t="str">
        <f>[1]Emissions!A868</f>
        <v>ems_ci_co2_soil_2</v>
      </c>
      <c r="C407" s="6">
        <f>[1]Emissions!B868</f>
        <v>16.59683708</v>
      </c>
      <c r="D407" s="6">
        <f>[1]Emissions!C868</f>
        <v>16.745783230000001</v>
      </c>
      <c r="E407" s="6">
        <f>[1]Emissions!D868</f>
        <v>16.89737397</v>
      </c>
      <c r="F407" s="6">
        <f>[1]Emissions!E868</f>
        <v>17.059216150000001</v>
      </c>
      <c r="G407" s="6">
        <f>[1]Emissions!F868</f>
        <v>17.270021400000001</v>
      </c>
      <c r="H407" s="6">
        <f>[1]Emissions!G868</f>
        <v>17.528374530000001</v>
      </c>
      <c r="I407" s="6">
        <f>[1]Emissions!H868</f>
        <v>17.815687440000001</v>
      </c>
      <c r="J407" s="6">
        <f>[1]Emissions!I868</f>
        <v>17.635487479999998</v>
      </c>
      <c r="K407" s="6">
        <f>[1]Emissions!J868</f>
        <v>17.405562830000001</v>
      </c>
      <c r="L407" s="6">
        <f>[1]Emissions!K868</f>
        <v>17.23303589</v>
      </c>
      <c r="M407" s="6">
        <f>[1]Emissions!L868</f>
        <v>17.063328859999999</v>
      </c>
      <c r="N407" s="6">
        <f>[1]Emissions!M868</f>
        <v>16.861618920000002</v>
      </c>
      <c r="O407" s="6">
        <f>[1]Emissions!N868</f>
        <v>16.627006229999999</v>
      </c>
      <c r="P407" s="6">
        <f>[1]Emissions!O868</f>
        <v>16.368082099999999</v>
      </c>
      <c r="Q407" s="6">
        <f>[1]Emissions!P868</f>
        <v>16.09722215</v>
      </c>
      <c r="R407" s="6">
        <f>[1]Emissions!Q868</f>
        <v>15.821266100000001</v>
      </c>
      <c r="S407" s="6">
        <f>[1]Emissions!R868</f>
        <v>15.5230576</v>
      </c>
      <c r="T407" s="6">
        <f>[1]Emissions!S868</f>
        <v>15.222383669999999</v>
      </c>
      <c r="U407" s="6">
        <f>[1]Emissions!T868</f>
        <v>14.926272620000001</v>
      </c>
      <c r="V407" s="6">
        <f>[1]Emissions!U868</f>
        <v>14.637279489999999</v>
      </c>
      <c r="W407" s="6">
        <f>[1]Emissions!V868</f>
        <v>14.355181829999999</v>
      </c>
      <c r="X407" s="6">
        <f>[1]Emissions!W868</f>
        <v>14.082464610000001</v>
      </c>
      <c r="Y407" s="6">
        <f>[1]Emissions!X868</f>
        <v>13.82005457</v>
      </c>
      <c r="Z407" s="6">
        <f>[1]Emissions!Y868</f>
        <v>13.567343989999999</v>
      </c>
      <c r="AA407" s="6">
        <f>[1]Emissions!Z868</f>
        <v>13.32225388</v>
      </c>
      <c r="AB407" s="6">
        <f>[1]Emissions!AA868</f>
        <v>13.079217979999999</v>
      </c>
      <c r="AC407" s="6">
        <f>[1]Emissions!AB868</f>
        <v>12.84564531</v>
      </c>
      <c r="AD407" s="6">
        <f>[1]Emissions!AC868</f>
        <v>12.61821555</v>
      </c>
      <c r="AE407" s="6">
        <f>[1]Emissions!AD868</f>
        <v>12.39489247</v>
      </c>
      <c r="AF407" s="6">
        <f>[1]Emissions!AE868</f>
        <v>12.17048677</v>
      </c>
      <c r="AG407" s="6">
        <f>[1]Emissions!AF868</f>
        <v>11.93843253</v>
      </c>
      <c r="AH407" s="6">
        <f>[1]Emissions!AG868</f>
        <v>11.69327908</v>
      </c>
      <c r="AI407" s="6">
        <f>[1]Emissions!AH868</f>
        <v>11.43086061</v>
      </c>
      <c r="AJ407" s="6">
        <f>[1]Emissions!AI868</f>
        <v>11.14712632</v>
      </c>
      <c r="AK407" s="6">
        <f>[1]Emissions!AJ868</f>
        <v>10.83796995</v>
      </c>
      <c r="AL407" s="6">
        <f>[1]Emissions!AK868</f>
        <v>10.499183479999999</v>
      </c>
    </row>
    <row r="408" spans="2:38" x14ac:dyDescent="0.35">
      <c r="B408" s="6" t="str">
        <f>[1]Emissions!A870</f>
        <v>ems_ci_co2_sbfu_2</v>
      </c>
      <c r="C408" s="6">
        <f>[1]Emissions!B870</f>
        <v>3.8672089619999999</v>
      </c>
      <c r="D408" s="6">
        <f>[1]Emissions!C870</f>
        <v>3.8854672899999998</v>
      </c>
      <c r="E408" s="6">
        <f>[1]Emissions!D870</f>
        <v>3.9007847830000002</v>
      </c>
      <c r="F408" s="6">
        <f>[1]Emissions!E870</f>
        <v>3.920265541</v>
      </c>
      <c r="G408" s="6">
        <f>[1]Emissions!F870</f>
        <v>3.9522552370000001</v>
      </c>
      <c r="H408" s="6">
        <f>[1]Emissions!G870</f>
        <v>3.9963599990000001</v>
      </c>
      <c r="I408" s="6">
        <f>[1]Emissions!H870</f>
        <v>4.0487040280000004</v>
      </c>
      <c r="J408" s="6">
        <f>[1]Emissions!I870</f>
        <v>4.7279757570000003</v>
      </c>
      <c r="K408" s="6">
        <f>[1]Emissions!J870</f>
        <v>5.4702199599999997</v>
      </c>
      <c r="L408" s="6">
        <f>[1]Emissions!K870</f>
        <v>6.1961980790000002</v>
      </c>
      <c r="M408" s="6">
        <f>[1]Emissions!L870</f>
        <v>6.8892658820000001</v>
      </c>
      <c r="N408" s="6">
        <f>[1]Emissions!M870</f>
        <v>7.5444825980000001</v>
      </c>
      <c r="O408" s="6">
        <f>[1]Emissions!N870</f>
        <v>8.1576685320000006</v>
      </c>
      <c r="P408" s="6">
        <f>[1]Emissions!O870</f>
        <v>8.7255897210000004</v>
      </c>
      <c r="Q408" s="6">
        <f>[1]Emissions!P870</f>
        <v>9.2462923809999999</v>
      </c>
      <c r="R408" s="6">
        <f>[1]Emissions!Q870</f>
        <v>9.7176182749999995</v>
      </c>
      <c r="S408" s="6">
        <f>[1]Emissions!R870</f>
        <v>10.13357109</v>
      </c>
      <c r="T408" s="6">
        <f>[1]Emissions!S870</f>
        <v>10.49392175</v>
      </c>
      <c r="U408" s="6">
        <f>[1]Emissions!T870</f>
        <v>10.79886454</v>
      </c>
      <c r="V408" s="6">
        <f>[1]Emissions!U870</f>
        <v>11.047643000000001</v>
      </c>
      <c r="W408" s="6">
        <f>[1]Emissions!V870</f>
        <v>11.23787551</v>
      </c>
      <c r="X408" s="6">
        <f>[1]Emissions!W870</f>
        <v>11.36836164</v>
      </c>
      <c r="Y408" s="6">
        <f>[1]Emissions!X870</f>
        <v>11.436709909999999</v>
      </c>
      <c r="Z408" s="6">
        <f>[1]Emissions!Y870</f>
        <v>11.439299200000001</v>
      </c>
      <c r="AA408" s="6">
        <f>[1]Emissions!Z870</f>
        <v>11.37120109</v>
      </c>
      <c r="AB408" s="6">
        <f>[1]Emissions!AA870</f>
        <v>11.224289430000001</v>
      </c>
      <c r="AC408" s="6">
        <f>[1]Emissions!AB870</f>
        <v>10.99400833</v>
      </c>
      <c r="AD408" s="6">
        <f>[1]Emissions!AC870</f>
        <v>10.67421884</v>
      </c>
      <c r="AE408" s="6">
        <f>[1]Emissions!AD870</f>
        <v>10.256346929999999</v>
      </c>
      <c r="AF408" s="6">
        <f>[1]Emissions!AE870</f>
        <v>9.7290666290000001</v>
      </c>
      <c r="AG408" s="6">
        <f>[1]Emissions!AF870</f>
        <v>9.0788867870000001</v>
      </c>
      <c r="AH408" s="6">
        <f>[1]Emissions!AG870</f>
        <v>8.2909494000000006</v>
      </c>
      <c r="AI408" s="6">
        <f>[1]Emissions!AH870</f>
        <v>7.3488314170000004</v>
      </c>
      <c r="AJ408" s="6">
        <f>[1]Emissions!AI870</f>
        <v>6.2336432100000003</v>
      </c>
      <c r="AK408" s="6">
        <f>[1]Emissions!AJ870</f>
        <v>4.9233745610000001</v>
      </c>
      <c r="AL408" s="6">
        <f>[1]Emissions!AK870</f>
        <v>3.3916721870000002</v>
      </c>
    </row>
    <row r="409" spans="2:38" x14ac:dyDescent="0.35">
      <c r="B409" s="6" t="str">
        <f>[1]Emissions!A872</f>
        <v>ems_ci_co2_seoi_2</v>
      </c>
      <c r="C409" s="6">
        <f>[1]Emissions!B872</f>
        <v>3.053084965</v>
      </c>
      <c r="D409" s="6">
        <f>[1]Emissions!C872</f>
        <v>3.0992006380000001</v>
      </c>
      <c r="E409" s="6">
        <f>[1]Emissions!D872</f>
        <v>3.1436804810000001</v>
      </c>
      <c r="F409" s="6">
        <f>[1]Emissions!E872</f>
        <v>3.1911797019999999</v>
      </c>
      <c r="G409" s="6">
        <f>[1]Emissions!F872</f>
        <v>3.2349556119999998</v>
      </c>
      <c r="H409" s="6">
        <f>[1]Emissions!G872</f>
        <v>3.2786572559999998</v>
      </c>
      <c r="I409" s="6">
        <f>[1]Emissions!H872</f>
        <v>3.3247558279999998</v>
      </c>
      <c r="J409" s="6">
        <f>[1]Emissions!I872</f>
        <v>3.259145518</v>
      </c>
      <c r="K409" s="6">
        <f>[1]Emissions!J872</f>
        <v>3.1967019990000001</v>
      </c>
      <c r="L409" s="6">
        <f>[1]Emissions!K872</f>
        <v>3.1394236019999999</v>
      </c>
      <c r="M409" s="6">
        <f>[1]Emissions!L872</f>
        <v>3.0749284280000002</v>
      </c>
      <c r="N409" s="6">
        <f>[1]Emissions!M872</f>
        <v>2.986500054</v>
      </c>
      <c r="O409" s="6">
        <f>[1]Emissions!N872</f>
        <v>2.8797909420000001</v>
      </c>
      <c r="P409" s="6">
        <f>[1]Emissions!O872</f>
        <v>2.7615785929999999</v>
      </c>
      <c r="Q409" s="6">
        <f>[1]Emissions!P872</f>
        <v>2.6373386540000001</v>
      </c>
      <c r="R409" s="6">
        <f>[1]Emissions!Q872</f>
        <v>2.5103120319999999</v>
      </c>
      <c r="S409" s="6">
        <f>[1]Emissions!R872</f>
        <v>2.3824469060000002</v>
      </c>
      <c r="T409" s="6">
        <f>[1]Emissions!S872</f>
        <v>2.2555447339999999</v>
      </c>
      <c r="U409" s="6">
        <f>[1]Emissions!T872</f>
        <v>2.1299109170000001</v>
      </c>
      <c r="V409" s="6">
        <f>[1]Emissions!U872</f>
        <v>2.0056269549999999</v>
      </c>
      <c r="W409" s="6">
        <f>[1]Emissions!V872</f>
        <v>1.882356073</v>
      </c>
      <c r="X409" s="6">
        <f>[1]Emissions!W872</f>
        <v>1.7606278420000001</v>
      </c>
      <c r="Y409" s="6">
        <f>[1]Emissions!X872</f>
        <v>1.640313425</v>
      </c>
      <c r="Z409" s="6">
        <f>[1]Emissions!Y872</f>
        <v>1.521014037</v>
      </c>
      <c r="AA409" s="6">
        <f>[1]Emissions!Z872</f>
        <v>1.4021996290000001</v>
      </c>
      <c r="AB409" s="6">
        <f>[1]Emissions!AA872</f>
        <v>1.28272455</v>
      </c>
      <c r="AC409" s="6">
        <f>[1]Emissions!AB872</f>
        <v>1.163309769</v>
      </c>
      <c r="AD409" s="6">
        <f>[1]Emissions!AC872</f>
        <v>1.043769951</v>
      </c>
      <c r="AE409" s="6">
        <f>[1]Emissions!AD872</f>
        <v>0.92388184579999999</v>
      </c>
      <c r="AF409" s="6">
        <f>[1]Emissions!AE872</f>
        <v>0.80345559990000004</v>
      </c>
      <c r="AG409" s="6">
        <f>[1]Emissions!AF872</f>
        <v>0.68264184839999997</v>
      </c>
      <c r="AH409" s="6">
        <f>[1]Emissions!AG872</f>
        <v>0.56220534239999997</v>
      </c>
      <c r="AI409" s="6">
        <f>[1]Emissions!AH872</f>
        <v>0.44361562399999999</v>
      </c>
      <c r="AJ409" s="6">
        <f>[1]Emissions!AI872</f>
        <v>0.32912894129999998</v>
      </c>
      <c r="AK409" s="6">
        <f>[1]Emissions!AJ872</f>
        <v>0.22205672900000001</v>
      </c>
      <c r="AL409" s="6">
        <f>[1]Emissions!AK872</f>
        <v>0.1271643522</v>
      </c>
    </row>
    <row r="410" spans="2:38" x14ac:dyDescent="0.35">
      <c r="B410" s="6" t="str">
        <f>[1]Emissions!A874</f>
        <v>ems_ci_co2_sega_2</v>
      </c>
      <c r="C410" s="6">
        <f>[1]Emissions!B874</f>
        <v>3.612477975</v>
      </c>
      <c r="D410" s="6">
        <f>[1]Emissions!C874</f>
        <v>3.6671961089999998</v>
      </c>
      <c r="E410" s="6">
        <f>[1]Emissions!D874</f>
        <v>3.7199880780000001</v>
      </c>
      <c r="F410" s="6">
        <f>[1]Emissions!E874</f>
        <v>3.776384754</v>
      </c>
      <c r="G410" s="6">
        <f>[1]Emissions!F874</f>
        <v>3.8283143669999999</v>
      </c>
      <c r="H410" s="6">
        <f>[1]Emissions!G874</f>
        <v>3.8801129150000002</v>
      </c>
      <c r="I410" s="6">
        <f>[1]Emissions!H874</f>
        <v>3.9347005560000001</v>
      </c>
      <c r="J410" s="6">
        <f>[1]Emissions!I874</f>
        <v>3.8439001030000002</v>
      </c>
      <c r="K410" s="6">
        <f>[1]Emissions!J874</f>
        <v>3.75583548</v>
      </c>
      <c r="L410" s="6">
        <f>[1]Emissions!K874</f>
        <v>3.6733195689999998</v>
      </c>
      <c r="M410" s="6">
        <f>[1]Emissions!L874</f>
        <v>3.5818791569999999</v>
      </c>
      <c r="N410" s="6">
        <f>[1]Emissions!M874</f>
        <v>3.4622175120000001</v>
      </c>
      <c r="O410" s="6">
        <f>[1]Emissions!N874</f>
        <v>3.3212580460000001</v>
      </c>
      <c r="P410" s="6">
        <f>[1]Emissions!O874</f>
        <v>3.1671191369999998</v>
      </c>
      <c r="Q410" s="6">
        <f>[1]Emissions!P874</f>
        <v>3.0062936109999998</v>
      </c>
      <c r="R410" s="6">
        <f>[1]Emissions!Q874</f>
        <v>2.84261498</v>
      </c>
      <c r="S410" s="6">
        <f>[1]Emissions!R874</f>
        <v>2.6783838179999999</v>
      </c>
      <c r="T410" s="6">
        <f>[1]Emissions!S874</f>
        <v>2.5156803339999998</v>
      </c>
      <c r="U410" s="6">
        <f>[1]Emissions!T874</f>
        <v>2.354874111</v>
      </c>
      <c r="V410" s="6">
        <f>[1]Emissions!U874</f>
        <v>2.1960830869999999</v>
      </c>
      <c r="W410" s="6">
        <f>[1]Emissions!V874</f>
        <v>2.0389739599999999</v>
      </c>
      <c r="X410" s="6">
        <f>[1]Emissions!W874</f>
        <v>1.884164218</v>
      </c>
      <c r="Y410" s="6">
        <f>[1]Emissions!X874</f>
        <v>1.7315561580000001</v>
      </c>
      <c r="Z410" s="6">
        <f>[1]Emissions!Y874</f>
        <v>1.5807881770000001</v>
      </c>
      <c r="AA410" s="6">
        <f>[1]Emissions!Z874</f>
        <v>1.431406771</v>
      </c>
      <c r="AB410" s="6">
        <f>[1]Emissions!AA874</f>
        <v>1.282411113</v>
      </c>
      <c r="AC410" s="6">
        <f>[1]Emissions!AB874</f>
        <v>1.1347751610000001</v>
      </c>
      <c r="AD410" s="6">
        <f>[1]Emissions!AC874</f>
        <v>0.98862137220000001</v>
      </c>
      <c r="AE410" s="6">
        <f>[1]Emissions!AD874</f>
        <v>0.84417016300000003</v>
      </c>
      <c r="AF410" s="6">
        <f>[1]Emissions!AE874</f>
        <v>0.70187749970000002</v>
      </c>
      <c r="AG410" s="6">
        <f>[1]Emissions!AF874</f>
        <v>0.56279805360000001</v>
      </c>
      <c r="AH410" s="6">
        <f>[1]Emissions!AG874</f>
        <v>0.4288958491</v>
      </c>
      <c r="AI410" s="6">
        <f>[1]Emissions!AH874</f>
        <v>0.30319474120000001</v>
      </c>
      <c r="AJ410" s="6">
        <f>[1]Emissions!AI874</f>
        <v>0.18996822920000001</v>
      </c>
      <c r="AK410" s="6">
        <f>[1]Emissions!AJ874</f>
        <v>9.5139385000000007E-2</v>
      </c>
      <c r="AL410" s="6">
        <f>[1]Emissions!AK874</f>
        <v>2.6817557299999999E-2</v>
      </c>
    </row>
    <row r="411" spans="2:38" x14ac:dyDescent="0.35">
      <c r="B411" s="6" t="str">
        <f>[1]Emissions!A876</f>
        <v>ems_ci_co2_seco_2</v>
      </c>
      <c r="C411" s="6">
        <f>[1]Emissions!B876</f>
        <v>7.4463073499999997</v>
      </c>
      <c r="D411" s="6">
        <f>[1]Emissions!C876</f>
        <v>7.5590964239999998</v>
      </c>
      <c r="E411" s="6">
        <f>[1]Emissions!D876</f>
        <v>7.6679151430000001</v>
      </c>
      <c r="F411" s="6">
        <f>[1]Emissions!E876</f>
        <v>7.7841641519999998</v>
      </c>
      <c r="G411" s="6">
        <f>[1]Emissions!F876</f>
        <v>7.8912053200000001</v>
      </c>
      <c r="H411" s="6">
        <f>[1]Emissions!G876</f>
        <v>7.9979763269999999</v>
      </c>
      <c r="I411" s="6">
        <f>[1]Emissions!H876</f>
        <v>8.1104964180000003</v>
      </c>
      <c r="J411" s="6">
        <f>[1]Emissions!I876</f>
        <v>8.1928642279999995</v>
      </c>
      <c r="K411" s="6">
        <f>[1]Emissions!J876</f>
        <v>8.2871383430000005</v>
      </c>
      <c r="L411" s="6">
        <f>[1]Emissions!K876</f>
        <v>8.4009902230000009</v>
      </c>
      <c r="M411" s="6">
        <f>[1]Emissions!L876</f>
        <v>8.5022847059999993</v>
      </c>
      <c r="N411" s="6">
        <f>[1]Emissions!M876</f>
        <v>8.5419301559999994</v>
      </c>
      <c r="O411" s="6">
        <f>[1]Emissions!N876</f>
        <v>8.5301264379999999</v>
      </c>
      <c r="P411" s="6">
        <f>[1]Emissions!O876</f>
        <v>8.4820178599999991</v>
      </c>
      <c r="Q411" s="6">
        <f>[1]Emissions!P876</f>
        <v>8.4109061749999992</v>
      </c>
      <c r="R411" s="6">
        <f>[1]Emissions!Q876</f>
        <v>8.3247925249999994</v>
      </c>
      <c r="S411" s="6">
        <f>[1]Emissions!R876</f>
        <v>8.2285381280000003</v>
      </c>
      <c r="T411" s="6">
        <f>[1]Emissions!S876</f>
        <v>8.1272951239999998</v>
      </c>
      <c r="U411" s="6">
        <f>[1]Emissions!T876</f>
        <v>8.0215094039999997</v>
      </c>
      <c r="V411" s="6">
        <f>[1]Emissions!U876</f>
        <v>7.9108230539999997</v>
      </c>
      <c r="W411" s="6">
        <f>[1]Emissions!V876</f>
        <v>7.7930662980000003</v>
      </c>
      <c r="X411" s="6">
        <f>[1]Emissions!W876</f>
        <v>7.6693757280000003</v>
      </c>
      <c r="Y411" s="6">
        <f>[1]Emissions!X876</f>
        <v>7.5380908299999998</v>
      </c>
      <c r="Z411" s="6">
        <f>[1]Emissions!Y876</f>
        <v>7.3958208340000002</v>
      </c>
      <c r="AA411" s="6">
        <f>[1]Emissions!Z876</f>
        <v>7.2376161520000002</v>
      </c>
      <c r="AB411" s="6">
        <f>[1]Emissions!AA876</f>
        <v>7.0537790989999998</v>
      </c>
      <c r="AC411" s="6">
        <f>[1]Emissions!AB876</f>
        <v>6.8427865969999999</v>
      </c>
      <c r="AD411" s="6">
        <f>[1]Emissions!AC876</f>
        <v>6.596787355</v>
      </c>
      <c r="AE411" s="6">
        <f>[1]Emissions!AD876</f>
        <v>6.3049201100000003</v>
      </c>
      <c r="AF411" s="6">
        <f>[1]Emissions!AE876</f>
        <v>5.9524435579999997</v>
      </c>
      <c r="AG411" s="6">
        <f>[1]Emissions!AF876</f>
        <v>5.5212611770000004</v>
      </c>
      <c r="AH411" s="6">
        <f>[1]Emissions!AG876</f>
        <v>4.990421413</v>
      </c>
      <c r="AI411" s="6">
        <f>[1]Emissions!AH876</f>
        <v>4.3350177140000001</v>
      </c>
      <c r="AJ411" s="6">
        <f>[1]Emissions!AI876</f>
        <v>3.523877336</v>
      </c>
      <c r="AK411" s="6">
        <f>[1]Emissions!AJ876</f>
        <v>2.5169640860000002</v>
      </c>
      <c r="AL411" s="6">
        <f>[1]Emissions!AK876</f>
        <v>1.2586058630000001</v>
      </c>
    </row>
    <row r="412" spans="2:38" x14ac:dyDescent="0.35">
      <c r="B412" s="6" t="str">
        <f>[1]Emissions!A878</f>
        <v>ems_ci_co2_sech_2</v>
      </c>
      <c r="C412" s="6">
        <f>[1]Emissions!B878</f>
        <v>9.6588429320000007</v>
      </c>
      <c r="D412" s="6">
        <f>[1]Emissions!C878</f>
        <v>9.7803146810000001</v>
      </c>
      <c r="E412" s="6">
        <f>[1]Emissions!D878</f>
        <v>9.8976927799999999</v>
      </c>
      <c r="F412" s="6">
        <f>[1]Emissions!E878</f>
        <v>10.015043179999999</v>
      </c>
      <c r="G412" s="6">
        <f>[1]Emissions!F878</f>
        <v>10.12265369</v>
      </c>
      <c r="H412" s="6">
        <f>[1]Emissions!G878</f>
        <v>10.232966340000001</v>
      </c>
      <c r="I412" s="6">
        <f>[1]Emissions!H878</f>
        <v>10.34060594</v>
      </c>
      <c r="J412" s="6">
        <f>[1]Emissions!I878</f>
        <v>10.362241579999999</v>
      </c>
      <c r="K412" s="6">
        <f>[1]Emissions!J878</f>
        <v>10.38284488</v>
      </c>
      <c r="L412" s="6">
        <f>[1]Emissions!K878</f>
        <v>10.41403223</v>
      </c>
      <c r="M412" s="6">
        <f>[1]Emissions!L878</f>
        <v>10.45003556</v>
      </c>
      <c r="N412" s="6">
        <f>[1]Emissions!M878</f>
        <v>10.45280532</v>
      </c>
      <c r="O412" s="6">
        <f>[1]Emissions!N878</f>
        <v>10.43672785</v>
      </c>
      <c r="P412" s="6">
        <f>[1]Emissions!O878</f>
        <v>10.41232909</v>
      </c>
      <c r="Q412" s="6">
        <f>[1]Emissions!P878</f>
        <v>10.38670834</v>
      </c>
      <c r="R412" s="6">
        <f>[1]Emissions!Q878</f>
        <v>10.363567789999999</v>
      </c>
      <c r="S412" s="6">
        <f>[1]Emissions!R878</f>
        <v>10.347908500000001</v>
      </c>
      <c r="T412" s="6">
        <f>[1]Emissions!S878</f>
        <v>10.34163013</v>
      </c>
      <c r="U412" s="6">
        <f>[1]Emissions!T878</f>
        <v>10.34545979</v>
      </c>
      <c r="V412" s="6">
        <f>[1]Emissions!U878</f>
        <v>10.36102655</v>
      </c>
      <c r="W412" s="6">
        <f>[1]Emissions!V878</f>
        <v>10.38613632</v>
      </c>
      <c r="X412" s="6">
        <f>[1]Emissions!W878</f>
        <v>10.429941579999999</v>
      </c>
      <c r="Y412" s="6">
        <f>[1]Emissions!X878</f>
        <v>10.49450614</v>
      </c>
      <c r="Z412" s="6">
        <f>[1]Emissions!Y878</f>
        <v>10.58112502</v>
      </c>
      <c r="AA412" s="6">
        <f>[1]Emissions!Z878</f>
        <v>10.69074949</v>
      </c>
      <c r="AB412" s="6">
        <f>[1]Emissions!AA878</f>
        <v>10.81317561</v>
      </c>
      <c r="AC412" s="6">
        <f>[1]Emissions!AB878</f>
        <v>10.963607769999999</v>
      </c>
      <c r="AD412" s="6">
        <f>[1]Emissions!AC878</f>
        <v>11.14542797</v>
      </c>
      <c r="AE412" s="6">
        <f>[1]Emissions!AD878</f>
        <v>11.360538650000001</v>
      </c>
      <c r="AF412" s="6">
        <f>[1]Emissions!AE878</f>
        <v>11.60908779</v>
      </c>
      <c r="AG412" s="6">
        <f>[1]Emissions!AF878</f>
        <v>11.890501540000001</v>
      </c>
      <c r="AH412" s="6">
        <f>[1]Emissions!AG878</f>
        <v>12.20525393</v>
      </c>
      <c r="AI412" s="6">
        <f>[1]Emissions!AH878</f>
        <v>12.555170240000001</v>
      </c>
      <c r="AJ412" s="6">
        <f>[1]Emissions!AI878</f>
        <v>12.9429911</v>
      </c>
      <c r="AK412" s="6">
        <f>[1]Emissions!AJ878</f>
        <v>13.37260253</v>
      </c>
      <c r="AL412" s="6">
        <f>[1]Emissions!AK878</f>
        <v>13.8495379</v>
      </c>
    </row>
    <row r="413" spans="2:38" x14ac:dyDescent="0.35">
      <c r="B413" s="6" t="str">
        <f>[1]Emissions!A880</f>
        <v>ems_ci_co2_seot_2</v>
      </c>
      <c r="C413" s="6">
        <f>[1]Emissions!B880</f>
        <v>1.3202878659999999</v>
      </c>
      <c r="D413" s="6">
        <f>[1]Emissions!C880</f>
        <v>1.3351386240000001</v>
      </c>
      <c r="E413" s="6">
        <f>[1]Emissions!D880</f>
        <v>1.3486024400000001</v>
      </c>
      <c r="F413" s="6">
        <f>[1]Emissions!E880</f>
        <v>1.3616346349999999</v>
      </c>
      <c r="G413" s="6">
        <f>[1]Emissions!F880</f>
        <v>1.3755138309999999</v>
      </c>
      <c r="H413" s="6">
        <f>[1]Emissions!G880</f>
        <v>1.391085613</v>
      </c>
      <c r="I413" s="6">
        <f>[1]Emissions!H880</f>
        <v>1.408134035</v>
      </c>
      <c r="J413" s="6">
        <f>[1]Emissions!I880</f>
        <v>1.4180370200000001</v>
      </c>
      <c r="K413" s="6">
        <f>[1]Emissions!J880</f>
        <v>1.4297554269999999</v>
      </c>
      <c r="L413" s="6">
        <f>[1]Emissions!K880</f>
        <v>1.4453421740000001</v>
      </c>
      <c r="M413" s="6">
        <f>[1]Emissions!L880</f>
        <v>1.4602233570000001</v>
      </c>
      <c r="N413" s="6">
        <f>[1]Emissions!M880</f>
        <v>1.469419311</v>
      </c>
      <c r="O413" s="6">
        <f>[1]Emissions!N880</f>
        <v>1.4737066809999999</v>
      </c>
      <c r="P413" s="6">
        <f>[1]Emissions!O880</f>
        <v>1.4749607950000001</v>
      </c>
      <c r="Q413" s="6">
        <f>[1]Emissions!P880</f>
        <v>1.4750074900000001</v>
      </c>
      <c r="R413" s="6">
        <f>[1]Emissions!Q880</f>
        <v>1.4749743280000001</v>
      </c>
      <c r="S413" s="6">
        <f>[1]Emissions!R880</f>
        <v>1.4744250059999999</v>
      </c>
      <c r="T413" s="6">
        <f>[1]Emissions!S880</f>
        <v>1.474912515</v>
      </c>
      <c r="U413" s="6">
        <f>[1]Emissions!T880</f>
        <v>1.4769911410000001</v>
      </c>
      <c r="V413" s="6">
        <f>[1]Emissions!U880</f>
        <v>1.481015411</v>
      </c>
      <c r="W413" s="6">
        <f>[1]Emissions!V880</f>
        <v>1.487020896</v>
      </c>
      <c r="X413" s="6">
        <f>[1]Emissions!W880</f>
        <v>1.4957399929999999</v>
      </c>
      <c r="Y413" s="6">
        <f>[1]Emissions!X880</f>
        <v>1.507504677</v>
      </c>
      <c r="Z413" s="6">
        <f>[1]Emissions!Y880</f>
        <v>1.5224545199999999</v>
      </c>
      <c r="AA413" s="6">
        <f>[1]Emissions!Z880</f>
        <v>1.540583179</v>
      </c>
      <c r="AB413" s="6">
        <f>[1]Emissions!AA880</f>
        <v>1.5610499520000001</v>
      </c>
      <c r="AC413" s="6">
        <f>[1]Emissions!AB880</f>
        <v>1.5850267769999999</v>
      </c>
      <c r="AD413" s="6">
        <f>[1]Emissions!AC880</f>
        <v>1.612729568</v>
      </c>
      <c r="AE413" s="6">
        <f>[1]Emissions!AD880</f>
        <v>1.644140972</v>
      </c>
      <c r="AF413" s="6">
        <f>[1]Emissions!AE880</f>
        <v>1.678844464</v>
      </c>
      <c r="AG413" s="6">
        <f>[1]Emissions!AF880</f>
        <v>1.71620302</v>
      </c>
      <c r="AH413" s="6">
        <f>[1]Emissions!AG880</f>
        <v>1.755672549</v>
      </c>
      <c r="AI413" s="6">
        <f>[1]Emissions!AH880</f>
        <v>1.7968496709999999</v>
      </c>
      <c r="AJ413" s="6">
        <f>[1]Emissions!AI880</f>
        <v>1.8392764070000001</v>
      </c>
      <c r="AK413" s="6">
        <f>[1]Emissions!AJ880</f>
        <v>1.882436145</v>
      </c>
      <c r="AL413" s="6">
        <f>[1]Emissions!AK880</f>
        <v>1.9257612989999999</v>
      </c>
    </row>
    <row r="414" spans="2:38" x14ac:dyDescent="0.35">
      <c r="B414" s="6" t="str">
        <f>[1]Emissions!A882</f>
        <v>ems_y_co2_sagr_2</v>
      </c>
      <c r="C414" s="6">
        <f>[1]Emissions!B882</f>
        <v>2.7534944400000001E-2</v>
      </c>
      <c r="D414" s="6">
        <f>[1]Emissions!C882</f>
        <v>2.8000835200000001E-2</v>
      </c>
      <c r="E414" s="6">
        <f>[1]Emissions!D882</f>
        <v>2.8553549800000001E-2</v>
      </c>
      <c r="F414" s="6">
        <f>[1]Emissions!E882</f>
        <v>2.9188641099999999E-2</v>
      </c>
      <c r="G414" s="6">
        <f>[1]Emissions!F882</f>
        <v>2.9889935900000001E-2</v>
      </c>
      <c r="H414" s="6">
        <f>[1]Emissions!G882</f>
        <v>3.0651199899999999E-2</v>
      </c>
      <c r="I414" s="6">
        <f>[1]Emissions!H882</f>
        <v>3.14451704E-2</v>
      </c>
      <c r="J414" s="6">
        <f>[1]Emissions!I882</f>
        <v>3.21366311E-2</v>
      </c>
      <c r="K414" s="6">
        <f>[1]Emissions!J882</f>
        <v>3.2810415799999999E-2</v>
      </c>
      <c r="L414" s="6">
        <f>[1]Emissions!K882</f>
        <v>3.3627216600000003E-2</v>
      </c>
      <c r="M414" s="6">
        <f>[1]Emissions!L882</f>
        <v>3.4445354800000001E-2</v>
      </c>
      <c r="N414" s="6">
        <f>[1]Emissions!M882</f>
        <v>3.5138975000000003E-2</v>
      </c>
      <c r="O414" s="6">
        <f>[1]Emissions!N882</f>
        <v>3.5730968600000003E-2</v>
      </c>
      <c r="P414" s="6">
        <f>[1]Emissions!O882</f>
        <v>3.6247849899999997E-2</v>
      </c>
      <c r="Q414" s="6">
        <f>[1]Emissions!P882</f>
        <v>3.6721780900000001E-2</v>
      </c>
      <c r="R414" s="6">
        <f>[1]Emissions!Q882</f>
        <v>3.71737366E-2</v>
      </c>
      <c r="S414" s="6">
        <f>[1]Emissions!R882</f>
        <v>3.7630187599999997E-2</v>
      </c>
      <c r="T414" s="6">
        <f>[1]Emissions!S882</f>
        <v>3.8103181799999997E-2</v>
      </c>
      <c r="U414" s="6">
        <f>[1]Emissions!T882</f>
        <v>3.8608974499999997E-2</v>
      </c>
      <c r="V414" s="6">
        <f>[1]Emissions!U882</f>
        <v>3.9159592700000002E-2</v>
      </c>
      <c r="W414" s="6">
        <f>[1]Emissions!V882</f>
        <v>3.9757050299999999E-2</v>
      </c>
      <c r="X414" s="6">
        <f>[1]Emissions!W882</f>
        <v>4.0421590200000003E-2</v>
      </c>
      <c r="Y414" s="6">
        <f>[1]Emissions!X882</f>
        <v>4.1163823699999998E-2</v>
      </c>
      <c r="Z414" s="6">
        <f>[1]Emissions!Y882</f>
        <v>4.1991037699999997E-2</v>
      </c>
      <c r="AA414" s="6">
        <f>[1]Emissions!Z882</f>
        <v>4.2905605100000001E-2</v>
      </c>
      <c r="AB414" s="6">
        <f>[1]Emissions!AA882</f>
        <v>4.3883629200000003E-2</v>
      </c>
      <c r="AC414" s="6">
        <f>[1]Emissions!AB882</f>
        <v>4.4940157100000003E-2</v>
      </c>
      <c r="AD414" s="6">
        <f>[1]Emissions!AC882</f>
        <v>4.6092150800000002E-2</v>
      </c>
      <c r="AE414" s="6">
        <f>[1]Emissions!AD882</f>
        <v>4.73454398E-2</v>
      </c>
      <c r="AF414" s="6">
        <f>[1]Emissions!AE882</f>
        <v>4.8694856600000003E-2</v>
      </c>
      <c r="AG414" s="6">
        <f>[1]Emissions!AF882</f>
        <v>5.0128799799999998E-2</v>
      </c>
      <c r="AH414" s="6">
        <f>[1]Emissions!AG882</f>
        <v>5.1635752299999997E-2</v>
      </c>
      <c r="AI414" s="6">
        <f>[1]Emissions!AH882</f>
        <v>5.3205833100000002E-2</v>
      </c>
      <c r="AJ414" s="6">
        <f>[1]Emissions!AI882</f>
        <v>5.4829388799999997E-2</v>
      </c>
      <c r="AK414" s="6">
        <f>[1]Emissions!AJ882</f>
        <v>5.6496634900000002E-2</v>
      </c>
      <c r="AL414" s="6">
        <f>[1]Emissions!AK882</f>
        <v>5.8197339899999999E-2</v>
      </c>
    </row>
    <row r="415" spans="2:38" x14ac:dyDescent="0.35">
      <c r="B415" s="6" t="str">
        <f>[1]Emissions!A883</f>
        <v>ems_mat_co2_spub_2</v>
      </c>
      <c r="C415" s="6">
        <f>[1]Emissions!B883</f>
        <v>4.2805170859999997</v>
      </c>
      <c r="D415" s="6">
        <f>[1]Emissions!C883</f>
        <v>4.343115343</v>
      </c>
      <c r="E415" s="6">
        <f>[1]Emissions!D883</f>
        <v>4.4131764369999997</v>
      </c>
      <c r="F415" s="6">
        <f>[1]Emissions!E883</f>
        <v>4.4872911889999996</v>
      </c>
      <c r="G415" s="6">
        <f>[1]Emissions!F883</f>
        <v>4.5645939320000002</v>
      </c>
      <c r="H415" s="6">
        <f>[1]Emissions!G883</f>
        <v>4.6447493240000002</v>
      </c>
      <c r="I415" s="6">
        <f>[1]Emissions!H883</f>
        <v>4.7239449709999999</v>
      </c>
      <c r="J415" s="6">
        <f>[1]Emissions!I883</f>
        <v>4.8035127910000002</v>
      </c>
      <c r="K415" s="6">
        <f>[1]Emissions!J883</f>
        <v>4.884239666</v>
      </c>
      <c r="L415" s="6">
        <f>[1]Emissions!K883</f>
        <v>4.9698703100000001</v>
      </c>
      <c r="M415" s="6">
        <f>[1]Emissions!L883</f>
        <v>5.06397735</v>
      </c>
      <c r="N415" s="6">
        <f>[1]Emissions!M883</f>
        <v>5.1521414759999997</v>
      </c>
      <c r="O415" s="6">
        <f>[1]Emissions!N883</f>
        <v>5.2382713059999997</v>
      </c>
      <c r="P415" s="6">
        <f>[1]Emissions!O883</f>
        <v>5.3231724089999997</v>
      </c>
      <c r="Q415" s="6">
        <f>[1]Emissions!P883</f>
        <v>5.407618448</v>
      </c>
      <c r="R415" s="6">
        <f>[1]Emissions!Q883</f>
        <v>5.4923168750000002</v>
      </c>
      <c r="S415" s="6">
        <f>[1]Emissions!R883</f>
        <v>5.5781223730000002</v>
      </c>
      <c r="T415" s="6">
        <f>[1]Emissions!S883</f>
        <v>5.665756332</v>
      </c>
      <c r="U415" s="6">
        <f>[1]Emissions!T883</f>
        <v>5.755872643</v>
      </c>
      <c r="V415" s="6">
        <f>[1]Emissions!U883</f>
        <v>5.848997786</v>
      </c>
      <c r="W415" s="6">
        <f>[1]Emissions!V883</f>
        <v>5.9410676870000003</v>
      </c>
      <c r="X415" s="6">
        <f>[1]Emissions!W883</f>
        <v>6.040732159</v>
      </c>
      <c r="Y415" s="6">
        <f>[1]Emissions!X883</f>
        <v>6.145187795</v>
      </c>
      <c r="Z415" s="6">
        <f>[1]Emissions!Y883</f>
        <v>6.2543907729999999</v>
      </c>
      <c r="AA415" s="6">
        <f>[1]Emissions!Z883</f>
        <v>6.3685169510000001</v>
      </c>
      <c r="AB415" s="6">
        <f>[1]Emissions!AA883</f>
        <v>6.474495858</v>
      </c>
      <c r="AC415" s="6">
        <f>[1]Emissions!AB883</f>
        <v>6.5903019570000003</v>
      </c>
      <c r="AD415" s="6">
        <f>[1]Emissions!AC883</f>
        <v>6.711862698</v>
      </c>
      <c r="AE415" s="6">
        <f>[1]Emissions!AD883</f>
        <v>6.8389391220000002</v>
      </c>
      <c r="AF415" s="6">
        <f>[1]Emissions!AE883</f>
        <v>6.9715346809999996</v>
      </c>
      <c r="AG415" s="6">
        <f>[1]Emissions!AF883</f>
        <v>7.1094981690000001</v>
      </c>
      <c r="AH415" s="6">
        <f>[1]Emissions!AG883</f>
        <v>7.2526064510000001</v>
      </c>
      <c r="AI415" s="6">
        <f>[1]Emissions!AH883</f>
        <v>7.400645752</v>
      </c>
      <c r="AJ415" s="6">
        <f>[1]Emissions!AI883</f>
        <v>7.5534405820000003</v>
      </c>
      <c r="AK415" s="6">
        <f>[1]Emissions!AJ883</f>
        <v>7.7108449060000002</v>
      </c>
      <c r="AL415" s="6">
        <f>[1]Emissions!AK883</f>
        <v>7.8727241100000001</v>
      </c>
    </row>
    <row r="416" spans="2:38" x14ac:dyDescent="0.35">
      <c r="B416" s="6" t="str">
        <f>[1]Emissions!A884</f>
        <v>ems_mat_co2_sgla_2</v>
      </c>
      <c r="C416" s="6">
        <f>[1]Emissions!B884</f>
        <v>10.94636216</v>
      </c>
      <c r="D416" s="6">
        <f>[1]Emissions!C884</f>
        <v>11.140652149999999</v>
      </c>
      <c r="E416" s="6">
        <f>[1]Emissions!D884</f>
        <v>11.367191330000001</v>
      </c>
      <c r="F416" s="6">
        <f>[1]Emissions!E884</f>
        <v>11.613544210000001</v>
      </c>
      <c r="G416" s="6">
        <f>[1]Emissions!F884</f>
        <v>11.88154928</v>
      </c>
      <c r="H416" s="6">
        <f>[1]Emissions!G884</f>
        <v>12.171932740000001</v>
      </c>
      <c r="I416" s="6">
        <f>[1]Emissions!H884</f>
        <v>12.47731265</v>
      </c>
      <c r="J416" s="6">
        <f>[1]Emissions!I884</f>
        <v>12.71861569</v>
      </c>
      <c r="K416" s="6">
        <f>[1]Emissions!J884</f>
        <v>12.93434529</v>
      </c>
      <c r="L416" s="6">
        <f>[1]Emissions!K884</f>
        <v>13.18366966</v>
      </c>
      <c r="M416" s="6">
        <f>[1]Emissions!L884</f>
        <v>13.436001279999999</v>
      </c>
      <c r="N416" s="6">
        <f>[1]Emissions!M884</f>
        <v>13.66213934</v>
      </c>
      <c r="O416" s="6">
        <f>[1]Emissions!N884</f>
        <v>13.86620767</v>
      </c>
      <c r="P416" s="6">
        <f>[1]Emissions!O884</f>
        <v>14.058005509999999</v>
      </c>
      <c r="Q416" s="6">
        <f>[1]Emissions!P884</f>
        <v>14.249294949999999</v>
      </c>
      <c r="R416" s="6">
        <f>[1]Emissions!Q884</f>
        <v>14.44791223</v>
      </c>
      <c r="S416" s="6">
        <f>[1]Emissions!R884</f>
        <v>14.65865348</v>
      </c>
      <c r="T416" s="6">
        <f>[1]Emissions!S884</f>
        <v>14.88294849</v>
      </c>
      <c r="U416" s="6">
        <f>[1]Emissions!T884</f>
        <v>15.12632625</v>
      </c>
      <c r="V416" s="6">
        <f>[1]Emissions!U884</f>
        <v>15.39355774</v>
      </c>
      <c r="W416" s="6">
        <f>[1]Emissions!V884</f>
        <v>15.686175049999999</v>
      </c>
      <c r="X416" s="6">
        <f>[1]Emissions!W884</f>
        <v>16.010853919999999</v>
      </c>
      <c r="Y416" s="6">
        <f>[1]Emissions!X884</f>
        <v>16.371775670000002</v>
      </c>
      <c r="Z416" s="6">
        <f>[1]Emissions!Y884</f>
        <v>16.771481850000001</v>
      </c>
      <c r="AA416" s="6">
        <f>[1]Emissions!Z884</f>
        <v>17.210902619999999</v>
      </c>
      <c r="AB416" s="6">
        <f>[1]Emissions!AA884</f>
        <v>17.682568610000001</v>
      </c>
      <c r="AC416" s="6">
        <f>[1]Emissions!AB884</f>
        <v>18.189651739999999</v>
      </c>
      <c r="AD416" s="6">
        <f>[1]Emissions!AC884</f>
        <v>18.7391857</v>
      </c>
      <c r="AE416" s="6">
        <f>[1]Emissions!AD884</f>
        <v>19.33328483</v>
      </c>
      <c r="AF416" s="6">
        <f>[1]Emissions!AE884</f>
        <v>19.970706750000002</v>
      </c>
      <c r="AG416" s="6">
        <f>[1]Emissions!AF884</f>
        <v>20.648741699999999</v>
      </c>
      <c r="AH416" s="6">
        <f>[1]Emissions!AG884</f>
        <v>21.365747349999999</v>
      </c>
      <c r="AI416" s="6">
        <f>[1]Emissions!AH884</f>
        <v>22.121567800000001</v>
      </c>
      <c r="AJ416" s="6">
        <f>[1]Emissions!AI884</f>
        <v>22.916483299999999</v>
      </c>
      <c r="AK416" s="6">
        <f>[1]Emissions!AJ884</f>
        <v>23.751589599999999</v>
      </c>
      <c r="AL416" s="6">
        <f>[1]Emissions!AK884</f>
        <v>24.6290993</v>
      </c>
    </row>
    <row r="418" spans="1:38" x14ac:dyDescent="0.35">
      <c r="A418" s="12" t="s">
        <v>92</v>
      </c>
      <c r="B418" t="s">
        <v>7</v>
      </c>
      <c r="C418" s="6">
        <f>C388+C389+C414</f>
        <v>14.7366769706</v>
      </c>
      <c r="D418" s="6">
        <f t="shared" ref="D418:AL418" si="76">D388+D389+D414</f>
        <v>14.8629418446</v>
      </c>
      <c r="E418" s="6">
        <f t="shared" si="76"/>
        <v>15.020090952099999</v>
      </c>
      <c r="F418" s="6">
        <f t="shared" si="76"/>
        <v>15.1881964741</v>
      </c>
      <c r="G418" s="6">
        <f t="shared" si="76"/>
        <v>15.4374730775</v>
      </c>
      <c r="H418" s="6">
        <f t="shared" si="76"/>
        <v>15.756982777699999</v>
      </c>
      <c r="I418" s="6">
        <f t="shared" si="76"/>
        <v>16.108740458100002</v>
      </c>
      <c r="J418" s="6">
        <f t="shared" si="76"/>
        <v>15.618348832300001</v>
      </c>
      <c r="K418" s="6">
        <f t="shared" si="76"/>
        <v>15.0494684014</v>
      </c>
      <c r="L418" s="6">
        <f t="shared" si="76"/>
        <v>14.5180316785</v>
      </c>
      <c r="M418" s="6">
        <f t="shared" si="76"/>
        <v>13.991657016800001</v>
      </c>
      <c r="N418" s="6">
        <f t="shared" si="76"/>
        <v>13.477828622700001</v>
      </c>
      <c r="O418" s="6">
        <f t="shared" si="76"/>
        <v>12.9670701063</v>
      </c>
      <c r="P418" s="6">
        <f t="shared" si="76"/>
        <v>12.4579017754</v>
      </c>
      <c r="Q418" s="6">
        <f t="shared" si="76"/>
        <v>11.9540012331</v>
      </c>
      <c r="R418" s="6">
        <f t="shared" si="76"/>
        <v>11.4572673185</v>
      </c>
      <c r="S418" s="6">
        <f t="shared" si="76"/>
        <v>10.956440435799999</v>
      </c>
      <c r="T418" s="6">
        <f t="shared" si="76"/>
        <v>10.4605085483</v>
      </c>
      <c r="U418" s="6">
        <f t="shared" si="76"/>
        <v>9.9758745451000017</v>
      </c>
      <c r="V418" s="6">
        <f t="shared" si="76"/>
        <v>9.505457508200001</v>
      </c>
      <c r="W418" s="6">
        <f t="shared" si="76"/>
        <v>9.0484412923999997</v>
      </c>
      <c r="X418" s="6">
        <f t="shared" si="76"/>
        <v>8.606612962099998</v>
      </c>
      <c r="Y418" s="6">
        <f t="shared" si="76"/>
        <v>8.1789172881999992</v>
      </c>
      <c r="Z418" s="6">
        <f t="shared" si="76"/>
        <v>7.7626791648999998</v>
      </c>
      <c r="AA418" s="6">
        <f t="shared" si="76"/>
        <v>7.3538861524999994</v>
      </c>
      <c r="AB418" s="6">
        <f t="shared" si="76"/>
        <v>6.9444571685999996</v>
      </c>
      <c r="AC418" s="6">
        <f t="shared" si="76"/>
        <v>6.5321444585000004</v>
      </c>
      <c r="AD418" s="6">
        <f t="shared" si="76"/>
        <v>6.1140834740999992</v>
      </c>
      <c r="AE418" s="6">
        <f t="shared" si="76"/>
        <v>5.6847121603999993</v>
      </c>
      <c r="AF418" s="6">
        <f t="shared" si="76"/>
        <v>5.2363139620999997</v>
      </c>
      <c r="AG418" s="6">
        <f t="shared" si="76"/>
        <v>4.7601964976000009</v>
      </c>
      <c r="AH418" s="6">
        <f t="shared" si="76"/>
        <v>4.2476001788</v>
      </c>
      <c r="AI418" s="6">
        <f t="shared" si="76"/>
        <v>3.6895998869</v>
      </c>
      <c r="AJ418" s="6">
        <f t="shared" si="76"/>
        <v>3.0765787537999998</v>
      </c>
      <c r="AK418" s="6">
        <f t="shared" si="76"/>
        <v>2.3978166453999998</v>
      </c>
      <c r="AL418" s="6">
        <f t="shared" si="76"/>
        <v>1.6407995704999998</v>
      </c>
    </row>
    <row r="419" spans="1:38" x14ac:dyDescent="0.35">
      <c r="A419" t="s">
        <v>39</v>
      </c>
      <c r="B419" t="s">
        <v>64</v>
      </c>
      <c r="C419" s="6">
        <f>C390</f>
        <v>8.6183733870000001</v>
      </c>
      <c r="D419" s="6">
        <f t="shared" ref="D419:AL419" si="77">D390</f>
        <v>8.6008852620000003</v>
      </c>
      <c r="E419" s="6">
        <f t="shared" si="77"/>
        <v>8.5956643709999998</v>
      </c>
      <c r="F419" s="6">
        <f t="shared" si="77"/>
        <v>8.5827595859999999</v>
      </c>
      <c r="G419" s="6">
        <f t="shared" si="77"/>
        <v>8.6472023090000008</v>
      </c>
      <c r="H419" s="6">
        <f t="shared" si="77"/>
        <v>8.773688795</v>
      </c>
      <c r="I419" s="6">
        <f t="shared" si="77"/>
        <v>8.8883159549999995</v>
      </c>
      <c r="J419" s="6">
        <f t="shared" si="77"/>
        <v>8.4812686480000004</v>
      </c>
      <c r="K419" s="6">
        <f t="shared" si="77"/>
        <v>8.0340470160000006</v>
      </c>
      <c r="L419" s="6">
        <f t="shared" si="77"/>
        <v>7.6209861429999997</v>
      </c>
      <c r="M419" s="6">
        <f t="shared" si="77"/>
        <v>7.2386283039999997</v>
      </c>
      <c r="N419" s="6">
        <f t="shared" si="77"/>
        <v>6.9064780060000004</v>
      </c>
      <c r="O419" s="6">
        <f t="shared" si="77"/>
        <v>6.6059120340000002</v>
      </c>
      <c r="P419" s="6">
        <f t="shared" si="77"/>
        <v>6.3258871430000001</v>
      </c>
      <c r="Q419" s="6">
        <f t="shared" si="77"/>
        <v>6.0615120830000002</v>
      </c>
      <c r="R419" s="6">
        <f t="shared" si="77"/>
        <v>5.8100275229999996</v>
      </c>
      <c r="S419" s="6">
        <f t="shared" si="77"/>
        <v>5.5696533380000002</v>
      </c>
      <c r="T419" s="6">
        <f t="shared" si="77"/>
        <v>5.3409205389999999</v>
      </c>
      <c r="U419" s="6">
        <f t="shared" si="77"/>
        <v>5.1246112369999999</v>
      </c>
      <c r="V419" s="6">
        <f t="shared" si="77"/>
        <v>4.9211382610000003</v>
      </c>
      <c r="W419" s="6">
        <f t="shared" si="77"/>
        <v>4.7295585229999997</v>
      </c>
      <c r="X419" s="6">
        <f t="shared" si="77"/>
        <v>4.551192189</v>
      </c>
      <c r="Y419" s="6">
        <f t="shared" si="77"/>
        <v>4.3856613449999999</v>
      </c>
      <c r="Z419" s="6">
        <f t="shared" si="77"/>
        <v>4.2319286260000002</v>
      </c>
      <c r="AA419" s="6">
        <f t="shared" si="77"/>
        <v>4.0884329890000002</v>
      </c>
      <c r="AB419" s="6">
        <f t="shared" si="77"/>
        <v>3.950971563</v>
      </c>
      <c r="AC419" s="6">
        <f t="shared" si="77"/>
        <v>3.8194435580000001</v>
      </c>
      <c r="AD419" s="6">
        <f t="shared" si="77"/>
        <v>3.6931681620000001</v>
      </c>
      <c r="AE419" s="6">
        <f t="shared" si="77"/>
        <v>3.5697156830000001</v>
      </c>
      <c r="AF419" s="6">
        <f t="shared" si="77"/>
        <v>3.445433688</v>
      </c>
      <c r="AG419" s="6">
        <f t="shared" si="77"/>
        <v>3.315954487</v>
      </c>
      <c r="AH419" s="6">
        <f t="shared" si="77"/>
        <v>3.1767037359999999</v>
      </c>
      <c r="AI419" s="6">
        <f t="shared" si="77"/>
        <v>3.022824049</v>
      </c>
      <c r="AJ419" s="6">
        <f t="shared" si="77"/>
        <v>2.8487738349999998</v>
      </c>
      <c r="AK419" s="6">
        <f t="shared" si="77"/>
        <v>2.648189812</v>
      </c>
      <c r="AL419" s="6">
        <f t="shared" si="77"/>
        <v>2.413520031</v>
      </c>
    </row>
    <row r="420" spans="1:38" x14ac:dyDescent="0.35">
      <c r="B420" t="s">
        <v>65</v>
      </c>
      <c r="C420" s="6">
        <f>C392+C416</f>
        <v>18.715958522000001</v>
      </c>
      <c r="D420" s="6">
        <f t="shared" ref="D420:AL420" si="78">D392+D416</f>
        <v>18.980019107</v>
      </c>
      <c r="E420" s="6">
        <f t="shared" si="78"/>
        <v>19.288289501000001</v>
      </c>
      <c r="F420" s="6">
        <f t="shared" si="78"/>
        <v>19.610171487000002</v>
      </c>
      <c r="G420" s="6">
        <f t="shared" si="78"/>
        <v>19.994653614000001</v>
      </c>
      <c r="H420" s="6">
        <f t="shared" si="78"/>
        <v>20.438415499000001</v>
      </c>
      <c r="I420" s="6">
        <f t="shared" si="78"/>
        <v>20.904706994000001</v>
      </c>
      <c r="J420" s="6">
        <f t="shared" si="78"/>
        <v>20.983190293</v>
      </c>
      <c r="K420" s="6">
        <f t="shared" si="78"/>
        <v>20.992744316</v>
      </c>
      <c r="L420" s="6">
        <f t="shared" si="78"/>
        <v>21.055150379000001</v>
      </c>
      <c r="M420" s="6">
        <f t="shared" si="78"/>
        <v>21.130387355</v>
      </c>
      <c r="N420" s="6">
        <f t="shared" si="78"/>
        <v>21.199856742999998</v>
      </c>
      <c r="O420" s="6">
        <f t="shared" si="78"/>
        <v>21.261091672999999</v>
      </c>
      <c r="P420" s="6">
        <f t="shared" si="78"/>
        <v>21.321288875</v>
      </c>
      <c r="Q420" s="6">
        <f t="shared" si="78"/>
        <v>21.392723953000001</v>
      </c>
      <c r="R420" s="6">
        <f t="shared" si="78"/>
        <v>21.483165565</v>
      </c>
      <c r="S420" s="6">
        <f t="shared" si="78"/>
        <v>21.591346017999999</v>
      </c>
      <c r="T420" s="6">
        <f t="shared" si="78"/>
        <v>21.719508407999999</v>
      </c>
      <c r="U420" s="6">
        <f t="shared" si="78"/>
        <v>21.875858866000002</v>
      </c>
      <c r="V420" s="6">
        <f t="shared" si="78"/>
        <v>22.067068464999998</v>
      </c>
      <c r="W420" s="6">
        <f t="shared" si="78"/>
        <v>22.294917199</v>
      </c>
      <c r="X420" s="6">
        <f t="shared" si="78"/>
        <v>22.568240989</v>
      </c>
      <c r="Y420" s="6">
        <f t="shared" si="78"/>
        <v>22.892036052000002</v>
      </c>
      <c r="Z420" s="6">
        <f t="shared" si="78"/>
        <v>23.268730300000001</v>
      </c>
      <c r="AA420" s="6">
        <f t="shared" si="78"/>
        <v>23.698460418</v>
      </c>
      <c r="AB420" s="6">
        <f t="shared" si="78"/>
        <v>24.169987558000003</v>
      </c>
      <c r="AC420" s="6">
        <f t="shared" si="78"/>
        <v>24.686854360999998</v>
      </c>
      <c r="AD420" s="6">
        <f t="shared" si="78"/>
        <v>25.257594727000001</v>
      </c>
      <c r="AE420" s="6">
        <f t="shared" si="78"/>
        <v>25.883392385000001</v>
      </c>
      <c r="AF420" s="6">
        <f t="shared" si="78"/>
        <v>26.560599009000001</v>
      </c>
      <c r="AG420" s="6">
        <f t="shared" si="78"/>
        <v>27.283546112</v>
      </c>
      <c r="AH420" s="6">
        <f t="shared" si="78"/>
        <v>28.048070320000001</v>
      </c>
      <c r="AI420" s="6">
        <f t="shared" si="78"/>
        <v>28.851893033000003</v>
      </c>
      <c r="AJ420" s="6">
        <f t="shared" si="78"/>
        <v>29.692934090999998</v>
      </c>
      <c r="AK420" s="6">
        <f t="shared" si="78"/>
        <v>30.569835736999998</v>
      </c>
      <c r="AL420" s="6">
        <f t="shared" si="78"/>
        <v>31.482236201999999</v>
      </c>
    </row>
    <row r="421" spans="1:38" x14ac:dyDescent="0.35">
      <c r="B421" t="s">
        <v>66</v>
      </c>
      <c r="C421" s="6">
        <f>C394</f>
        <v>13.59787135</v>
      </c>
      <c r="D421" s="6">
        <f t="shared" ref="D421:AL421" si="79">D394</f>
        <v>13.920883760000001</v>
      </c>
      <c r="E421" s="6">
        <f t="shared" si="79"/>
        <v>14.27789125</v>
      </c>
      <c r="F421" s="6">
        <f t="shared" si="79"/>
        <v>14.643234140000001</v>
      </c>
      <c r="G421" s="6">
        <f t="shared" si="79"/>
        <v>15.03174583</v>
      </c>
      <c r="H421" s="6">
        <f t="shared" si="79"/>
        <v>15.442791740000001</v>
      </c>
      <c r="I421" s="6">
        <f t="shared" si="79"/>
        <v>15.84753486</v>
      </c>
      <c r="J421" s="6">
        <f t="shared" si="79"/>
        <v>15.875357729999999</v>
      </c>
      <c r="K421" s="6">
        <f t="shared" si="79"/>
        <v>15.85994339</v>
      </c>
      <c r="L421" s="6">
        <f t="shared" si="79"/>
        <v>15.941653090000001</v>
      </c>
      <c r="M421" s="6">
        <f t="shared" si="79"/>
        <v>15.99417197</v>
      </c>
      <c r="N421" s="6">
        <f t="shared" si="79"/>
        <v>15.943363160000001</v>
      </c>
      <c r="O421" s="6">
        <f t="shared" si="79"/>
        <v>15.81096438</v>
      </c>
      <c r="P421" s="6">
        <f t="shared" si="79"/>
        <v>15.630999109999999</v>
      </c>
      <c r="Q421" s="6">
        <f t="shared" si="79"/>
        <v>15.43742934</v>
      </c>
      <c r="R421" s="6">
        <f t="shared" si="79"/>
        <v>15.24850094</v>
      </c>
      <c r="S421" s="6">
        <f t="shared" si="79"/>
        <v>15.082026620000001</v>
      </c>
      <c r="T421" s="6">
        <f t="shared" si="79"/>
        <v>14.94393013</v>
      </c>
      <c r="U421" s="6">
        <f t="shared" si="79"/>
        <v>14.83961622</v>
      </c>
      <c r="V421" s="6">
        <f t="shared" si="79"/>
        <v>14.769661429999999</v>
      </c>
      <c r="W421" s="6">
        <f t="shared" si="79"/>
        <v>14.732075030000001</v>
      </c>
      <c r="X421" s="6">
        <f t="shared" si="79"/>
        <v>14.728750700000001</v>
      </c>
      <c r="Y421" s="6">
        <f t="shared" si="79"/>
        <v>14.760130609999999</v>
      </c>
      <c r="Z421" s="6">
        <f t="shared" si="79"/>
        <v>14.82441854</v>
      </c>
      <c r="AA421" s="6">
        <f t="shared" si="79"/>
        <v>14.917389610000001</v>
      </c>
      <c r="AB421" s="6">
        <f t="shared" si="79"/>
        <v>15.030941049999999</v>
      </c>
      <c r="AC421" s="6">
        <f t="shared" si="79"/>
        <v>15.166893659999999</v>
      </c>
      <c r="AD421" s="6">
        <f t="shared" si="79"/>
        <v>15.329460389999999</v>
      </c>
      <c r="AE421" s="6">
        <f t="shared" si="79"/>
        <v>15.5160868</v>
      </c>
      <c r="AF421" s="6">
        <f t="shared" si="79"/>
        <v>15.717286980000001</v>
      </c>
      <c r="AG421" s="6">
        <f t="shared" si="79"/>
        <v>15.921676919999999</v>
      </c>
      <c r="AH421" s="6">
        <f t="shared" si="79"/>
        <v>16.121088969999999</v>
      </c>
      <c r="AI421" s="6">
        <f t="shared" si="79"/>
        <v>16.31029479</v>
      </c>
      <c r="AJ421" s="6">
        <f t="shared" si="79"/>
        <v>16.48403424</v>
      </c>
      <c r="AK421" s="6">
        <f t="shared" si="79"/>
        <v>16.63709635</v>
      </c>
      <c r="AL421" s="6">
        <f t="shared" si="79"/>
        <v>16.764414680000002</v>
      </c>
    </row>
    <row r="422" spans="1:38" x14ac:dyDescent="0.35">
      <c r="B422" t="s">
        <v>67</v>
      </c>
      <c r="C422" s="6">
        <f>C396</f>
        <v>19.467183070000001</v>
      </c>
      <c r="D422" s="6">
        <f t="shared" ref="D422:AL422" si="80">D396</f>
        <v>19.626559969999999</v>
      </c>
      <c r="E422" s="6">
        <f t="shared" si="80"/>
        <v>19.80658708</v>
      </c>
      <c r="F422" s="6">
        <f t="shared" si="80"/>
        <v>19.915275149999999</v>
      </c>
      <c r="G422" s="6">
        <f t="shared" si="80"/>
        <v>20.164044969999999</v>
      </c>
      <c r="H422" s="6">
        <f t="shared" si="80"/>
        <v>20.523415239999999</v>
      </c>
      <c r="I422" s="6">
        <f t="shared" si="80"/>
        <v>20.905683920000001</v>
      </c>
      <c r="J422" s="6">
        <f t="shared" si="80"/>
        <v>20.308585699999998</v>
      </c>
      <c r="K422" s="6">
        <f t="shared" si="80"/>
        <v>19.593554919999999</v>
      </c>
      <c r="L422" s="6">
        <f t="shared" si="80"/>
        <v>19.01187998</v>
      </c>
      <c r="M422" s="6">
        <f t="shared" si="80"/>
        <v>18.459765220000001</v>
      </c>
      <c r="N422" s="6">
        <f t="shared" si="80"/>
        <v>17.97026838</v>
      </c>
      <c r="O422" s="6">
        <f t="shared" si="80"/>
        <v>17.517303080000001</v>
      </c>
      <c r="P422" s="6">
        <f t="shared" si="80"/>
        <v>17.101727440000001</v>
      </c>
      <c r="Q422" s="6">
        <f t="shared" si="80"/>
        <v>16.735178900000001</v>
      </c>
      <c r="R422" s="6">
        <f t="shared" si="80"/>
        <v>16.420561410000001</v>
      </c>
      <c r="S422" s="6">
        <f t="shared" si="80"/>
        <v>16.115544740000001</v>
      </c>
      <c r="T422" s="6">
        <f t="shared" si="80"/>
        <v>15.839476080000001</v>
      </c>
      <c r="U422" s="6">
        <f t="shared" si="80"/>
        <v>15.6038034</v>
      </c>
      <c r="V422" s="6">
        <f t="shared" si="80"/>
        <v>15.41230382</v>
      </c>
      <c r="W422" s="6">
        <f t="shared" si="80"/>
        <v>15.26492683</v>
      </c>
      <c r="X422" s="6">
        <f t="shared" si="80"/>
        <v>15.16342418</v>
      </c>
      <c r="Y422" s="6">
        <f t="shared" si="80"/>
        <v>15.108624300000001</v>
      </c>
      <c r="Z422" s="6">
        <f t="shared" si="80"/>
        <v>15.09871525</v>
      </c>
      <c r="AA422" s="6">
        <f t="shared" si="80"/>
        <v>15.129648469999999</v>
      </c>
      <c r="AB422" s="6">
        <f t="shared" si="80"/>
        <v>15.194225980000001</v>
      </c>
      <c r="AC422" s="6">
        <f t="shared" si="80"/>
        <v>15.292821849999999</v>
      </c>
      <c r="AD422" s="6">
        <f t="shared" si="80"/>
        <v>15.4283512</v>
      </c>
      <c r="AE422" s="6">
        <f t="shared" si="80"/>
        <v>15.59776203</v>
      </c>
      <c r="AF422" s="6">
        <f t="shared" si="80"/>
        <v>15.792340749999999</v>
      </c>
      <c r="AG422" s="6">
        <f t="shared" si="80"/>
        <v>16.0019244</v>
      </c>
      <c r="AH422" s="6">
        <f t="shared" si="80"/>
        <v>16.21924083</v>
      </c>
      <c r="AI422" s="6">
        <f t="shared" si="80"/>
        <v>16.43960002</v>
      </c>
      <c r="AJ422" s="6">
        <f t="shared" si="80"/>
        <v>16.658281030000001</v>
      </c>
      <c r="AK422" s="6">
        <f t="shared" si="80"/>
        <v>16.87071662</v>
      </c>
      <c r="AL422" s="6">
        <f t="shared" si="80"/>
        <v>17.072488700000001</v>
      </c>
    </row>
    <row r="423" spans="1:38" x14ac:dyDescent="0.35">
      <c r="B423" t="s">
        <v>71</v>
      </c>
      <c r="C423" s="6">
        <f>C391+C393+C395+C397+C398+C399</f>
        <v>16.045023243999999</v>
      </c>
      <c r="D423" s="6">
        <f t="shared" ref="D423:AL423" si="81">D391+D393+D395+D397+D398+D399</f>
        <v>15.790907503</v>
      </c>
      <c r="E423" s="6">
        <f t="shared" si="81"/>
        <v>15.522017766999999</v>
      </c>
      <c r="F423" s="6">
        <f t="shared" si="81"/>
        <v>15.178493704000001</v>
      </c>
      <c r="G423" s="6">
        <f t="shared" si="81"/>
        <v>15.073783970999999</v>
      </c>
      <c r="H423" s="6">
        <f t="shared" si="81"/>
        <v>15.17076031</v>
      </c>
      <c r="I423" s="6">
        <f t="shared" si="81"/>
        <v>15.342774390999999</v>
      </c>
      <c r="J423" s="6">
        <f t="shared" si="81"/>
        <v>14.17515856</v>
      </c>
      <c r="K423" s="6">
        <f t="shared" si="81"/>
        <v>12.9092482807</v>
      </c>
      <c r="L423" s="6">
        <f t="shared" si="81"/>
        <v>11.795833431399998</v>
      </c>
      <c r="M423" s="6">
        <f t="shared" si="81"/>
        <v>10.821535495599999</v>
      </c>
      <c r="N423" s="6">
        <f t="shared" si="81"/>
        <v>10.0376897003</v>
      </c>
      <c r="O423" s="6">
        <f t="shared" si="81"/>
        <v>9.3778788092000003</v>
      </c>
      <c r="P423" s="6">
        <f t="shared" si="81"/>
        <v>8.8039957104000006</v>
      </c>
      <c r="Q423" s="6">
        <f t="shared" si="81"/>
        <v>8.2982768932999988</v>
      </c>
      <c r="R423" s="6">
        <f t="shared" si="81"/>
        <v>7.8486027871000008</v>
      </c>
      <c r="S423" s="6">
        <f t="shared" si="81"/>
        <v>7.4244060121000004</v>
      </c>
      <c r="T423" s="6">
        <f t="shared" si="81"/>
        <v>7.0329747329999996</v>
      </c>
      <c r="U423" s="6">
        <f t="shared" si="81"/>
        <v>6.6781902867000005</v>
      </c>
      <c r="V423" s="6">
        <f t="shared" si="81"/>
        <v>6.3606061660000002</v>
      </c>
      <c r="W423" s="6">
        <f t="shared" si="81"/>
        <v>6.0784329389999998</v>
      </c>
      <c r="X423" s="6">
        <f t="shared" si="81"/>
        <v>5.8307519523</v>
      </c>
      <c r="Y423" s="6">
        <f t="shared" si="81"/>
        <v>5.6151702174000002</v>
      </c>
      <c r="Z423" s="6">
        <f t="shared" si="81"/>
        <v>5.4281095326999997</v>
      </c>
      <c r="AA423" s="6">
        <f t="shared" si="81"/>
        <v>5.2654875360000011</v>
      </c>
      <c r="AB423" s="6">
        <f t="shared" si="81"/>
        <v>5.1216668381000003</v>
      </c>
      <c r="AC423" s="6">
        <f t="shared" si="81"/>
        <v>4.9957039064999993</v>
      </c>
      <c r="AD423" s="6">
        <f t="shared" si="81"/>
        <v>4.8849346769000004</v>
      </c>
      <c r="AE423" s="6">
        <f t="shared" si="81"/>
        <v>4.7843891684000006</v>
      </c>
      <c r="AF423" s="6">
        <f t="shared" si="81"/>
        <v>4.6868109771000004</v>
      </c>
      <c r="AG423" s="6">
        <f t="shared" si="81"/>
        <v>4.5837955293999997</v>
      </c>
      <c r="AH423" s="6">
        <f t="shared" si="81"/>
        <v>4.4665069711999994</v>
      </c>
      <c r="AI423" s="6">
        <f t="shared" si="81"/>
        <v>4.3244519926000002</v>
      </c>
      <c r="AJ423" s="6">
        <f t="shared" si="81"/>
        <v>4.1429583036999995</v>
      </c>
      <c r="AK423" s="6">
        <f t="shared" si="81"/>
        <v>3.9004530442000003</v>
      </c>
      <c r="AL423" s="6">
        <f t="shared" si="81"/>
        <v>3.5627135921000006</v>
      </c>
    </row>
    <row r="424" spans="1:38" x14ac:dyDescent="0.35">
      <c r="B424" t="s">
        <v>68</v>
      </c>
      <c r="C424" s="6">
        <f>C401</f>
        <v>17.318265199999999</v>
      </c>
      <c r="D424" s="6">
        <f t="shared" ref="D424:AL424" si="82">D401</f>
        <v>17.59112958</v>
      </c>
      <c r="E424" s="6">
        <f t="shared" si="82"/>
        <v>17.900316539999999</v>
      </c>
      <c r="F424" s="6">
        <f t="shared" si="82"/>
        <v>18.230765170000002</v>
      </c>
      <c r="G424" s="6">
        <f t="shared" si="82"/>
        <v>18.59461692</v>
      </c>
      <c r="H424" s="6">
        <f t="shared" si="82"/>
        <v>18.987844240000001</v>
      </c>
      <c r="I424" s="6">
        <f t="shared" si="82"/>
        <v>19.388456690000002</v>
      </c>
      <c r="J424" s="6">
        <f t="shared" si="82"/>
        <v>19.024296400000001</v>
      </c>
      <c r="K424" s="6">
        <f t="shared" si="82"/>
        <v>18.609322559999999</v>
      </c>
      <c r="L424" s="6">
        <f t="shared" si="82"/>
        <v>18.233066050000001</v>
      </c>
      <c r="M424" s="6">
        <f t="shared" si="82"/>
        <v>17.840199380000001</v>
      </c>
      <c r="N424" s="6">
        <f t="shared" si="82"/>
        <v>17.387197929999999</v>
      </c>
      <c r="O424" s="6">
        <f t="shared" si="82"/>
        <v>16.88063215</v>
      </c>
      <c r="P424" s="6">
        <f t="shared" si="82"/>
        <v>16.33500883</v>
      </c>
      <c r="Q424" s="6">
        <f t="shared" si="82"/>
        <v>15.76684949</v>
      </c>
      <c r="R424" s="6">
        <f t="shared" si="82"/>
        <v>15.186564349999999</v>
      </c>
      <c r="S424" s="6">
        <f t="shared" si="82"/>
        <v>14.597531630000001</v>
      </c>
      <c r="T424" s="6">
        <f t="shared" si="82"/>
        <v>14.007841709999999</v>
      </c>
      <c r="U424" s="6">
        <f t="shared" si="82"/>
        <v>13.42241372</v>
      </c>
      <c r="V424" s="6">
        <f t="shared" si="82"/>
        <v>12.842616400000001</v>
      </c>
      <c r="W424" s="6">
        <f t="shared" si="82"/>
        <v>12.265345719999999</v>
      </c>
      <c r="X424" s="6">
        <f t="shared" si="82"/>
        <v>11.69356146</v>
      </c>
      <c r="Y424" s="6">
        <f t="shared" si="82"/>
        <v>11.124908570000001</v>
      </c>
      <c r="Z424" s="6">
        <f t="shared" si="82"/>
        <v>10.55625201</v>
      </c>
      <c r="AA424" s="6">
        <f t="shared" si="82"/>
        <v>9.9832392339999991</v>
      </c>
      <c r="AB424" s="6">
        <f t="shared" si="82"/>
        <v>9.3954198689999995</v>
      </c>
      <c r="AC424" s="6">
        <f t="shared" si="82"/>
        <v>8.7949370869999992</v>
      </c>
      <c r="AD424" s="6">
        <f t="shared" si="82"/>
        <v>8.1775465319999991</v>
      </c>
      <c r="AE424" s="6">
        <f t="shared" si="82"/>
        <v>7.5381373930000004</v>
      </c>
      <c r="AF424" s="6">
        <f t="shared" si="82"/>
        <v>6.8699502219999999</v>
      </c>
      <c r="AG424" s="6">
        <f t="shared" si="82"/>
        <v>6.1658361639999999</v>
      </c>
      <c r="AH424" s="6">
        <f t="shared" si="82"/>
        <v>5.4193897680000003</v>
      </c>
      <c r="AI424" s="6">
        <f t="shared" si="82"/>
        <v>4.6249976210000003</v>
      </c>
      <c r="AJ424" s="6">
        <f t="shared" si="82"/>
        <v>3.777464025</v>
      </c>
      <c r="AK424" s="6">
        <f t="shared" si="82"/>
        <v>2.8718076450000001</v>
      </c>
      <c r="AL424" s="6">
        <f t="shared" si="82"/>
        <v>1.9030724720000001</v>
      </c>
    </row>
    <row r="425" spans="1:38" x14ac:dyDescent="0.35">
      <c r="B425" t="s">
        <v>69</v>
      </c>
      <c r="C425" s="6">
        <f>C403</f>
        <v>19.2035819</v>
      </c>
      <c r="D425" s="6">
        <f t="shared" ref="D425:AL425" si="83">D403</f>
        <v>19.617989250000001</v>
      </c>
      <c r="E425" s="6">
        <f t="shared" si="83"/>
        <v>20.084786260000001</v>
      </c>
      <c r="F425" s="6">
        <f t="shared" si="83"/>
        <v>20.552097839999998</v>
      </c>
      <c r="G425" s="6">
        <f t="shared" si="83"/>
        <v>21.077135479999999</v>
      </c>
      <c r="H425" s="6">
        <f t="shared" si="83"/>
        <v>21.671541399999999</v>
      </c>
      <c r="I425" s="6">
        <f t="shared" si="83"/>
        <v>22.320216909999999</v>
      </c>
      <c r="J425" s="6">
        <f t="shared" si="83"/>
        <v>22.01737168</v>
      </c>
      <c r="K425" s="6">
        <f t="shared" si="83"/>
        <v>21.617649920000002</v>
      </c>
      <c r="L425" s="6">
        <f t="shared" si="83"/>
        <v>21.33729851</v>
      </c>
      <c r="M425" s="6">
        <f t="shared" si="83"/>
        <v>21.055710390000002</v>
      </c>
      <c r="N425" s="6">
        <f t="shared" si="83"/>
        <v>20.713916510000001</v>
      </c>
      <c r="O425" s="6">
        <f t="shared" si="83"/>
        <v>20.316669610000002</v>
      </c>
      <c r="P425" s="6">
        <f t="shared" si="83"/>
        <v>19.872936249999999</v>
      </c>
      <c r="Q425" s="6">
        <f t="shared" si="83"/>
        <v>19.397857640000002</v>
      </c>
      <c r="R425" s="6">
        <f t="shared" si="83"/>
        <v>18.89831289</v>
      </c>
      <c r="S425" s="6">
        <f t="shared" si="83"/>
        <v>18.356993379999999</v>
      </c>
      <c r="T425" s="6">
        <f t="shared" si="83"/>
        <v>17.792291519999999</v>
      </c>
      <c r="U425" s="6">
        <f t="shared" si="83"/>
        <v>17.221301159999999</v>
      </c>
      <c r="V425" s="6">
        <f t="shared" si="83"/>
        <v>16.65465056</v>
      </c>
      <c r="W425" s="6">
        <f t="shared" si="83"/>
        <v>16.095494720000001</v>
      </c>
      <c r="X425" s="6">
        <f t="shared" si="83"/>
        <v>15.551965750000001</v>
      </c>
      <c r="Y425" s="6">
        <f t="shared" si="83"/>
        <v>15.025772509999999</v>
      </c>
      <c r="Z425" s="6">
        <f t="shared" si="83"/>
        <v>14.51264958</v>
      </c>
      <c r="AA425" s="6">
        <f t="shared" si="83"/>
        <v>14.00419909</v>
      </c>
      <c r="AB425" s="6">
        <f t="shared" si="83"/>
        <v>13.484235419999999</v>
      </c>
      <c r="AC425" s="6">
        <f t="shared" si="83"/>
        <v>12.956281990000001</v>
      </c>
      <c r="AD425" s="6">
        <f t="shared" si="83"/>
        <v>12.418012389999999</v>
      </c>
      <c r="AE425" s="6">
        <f t="shared" si="83"/>
        <v>11.859997720000001</v>
      </c>
      <c r="AF425" s="6">
        <f t="shared" si="83"/>
        <v>11.26672907</v>
      </c>
      <c r="AG425" s="6">
        <f t="shared" si="83"/>
        <v>10.620904619999999</v>
      </c>
      <c r="AH425" s="6">
        <f t="shared" si="83"/>
        <v>9.9075480589999998</v>
      </c>
      <c r="AI425" s="6">
        <f t="shared" si="83"/>
        <v>9.1128357680000001</v>
      </c>
      <c r="AJ425" s="6">
        <f t="shared" si="83"/>
        <v>8.2206484240000002</v>
      </c>
      <c r="AK425" s="6">
        <f t="shared" si="83"/>
        <v>7.2124260810000003</v>
      </c>
      <c r="AL425" s="6">
        <f t="shared" si="83"/>
        <v>6.066227714</v>
      </c>
    </row>
    <row r="426" spans="1:38" x14ac:dyDescent="0.35">
      <c r="B426" t="s">
        <v>70</v>
      </c>
      <c r="C426" s="6">
        <f>C402+C400</f>
        <v>5.5593834549999999</v>
      </c>
      <c r="D426" s="6">
        <f t="shared" ref="D426:AL426" si="84">D402+D400</f>
        <v>5.7125085240000004</v>
      </c>
      <c r="E426" s="6">
        <f t="shared" si="84"/>
        <v>5.8756505580000002</v>
      </c>
      <c r="F426" s="6">
        <f t="shared" si="84"/>
        <v>6.0376482550000006</v>
      </c>
      <c r="G426" s="6">
        <f t="shared" si="84"/>
        <v>6.205386098</v>
      </c>
      <c r="H426" s="6">
        <f t="shared" si="84"/>
        <v>6.3805700280000002</v>
      </c>
      <c r="I426" s="6">
        <f t="shared" si="84"/>
        <v>6.558049853</v>
      </c>
      <c r="J426" s="6">
        <f t="shared" si="84"/>
        <v>6.4829212199999997</v>
      </c>
      <c r="K426" s="6">
        <f t="shared" si="84"/>
        <v>6.4092423159999994</v>
      </c>
      <c r="L426" s="6">
        <f t="shared" si="84"/>
        <v>6.3952276299999999</v>
      </c>
      <c r="M426" s="6">
        <f t="shared" si="84"/>
        <v>6.3747575600000008</v>
      </c>
      <c r="N426" s="6">
        <f t="shared" si="84"/>
        <v>6.3039095550000006</v>
      </c>
      <c r="O426" s="6">
        <f t="shared" si="84"/>
        <v>6.1830580319999999</v>
      </c>
      <c r="P426" s="6">
        <f t="shared" si="84"/>
        <v>6.0255486610000002</v>
      </c>
      <c r="Q426" s="6">
        <f t="shared" si="84"/>
        <v>5.8477345569999999</v>
      </c>
      <c r="R426" s="6">
        <f t="shared" si="84"/>
        <v>5.6591989050000002</v>
      </c>
      <c r="S426" s="6">
        <f t="shared" si="84"/>
        <v>5.4690709260000006</v>
      </c>
      <c r="T426" s="6">
        <f t="shared" si="84"/>
        <v>5.2837451480000004</v>
      </c>
      <c r="U426" s="6">
        <f t="shared" si="84"/>
        <v>5.1059382539999998</v>
      </c>
      <c r="V426" s="6">
        <f t="shared" si="84"/>
        <v>4.9350316159999998</v>
      </c>
      <c r="W426" s="6">
        <f t="shared" si="84"/>
        <v>4.7694820829999998</v>
      </c>
      <c r="X426" s="6">
        <f t="shared" si="84"/>
        <v>4.6087108020000001</v>
      </c>
      <c r="Y426" s="6">
        <f t="shared" si="84"/>
        <v>4.4518712669999996</v>
      </c>
      <c r="Z426" s="6">
        <f t="shared" si="84"/>
        <v>4.2961516299999998</v>
      </c>
      <c r="AA426" s="6">
        <f t="shared" si="84"/>
        <v>4.1377864759000005</v>
      </c>
      <c r="AB426" s="6">
        <f t="shared" si="84"/>
        <v>3.9730452906</v>
      </c>
      <c r="AC426" s="6">
        <f t="shared" si="84"/>
        <v>3.8023598367</v>
      </c>
      <c r="AD426" s="6">
        <f t="shared" si="84"/>
        <v>3.6265129781000001</v>
      </c>
      <c r="AE426" s="6">
        <f t="shared" si="84"/>
        <v>3.4420976812999999</v>
      </c>
      <c r="AF426" s="6">
        <f t="shared" si="84"/>
        <v>3.2434933883999997</v>
      </c>
      <c r="AG426" s="6">
        <f t="shared" si="84"/>
        <v>3.0252758015999999</v>
      </c>
      <c r="AH426" s="6">
        <f t="shared" si="84"/>
        <v>2.7840969475000001</v>
      </c>
      <c r="AI426" s="6">
        <f t="shared" si="84"/>
        <v>2.5176725048000002</v>
      </c>
      <c r="AJ426" s="6">
        <f t="shared" si="84"/>
        <v>2.2229367103</v>
      </c>
      <c r="AK426" s="6">
        <f t="shared" si="84"/>
        <v>1.8965347606999998</v>
      </c>
      <c r="AL426" s="6">
        <f t="shared" si="84"/>
        <v>1.5349829294999999</v>
      </c>
    </row>
    <row r="427" spans="1:38" x14ac:dyDescent="0.35">
      <c r="B427" t="s">
        <v>10</v>
      </c>
      <c r="C427" s="6">
        <f>C404+C405+C415</f>
        <v>48.661638765999996</v>
      </c>
      <c r="D427" s="6">
        <f t="shared" ref="D427:AL427" si="85">D404+D405+D415</f>
        <v>48.051277143</v>
      </c>
      <c r="E427" s="6">
        <f t="shared" si="85"/>
        <v>47.459883067</v>
      </c>
      <c r="F427" s="6">
        <f t="shared" si="85"/>
        <v>46.686980708999997</v>
      </c>
      <c r="G427" s="6">
        <f t="shared" si="85"/>
        <v>46.522637022000005</v>
      </c>
      <c r="H427" s="6">
        <f t="shared" si="85"/>
        <v>46.805031504000006</v>
      </c>
      <c r="I427" s="6">
        <f t="shared" si="85"/>
        <v>47.177597161000001</v>
      </c>
      <c r="J427" s="6">
        <f t="shared" si="85"/>
        <v>44.028694121000001</v>
      </c>
      <c r="K427" s="6">
        <f t="shared" si="85"/>
        <v>40.862495965999997</v>
      </c>
      <c r="L427" s="6">
        <f t="shared" si="85"/>
        <v>38.055716421</v>
      </c>
      <c r="M427" s="6">
        <f t="shared" si="85"/>
        <v>35.612505263000003</v>
      </c>
      <c r="N427" s="6">
        <f t="shared" si="85"/>
        <v>33.649661803000001</v>
      </c>
      <c r="O427" s="6">
        <f t="shared" si="85"/>
        <v>31.999598829999996</v>
      </c>
      <c r="P427" s="6">
        <f t="shared" si="85"/>
        <v>30.558188367</v>
      </c>
      <c r="Q427" s="6">
        <f t="shared" si="85"/>
        <v>29.268349421</v>
      </c>
      <c r="R427" s="6">
        <f t="shared" si="85"/>
        <v>28.094510892999999</v>
      </c>
      <c r="S427" s="6">
        <f t="shared" si="85"/>
        <v>26.963419217999999</v>
      </c>
      <c r="T427" s="6">
        <f t="shared" si="85"/>
        <v>25.892491327000002</v>
      </c>
      <c r="U427" s="6">
        <f t="shared" si="85"/>
        <v>24.890723250000001</v>
      </c>
      <c r="V427" s="6">
        <f t="shared" si="85"/>
        <v>23.960672103999997</v>
      </c>
      <c r="W427" s="6">
        <f t="shared" si="85"/>
        <v>23.089955524000001</v>
      </c>
      <c r="X427" s="6">
        <f t="shared" si="85"/>
        <v>22.294688639</v>
      </c>
      <c r="Y427" s="6">
        <f t="shared" si="85"/>
        <v>21.563000129999999</v>
      </c>
      <c r="Z427" s="6">
        <f t="shared" si="85"/>
        <v>20.886356471000003</v>
      </c>
      <c r="AA427" s="6">
        <f t="shared" si="85"/>
        <v>20.255289015000002</v>
      </c>
      <c r="AB427" s="6">
        <f t="shared" si="85"/>
        <v>19.632734242000002</v>
      </c>
      <c r="AC427" s="6">
        <f t="shared" si="85"/>
        <v>19.044805881000002</v>
      </c>
      <c r="AD427" s="6">
        <f t="shared" si="85"/>
        <v>18.474133565999999</v>
      </c>
      <c r="AE427" s="6">
        <f t="shared" si="85"/>
        <v>17.906158257000001</v>
      </c>
      <c r="AF427" s="6">
        <f t="shared" si="85"/>
        <v>17.323192067000001</v>
      </c>
      <c r="AG427" s="6">
        <f t="shared" si="85"/>
        <v>16.704872565999999</v>
      </c>
      <c r="AH427" s="6">
        <f t="shared" si="85"/>
        <v>16.029021356999998</v>
      </c>
      <c r="AI427" s="6">
        <f t="shared" si="85"/>
        <v>15.270421020000001</v>
      </c>
      <c r="AJ427" s="6">
        <f t="shared" si="85"/>
        <v>14.398212853</v>
      </c>
      <c r="AK427" s="6">
        <f t="shared" si="85"/>
        <v>13.373019589</v>
      </c>
      <c r="AL427" s="6">
        <f t="shared" si="85"/>
        <v>12.141129651</v>
      </c>
    </row>
    <row r="428" spans="1:38" x14ac:dyDescent="0.35">
      <c r="B428" t="s">
        <v>29</v>
      </c>
      <c r="C428" s="6">
        <f>C407+C408+C406</f>
        <v>21.513213186999998</v>
      </c>
      <c r="D428" s="6">
        <f t="shared" ref="D428:AL428" si="86">D407+D408+D406</f>
        <v>21.696875555000002</v>
      </c>
      <c r="E428" s="6">
        <f t="shared" si="86"/>
        <v>21.882834222</v>
      </c>
      <c r="F428" s="6">
        <f t="shared" si="86"/>
        <v>22.084401409000002</v>
      </c>
      <c r="G428" s="6">
        <f t="shared" si="86"/>
        <v>22.349709955000002</v>
      </c>
      <c r="H428" s="6">
        <f t="shared" si="86"/>
        <v>22.676859168</v>
      </c>
      <c r="I428" s="6">
        <f t="shared" si="86"/>
        <v>23.042157221</v>
      </c>
      <c r="J428" s="6">
        <f t="shared" si="86"/>
        <v>23.514838936999997</v>
      </c>
      <c r="K428" s="6">
        <f t="shared" si="86"/>
        <v>23.996715921000003</v>
      </c>
      <c r="L428" s="6">
        <f t="shared" si="86"/>
        <v>24.522389988</v>
      </c>
      <c r="M428" s="6">
        <f t="shared" si="86"/>
        <v>25.017487107999997</v>
      </c>
      <c r="N428" s="6">
        <f t="shared" si="86"/>
        <v>25.439395419</v>
      </c>
      <c r="O428" s="6">
        <f t="shared" si="86"/>
        <v>25.783054420400003</v>
      </c>
      <c r="P428" s="6">
        <f t="shared" si="86"/>
        <v>26.0548180794</v>
      </c>
      <c r="Q428" s="6">
        <f t="shared" si="86"/>
        <v>26.266333938799999</v>
      </c>
      <c r="R428" s="6">
        <f t="shared" si="86"/>
        <v>26.423088933200003</v>
      </c>
      <c r="S428" s="6">
        <f t="shared" si="86"/>
        <v>26.503706899899999</v>
      </c>
      <c r="T428" s="6">
        <f t="shared" si="86"/>
        <v>26.526910065999999</v>
      </c>
      <c r="U428" s="6">
        <f t="shared" si="86"/>
        <v>26.500096091100001</v>
      </c>
      <c r="V428" s="6">
        <f t="shared" si="86"/>
        <v>26.425106031499997</v>
      </c>
      <c r="W428" s="6">
        <f t="shared" si="86"/>
        <v>26.299156422600003</v>
      </c>
      <c r="X428" s="6">
        <f t="shared" si="86"/>
        <v>26.1235630573</v>
      </c>
      <c r="Y428" s="6">
        <f t="shared" si="86"/>
        <v>25.8967130226</v>
      </c>
      <c r="Z428" s="6">
        <f t="shared" si="86"/>
        <v>25.614090705699997</v>
      </c>
      <c r="AA428" s="6">
        <f t="shared" si="86"/>
        <v>25.268311169799997</v>
      </c>
      <c r="AB428" s="6">
        <f t="shared" si="86"/>
        <v>24.845061643300003</v>
      </c>
      <c r="AC428" s="6">
        <f t="shared" si="86"/>
        <v>24.346867605700002</v>
      </c>
      <c r="AD428" s="6">
        <f t="shared" si="86"/>
        <v>23.7643420315</v>
      </c>
      <c r="AE428" s="6">
        <f t="shared" si="86"/>
        <v>23.086521073300002</v>
      </c>
      <c r="AF428" s="6">
        <f t="shared" si="86"/>
        <v>22.2963871764</v>
      </c>
      <c r="AG428" s="6">
        <f t="shared" si="86"/>
        <v>21.373391171700003</v>
      </c>
      <c r="AH428" s="6">
        <f t="shared" si="86"/>
        <v>20.296845946599998</v>
      </c>
      <c r="AI428" s="6">
        <f t="shared" si="86"/>
        <v>19.045871215199998</v>
      </c>
      <c r="AJ428" s="6">
        <f t="shared" si="86"/>
        <v>17.597261281100003</v>
      </c>
      <c r="AK428" s="6">
        <f t="shared" si="86"/>
        <v>15.924667021900001</v>
      </c>
      <c r="AL428" s="6">
        <f t="shared" si="86"/>
        <v>13.997324670300001</v>
      </c>
    </row>
    <row r="429" spans="1:38" x14ac:dyDescent="0.35">
      <c r="B429" t="s">
        <v>33</v>
      </c>
      <c r="C429" s="6">
        <f>SUM(C409:C413)</f>
        <v>25.091001087999999</v>
      </c>
      <c r="D429" s="6">
        <f t="shared" ref="D429:AL429" si="87">SUM(D409:D413)</f>
        <v>25.440946475999997</v>
      </c>
      <c r="E429" s="6">
        <f t="shared" si="87"/>
        <v>25.777878921999999</v>
      </c>
      <c r="F429" s="6">
        <f t="shared" si="87"/>
        <v>26.128406423000001</v>
      </c>
      <c r="G429" s="6">
        <f t="shared" si="87"/>
        <v>26.452642819999998</v>
      </c>
      <c r="H429" s="6">
        <f t="shared" si="87"/>
        <v>26.780798451000003</v>
      </c>
      <c r="I429" s="6">
        <f t="shared" si="87"/>
        <v>27.118692777</v>
      </c>
      <c r="J429" s="6">
        <f t="shared" si="87"/>
        <v>27.076188449</v>
      </c>
      <c r="K429" s="6">
        <f t="shared" si="87"/>
        <v>27.052276129000003</v>
      </c>
      <c r="L429" s="6">
        <f t="shared" si="87"/>
        <v>27.073107797999999</v>
      </c>
      <c r="M429" s="6">
        <f t="shared" si="87"/>
        <v>27.069351208</v>
      </c>
      <c r="N429" s="6">
        <f t="shared" si="87"/>
        <v>26.912872352999997</v>
      </c>
      <c r="O429" s="6">
        <f t="shared" si="87"/>
        <v>26.641609957</v>
      </c>
      <c r="P429" s="6">
        <f t="shared" si="87"/>
        <v>26.298005475</v>
      </c>
      <c r="Q429" s="6">
        <f t="shared" si="87"/>
        <v>25.91625427</v>
      </c>
      <c r="R429" s="6">
        <f t="shared" si="87"/>
        <v>25.516261655000001</v>
      </c>
      <c r="S429" s="6">
        <f t="shared" si="87"/>
        <v>25.111702358000002</v>
      </c>
      <c r="T429" s="6">
        <f t="shared" si="87"/>
        <v>24.715062836999998</v>
      </c>
      <c r="U429" s="6">
        <f t="shared" si="87"/>
        <v>24.328745362999999</v>
      </c>
      <c r="V429" s="6">
        <f t="shared" si="87"/>
        <v>23.954575057</v>
      </c>
      <c r="W429" s="6">
        <f t="shared" si="87"/>
        <v>23.587553547000002</v>
      </c>
      <c r="X429" s="6">
        <f t="shared" si="87"/>
        <v>23.239849361000001</v>
      </c>
      <c r="Y429" s="6">
        <f t="shared" si="87"/>
        <v>22.911971229999999</v>
      </c>
      <c r="Z429" s="6">
        <f t="shared" si="87"/>
        <v>22.601202588000003</v>
      </c>
      <c r="AA429" s="6">
        <f t="shared" si="87"/>
        <v>22.302555220999999</v>
      </c>
      <c r="AB429" s="6">
        <f t="shared" si="87"/>
        <v>21.993140323999999</v>
      </c>
      <c r="AC429" s="6">
        <f t="shared" si="87"/>
        <v>21.689506073999997</v>
      </c>
      <c r="AD429" s="6">
        <f t="shared" si="87"/>
        <v>21.387336216199998</v>
      </c>
      <c r="AE429" s="6">
        <f t="shared" si="87"/>
        <v>21.0776517408</v>
      </c>
      <c r="AF429" s="6">
        <f t="shared" si="87"/>
        <v>20.745708911600001</v>
      </c>
      <c r="AG429" s="6">
        <f t="shared" si="87"/>
        <v>20.373405639000005</v>
      </c>
      <c r="AH429" s="6">
        <f t="shared" si="87"/>
        <v>19.942449083499998</v>
      </c>
      <c r="AI429" s="6">
        <f t="shared" si="87"/>
        <v>19.4338479902</v>
      </c>
      <c r="AJ429" s="6">
        <f t="shared" si="87"/>
        <v>18.825242013500002</v>
      </c>
      <c r="AK429" s="6">
        <f t="shared" si="87"/>
        <v>18.089198875000001</v>
      </c>
      <c r="AL429" s="6">
        <f t="shared" si="87"/>
        <v>17.187886971499999</v>
      </c>
    </row>
    <row r="431" spans="1:3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38" x14ac:dyDescent="0.35">
      <c r="A432" t="s">
        <v>39</v>
      </c>
      <c r="B432" t="s">
        <v>7</v>
      </c>
      <c r="C432" s="6">
        <f>H418</f>
        <v>15.756982777699999</v>
      </c>
      <c r="D432" s="6">
        <f>R418</f>
        <v>11.4572673185</v>
      </c>
      <c r="E432" s="6">
        <f>AB418</f>
        <v>6.9444571685999996</v>
      </c>
      <c r="F432" s="6">
        <f>AL418</f>
        <v>1.6407995704999998</v>
      </c>
    </row>
    <row r="433" spans="1:38" x14ac:dyDescent="0.35">
      <c r="B433" t="s">
        <v>64</v>
      </c>
      <c r="C433" s="6">
        <f t="shared" ref="C433:C443" si="88">H419</f>
        <v>8.773688795</v>
      </c>
      <c r="D433" s="6">
        <f t="shared" ref="D433:D443" si="89">R419</f>
        <v>5.8100275229999996</v>
      </c>
      <c r="E433" s="6">
        <f t="shared" ref="E433:E443" si="90">AB419</f>
        <v>3.950971563</v>
      </c>
      <c r="F433" s="6">
        <f t="shared" ref="F433:F443" si="91">AL419</f>
        <v>2.413520031</v>
      </c>
    </row>
    <row r="434" spans="1:38" x14ac:dyDescent="0.35">
      <c r="B434" t="s">
        <v>65</v>
      </c>
      <c r="C434" s="6">
        <f t="shared" si="88"/>
        <v>20.438415499000001</v>
      </c>
      <c r="D434" s="6">
        <f t="shared" si="89"/>
        <v>21.483165565</v>
      </c>
      <c r="E434" s="6">
        <f t="shared" si="90"/>
        <v>24.169987558000003</v>
      </c>
      <c r="F434" s="6">
        <f t="shared" si="91"/>
        <v>31.482236201999999</v>
      </c>
    </row>
    <row r="435" spans="1:38" x14ac:dyDescent="0.35">
      <c r="B435" t="s">
        <v>66</v>
      </c>
      <c r="C435" s="6">
        <f t="shared" si="88"/>
        <v>15.442791740000001</v>
      </c>
      <c r="D435" s="6">
        <f t="shared" si="89"/>
        <v>15.24850094</v>
      </c>
      <c r="E435" s="6">
        <f t="shared" si="90"/>
        <v>15.030941049999999</v>
      </c>
      <c r="F435" s="6">
        <f t="shared" si="91"/>
        <v>16.764414680000002</v>
      </c>
    </row>
    <row r="436" spans="1:38" x14ac:dyDescent="0.35">
      <c r="B436" t="s">
        <v>67</v>
      </c>
      <c r="C436" s="6">
        <f t="shared" si="88"/>
        <v>20.523415239999999</v>
      </c>
      <c r="D436" s="6">
        <f t="shared" si="89"/>
        <v>16.420561410000001</v>
      </c>
      <c r="E436" s="6">
        <f t="shared" si="90"/>
        <v>15.194225980000001</v>
      </c>
      <c r="F436" s="6">
        <f t="shared" si="91"/>
        <v>17.072488700000001</v>
      </c>
    </row>
    <row r="437" spans="1:38" x14ac:dyDescent="0.35">
      <c r="B437" t="s">
        <v>71</v>
      </c>
      <c r="C437" s="6">
        <f t="shared" si="88"/>
        <v>15.17076031</v>
      </c>
      <c r="D437" s="6">
        <f t="shared" si="89"/>
        <v>7.8486027871000008</v>
      </c>
      <c r="E437" s="6">
        <f t="shared" si="90"/>
        <v>5.1216668381000003</v>
      </c>
      <c r="F437" s="6">
        <f t="shared" si="91"/>
        <v>3.5627135921000006</v>
      </c>
    </row>
    <row r="438" spans="1:38" x14ac:dyDescent="0.35">
      <c r="B438" t="s">
        <v>68</v>
      </c>
      <c r="C438" s="6">
        <f t="shared" si="88"/>
        <v>18.987844240000001</v>
      </c>
      <c r="D438" s="6">
        <f t="shared" si="89"/>
        <v>15.186564349999999</v>
      </c>
      <c r="E438" s="6">
        <f t="shared" si="90"/>
        <v>9.3954198689999995</v>
      </c>
      <c r="F438" s="6">
        <f t="shared" si="91"/>
        <v>1.9030724720000001</v>
      </c>
    </row>
    <row r="439" spans="1:38" x14ac:dyDescent="0.35">
      <c r="B439" t="s">
        <v>69</v>
      </c>
      <c r="C439" s="6">
        <f t="shared" si="88"/>
        <v>21.671541399999999</v>
      </c>
      <c r="D439" s="6">
        <f t="shared" si="89"/>
        <v>18.89831289</v>
      </c>
      <c r="E439" s="6">
        <f t="shared" si="90"/>
        <v>13.484235419999999</v>
      </c>
      <c r="F439" s="6">
        <f t="shared" si="91"/>
        <v>6.066227714</v>
      </c>
    </row>
    <row r="440" spans="1:38" x14ac:dyDescent="0.35">
      <c r="B440" t="s">
        <v>70</v>
      </c>
      <c r="C440" s="6">
        <f t="shared" si="88"/>
        <v>6.3805700280000002</v>
      </c>
      <c r="D440" s="6">
        <f t="shared" si="89"/>
        <v>5.6591989050000002</v>
      </c>
      <c r="E440" s="6">
        <f t="shared" si="90"/>
        <v>3.9730452906</v>
      </c>
      <c r="F440" s="6">
        <f t="shared" si="91"/>
        <v>1.5349829294999999</v>
      </c>
    </row>
    <row r="441" spans="1:38" x14ac:dyDescent="0.35">
      <c r="B441" t="s">
        <v>10</v>
      </c>
      <c r="C441" s="6">
        <f t="shared" si="88"/>
        <v>46.805031504000006</v>
      </c>
      <c r="D441" s="6">
        <f t="shared" si="89"/>
        <v>28.094510892999999</v>
      </c>
      <c r="E441" s="6">
        <f t="shared" si="90"/>
        <v>19.632734242000002</v>
      </c>
      <c r="F441" s="6">
        <f t="shared" si="91"/>
        <v>12.141129651</v>
      </c>
    </row>
    <row r="442" spans="1:38" x14ac:dyDescent="0.35">
      <c r="B442" t="s">
        <v>29</v>
      </c>
      <c r="C442" s="6">
        <f t="shared" si="88"/>
        <v>22.676859168</v>
      </c>
      <c r="D442" s="6">
        <f t="shared" si="89"/>
        <v>26.423088933200003</v>
      </c>
      <c r="E442" s="6">
        <f t="shared" si="90"/>
        <v>24.845061643300003</v>
      </c>
      <c r="F442" s="6">
        <f t="shared" si="91"/>
        <v>13.997324670300001</v>
      </c>
    </row>
    <row r="443" spans="1:38" x14ac:dyDescent="0.35">
      <c r="B443" t="s">
        <v>33</v>
      </c>
      <c r="C443" s="6">
        <f t="shared" si="88"/>
        <v>26.780798451000003</v>
      </c>
      <c r="D443" s="6">
        <f t="shared" si="89"/>
        <v>25.516261655000001</v>
      </c>
      <c r="E443" s="6">
        <f t="shared" si="90"/>
        <v>21.993140323999999</v>
      </c>
      <c r="F443" s="6">
        <f t="shared" si="91"/>
        <v>17.187886971499999</v>
      </c>
    </row>
    <row r="445" spans="1:38" x14ac:dyDescent="0.35">
      <c r="A445" s="12" t="s">
        <v>93</v>
      </c>
      <c r="B445" t="s">
        <v>73</v>
      </c>
      <c r="C445" s="6">
        <f>[1]Results!F281</f>
        <v>161.694278</v>
      </c>
      <c r="D445" s="6">
        <f>[1]Results!G281</f>
        <v>162.55302470000001</v>
      </c>
      <c r="E445" s="6">
        <f>[1]Results!H281</f>
        <v>163.46206340000001</v>
      </c>
      <c r="F445" s="6">
        <f>[1]Results!I281</f>
        <v>164.3846781</v>
      </c>
      <c r="G445" s="6">
        <f>[1]Results!J281</f>
        <v>165.9038563</v>
      </c>
      <c r="H445" s="6">
        <f>[1]Results!K281</f>
        <v>167.9177215</v>
      </c>
      <c r="I445" s="6">
        <f>[1]Results!L281</f>
        <v>169.9607244</v>
      </c>
      <c r="J445" s="6">
        <f>[1]Results!M281</f>
        <v>169.92943260000001</v>
      </c>
      <c r="K445" s="6">
        <f>[1]Results!N281</f>
        <v>169.64017519999999</v>
      </c>
      <c r="L445" s="6">
        <f>[1]Results!O281</f>
        <v>169.93346070000001</v>
      </c>
      <c r="M445" s="6">
        <f>[1]Results!P281</f>
        <v>170.4318873</v>
      </c>
      <c r="N445" s="6">
        <f>[1]Results!Q281</f>
        <v>170.8730645</v>
      </c>
      <c r="O445" s="6">
        <f>[1]Results!R281</f>
        <v>171.2020086</v>
      </c>
      <c r="P445" s="6">
        <f>[1]Results!S281</f>
        <v>171.44876110000001</v>
      </c>
      <c r="Q445" s="6">
        <f>[1]Results!T281</f>
        <v>171.6928442</v>
      </c>
      <c r="R445" s="6">
        <f>[1]Results!U281</f>
        <v>171.98507889999999</v>
      </c>
      <c r="S445" s="6">
        <f>[1]Results!V281</f>
        <v>172.37530810000001</v>
      </c>
      <c r="T445" s="6">
        <f>[1]Results!W281</f>
        <v>172.90539770000001</v>
      </c>
      <c r="U445" s="6">
        <f>[1]Results!X281</f>
        <v>173.6280745</v>
      </c>
      <c r="V445" s="6">
        <f>[1]Results!Y281</f>
        <v>174.58347449999999</v>
      </c>
      <c r="W445" s="6">
        <f>[1]Results!Z281</f>
        <v>175.7678373</v>
      </c>
      <c r="X445" s="6">
        <f>[1]Results!AA281</f>
        <v>177.27756410000001</v>
      </c>
      <c r="Y445" s="6">
        <f>[1]Results!AB281</f>
        <v>179.13878700000001</v>
      </c>
      <c r="Z445" s="6">
        <f>[1]Results!AC281</f>
        <v>181.3720337</v>
      </c>
      <c r="AA445" s="6">
        <f>[1]Results!AD281</f>
        <v>183.9877966</v>
      </c>
      <c r="AB445" s="6">
        <f>[1]Results!AE281</f>
        <v>186.8815784</v>
      </c>
      <c r="AC445" s="6">
        <f>[1]Results!AF281</f>
        <v>190.19607790000001</v>
      </c>
      <c r="AD445" s="6">
        <f>[1]Results!AG281</f>
        <v>193.9844962</v>
      </c>
      <c r="AE445" s="6">
        <f>[1]Results!AH281</f>
        <v>198.2730541</v>
      </c>
      <c r="AF445" s="6">
        <f>[1]Results!AI281</f>
        <v>203.05133670000001</v>
      </c>
      <c r="AG445" s="6">
        <f>[1]Results!AJ281</f>
        <v>208.2958051</v>
      </c>
      <c r="AH445" s="6">
        <f>[1]Results!AK281</f>
        <v>214.00243270000001</v>
      </c>
      <c r="AI445" s="6">
        <f>[1]Results!AL281</f>
        <v>220.19220300000001</v>
      </c>
      <c r="AJ445" s="6">
        <f>[1]Results!AM281</f>
        <v>226.9009509</v>
      </c>
      <c r="AK445" s="6">
        <f>[1]Results!AN281</f>
        <v>234.19207850000001</v>
      </c>
      <c r="AL445" s="6">
        <f>[1]Results!AO281</f>
        <v>242.17682679999999</v>
      </c>
    </row>
    <row r="446" spans="1:38" x14ac:dyDescent="0.35">
      <c r="A446" t="s">
        <v>39</v>
      </c>
      <c r="B446" s="6" t="str">
        <f>[1]Results!E282</f>
        <v>CF_toe_ccoa_2</v>
      </c>
      <c r="C446" s="6">
        <f>[1]Results!F282</f>
        <v>5.4028818909999998</v>
      </c>
      <c r="D446" s="6">
        <f>[1]Results!G282</f>
        <v>5.441783043</v>
      </c>
      <c r="E446" s="6">
        <f>[1]Results!H282</f>
        <v>5.4869486670000001</v>
      </c>
      <c r="F446" s="6">
        <f>[1]Results!I282</f>
        <v>5.5158022510000002</v>
      </c>
      <c r="G446" s="6">
        <f>[1]Results!J282</f>
        <v>5.5837484010000002</v>
      </c>
      <c r="H446" s="6">
        <f>[1]Results!K282</f>
        <v>5.6823443669999998</v>
      </c>
      <c r="I446" s="6">
        <f>[1]Results!L282</f>
        <v>5.7932296839999999</v>
      </c>
      <c r="J446" s="6">
        <f>[1]Results!M282</f>
        <v>5.686380057</v>
      </c>
      <c r="K446" s="6">
        <f>[1]Results!N282</f>
        <v>5.5458493759999996</v>
      </c>
      <c r="L446" s="6">
        <f>[1]Results!O282</f>
        <v>5.4361990609999999</v>
      </c>
      <c r="M446" s="6">
        <f>[1]Results!P282</f>
        <v>5.3309465410000003</v>
      </c>
      <c r="N446" s="6">
        <f>[1]Results!Q282</f>
        <v>5.2385735149999997</v>
      </c>
      <c r="O446" s="6">
        <f>[1]Results!R282</f>
        <v>5.1527701390000002</v>
      </c>
      <c r="P446" s="6">
        <f>[1]Results!S282</f>
        <v>5.0741137419999998</v>
      </c>
      <c r="Q446" s="6">
        <f>[1]Results!T282</f>
        <v>5.0061571340000004</v>
      </c>
      <c r="R446" s="6">
        <f>[1]Results!U282</f>
        <v>4.9502307869999997</v>
      </c>
      <c r="S446" s="6">
        <f>[1]Results!V282</f>
        <v>4.894400911</v>
      </c>
      <c r="T446" s="6">
        <f>[1]Results!W282</f>
        <v>4.8447267460000001</v>
      </c>
      <c r="U446" s="6">
        <f>[1]Results!X282</f>
        <v>4.8051952330000001</v>
      </c>
      <c r="V446" s="6">
        <f>[1]Results!Y282</f>
        <v>4.7776172819999996</v>
      </c>
      <c r="W446" s="6">
        <f>[1]Results!Z282</f>
        <v>4.7625068869999998</v>
      </c>
      <c r="X446" s="6">
        <f>[1]Results!AA282</f>
        <v>4.7611571049999997</v>
      </c>
      <c r="Y446" s="6">
        <f>[1]Results!AB282</f>
        <v>4.774349247</v>
      </c>
      <c r="Z446" s="6">
        <f>[1]Results!AC282</f>
        <v>4.8020669209999998</v>
      </c>
      <c r="AA446" s="6">
        <f>[1]Results!AD282</f>
        <v>4.8436099339999998</v>
      </c>
      <c r="AB446" s="6">
        <f>[1]Results!AE282</f>
        <v>4.8969337829999997</v>
      </c>
      <c r="AC446" s="6">
        <f>[1]Results!AF282</f>
        <v>4.9627813710000002</v>
      </c>
      <c r="AD446" s="6">
        <f>[1]Results!AG282</f>
        <v>5.0426581090000004</v>
      </c>
      <c r="AE446" s="6">
        <f>[1]Results!AH282</f>
        <v>5.1361546259999997</v>
      </c>
      <c r="AF446" s="6">
        <f>[1]Results!AI282</f>
        <v>5.2410655879999997</v>
      </c>
      <c r="AG446" s="6">
        <f>[1]Results!AJ282</f>
        <v>5.3546536830000004</v>
      </c>
      <c r="AH446" s="6">
        <f>[1]Results!AK282</f>
        <v>5.4750183090000002</v>
      </c>
      <c r="AI446" s="6">
        <f>[1]Results!AL282</f>
        <v>5.6010559039999999</v>
      </c>
      <c r="AJ446" s="6">
        <f>[1]Results!AM282</f>
        <v>5.7316707539999996</v>
      </c>
      <c r="AK446" s="6">
        <f>[1]Results!AN282</f>
        <v>5.8658910679999998</v>
      </c>
      <c r="AL446" s="6">
        <f>[1]Results!AO282</f>
        <v>6.0029310999999996</v>
      </c>
    </row>
    <row r="447" spans="1:38" x14ac:dyDescent="0.35">
      <c r="B447" s="6" t="s">
        <v>74</v>
      </c>
      <c r="C447" s="6">
        <f>C448+C449+C450</f>
        <v>62.123682370400005</v>
      </c>
      <c r="D447" s="6">
        <f t="shared" ref="D447:AL447" si="92">D448+D449+D450</f>
        <v>62.404337178799999</v>
      </c>
      <c r="E447" s="6">
        <f t="shared" si="92"/>
        <v>62.682883277100004</v>
      </c>
      <c r="F447" s="6">
        <f t="shared" si="92"/>
        <v>63.024296719699997</v>
      </c>
      <c r="G447" s="6">
        <f t="shared" si="92"/>
        <v>63.600524481200004</v>
      </c>
      <c r="H447" s="6">
        <f t="shared" si="92"/>
        <v>64.384044968599994</v>
      </c>
      <c r="I447" s="6">
        <f t="shared" si="92"/>
        <v>65.276683625000004</v>
      </c>
      <c r="J447" s="6">
        <f t="shared" si="92"/>
        <v>65.551625253499992</v>
      </c>
      <c r="K447" s="6">
        <f t="shared" si="92"/>
        <v>65.700521646600009</v>
      </c>
      <c r="L447" s="6">
        <f t="shared" si="92"/>
        <v>66.004497634399996</v>
      </c>
      <c r="M447" s="6">
        <f t="shared" si="92"/>
        <v>66.364235338699999</v>
      </c>
      <c r="N447" s="6">
        <f t="shared" si="92"/>
        <v>66.738279927799994</v>
      </c>
      <c r="O447" s="6">
        <f t="shared" si="92"/>
        <v>67.096769855600002</v>
      </c>
      <c r="P447" s="6">
        <f t="shared" si="92"/>
        <v>67.432488243999998</v>
      </c>
      <c r="Q447" s="6">
        <f t="shared" si="92"/>
        <v>67.75707153350001</v>
      </c>
      <c r="R447" s="6">
        <f t="shared" si="92"/>
        <v>68.078489060799996</v>
      </c>
      <c r="S447" s="6">
        <f t="shared" si="92"/>
        <v>68.37625659870001</v>
      </c>
      <c r="T447" s="6">
        <f t="shared" si="92"/>
        <v>68.683494765999995</v>
      </c>
      <c r="U447" s="6">
        <f t="shared" si="92"/>
        <v>69.028403868200002</v>
      </c>
      <c r="V447" s="6">
        <f t="shared" si="92"/>
        <v>69.430064662800007</v>
      </c>
      <c r="W447" s="6">
        <f t="shared" si="92"/>
        <v>69.891964604899997</v>
      </c>
      <c r="X447" s="6">
        <f t="shared" si="92"/>
        <v>70.445270058700004</v>
      </c>
      <c r="Y447" s="6">
        <f t="shared" si="92"/>
        <v>71.104568281399992</v>
      </c>
      <c r="Z447" s="6">
        <f t="shared" si="92"/>
        <v>71.880684181500001</v>
      </c>
      <c r="AA447" s="6">
        <f t="shared" si="92"/>
        <v>72.780495363499995</v>
      </c>
      <c r="AB447" s="6">
        <f t="shared" si="92"/>
        <v>73.776421006700005</v>
      </c>
      <c r="AC447" s="6">
        <f t="shared" si="92"/>
        <v>74.912541766999993</v>
      </c>
      <c r="AD447" s="6">
        <f t="shared" si="92"/>
        <v>76.210935427899997</v>
      </c>
      <c r="AE447" s="6">
        <f t="shared" si="92"/>
        <v>77.687448309499999</v>
      </c>
      <c r="AF447" s="6">
        <f t="shared" si="92"/>
        <v>79.347185263099988</v>
      </c>
      <c r="AG447" s="6">
        <f t="shared" si="92"/>
        <v>81.190968276100008</v>
      </c>
      <c r="AH447" s="6">
        <f t="shared" si="92"/>
        <v>83.225937568999996</v>
      </c>
      <c r="AI447" s="6">
        <f t="shared" si="92"/>
        <v>85.468955653699993</v>
      </c>
      <c r="AJ447" s="6">
        <f t="shared" si="92"/>
        <v>87.94535167490001</v>
      </c>
      <c r="AK447" s="6">
        <f t="shared" si="92"/>
        <v>90.695022962100012</v>
      </c>
      <c r="AL447" s="6">
        <f t="shared" si="92"/>
        <v>93.783071553499994</v>
      </c>
    </row>
    <row r="448" spans="1:38" x14ac:dyDescent="0.35">
      <c r="B448" s="6" t="str">
        <f>[1]Results!E285</f>
        <v>CF_toe_ccoi_2</v>
      </c>
      <c r="C448" s="6">
        <f>[1]Results!F285</f>
        <v>8.3953620399999998E-2</v>
      </c>
      <c r="D448" s="6">
        <f>[1]Results!G285</f>
        <v>8.44877988E-2</v>
      </c>
      <c r="E448" s="6">
        <f>[1]Results!H285</f>
        <v>8.5097257100000004E-2</v>
      </c>
      <c r="F448" s="6">
        <f>[1]Results!I285</f>
        <v>8.5571029699999995E-2</v>
      </c>
      <c r="G448" s="6">
        <f>[1]Results!J285</f>
        <v>8.6610261199999997E-2</v>
      </c>
      <c r="H448" s="6">
        <f>[1]Results!K285</f>
        <v>8.8122838600000003E-2</v>
      </c>
      <c r="I448" s="6">
        <f>[1]Results!L285</f>
        <v>8.9348275000000005E-2</v>
      </c>
      <c r="J448" s="6">
        <f>[1]Results!M285</f>
        <v>8.7879953499999997E-2</v>
      </c>
      <c r="K448" s="6">
        <f>[1]Results!N285</f>
        <v>8.5908376600000003E-2</v>
      </c>
      <c r="L448" s="6">
        <f>[1]Results!O285</f>
        <v>8.4332604399999997E-2</v>
      </c>
      <c r="M448" s="6">
        <f>[1]Results!P285</f>
        <v>8.2913258700000006E-2</v>
      </c>
      <c r="N448" s="6">
        <f>[1]Results!Q285</f>
        <v>8.1687417799999995E-2</v>
      </c>
      <c r="O448" s="6">
        <f>[1]Results!R285</f>
        <v>8.0540225600000001E-2</v>
      </c>
      <c r="P448" s="6">
        <f>[1]Results!S285</f>
        <v>7.9449203999999995E-2</v>
      </c>
      <c r="Q448" s="6">
        <f>[1]Results!T285</f>
        <v>7.8446233500000004E-2</v>
      </c>
      <c r="R448" s="6">
        <f>[1]Results!U285</f>
        <v>7.7548790800000003E-2</v>
      </c>
      <c r="S448" s="6">
        <f>[1]Results!V285</f>
        <v>7.6799898699999994E-2</v>
      </c>
      <c r="T448" s="6">
        <f>[1]Results!W285</f>
        <v>7.6202885999999997E-2</v>
      </c>
      <c r="U448" s="6">
        <f>[1]Results!X285</f>
        <v>7.5775488200000005E-2</v>
      </c>
      <c r="V448" s="6">
        <f>[1]Results!Y285</f>
        <v>7.5529262799999997E-2</v>
      </c>
      <c r="W448" s="6">
        <f>[1]Results!Z285</f>
        <v>7.5461664900000003E-2</v>
      </c>
      <c r="X448" s="6">
        <f>[1]Results!AA285</f>
        <v>7.5605768700000006E-2</v>
      </c>
      <c r="Y448" s="6">
        <f>[1]Results!AB285</f>
        <v>7.5975281399999997E-2</v>
      </c>
      <c r="Z448" s="6">
        <f>[1]Results!AC285</f>
        <v>7.6575071499999994E-2</v>
      </c>
      <c r="AA448" s="6">
        <f>[1]Results!AD285</f>
        <v>7.7401033499999994E-2</v>
      </c>
      <c r="AB448" s="6">
        <f>[1]Results!AE285</f>
        <v>7.8411876699999994E-2</v>
      </c>
      <c r="AC448" s="6">
        <f>[1]Results!AF285</f>
        <v>7.9653906999999996E-2</v>
      </c>
      <c r="AD448" s="6">
        <f>[1]Results!AG285</f>
        <v>8.1158287900000001E-2</v>
      </c>
      <c r="AE448" s="6">
        <f>[1]Results!AH285</f>
        <v>8.2931389499999994E-2</v>
      </c>
      <c r="AF448" s="6">
        <f>[1]Results!AI285</f>
        <v>8.4953353100000004E-2</v>
      </c>
      <c r="AG448" s="6">
        <f>[1]Results!AJ285</f>
        <v>8.7195596099999995E-2</v>
      </c>
      <c r="AH448" s="6">
        <f>[1]Results!AK285</f>
        <v>8.9643969000000004E-2</v>
      </c>
      <c r="AI448" s="6">
        <f>[1]Results!AL285</f>
        <v>9.2300743699999993E-2</v>
      </c>
      <c r="AJ448" s="6">
        <f>[1]Results!AM285</f>
        <v>9.5173844899999999E-2</v>
      </c>
      <c r="AK448" s="6">
        <f>[1]Results!AN285</f>
        <v>9.8285172099999998E-2</v>
      </c>
      <c r="AL448" s="6">
        <f>[1]Results!AO285</f>
        <v>0.10168255349999999</v>
      </c>
    </row>
    <row r="449" spans="1:38" x14ac:dyDescent="0.35">
      <c r="B449" s="6" t="str">
        <f>[1]Results!E288</f>
        <v>CF_toe_cfut_2</v>
      </c>
      <c r="C449" s="6">
        <f>[1]Results!F288</f>
        <v>47.250386450000001</v>
      </c>
      <c r="D449" s="6">
        <f>[1]Results!G288</f>
        <v>47.454210539999998</v>
      </c>
      <c r="E449" s="6">
        <f>[1]Results!H288</f>
        <v>47.66478824</v>
      </c>
      <c r="F449" s="6">
        <f>[1]Results!I288</f>
        <v>47.949029369999998</v>
      </c>
      <c r="G449" s="6">
        <f>[1]Results!J288</f>
        <v>48.427439460000002</v>
      </c>
      <c r="H449" s="6">
        <f>[1]Results!K288</f>
        <v>49.079871019999999</v>
      </c>
      <c r="I449" s="6">
        <f>[1]Results!L288</f>
        <v>49.837486179999999</v>
      </c>
      <c r="J449" s="6">
        <f>[1]Results!M288</f>
        <v>50.17898615</v>
      </c>
      <c r="K449" s="6">
        <f>[1]Results!N288</f>
        <v>50.42220726</v>
      </c>
      <c r="L449" s="6">
        <f>[1]Results!O288</f>
        <v>50.779696729999998</v>
      </c>
      <c r="M449" s="6">
        <f>[1]Results!P288</f>
        <v>51.169671510000001</v>
      </c>
      <c r="N449" s="6">
        <f>[1]Results!Q288</f>
        <v>51.555174919999999</v>
      </c>
      <c r="O449" s="6">
        <f>[1]Results!R288</f>
        <v>51.917966319999998</v>
      </c>
      <c r="P449" s="6">
        <f>[1]Results!S288</f>
        <v>52.25437427</v>
      </c>
      <c r="Q449" s="6">
        <f>[1]Results!T288</f>
        <v>52.573892720000003</v>
      </c>
      <c r="R449" s="6">
        <f>[1]Results!U288</f>
        <v>52.88270155</v>
      </c>
      <c r="S449" s="6">
        <f>[1]Results!V288</f>
        <v>53.160920160000003</v>
      </c>
      <c r="T449" s="6">
        <f>[1]Results!W288</f>
        <v>53.433699760000003</v>
      </c>
      <c r="U449" s="6">
        <f>[1]Results!X288</f>
        <v>53.724772270000003</v>
      </c>
      <c r="V449" s="6">
        <f>[1]Results!Y288</f>
        <v>54.051030650000001</v>
      </c>
      <c r="W449" s="6">
        <f>[1]Results!Z288</f>
        <v>54.418375130000001</v>
      </c>
      <c r="X449" s="6">
        <f>[1]Results!AA288</f>
        <v>54.849547180000002</v>
      </c>
      <c r="Y449" s="6">
        <f>[1]Results!AB288</f>
        <v>55.357541099999999</v>
      </c>
      <c r="Z449" s="6">
        <f>[1]Results!AC288</f>
        <v>55.952246270000003</v>
      </c>
      <c r="AA449" s="6">
        <f>[1]Results!AD288</f>
        <v>56.63990828</v>
      </c>
      <c r="AB449" s="6">
        <f>[1]Results!AE288</f>
        <v>57.404020930000001</v>
      </c>
      <c r="AC449" s="6">
        <f>[1]Results!AF288</f>
        <v>58.274111929999997</v>
      </c>
      <c r="AD449" s="6">
        <f>[1]Results!AG288</f>
        <v>59.268757899999997</v>
      </c>
      <c r="AE449" s="6">
        <f>[1]Results!AH288</f>
        <v>60.400759440000002</v>
      </c>
      <c r="AF449" s="6">
        <f>[1]Results!AI288</f>
        <v>61.674322869999997</v>
      </c>
      <c r="AG449" s="6">
        <f>[1]Results!AJ288</f>
        <v>63.090260360000002</v>
      </c>
      <c r="AH449" s="6">
        <f>[1]Results!AK288</f>
        <v>64.654584929999999</v>
      </c>
      <c r="AI449" s="6">
        <f>[1]Results!AL288</f>
        <v>66.38103649</v>
      </c>
      <c r="AJ449" s="6">
        <f>[1]Results!AM288</f>
        <v>68.289692090000003</v>
      </c>
      <c r="AK449" s="6">
        <f>[1]Results!AN288</f>
        <v>70.412186410000004</v>
      </c>
      <c r="AL449" s="6">
        <f>[1]Results!AO288</f>
        <v>72.800407949999993</v>
      </c>
    </row>
    <row r="450" spans="1:38" x14ac:dyDescent="0.35">
      <c r="B450" s="6" t="str">
        <f>[1]Results!E291</f>
        <v>CF_toe_cfuh_2</v>
      </c>
      <c r="C450" s="6">
        <f>[1]Results!F291</f>
        <v>14.789342299999999</v>
      </c>
      <c r="D450" s="6">
        <f>[1]Results!G291</f>
        <v>14.865638840000001</v>
      </c>
      <c r="E450" s="6">
        <f>[1]Results!H291</f>
        <v>14.932997780000001</v>
      </c>
      <c r="F450" s="6">
        <f>[1]Results!I291</f>
        <v>14.98969632</v>
      </c>
      <c r="G450" s="6">
        <f>[1]Results!J291</f>
        <v>15.08647476</v>
      </c>
      <c r="H450" s="6">
        <f>[1]Results!K291</f>
        <v>15.21605111</v>
      </c>
      <c r="I450" s="6">
        <f>[1]Results!L291</f>
        <v>15.349849170000001</v>
      </c>
      <c r="J450" s="6">
        <f>[1]Results!M291</f>
        <v>15.284759149999999</v>
      </c>
      <c r="K450" s="6">
        <f>[1]Results!N291</f>
        <v>15.192406009999999</v>
      </c>
      <c r="L450" s="6">
        <f>[1]Results!O291</f>
        <v>15.1404683</v>
      </c>
      <c r="M450" s="6">
        <f>[1]Results!P291</f>
        <v>15.11165057</v>
      </c>
      <c r="N450" s="6">
        <f>[1]Results!Q291</f>
        <v>15.101417590000001</v>
      </c>
      <c r="O450" s="6">
        <f>[1]Results!R291</f>
        <v>15.09826331</v>
      </c>
      <c r="P450" s="6">
        <f>[1]Results!S291</f>
        <v>15.098664769999999</v>
      </c>
      <c r="Q450" s="6">
        <f>[1]Results!T291</f>
        <v>15.10473258</v>
      </c>
      <c r="R450" s="6">
        <f>[1]Results!U291</f>
        <v>15.118238720000001</v>
      </c>
      <c r="S450" s="6">
        <f>[1]Results!V291</f>
        <v>15.13853654</v>
      </c>
      <c r="T450" s="6">
        <f>[1]Results!W291</f>
        <v>15.17359212</v>
      </c>
      <c r="U450" s="6">
        <f>[1]Results!X291</f>
        <v>15.227856109999999</v>
      </c>
      <c r="V450" s="6">
        <f>[1]Results!Y291</f>
        <v>15.30350475</v>
      </c>
      <c r="W450" s="6">
        <f>[1]Results!Z291</f>
        <v>15.39812781</v>
      </c>
      <c r="X450" s="6">
        <f>[1]Results!AA291</f>
        <v>15.520117109999999</v>
      </c>
      <c r="Y450" s="6">
        <f>[1]Results!AB291</f>
        <v>15.6710519</v>
      </c>
      <c r="Z450" s="6">
        <f>[1]Results!AC291</f>
        <v>15.851862840000001</v>
      </c>
      <c r="AA450" s="6">
        <f>[1]Results!AD291</f>
        <v>16.063186049999999</v>
      </c>
      <c r="AB450" s="6">
        <f>[1]Results!AE291</f>
        <v>16.293988200000001</v>
      </c>
      <c r="AC450" s="6">
        <f>[1]Results!AF291</f>
        <v>16.558775929999999</v>
      </c>
      <c r="AD450" s="6">
        <f>[1]Results!AG291</f>
        <v>16.861019240000001</v>
      </c>
      <c r="AE450" s="6">
        <f>[1]Results!AH291</f>
        <v>17.20375748</v>
      </c>
      <c r="AF450" s="6">
        <f>[1]Results!AI291</f>
        <v>17.58790904</v>
      </c>
      <c r="AG450" s="6">
        <f>[1]Results!AJ291</f>
        <v>18.01351232</v>
      </c>
      <c r="AH450" s="6">
        <f>[1]Results!AK291</f>
        <v>18.48170867</v>
      </c>
      <c r="AI450" s="6">
        <f>[1]Results!AL291</f>
        <v>18.99561842</v>
      </c>
      <c r="AJ450" s="6">
        <f>[1]Results!AM291</f>
        <v>19.560485740000001</v>
      </c>
      <c r="AK450" s="6">
        <f>[1]Results!AN291</f>
        <v>20.184551379999998</v>
      </c>
      <c r="AL450" s="6">
        <f>[1]Results!AO291</f>
        <v>20.880981049999999</v>
      </c>
    </row>
    <row r="451" spans="1:38" x14ac:dyDescent="0.35">
      <c r="B451" s="6" t="str">
        <f>[1]Results!E293</f>
        <v>CF_toe_cgas_2</v>
      </c>
      <c r="C451" s="6">
        <f>[1]Results!F293</f>
        <v>34.131798240000002</v>
      </c>
      <c r="D451" s="6">
        <f>[1]Results!G293</f>
        <v>33.921030829999999</v>
      </c>
      <c r="E451" s="6">
        <f>[1]Results!H293</f>
        <v>33.748974080000004</v>
      </c>
      <c r="F451" s="6">
        <f>[1]Results!I293</f>
        <v>33.493329660000001</v>
      </c>
      <c r="G451" s="6">
        <f>[1]Results!J293</f>
        <v>33.547516729999998</v>
      </c>
      <c r="H451" s="6">
        <f>[1]Results!K293</f>
        <v>33.796648750000003</v>
      </c>
      <c r="I451" s="6">
        <f>[1]Results!L293</f>
        <v>33.897641729999997</v>
      </c>
      <c r="J451" s="6">
        <f>[1]Results!M293</f>
        <v>32.767859059999999</v>
      </c>
      <c r="K451" s="6">
        <f>[1]Results!N293</f>
        <v>31.658903859999999</v>
      </c>
      <c r="L451" s="6">
        <f>[1]Results!O293</f>
        <v>30.79071952</v>
      </c>
      <c r="M451" s="6">
        <f>[1]Results!P293</f>
        <v>30.09361195</v>
      </c>
      <c r="N451" s="6">
        <f>[1]Results!Q293</f>
        <v>29.618099449999999</v>
      </c>
      <c r="O451" s="6">
        <f>[1]Results!R293</f>
        <v>29.257983920000001</v>
      </c>
      <c r="P451" s="6">
        <f>[1]Results!S293</f>
        <v>28.968845630000001</v>
      </c>
      <c r="Q451" s="6">
        <f>[1]Results!T293</f>
        <v>28.738093490000001</v>
      </c>
      <c r="R451" s="6">
        <f>[1]Results!U293</f>
        <v>28.559250209999998</v>
      </c>
      <c r="S451" s="6">
        <f>[1]Results!V293</f>
        <v>28.45715826</v>
      </c>
      <c r="T451" s="6">
        <f>[1]Results!W293</f>
        <v>28.424616239999999</v>
      </c>
      <c r="U451" s="6">
        <f>[1]Results!X293</f>
        <v>28.461806939999999</v>
      </c>
      <c r="V451" s="6">
        <f>[1]Results!Y293</f>
        <v>28.57003598</v>
      </c>
      <c r="W451" s="6">
        <f>[1]Results!Z293</f>
        <v>28.74354744</v>
      </c>
      <c r="X451" s="6">
        <f>[1]Results!AA293</f>
        <v>29.00008768</v>
      </c>
      <c r="Y451" s="6">
        <f>[1]Results!AB293</f>
        <v>29.338374699999999</v>
      </c>
      <c r="Z451" s="6">
        <f>[1]Results!AC293</f>
        <v>29.760120109999999</v>
      </c>
      <c r="AA451" s="6">
        <f>[1]Results!AD293</f>
        <v>30.267370530000001</v>
      </c>
      <c r="AB451" s="6">
        <f>[1]Results!AE293</f>
        <v>30.838835329999998</v>
      </c>
      <c r="AC451" s="6">
        <f>[1]Results!AF293</f>
        <v>31.50840797</v>
      </c>
      <c r="AD451" s="6">
        <f>[1]Results!AG293</f>
        <v>32.289437599999999</v>
      </c>
      <c r="AE451" s="6">
        <f>[1]Results!AH293</f>
        <v>33.191734279999999</v>
      </c>
      <c r="AF451" s="6">
        <f>[1]Results!AI293</f>
        <v>34.220840289999998</v>
      </c>
      <c r="AG451" s="6">
        <f>[1]Results!AJ293</f>
        <v>35.382136109999998</v>
      </c>
      <c r="AH451" s="6">
        <f>[1]Results!AK293</f>
        <v>36.687089049999997</v>
      </c>
      <c r="AI451" s="6">
        <f>[1]Results!AL293</f>
        <v>38.155042569999999</v>
      </c>
      <c r="AJ451" s="6">
        <f>[1]Results!AM293</f>
        <v>39.812375289999999</v>
      </c>
      <c r="AK451" s="6">
        <f>[1]Results!AN293</f>
        <v>41.697103140000003</v>
      </c>
      <c r="AL451" s="6">
        <f>[1]Results!AO293</f>
        <v>43.866465519999998</v>
      </c>
    </row>
    <row r="452" spans="1:38" x14ac:dyDescent="0.35">
      <c r="B452" s="6" t="str">
        <f>[1]Results!E299</f>
        <v>CF_toe_cele_2</v>
      </c>
      <c r="C452" s="6">
        <f>[1]Results!F299</f>
        <v>38.029212520000002</v>
      </c>
      <c r="D452" s="6">
        <f>[1]Results!G299</f>
        <v>38.59114288</v>
      </c>
      <c r="E452" s="6">
        <f>[1]Results!H299</f>
        <v>39.14279114</v>
      </c>
      <c r="F452" s="6">
        <f>[1]Results!I299</f>
        <v>39.757892480000002</v>
      </c>
      <c r="G452" s="6">
        <f>[1]Results!J299</f>
        <v>40.32544034</v>
      </c>
      <c r="H452" s="6">
        <f>[1]Results!K299</f>
        <v>40.90807281</v>
      </c>
      <c r="I452" s="6">
        <f>[1]Results!L299</f>
        <v>41.535112480000002</v>
      </c>
      <c r="J452" s="6">
        <f>[1]Results!M299</f>
        <v>42.484491599999998</v>
      </c>
      <c r="K452" s="6">
        <f>[1]Results!N299</f>
        <v>43.373101409999997</v>
      </c>
      <c r="L452" s="6">
        <f>[1]Results!O299</f>
        <v>44.338949139999997</v>
      </c>
      <c r="M452" s="6">
        <f>[1]Results!P299</f>
        <v>45.272347259999997</v>
      </c>
      <c r="N452" s="6">
        <f>[1]Results!Q299</f>
        <v>45.925558279999997</v>
      </c>
      <c r="O452" s="6">
        <f>[1]Results!R299</f>
        <v>46.38883096</v>
      </c>
      <c r="P452" s="6">
        <f>[1]Results!S299</f>
        <v>46.73131077</v>
      </c>
      <c r="Q452" s="6">
        <f>[1]Results!T299</f>
        <v>47.011570339999999</v>
      </c>
      <c r="R452" s="6">
        <f>[1]Results!U299</f>
        <v>47.267170900000004</v>
      </c>
      <c r="S452" s="6">
        <f>[1]Results!V299</f>
        <v>47.56358925</v>
      </c>
      <c r="T452" s="6">
        <f>[1]Results!W299</f>
        <v>47.894217740000002</v>
      </c>
      <c r="U452" s="6">
        <f>[1]Results!X299</f>
        <v>48.267581939999999</v>
      </c>
      <c r="V452" s="6">
        <f>[1]Results!Y299</f>
        <v>48.69577855</v>
      </c>
      <c r="W452" s="6">
        <f>[1]Results!Z299</f>
        <v>49.180430700000002</v>
      </c>
      <c r="X452" s="6">
        <f>[1]Results!AA299</f>
        <v>49.753070960000002</v>
      </c>
      <c r="Y452" s="6">
        <f>[1]Results!AB299</f>
        <v>50.424125510000003</v>
      </c>
      <c r="Z452" s="6">
        <f>[1]Results!AC299</f>
        <v>51.20123521</v>
      </c>
      <c r="AA452" s="6">
        <f>[1]Results!AD299</f>
        <v>52.08811764</v>
      </c>
      <c r="AB452" s="6">
        <f>[1]Results!AE299</f>
        <v>53.052862390000001</v>
      </c>
      <c r="AC452" s="6">
        <f>[1]Results!AF299</f>
        <v>54.136546809999999</v>
      </c>
      <c r="AD452" s="6">
        <f>[1]Results!AG299</f>
        <v>55.349492740000002</v>
      </c>
      <c r="AE452" s="6">
        <f>[1]Results!AH299</f>
        <v>56.692760309999997</v>
      </c>
      <c r="AF452" s="6">
        <f>[1]Results!AI299</f>
        <v>58.154395370000003</v>
      </c>
      <c r="AG452" s="6">
        <f>[1]Results!AJ299</f>
        <v>59.716577710000003</v>
      </c>
      <c r="AH452" s="6">
        <f>[1]Results!AK299</f>
        <v>61.364834799999997</v>
      </c>
      <c r="AI452" s="6">
        <f>[1]Results!AL299</f>
        <v>63.088778410000003</v>
      </c>
      <c r="AJ452" s="6">
        <f>[1]Results!AM299</f>
        <v>64.877224440000006</v>
      </c>
      <c r="AK452" s="6">
        <f>[1]Results!AN299</f>
        <v>66.719826789999999</v>
      </c>
      <c r="AL452" s="6">
        <f>[1]Results!AO299</f>
        <v>68.608780049999993</v>
      </c>
    </row>
    <row r="453" spans="1:38" x14ac:dyDescent="0.35">
      <c r="B453" s="6" t="s">
        <v>75</v>
      </c>
      <c r="C453" s="6">
        <f>SUM(C454:C456)</f>
        <v>22.006702959000002</v>
      </c>
      <c r="D453" s="6">
        <f t="shared" ref="D453:AL453" si="93">SUM(D454:D456)</f>
        <v>22.194730797000002</v>
      </c>
      <c r="E453" s="6">
        <f t="shared" si="93"/>
        <v>22.400466186999999</v>
      </c>
      <c r="F453" s="6">
        <f t="shared" si="93"/>
        <v>22.593357033</v>
      </c>
      <c r="G453" s="6">
        <f t="shared" si="93"/>
        <v>22.846626362999999</v>
      </c>
      <c r="H453" s="6">
        <f t="shared" si="93"/>
        <v>23.146610618</v>
      </c>
      <c r="I453" s="6">
        <f t="shared" si="93"/>
        <v>23.458056880000001</v>
      </c>
      <c r="J453" s="6">
        <f t="shared" si="93"/>
        <v>23.439076624000002</v>
      </c>
      <c r="K453" s="6">
        <f t="shared" si="93"/>
        <v>23.361798916999998</v>
      </c>
      <c r="L453" s="6">
        <f t="shared" si="93"/>
        <v>23.363095311000002</v>
      </c>
      <c r="M453" s="6">
        <f t="shared" si="93"/>
        <v>23.370746174000001</v>
      </c>
      <c r="N453" s="6">
        <f t="shared" si="93"/>
        <v>23.352553291</v>
      </c>
      <c r="O453" s="6">
        <f t="shared" si="93"/>
        <v>23.305653691</v>
      </c>
      <c r="P453" s="6">
        <f t="shared" si="93"/>
        <v>23.242002757999998</v>
      </c>
      <c r="Q453" s="6">
        <f t="shared" si="93"/>
        <v>23.179951682000002</v>
      </c>
      <c r="R453" s="6">
        <f t="shared" si="93"/>
        <v>23.129937912000003</v>
      </c>
      <c r="S453" s="6">
        <f t="shared" si="93"/>
        <v>23.083903065000001</v>
      </c>
      <c r="T453" s="6">
        <f t="shared" si="93"/>
        <v>23.058342191999998</v>
      </c>
      <c r="U453" s="6">
        <f t="shared" si="93"/>
        <v>23.065086487999999</v>
      </c>
      <c r="V453" s="6">
        <f t="shared" si="93"/>
        <v>23.109978052999999</v>
      </c>
      <c r="W453" s="6">
        <f t="shared" si="93"/>
        <v>23.189387692</v>
      </c>
      <c r="X453" s="6">
        <f t="shared" si="93"/>
        <v>23.317978261</v>
      </c>
      <c r="Y453" s="6">
        <f t="shared" si="93"/>
        <v>23.497369231</v>
      </c>
      <c r="Z453" s="6">
        <f t="shared" si="93"/>
        <v>23.727927242</v>
      </c>
      <c r="AA453" s="6">
        <f t="shared" si="93"/>
        <v>24.008203119999997</v>
      </c>
      <c r="AB453" s="6">
        <f t="shared" si="93"/>
        <v>24.316525888000001</v>
      </c>
      <c r="AC453" s="6">
        <f t="shared" si="93"/>
        <v>24.675800015999997</v>
      </c>
      <c r="AD453" s="6">
        <f t="shared" si="93"/>
        <v>25.091972296000002</v>
      </c>
      <c r="AE453" s="6">
        <f t="shared" si="93"/>
        <v>25.564956587000001</v>
      </c>
      <c r="AF453" s="6">
        <f t="shared" si="93"/>
        <v>26.087850175</v>
      </c>
      <c r="AG453" s="6">
        <f t="shared" si="93"/>
        <v>26.651469358</v>
      </c>
      <c r="AH453" s="6">
        <f t="shared" si="93"/>
        <v>27.249552989000001</v>
      </c>
      <c r="AI453" s="6">
        <f t="shared" si="93"/>
        <v>27.878370465000003</v>
      </c>
      <c r="AJ453" s="6">
        <f t="shared" si="93"/>
        <v>28.534328747</v>
      </c>
      <c r="AK453" s="6">
        <f t="shared" si="93"/>
        <v>29.214234558999998</v>
      </c>
      <c r="AL453" s="6">
        <f t="shared" si="93"/>
        <v>29.915578559</v>
      </c>
    </row>
    <row r="454" spans="1:38" x14ac:dyDescent="0.35">
      <c r="B454" s="6" t="str">
        <f>[1]Results!E309</f>
        <v>CF_toe_chea_2</v>
      </c>
      <c r="C454" s="6">
        <f>[1]Results!F309</f>
        <v>5.1300730300000001</v>
      </c>
      <c r="D454" s="6">
        <f>[1]Results!G309</f>
        <v>5.1910641780000004</v>
      </c>
      <c r="E454" s="6">
        <f>[1]Results!H309</f>
        <v>5.253029862</v>
      </c>
      <c r="F454" s="6">
        <f>[1]Results!I309</f>
        <v>5.3109046519999996</v>
      </c>
      <c r="G454" s="6">
        <f>[1]Results!J309</f>
        <v>5.3689424140000002</v>
      </c>
      <c r="H454" s="6">
        <f>[1]Results!K309</f>
        <v>5.4334953050000001</v>
      </c>
      <c r="I454" s="6">
        <f>[1]Results!L309</f>
        <v>5.4932634279999997</v>
      </c>
      <c r="J454" s="6">
        <f>[1]Results!M309</f>
        <v>5.5177255550000002</v>
      </c>
      <c r="K454" s="6">
        <f>[1]Results!N309</f>
        <v>5.5075166739999997</v>
      </c>
      <c r="L454" s="6">
        <f>[1]Results!O309</f>
        <v>5.4949251449999998</v>
      </c>
      <c r="M454" s="6">
        <f>[1]Results!P309</f>
        <v>5.4850396979999996</v>
      </c>
      <c r="N454" s="6">
        <f>[1]Results!Q309</f>
        <v>5.4684765769999997</v>
      </c>
      <c r="O454" s="6">
        <f>[1]Results!R309</f>
        <v>5.4554232569999996</v>
      </c>
      <c r="P454" s="6">
        <f>[1]Results!S309</f>
        <v>5.4481883050000004</v>
      </c>
      <c r="Q454" s="6">
        <f>[1]Results!T309</f>
        <v>5.4472429990000002</v>
      </c>
      <c r="R454" s="6">
        <f>[1]Results!U309</f>
        <v>5.4519670160000002</v>
      </c>
      <c r="S454" s="6">
        <f>[1]Results!V309</f>
        <v>5.4642141759999996</v>
      </c>
      <c r="T454" s="6">
        <f>[1]Results!W309</f>
        <v>5.4816053719999998</v>
      </c>
      <c r="U454" s="6">
        <f>[1]Results!X309</f>
        <v>5.5041004359999999</v>
      </c>
      <c r="V454" s="6">
        <f>[1]Results!Y309</f>
        <v>5.5323951429999996</v>
      </c>
      <c r="W454" s="6">
        <f>[1]Results!Z309</f>
        <v>5.5634590399999997</v>
      </c>
      <c r="X454" s="6">
        <f>[1]Results!AA309</f>
        <v>5.6047246839999998</v>
      </c>
      <c r="Y454" s="6">
        <f>[1]Results!AB309</f>
        <v>5.6559511120000003</v>
      </c>
      <c r="Z454" s="6">
        <f>[1]Results!AC309</f>
        <v>5.7173416269999997</v>
      </c>
      <c r="AA454" s="6">
        <f>[1]Results!AD309</f>
        <v>5.7891471189999999</v>
      </c>
      <c r="AB454" s="6">
        <f>[1]Results!AE309</f>
        <v>5.8605860349999999</v>
      </c>
      <c r="AC454" s="6">
        <f>[1]Results!AF309</f>
        <v>5.945046241</v>
      </c>
      <c r="AD454" s="6">
        <f>[1]Results!AG309</f>
        <v>6.0430282990000004</v>
      </c>
      <c r="AE454" s="6">
        <f>[1]Results!AH309</f>
        <v>6.1548004870000002</v>
      </c>
      <c r="AF454" s="6">
        <f>[1]Results!AI309</f>
        <v>6.279924082</v>
      </c>
      <c r="AG454" s="6">
        <f>[1]Results!AJ309</f>
        <v>6.4177489420000002</v>
      </c>
      <c r="AH454" s="6">
        <f>[1]Results!AK309</f>
        <v>6.5679770670000002</v>
      </c>
      <c r="AI454" s="6">
        <f>[1]Results!AL309</f>
        <v>6.7303536690000003</v>
      </c>
      <c r="AJ454" s="6">
        <f>[1]Results!AM309</f>
        <v>6.9050593449999997</v>
      </c>
      <c r="AK454" s="6">
        <f>[1]Results!AN309</f>
        <v>7.0926706360000003</v>
      </c>
      <c r="AL454" s="6">
        <f>[1]Results!AO309</f>
        <v>7.2942688359999996</v>
      </c>
    </row>
    <row r="455" spans="1:38" x14ac:dyDescent="0.35">
      <c r="B455" s="6" t="str">
        <f>[1]Results!E311</f>
        <v>CF_toe_cbio_2</v>
      </c>
      <c r="C455" s="6">
        <f>[1]Results!F311</f>
        <v>8.1755841480000004</v>
      </c>
      <c r="D455" s="6">
        <f>[1]Results!G311</f>
        <v>8.1066908140000002</v>
      </c>
      <c r="E455" s="6">
        <f>[1]Results!H311</f>
        <v>8.032334036</v>
      </c>
      <c r="F455" s="6">
        <f>[1]Results!I311</f>
        <v>7.9425797039999999</v>
      </c>
      <c r="G455" s="6">
        <f>[1]Results!J311</f>
        <v>7.8973234789999998</v>
      </c>
      <c r="H455" s="6">
        <f>[1]Results!K311</f>
        <v>7.8758953419999997</v>
      </c>
      <c r="I455" s="6">
        <f>[1]Results!L311</f>
        <v>7.8650944220000003</v>
      </c>
      <c r="J455" s="6">
        <f>[1]Results!M311</f>
        <v>7.6693996489999998</v>
      </c>
      <c r="K455" s="6">
        <f>[1]Results!N311</f>
        <v>7.4800207829999996</v>
      </c>
      <c r="L455" s="6">
        <f>[1]Results!O311</f>
        <v>7.3146711360000003</v>
      </c>
      <c r="M455" s="6">
        <f>[1]Results!P311</f>
        <v>7.1682737660000004</v>
      </c>
      <c r="N455" s="6">
        <f>[1]Results!Q311</f>
        <v>7.0631672539999997</v>
      </c>
      <c r="O455" s="6">
        <f>[1]Results!R311</f>
        <v>6.9748615239999996</v>
      </c>
      <c r="P455" s="6">
        <f>[1]Results!S311</f>
        <v>6.8935929829999996</v>
      </c>
      <c r="Q455" s="6">
        <f>[1]Results!T311</f>
        <v>6.8165954830000004</v>
      </c>
      <c r="R455" s="6">
        <f>[1]Results!U311</f>
        <v>6.7432324860000001</v>
      </c>
      <c r="S455" s="6">
        <f>[1]Results!V311</f>
        <v>6.6554656989999996</v>
      </c>
      <c r="T455" s="6">
        <f>[1]Results!W311</f>
        <v>6.5655904500000002</v>
      </c>
      <c r="U455" s="6">
        <f>[1]Results!X311</f>
        <v>6.4795588820000001</v>
      </c>
      <c r="V455" s="6">
        <f>[1]Results!Y311</f>
        <v>6.4000681500000001</v>
      </c>
      <c r="W455" s="6">
        <f>[1]Results!Z311</f>
        <v>6.326243002</v>
      </c>
      <c r="X455" s="6">
        <f>[1]Results!AA311</f>
        <v>6.262028087</v>
      </c>
      <c r="Y455" s="6">
        <f>[1]Results!AB311</f>
        <v>6.2071432690000004</v>
      </c>
      <c r="Z455" s="6">
        <f>[1]Results!AC311</f>
        <v>6.161344605</v>
      </c>
      <c r="AA455" s="6">
        <f>[1]Results!AD311</f>
        <v>6.1243770209999999</v>
      </c>
      <c r="AB455" s="6">
        <f>[1]Results!AE311</f>
        <v>6.090405863</v>
      </c>
      <c r="AC455" s="6">
        <f>[1]Results!AF311</f>
        <v>6.0657811050000001</v>
      </c>
      <c r="AD455" s="6">
        <f>[1]Results!AG311</f>
        <v>6.0505642770000003</v>
      </c>
      <c r="AE455" s="6">
        <f>[1]Results!AH311</f>
        <v>6.04442462</v>
      </c>
      <c r="AF455" s="6">
        <f>[1]Results!AI311</f>
        <v>6.0465514530000002</v>
      </c>
      <c r="AG455" s="6">
        <f>[1]Results!AJ311</f>
        <v>6.0559747660000003</v>
      </c>
      <c r="AH455" s="6">
        <f>[1]Results!AK311</f>
        <v>6.0719816120000001</v>
      </c>
      <c r="AI455" s="6">
        <f>[1]Results!AL311</f>
        <v>6.0940800460000002</v>
      </c>
      <c r="AJ455" s="6">
        <f>[1]Results!AM311</f>
        <v>6.1217334719999998</v>
      </c>
      <c r="AK455" s="6">
        <f>[1]Results!AN311</f>
        <v>6.1544930229999997</v>
      </c>
      <c r="AL455" s="6">
        <f>[1]Results!AO311</f>
        <v>6.1920299529999996</v>
      </c>
    </row>
    <row r="456" spans="1:38" x14ac:dyDescent="0.35">
      <c r="B456" s="6" t="str">
        <f>[1]Results!E314</f>
        <v>CF_toe_cote_2</v>
      </c>
      <c r="C456" s="6">
        <f>[1]Results!F314</f>
        <v>8.7010457809999995</v>
      </c>
      <c r="D456" s="6">
        <f>[1]Results!G314</f>
        <v>8.8969758050000003</v>
      </c>
      <c r="E456" s="6">
        <f>[1]Results!H314</f>
        <v>9.1151022889999993</v>
      </c>
      <c r="F456" s="6">
        <f>[1]Results!I314</f>
        <v>9.3398726770000007</v>
      </c>
      <c r="G456" s="6">
        <f>[1]Results!J314</f>
        <v>9.5803604700000005</v>
      </c>
      <c r="H456" s="6">
        <f>[1]Results!K314</f>
        <v>9.8372199709999997</v>
      </c>
      <c r="I456" s="6">
        <f>[1]Results!L314</f>
        <v>10.09969903</v>
      </c>
      <c r="J456" s="6">
        <f>[1]Results!M314</f>
        <v>10.251951419999999</v>
      </c>
      <c r="K456" s="6">
        <f>[1]Results!N314</f>
        <v>10.37426146</v>
      </c>
      <c r="L456" s="6">
        <f>[1]Results!O314</f>
        <v>10.553499029999999</v>
      </c>
      <c r="M456" s="6">
        <f>[1]Results!P314</f>
        <v>10.717432710000001</v>
      </c>
      <c r="N456" s="6">
        <f>[1]Results!Q314</f>
        <v>10.820909459999999</v>
      </c>
      <c r="O456" s="6">
        <f>[1]Results!R314</f>
        <v>10.875368910000001</v>
      </c>
      <c r="P456" s="6">
        <f>[1]Results!S314</f>
        <v>10.90022147</v>
      </c>
      <c r="Q456" s="6">
        <f>[1]Results!T314</f>
        <v>10.9161132</v>
      </c>
      <c r="R456" s="6">
        <f>[1]Results!U314</f>
        <v>10.93473841</v>
      </c>
      <c r="S456" s="6">
        <f>[1]Results!V314</f>
        <v>10.96422319</v>
      </c>
      <c r="T456" s="6">
        <f>[1]Results!W314</f>
        <v>11.011146370000001</v>
      </c>
      <c r="U456" s="6">
        <f>[1]Results!X314</f>
        <v>11.08142717</v>
      </c>
      <c r="V456" s="6">
        <f>[1]Results!Y314</f>
        <v>11.177514759999999</v>
      </c>
      <c r="W456" s="6">
        <f>[1]Results!Z314</f>
        <v>11.299685650000001</v>
      </c>
      <c r="X456" s="6">
        <f>[1]Results!AA314</f>
        <v>11.451225490000001</v>
      </c>
      <c r="Y456" s="6">
        <f>[1]Results!AB314</f>
        <v>11.634274850000001</v>
      </c>
      <c r="Z456" s="6">
        <f>[1]Results!AC314</f>
        <v>11.84924101</v>
      </c>
      <c r="AA456" s="6">
        <f>[1]Results!AD314</f>
        <v>12.094678979999999</v>
      </c>
      <c r="AB456" s="6">
        <f>[1]Results!AE314</f>
        <v>12.365533989999999</v>
      </c>
      <c r="AC456" s="6">
        <f>[1]Results!AF314</f>
        <v>12.664972669999999</v>
      </c>
      <c r="AD456" s="6">
        <f>[1]Results!AG314</f>
        <v>12.998379720000001</v>
      </c>
      <c r="AE456" s="6">
        <f>[1]Results!AH314</f>
        <v>13.365731480000001</v>
      </c>
      <c r="AF456" s="6">
        <f>[1]Results!AI314</f>
        <v>13.76137464</v>
      </c>
      <c r="AG456" s="6">
        <f>[1]Results!AJ314</f>
        <v>14.17774565</v>
      </c>
      <c r="AH456" s="6">
        <f>[1]Results!AK314</f>
        <v>14.60959431</v>
      </c>
      <c r="AI456" s="6">
        <f>[1]Results!AL314</f>
        <v>15.05393675</v>
      </c>
      <c r="AJ456" s="6">
        <f>[1]Results!AM314</f>
        <v>15.50753593</v>
      </c>
      <c r="AK456" s="6">
        <f>[1]Results!AN314</f>
        <v>15.9670709</v>
      </c>
      <c r="AL456" s="6">
        <f>[1]Results!AO314</f>
        <v>16.429279770000001</v>
      </c>
    </row>
    <row r="457" spans="1:3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</row>
    <row r="458" spans="1:38" x14ac:dyDescent="0.35">
      <c r="A458" s="12" t="s">
        <v>93</v>
      </c>
      <c r="B458" s="6" t="str">
        <f>[1]Results!E317</f>
        <v>CF_toe_0</v>
      </c>
      <c r="C458" s="6">
        <f>[1]Results!F317</f>
        <v>161.69427809999999</v>
      </c>
      <c r="D458" s="6">
        <f>[1]Results!G317</f>
        <v>162.55302499999999</v>
      </c>
      <c r="E458" s="6">
        <f>[1]Results!H317</f>
        <v>163.46206380000001</v>
      </c>
      <c r="F458" s="6">
        <f>[1]Results!I317</f>
        <v>164.38467869999999</v>
      </c>
      <c r="G458" s="6">
        <f>[1]Results!J317</f>
        <v>165.90385699999999</v>
      </c>
      <c r="H458" s="6">
        <f>[1]Results!K317</f>
        <v>167.91772230000001</v>
      </c>
      <c r="I458" s="6">
        <f>[1]Results!L317</f>
        <v>169.96072520000001</v>
      </c>
      <c r="J458" s="6">
        <f>[1]Results!M317</f>
        <v>171.99870519999999</v>
      </c>
      <c r="K458" s="6">
        <f>[1]Results!N317</f>
        <v>174.04341310000001</v>
      </c>
      <c r="L458" s="6">
        <f>[1]Results!O317</f>
        <v>176.1031175</v>
      </c>
      <c r="M458" s="6">
        <f>[1]Results!P317</f>
        <v>178.13936079999999</v>
      </c>
      <c r="N458" s="6">
        <f>[1]Results!Q317</f>
        <v>179.71478300000001</v>
      </c>
      <c r="O458" s="6">
        <f>[1]Results!R317</f>
        <v>180.90565090000001</v>
      </c>
      <c r="P458" s="6">
        <f>[1]Results!S317</f>
        <v>181.7965882</v>
      </c>
      <c r="Q458" s="6">
        <f>[1]Results!T317</f>
        <v>182.4866634</v>
      </c>
      <c r="R458" s="6">
        <f>[1]Results!U317</f>
        <v>183.07132799999999</v>
      </c>
      <c r="S458" s="6">
        <f>[1]Results!V317</f>
        <v>183.85292150000001</v>
      </c>
      <c r="T458" s="6">
        <f>[1]Results!W317</f>
        <v>184.87895829999999</v>
      </c>
      <c r="U458" s="6">
        <f>[1]Results!X317</f>
        <v>186.1795123</v>
      </c>
      <c r="V458" s="6">
        <f>[1]Results!Y317</f>
        <v>187.76850830000001</v>
      </c>
      <c r="W458" s="6">
        <f>[1]Results!Z317</f>
        <v>189.61605349999999</v>
      </c>
      <c r="X458" s="6">
        <f>[1]Results!AA317</f>
        <v>191.80021249999999</v>
      </c>
      <c r="Y458" s="6">
        <f>[1]Results!AB317</f>
        <v>194.33341909999999</v>
      </c>
      <c r="Z458" s="6">
        <f>[1]Results!AC317</f>
        <v>197.2280408</v>
      </c>
      <c r="AA458" s="6">
        <f>[1]Results!AD317</f>
        <v>200.48521700000001</v>
      </c>
      <c r="AB458" s="6">
        <f>[1]Results!AE317</f>
        <v>203.9818228</v>
      </c>
      <c r="AC458" s="6">
        <f>[1]Results!AF317</f>
        <v>207.84663699999999</v>
      </c>
      <c r="AD458" s="6">
        <f>[1]Results!AG317</f>
        <v>212.0920989</v>
      </c>
      <c r="AE458" s="6">
        <f>[1]Results!AH317</f>
        <v>216.71896659999999</v>
      </c>
      <c r="AF458" s="6">
        <f>[1]Results!AI317</f>
        <v>221.6835069</v>
      </c>
      <c r="AG458" s="6">
        <f>[1]Results!AJ317</f>
        <v>226.91739190000001</v>
      </c>
      <c r="AH458" s="6">
        <f>[1]Results!AK317</f>
        <v>232.35448550000001</v>
      </c>
      <c r="AI458" s="6">
        <f>[1]Results!AL317</f>
        <v>237.9359638</v>
      </c>
      <c r="AJ458" s="6">
        <f>[1]Results!AM317</f>
        <v>243.60662339999999</v>
      </c>
      <c r="AK458" s="6">
        <f>[1]Results!AN317</f>
        <v>249.3124138</v>
      </c>
      <c r="AL458" s="6">
        <f>[1]Results!AO317</f>
        <v>254.99935840000001</v>
      </c>
    </row>
    <row r="459" spans="1:38" x14ac:dyDescent="0.35">
      <c r="A459" t="s">
        <v>38</v>
      </c>
      <c r="B459" s="6" t="str">
        <f>[1]Results!E318</f>
        <v>CF_toe_ccoa_0</v>
      </c>
      <c r="C459" s="6">
        <f>[1]Results!F318</f>
        <v>5.4028818909999998</v>
      </c>
      <c r="D459" s="6">
        <f>[1]Results!G318</f>
        <v>5.441783043</v>
      </c>
      <c r="E459" s="6">
        <f>[1]Results!H318</f>
        <v>5.4869486670000001</v>
      </c>
      <c r="F459" s="6">
        <f>[1]Results!I318</f>
        <v>5.5158022510000002</v>
      </c>
      <c r="G459" s="6">
        <f>[1]Results!J318</f>
        <v>5.5837484010000002</v>
      </c>
      <c r="H459" s="6">
        <f>[1]Results!K318</f>
        <v>5.6823443669999998</v>
      </c>
      <c r="I459" s="6">
        <f>[1]Results!L318</f>
        <v>5.793229685</v>
      </c>
      <c r="J459" s="6">
        <f>[1]Results!M318</f>
        <v>5.904638544</v>
      </c>
      <c r="K459" s="6">
        <f>[1]Results!N318</f>
        <v>6.015114895</v>
      </c>
      <c r="L459" s="6">
        <f>[1]Results!O318</f>
        <v>6.1248116379999997</v>
      </c>
      <c r="M459" s="6">
        <f>[1]Results!P318</f>
        <v>6.2279948999999997</v>
      </c>
      <c r="N459" s="6">
        <f>[1]Results!Q318</f>
        <v>6.3012362700000004</v>
      </c>
      <c r="O459" s="6">
        <f>[1]Results!R318</f>
        <v>6.3520159940000003</v>
      </c>
      <c r="P459" s="6">
        <f>[1]Results!S318</f>
        <v>6.3881346649999999</v>
      </c>
      <c r="Q459" s="6">
        <f>[1]Results!T318</f>
        <v>6.4171702870000003</v>
      </c>
      <c r="R459" s="6">
        <f>[1]Results!U318</f>
        <v>6.4452640780000001</v>
      </c>
      <c r="S459" s="6">
        <f>[1]Results!V318</f>
        <v>6.4875094329999996</v>
      </c>
      <c r="T459" s="6">
        <f>[1]Results!W318</f>
        <v>6.5495602870000003</v>
      </c>
      <c r="U459" s="6">
        <f>[1]Results!X318</f>
        <v>6.633307866</v>
      </c>
      <c r="V459" s="6">
        <f>[1]Results!Y318</f>
        <v>6.738384495</v>
      </c>
      <c r="W459" s="6">
        <f>[1]Results!Z318</f>
        <v>6.8634055629999997</v>
      </c>
      <c r="X459" s="6">
        <f>[1]Results!AA318</f>
        <v>7.0085468200000003</v>
      </c>
      <c r="Y459" s="6">
        <f>[1]Results!AB318</f>
        <v>7.1740133540000004</v>
      </c>
      <c r="Z459" s="6">
        <f>[1]Results!AC318</f>
        <v>7.3596648030000003</v>
      </c>
      <c r="AA459" s="6">
        <f>[1]Results!AD318</f>
        <v>7.5645692020000004</v>
      </c>
      <c r="AB459" s="6">
        <f>[1]Results!AE318</f>
        <v>7.785892445</v>
      </c>
      <c r="AC459" s="6">
        <f>[1]Results!AF318</f>
        <v>8.0249695209999992</v>
      </c>
      <c r="AD459" s="6">
        <f>[1]Results!AG318</f>
        <v>8.2827983750000005</v>
      </c>
      <c r="AE459" s="6">
        <f>[1]Results!AH318</f>
        <v>8.5592795899999992</v>
      </c>
      <c r="AF459" s="6">
        <f>[1]Results!AI318</f>
        <v>8.8514371759999992</v>
      </c>
      <c r="AG459" s="6">
        <f>[1]Results!AJ318</f>
        <v>9.1550543399999995</v>
      </c>
      <c r="AH459" s="6">
        <f>[1]Results!AK318</f>
        <v>9.4665882920000008</v>
      </c>
      <c r="AI459" s="6">
        <f>[1]Results!AL318</f>
        <v>9.7834698969999998</v>
      </c>
      <c r="AJ459" s="6">
        <f>[1]Results!AM318</f>
        <v>10.10353035</v>
      </c>
      <c r="AK459" s="6">
        <f>[1]Results!AN318</f>
        <v>10.424704609999999</v>
      </c>
      <c r="AL459" s="6">
        <f>[1]Results!AO318</f>
        <v>10.74490144</v>
      </c>
    </row>
    <row r="460" spans="1:38" x14ac:dyDescent="0.35">
      <c r="B460" s="6" t="s">
        <v>74</v>
      </c>
      <c r="C460" s="6">
        <f>C461+C462+C463</f>
        <v>62.123682370400005</v>
      </c>
      <c r="D460" s="6">
        <f t="shared" ref="D460:AI460" si="94">D461+D462+D463</f>
        <v>62.404337178900001</v>
      </c>
      <c r="E460" s="6">
        <f t="shared" si="94"/>
        <v>62.682883277199998</v>
      </c>
      <c r="F460" s="6">
        <f t="shared" si="94"/>
        <v>63.024296709799998</v>
      </c>
      <c r="G460" s="6">
        <f t="shared" si="94"/>
        <v>63.600524471300005</v>
      </c>
      <c r="H460" s="6">
        <f t="shared" si="94"/>
        <v>64.384044948699994</v>
      </c>
      <c r="I460" s="6">
        <f t="shared" si="94"/>
        <v>65.276683595099996</v>
      </c>
      <c r="J460" s="6">
        <f t="shared" si="94"/>
        <v>66.212361096199999</v>
      </c>
      <c r="K460" s="6">
        <f t="shared" si="94"/>
        <v>67.168418357600004</v>
      </c>
      <c r="L460" s="6">
        <f t="shared" si="94"/>
        <v>68.136910099999994</v>
      </c>
      <c r="M460" s="6">
        <f t="shared" si="94"/>
        <v>69.100151414899997</v>
      </c>
      <c r="N460" s="6">
        <f t="shared" si="94"/>
        <v>69.921556506399995</v>
      </c>
      <c r="O460" s="6">
        <f t="shared" si="94"/>
        <v>70.615034288999993</v>
      </c>
      <c r="P460" s="6">
        <f t="shared" si="94"/>
        <v>71.199844014099995</v>
      </c>
      <c r="Q460" s="6">
        <f t="shared" si="94"/>
        <v>71.701322683299992</v>
      </c>
      <c r="R460" s="6">
        <f t="shared" si="94"/>
        <v>72.145765641300002</v>
      </c>
      <c r="S460" s="6">
        <f t="shared" si="94"/>
        <v>72.602141083700005</v>
      </c>
      <c r="T460" s="6">
        <f t="shared" si="94"/>
        <v>73.114082915899999</v>
      </c>
      <c r="U460" s="6">
        <f t="shared" si="94"/>
        <v>73.70118796669999</v>
      </c>
      <c r="V460" s="6">
        <f t="shared" si="94"/>
        <v>74.371136534899989</v>
      </c>
      <c r="W460" s="6">
        <f t="shared" si="94"/>
        <v>75.115774464400005</v>
      </c>
      <c r="X460" s="6">
        <f t="shared" si="94"/>
        <v>75.957723077300003</v>
      </c>
      <c r="Y460" s="6">
        <f t="shared" si="94"/>
        <v>76.90317259310001</v>
      </c>
      <c r="Z460" s="6">
        <f t="shared" si="94"/>
        <v>77.958317380099999</v>
      </c>
      <c r="AA460" s="6">
        <f t="shared" si="94"/>
        <v>79.125597307999996</v>
      </c>
      <c r="AB460" s="6">
        <f t="shared" si="94"/>
        <v>80.369684598299997</v>
      </c>
      <c r="AC460" s="6">
        <f t="shared" si="94"/>
        <v>81.727706018099994</v>
      </c>
      <c r="AD460" s="6">
        <f t="shared" si="94"/>
        <v>83.208114731600006</v>
      </c>
      <c r="AE460" s="6">
        <f t="shared" si="94"/>
        <v>84.814969247100009</v>
      </c>
      <c r="AF460" s="6">
        <f t="shared" si="94"/>
        <v>86.53822907579999</v>
      </c>
      <c r="AG460" s="6">
        <f t="shared" si="94"/>
        <v>88.358991446800005</v>
      </c>
      <c r="AH460" s="6">
        <f t="shared" si="94"/>
        <v>90.257525048199994</v>
      </c>
      <c r="AI460" s="6">
        <f t="shared" si="94"/>
        <v>92.215088581499998</v>
      </c>
      <c r="AJ460" s="6">
        <f>AJ461+AJ462+AJ463</f>
        <v>94.212671337700002</v>
      </c>
      <c r="AK460" s="6">
        <f t="shared" ref="AK460" si="95">AK461+AK462+AK463</f>
        <v>96.230642183000001</v>
      </c>
      <c r="AL460" s="6">
        <f t="shared" ref="AL460" si="96">AL461+AL462+AL463</f>
        <v>98.248589921800004</v>
      </c>
    </row>
    <row r="461" spans="1:38" x14ac:dyDescent="0.35">
      <c r="B461" s="6" t="str">
        <f>[1]Results!E321</f>
        <v>CF_toe_ccoi_0</v>
      </c>
      <c r="C461" s="6">
        <f>[1]Results!F321</f>
        <v>8.3953620399999998E-2</v>
      </c>
      <c r="D461" s="6">
        <f>[1]Results!G321</f>
        <v>8.4487798899999994E-2</v>
      </c>
      <c r="E461" s="6">
        <f>[1]Results!H321</f>
        <v>8.5097257199999998E-2</v>
      </c>
      <c r="F461" s="6">
        <f>[1]Results!I321</f>
        <v>8.5571029800000004E-2</v>
      </c>
      <c r="G461" s="6">
        <f>[1]Results!J321</f>
        <v>8.6610261300000005E-2</v>
      </c>
      <c r="H461" s="6">
        <f>[1]Results!K321</f>
        <v>8.8122838699999997E-2</v>
      </c>
      <c r="I461" s="6">
        <f>[1]Results!L321</f>
        <v>8.9348275099999999E-2</v>
      </c>
      <c r="J461" s="6">
        <f>[1]Results!M321</f>
        <v>9.0351316200000004E-2</v>
      </c>
      <c r="K461" s="6">
        <f>[1]Results!N321</f>
        <v>9.1223557600000005E-2</v>
      </c>
      <c r="L461" s="6">
        <f>[1]Results!O321</f>
        <v>9.2025480000000007E-2</v>
      </c>
      <c r="M461" s="6">
        <f>[1]Results!P321</f>
        <v>9.2737204899999995E-2</v>
      </c>
      <c r="N461" s="6">
        <f>[1]Results!Q321</f>
        <v>9.3063396399999998E-2</v>
      </c>
      <c r="O461" s="6">
        <f>[1]Results!R321</f>
        <v>9.3079429000000005E-2</v>
      </c>
      <c r="P461" s="6">
        <f>[1]Results!S321</f>
        <v>9.28621741E-2</v>
      </c>
      <c r="Q461" s="6">
        <f>[1]Results!T321</f>
        <v>9.2496233299999994E-2</v>
      </c>
      <c r="R461" s="6">
        <f>[1]Results!U321</f>
        <v>9.2060491300000005E-2</v>
      </c>
      <c r="S461" s="6">
        <f>[1]Results!V321</f>
        <v>9.2004513699999999E-2</v>
      </c>
      <c r="T461" s="6">
        <f>[1]Results!W321</f>
        <v>9.2278185900000004E-2</v>
      </c>
      <c r="U461" s="6">
        <f>[1]Results!X321</f>
        <v>9.2852936699999999E-2</v>
      </c>
      <c r="V461" s="6">
        <f>[1]Results!Y321</f>
        <v>9.3707734900000006E-2</v>
      </c>
      <c r="W461" s="6">
        <f>[1]Results!Z321</f>
        <v>9.4814414400000005E-2</v>
      </c>
      <c r="X461" s="6">
        <f>[1]Results!AA321</f>
        <v>9.6197387300000006E-2</v>
      </c>
      <c r="Y461" s="6">
        <f>[1]Results!AB321</f>
        <v>9.7861853100000007E-2</v>
      </c>
      <c r="Z461" s="6">
        <f>[1]Results!AC321</f>
        <v>9.9813960100000002E-2</v>
      </c>
      <c r="AA461" s="6">
        <f>[1]Results!AD321</f>
        <v>0.102052318</v>
      </c>
      <c r="AB461" s="6">
        <f>[1]Results!AE321</f>
        <v>0.1045233483</v>
      </c>
      <c r="AC461" s="6">
        <f>[1]Results!AF321</f>
        <v>0.1072836481</v>
      </c>
      <c r="AD461" s="6">
        <f>[1]Results!AG321</f>
        <v>0.1103456816</v>
      </c>
      <c r="AE461" s="6">
        <f>[1]Results!AH321</f>
        <v>0.1137127771</v>
      </c>
      <c r="AF461" s="6">
        <f>[1]Results!AI321</f>
        <v>0.11735556580000001</v>
      </c>
      <c r="AG461" s="6">
        <f>[1]Results!AJ321</f>
        <v>0.1212256968</v>
      </c>
      <c r="AH461" s="6">
        <f>[1]Results!AK321</f>
        <v>0.1252754982</v>
      </c>
      <c r="AI461" s="6">
        <f>[1]Results!AL321</f>
        <v>0.12946247150000001</v>
      </c>
      <c r="AJ461" s="6">
        <f>[1]Results!AM321</f>
        <v>0.1337450077</v>
      </c>
      <c r="AK461" s="6">
        <f>[1]Results!AN321</f>
        <v>0.138080483</v>
      </c>
      <c r="AL461" s="6">
        <f>[1]Results!AO321</f>
        <v>0.14242457180000001</v>
      </c>
    </row>
    <row r="462" spans="1:38" x14ac:dyDescent="0.35">
      <c r="B462" s="6" t="str">
        <f>[1]Results!E324</f>
        <v>CF_toe_cfut_0</v>
      </c>
      <c r="C462" s="6">
        <f>[1]Results!F324</f>
        <v>47.250386450000001</v>
      </c>
      <c r="D462" s="6">
        <f>[1]Results!G324</f>
        <v>47.454210539999998</v>
      </c>
      <c r="E462" s="6">
        <f>[1]Results!H324</f>
        <v>47.66478824</v>
      </c>
      <c r="F462" s="6">
        <f>[1]Results!I324</f>
        <v>47.949029359999997</v>
      </c>
      <c r="G462" s="6">
        <f>[1]Results!J324</f>
        <v>48.427439450000001</v>
      </c>
      <c r="H462" s="6">
        <f>[1]Results!K324</f>
        <v>49.079870999999997</v>
      </c>
      <c r="I462" s="6">
        <f>[1]Results!L324</f>
        <v>49.837486159999997</v>
      </c>
      <c r="J462" s="6">
        <f>[1]Results!M324</f>
        <v>50.645064720000001</v>
      </c>
      <c r="K462" s="6">
        <f>[1]Results!N324</f>
        <v>51.477894050000003</v>
      </c>
      <c r="L462" s="6">
        <f>[1]Results!O324</f>
        <v>52.324724590000002</v>
      </c>
      <c r="M462" s="6">
        <f>[1]Results!P324</f>
        <v>53.166107230000001</v>
      </c>
      <c r="N462" s="6">
        <f>[1]Results!Q324</f>
        <v>53.898223659999999</v>
      </c>
      <c r="O462" s="6">
        <f>[1]Results!R324</f>
        <v>54.52949125</v>
      </c>
      <c r="P462" s="6">
        <f>[1]Results!S324</f>
        <v>55.07341589</v>
      </c>
      <c r="Q462" s="6">
        <f>[1]Results!T324</f>
        <v>55.54883117</v>
      </c>
      <c r="R462" s="6">
        <f>[1]Results!U324</f>
        <v>55.975699880000001</v>
      </c>
      <c r="S462" s="6">
        <f>[1]Results!V324</f>
        <v>56.399986490000003</v>
      </c>
      <c r="T462" s="6">
        <f>[1]Results!W324</f>
        <v>56.85723299</v>
      </c>
      <c r="U462" s="6">
        <f>[1]Results!X324</f>
        <v>57.36674455</v>
      </c>
      <c r="V462" s="6">
        <f>[1]Results!Y324</f>
        <v>57.936696419999997</v>
      </c>
      <c r="W462" s="6">
        <f>[1]Results!Z324</f>
        <v>58.563483439999999</v>
      </c>
      <c r="X462" s="6">
        <f>[1]Results!AA324</f>
        <v>59.262470350000001</v>
      </c>
      <c r="Y462" s="6">
        <f>[1]Results!AB324</f>
        <v>60.040126100000002</v>
      </c>
      <c r="Z462" s="6">
        <f>[1]Results!AC324</f>
        <v>60.901995479999997</v>
      </c>
      <c r="AA462" s="6">
        <f>[1]Results!AD324</f>
        <v>61.850308859999998</v>
      </c>
      <c r="AB462" s="6">
        <f>[1]Results!AE324</f>
        <v>62.862141700000002</v>
      </c>
      <c r="AC462" s="6">
        <f>[1]Results!AF324</f>
        <v>63.960588119999997</v>
      </c>
      <c r="AD462" s="6">
        <f>[1]Results!AG324</f>
        <v>65.152958620000007</v>
      </c>
      <c r="AE462" s="6">
        <f>[1]Results!AH324</f>
        <v>66.44282226</v>
      </c>
      <c r="AF462" s="6">
        <f>[1]Results!AI324</f>
        <v>67.822667899999999</v>
      </c>
      <c r="AG462" s="6">
        <f>[1]Results!AJ324</f>
        <v>69.278030540000003</v>
      </c>
      <c r="AH462" s="6">
        <f>[1]Results!AK324</f>
        <v>70.793682309999994</v>
      </c>
      <c r="AI462" s="6">
        <f>[1]Results!AL324</f>
        <v>72.355209729999999</v>
      </c>
      <c r="AJ462" s="6">
        <f>[1]Results!AM324</f>
        <v>73.9478218</v>
      </c>
      <c r="AK462" s="6">
        <f>[1]Results!AN324</f>
        <v>75.555961710000005</v>
      </c>
      <c r="AL462" s="6">
        <f>[1]Results!AO324</f>
        <v>77.163306030000001</v>
      </c>
    </row>
    <row r="463" spans="1:38" x14ac:dyDescent="0.35">
      <c r="B463" s="6" t="str">
        <f>[1]Results!E327</f>
        <v>CF_toe_cfuh_0</v>
      </c>
      <c r="C463" s="6">
        <f>[1]Results!F327</f>
        <v>14.789342299999999</v>
      </c>
      <c r="D463" s="6">
        <f>[1]Results!G327</f>
        <v>14.865638840000001</v>
      </c>
      <c r="E463" s="6">
        <f>[1]Results!H327</f>
        <v>14.932997780000001</v>
      </c>
      <c r="F463" s="6">
        <f>[1]Results!I327</f>
        <v>14.98969632</v>
      </c>
      <c r="G463" s="6">
        <f>[1]Results!J327</f>
        <v>15.08647476</v>
      </c>
      <c r="H463" s="6">
        <f>[1]Results!K327</f>
        <v>15.21605111</v>
      </c>
      <c r="I463" s="6">
        <f>[1]Results!L327</f>
        <v>15.34984916</v>
      </c>
      <c r="J463" s="6">
        <f>[1]Results!M327</f>
        <v>15.47694506</v>
      </c>
      <c r="K463" s="6">
        <f>[1]Results!N327</f>
        <v>15.599300749999999</v>
      </c>
      <c r="L463" s="6">
        <f>[1]Results!O327</f>
        <v>15.720160030000001</v>
      </c>
      <c r="M463" s="6">
        <f>[1]Results!P327</f>
        <v>15.841306980000001</v>
      </c>
      <c r="N463" s="6">
        <f>[1]Results!Q327</f>
        <v>15.930269450000001</v>
      </c>
      <c r="O463" s="6">
        <f>[1]Results!R327</f>
        <v>15.99246361</v>
      </c>
      <c r="P463" s="6">
        <f>[1]Results!S327</f>
        <v>16.03356595</v>
      </c>
      <c r="Q463" s="6">
        <f>[1]Results!T327</f>
        <v>16.059995279999999</v>
      </c>
      <c r="R463" s="6">
        <f>[1]Results!U327</f>
        <v>16.078005269999998</v>
      </c>
      <c r="S463" s="6">
        <f>[1]Results!V327</f>
        <v>16.11015008</v>
      </c>
      <c r="T463" s="6">
        <f>[1]Results!W327</f>
        <v>16.16457174</v>
      </c>
      <c r="U463" s="6">
        <f>[1]Results!X327</f>
        <v>16.241590479999999</v>
      </c>
      <c r="V463" s="6">
        <f>[1]Results!Y327</f>
        <v>16.340732379999999</v>
      </c>
      <c r="W463" s="6">
        <f>[1]Results!Z327</f>
        <v>16.457476610000001</v>
      </c>
      <c r="X463" s="6">
        <f>[1]Results!AA327</f>
        <v>16.59905534</v>
      </c>
      <c r="Y463" s="6">
        <f>[1]Results!AB327</f>
        <v>16.765184640000001</v>
      </c>
      <c r="Z463" s="6">
        <f>[1]Results!AC327</f>
        <v>16.956507940000002</v>
      </c>
      <c r="AA463" s="6">
        <f>[1]Results!AD327</f>
        <v>17.173236129999999</v>
      </c>
      <c r="AB463" s="6">
        <f>[1]Results!AE327</f>
        <v>17.40301955</v>
      </c>
      <c r="AC463" s="6">
        <f>[1]Results!AF327</f>
        <v>17.659834249999999</v>
      </c>
      <c r="AD463" s="6">
        <f>[1]Results!AG327</f>
        <v>17.94481043</v>
      </c>
      <c r="AE463" s="6">
        <f>[1]Results!AH327</f>
        <v>18.258434210000001</v>
      </c>
      <c r="AF463" s="6">
        <f>[1]Results!AI327</f>
        <v>18.598205610000001</v>
      </c>
      <c r="AG463" s="6">
        <f>[1]Results!AJ327</f>
        <v>18.959735210000002</v>
      </c>
      <c r="AH463" s="6">
        <f>[1]Results!AK327</f>
        <v>19.33856724</v>
      </c>
      <c r="AI463" s="6">
        <f>[1]Results!AL327</f>
        <v>19.730416380000001</v>
      </c>
      <c r="AJ463" s="6">
        <f>[1]Results!AM327</f>
        <v>20.131104530000002</v>
      </c>
      <c r="AK463" s="6">
        <f>[1]Results!AN327</f>
        <v>20.536599989999999</v>
      </c>
      <c r="AL463" s="6">
        <f>[1]Results!AO327</f>
        <v>20.94285932</v>
      </c>
    </row>
    <row r="464" spans="1:38" x14ac:dyDescent="0.35">
      <c r="B464" s="6" t="str">
        <f>[1]Results!E329</f>
        <v>CF_toe_cgas_0</v>
      </c>
      <c r="C464" s="6">
        <f>[1]Results!F329</f>
        <v>34.131798320000001</v>
      </c>
      <c r="D464" s="6">
        <f>[1]Results!G329</f>
        <v>33.9210311</v>
      </c>
      <c r="E464" s="6">
        <f>[1]Results!H329</f>
        <v>33.748974500000003</v>
      </c>
      <c r="F464" s="6">
        <f>[1]Results!I329</f>
        <v>33.49333026</v>
      </c>
      <c r="G464" s="6">
        <f>[1]Results!J329</f>
        <v>33.547517429999999</v>
      </c>
      <c r="H464" s="6">
        <f>[1]Results!K329</f>
        <v>33.796649510000002</v>
      </c>
      <c r="I464" s="6">
        <f>[1]Results!L329</f>
        <v>33.897642509999997</v>
      </c>
      <c r="J464" s="6">
        <f>[1]Results!M329</f>
        <v>33.909725430000002</v>
      </c>
      <c r="K464" s="6">
        <f>[1]Results!N329</f>
        <v>33.889613789999999</v>
      </c>
      <c r="L464" s="6">
        <f>[1]Results!O329</f>
        <v>33.863703819999998</v>
      </c>
      <c r="M464" s="6">
        <f>[1]Results!P329</f>
        <v>33.83967088</v>
      </c>
      <c r="N464" s="6">
        <f>[1]Results!Q329</f>
        <v>33.733157740000003</v>
      </c>
      <c r="O464" s="6">
        <f>[1]Results!R329</f>
        <v>33.565507609999997</v>
      </c>
      <c r="P464" s="6">
        <f>[1]Results!S329</f>
        <v>33.355154040000002</v>
      </c>
      <c r="Q464" s="6">
        <f>[1]Results!T329</f>
        <v>33.120849229999997</v>
      </c>
      <c r="R464" s="6">
        <f>[1]Results!U329</f>
        <v>32.879439089999998</v>
      </c>
      <c r="S464" s="6">
        <f>[1]Results!V329</f>
        <v>32.811700530000003</v>
      </c>
      <c r="T464" s="6">
        <f>[1]Results!W329</f>
        <v>32.860452700000003</v>
      </c>
      <c r="U464" s="6">
        <f>[1]Results!X329</f>
        <v>32.997244629999997</v>
      </c>
      <c r="V464" s="6">
        <f>[1]Results!Y329</f>
        <v>33.206212630000003</v>
      </c>
      <c r="W464" s="6">
        <f>[1]Results!Z329</f>
        <v>33.469698020000003</v>
      </c>
      <c r="X464" s="6">
        <f>[1]Results!AA329</f>
        <v>33.800593849999998</v>
      </c>
      <c r="Y464" s="6">
        <f>[1]Results!AB329</f>
        <v>34.197223819999998</v>
      </c>
      <c r="Z464" s="6">
        <f>[1]Results!AC329</f>
        <v>34.660277720000003</v>
      </c>
      <c r="AA464" s="6">
        <f>[1]Results!AD329</f>
        <v>35.189278170000001</v>
      </c>
      <c r="AB464" s="6">
        <f>[1]Results!AE329</f>
        <v>35.756468050000002</v>
      </c>
      <c r="AC464" s="6">
        <f>[1]Results!AF329</f>
        <v>36.393850370000003</v>
      </c>
      <c r="AD464" s="6">
        <f>[1]Results!AG329</f>
        <v>37.103215749999997</v>
      </c>
      <c r="AE464" s="6">
        <f>[1]Results!AH329</f>
        <v>37.885291680000002</v>
      </c>
      <c r="AF464" s="6">
        <f>[1]Results!AI329</f>
        <v>38.733564110000003</v>
      </c>
      <c r="AG464" s="6">
        <f>[1]Results!AJ329</f>
        <v>39.636948910000001</v>
      </c>
      <c r="AH464" s="6">
        <f>[1]Results!AK329</f>
        <v>40.584404190000001</v>
      </c>
      <c r="AI464" s="6">
        <f>[1]Results!AL329</f>
        <v>41.565130410000002</v>
      </c>
      <c r="AJ464" s="6">
        <f>[1]Results!AM329</f>
        <v>42.569062080000002</v>
      </c>
      <c r="AK464" s="6">
        <f>[1]Results!AN329</f>
        <v>43.586291410000001</v>
      </c>
      <c r="AL464" s="6">
        <f>[1]Results!AO329</f>
        <v>44.606737809999998</v>
      </c>
    </row>
    <row r="465" spans="1:38" x14ac:dyDescent="0.35">
      <c r="B465" s="6" t="str">
        <f>[1]Results!E335</f>
        <v>CF_toe_cele_0</v>
      </c>
      <c r="C465" s="6">
        <f>[1]Results!F335</f>
        <v>38.029212510000001</v>
      </c>
      <c r="D465" s="6">
        <f>[1]Results!G335</f>
        <v>38.591142869999999</v>
      </c>
      <c r="E465" s="6">
        <f>[1]Results!H335</f>
        <v>39.142791129999999</v>
      </c>
      <c r="F465" s="6">
        <f>[1]Results!I335</f>
        <v>39.757892460000001</v>
      </c>
      <c r="G465" s="6">
        <f>[1]Results!J335</f>
        <v>40.325440319999998</v>
      </c>
      <c r="H465" s="6">
        <f>[1]Results!K335</f>
        <v>40.908072789999999</v>
      </c>
      <c r="I465" s="6">
        <f>[1]Results!L335</f>
        <v>41.535112460000001</v>
      </c>
      <c r="J465" s="6">
        <f>[1]Results!M335</f>
        <v>42.205152089999999</v>
      </c>
      <c r="K465" s="6">
        <f>[1]Results!N335</f>
        <v>42.900023930000003</v>
      </c>
      <c r="L465" s="6">
        <f>[1]Results!O335</f>
        <v>43.609010300000001</v>
      </c>
      <c r="M465" s="6">
        <f>[1]Results!P335</f>
        <v>44.314592099999999</v>
      </c>
      <c r="N465" s="6">
        <f>[1]Results!Q335</f>
        <v>44.899114060000002</v>
      </c>
      <c r="O465" s="6">
        <f>[1]Results!R335</f>
        <v>45.373648629999998</v>
      </c>
      <c r="P465" s="6">
        <f>[1]Results!S335</f>
        <v>45.757106950000001</v>
      </c>
      <c r="Q465" s="6">
        <f>[1]Results!T335</f>
        <v>46.07719092</v>
      </c>
      <c r="R465" s="6">
        <f>[1]Results!U335</f>
        <v>46.3635527</v>
      </c>
      <c r="S465" s="6">
        <f>[1]Results!V335</f>
        <v>46.625409400000002</v>
      </c>
      <c r="T465" s="6">
        <f>[1]Results!W335</f>
        <v>46.901236079999997</v>
      </c>
      <c r="U465" s="6">
        <f>[1]Results!X335</f>
        <v>47.220253599999999</v>
      </c>
      <c r="V465" s="6">
        <f>[1]Results!Y335</f>
        <v>47.60307486</v>
      </c>
      <c r="W465" s="6">
        <f>[1]Results!Z335</f>
        <v>48.054070289999999</v>
      </c>
      <c r="X465" s="6">
        <f>[1]Results!AA335</f>
        <v>48.602612350000001</v>
      </c>
      <c r="Y465" s="6">
        <f>[1]Results!AB335</f>
        <v>49.256629390000001</v>
      </c>
      <c r="Z465" s="6">
        <f>[1]Results!AC335</f>
        <v>50.022100090000002</v>
      </c>
      <c r="AA465" s="6">
        <f>[1]Results!AD335</f>
        <v>50.901361020000003</v>
      </c>
      <c r="AB465" s="6">
        <f>[1]Results!AE335</f>
        <v>51.861655059999997</v>
      </c>
      <c r="AC465" s="6">
        <f>[1]Results!AF335</f>
        <v>52.937617750000001</v>
      </c>
      <c r="AD465" s="6">
        <f>[1]Results!AG335</f>
        <v>54.129517200000002</v>
      </c>
      <c r="AE465" s="6">
        <f>[1]Results!AH335</f>
        <v>55.434689259999999</v>
      </c>
      <c r="AF465" s="6">
        <f>[1]Results!AI335</f>
        <v>56.837599730000001</v>
      </c>
      <c r="AG465" s="6">
        <f>[1]Results!AJ335</f>
        <v>58.315951550000001</v>
      </c>
      <c r="AH465" s="6">
        <f>[1]Results!AK335</f>
        <v>59.848056880000001</v>
      </c>
      <c r="AI465" s="6">
        <f>[1]Results!AL335</f>
        <v>61.414966059999998</v>
      </c>
      <c r="AJ465" s="6">
        <f>[1]Results!AM335</f>
        <v>62.999347520000001</v>
      </c>
      <c r="AK465" s="6">
        <f>[1]Results!AN335</f>
        <v>64.584925650000002</v>
      </c>
      <c r="AL465" s="6">
        <f>[1]Results!AO335</f>
        <v>66.156302449999998</v>
      </c>
    </row>
    <row r="466" spans="1:38" x14ac:dyDescent="0.35">
      <c r="B466" s="6" t="s">
        <v>75</v>
      </c>
      <c r="C466" s="6">
        <f>SUM(C467:C469)</f>
        <v>22.006702959999998</v>
      </c>
      <c r="D466" s="6">
        <f t="shared" ref="D466:AL466" si="97">SUM(D467:D469)</f>
        <v>22.194730804000002</v>
      </c>
      <c r="E466" s="6">
        <f t="shared" si="97"/>
        <v>22.400466201</v>
      </c>
      <c r="F466" s="6">
        <f t="shared" si="97"/>
        <v>22.593357054000002</v>
      </c>
      <c r="G466" s="6">
        <f t="shared" si="97"/>
        <v>22.846626391000001</v>
      </c>
      <c r="H466" s="6">
        <f t="shared" si="97"/>
        <v>23.14661065</v>
      </c>
      <c r="I466" s="6">
        <f t="shared" si="97"/>
        <v>23.458056915</v>
      </c>
      <c r="J466" s="6">
        <f t="shared" si="97"/>
        <v>23.766828034</v>
      </c>
      <c r="K466" s="6">
        <f t="shared" si="97"/>
        <v>24.070242183000001</v>
      </c>
      <c r="L466" s="6">
        <f t="shared" si="97"/>
        <v>24.368681619999997</v>
      </c>
      <c r="M466" s="6">
        <f t="shared" si="97"/>
        <v>24.656951482</v>
      </c>
      <c r="N466" s="6">
        <f t="shared" si="97"/>
        <v>24.859718385000001</v>
      </c>
      <c r="O466" s="6">
        <f t="shared" si="97"/>
        <v>24.999444342</v>
      </c>
      <c r="P466" s="6">
        <f t="shared" si="97"/>
        <v>25.09634853</v>
      </c>
      <c r="Q466" s="6">
        <f t="shared" si="97"/>
        <v>25.170130323999999</v>
      </c>
      <c r="R466" s="6">
        <f t="shared" si="97"/>
        <v>25.237306491000002</v>
      </c>
      <c r="S466" s="6">
        <f t="shared" si="97"/>
        <v>25.326161018000001</v>
      </c>
      <c r="T466" s="6">
        <f t="shared" si="97"/>
        <v>25.453626333000003</v>
      </c>
      <c r="U466" s="6">
        <f t="shared" si="97"/>
        <v>25.627518193999997</v>
      </c>
      <c r="V466" s="6">
        <f t="shared" si="97"/>
        <v>25.849699735000002</v>
      </c>
      <c r="W466" s="6">
        <f t="shared" si="97"/>
        <v>26.113105177999998</v>
      </c>
      <c r="X466" s="6">
        <f t="shared" si="97"/>
        <v>26.430736369000002</v>
      </c>
      <c r="Y466" s="6">
        <f t="shared" si="97"/>
        <v>26.802379947999999</v>
      </c>
      <c r="Z466" s="6">
        <f t="shared" si="97"/>
        <v>27.227680821</v>
      </c>
      <c r="AA466" s="6">
        <f t="shared" si="97"/>
        <v>27.704411260999997</v>
      </c>
      <c r="AB466" s="6">
        <f t="shared" si="97"/>
        <v>28.208122679999999</v>
      </c>
      <c r="AC466" s="6">
        <f t="shared" si="97"/>
        <v>28.762493391</v>
      </c>
      <c r="AD466" s="6">
        <f t="shared" si="97"/>
        <v>29.368452801</v>
      </c>
      <c r="AE466" s="6">
        <f t="shared" si="97"/>
        <v>30.024736827000002</v>
      </c>
      <c r="AF466" s="6">
        <f t="shared" si="97"/>
        <v>30.722676782000001</v>
      </c>
      <c r="AG466" s="6">
        <f t="shared" si="97"/>
        <v>31.450445711</v>
      </c>
      <c r="AH466" s="6">
        <f t="shared" si="97"/>
        <v>32.197911099999999</v>
      </c>
      <c r="AI466" s="6">
        <f t="shared" si="97"/>
        <v>32.957308841</v>
      </c>
      <c r="AJ466" s="6">
        <f t="shared" si="97"/>
        <v>33.722012155000002</v>
      </c>
      <c r="AK466" s="6">
        <f t="shared" si="97"/>
        <v>34.485849946999998</v>
      </c>
      <c r="AL466" s="6">
        <f t="shared" si="97"/>
        <v>35.242826755000003</v>
      </c>
    </row>
    <row r="467" spans="1:38" x14ac:dyDescent="0.35">
      <c r="B467" s="6" t="str">
        <f>[1]Results!E345</f>
        <v>CF_toe_chea_0</v>
      </c>
      <c r="C467" s="6">
        <f>[1]Results!F345</f>
        <v>5.1300730310000002</v>
      </c>
      <c r="D467" s="6">
        <f>[1]Results!G345</f>
        <v>5.1910641850000001</v>
      </c>
      <c r="E467" s="6">
        <f>[1]Results!H345</f>
        <v>5.2530298750000002</v>
      </c>
      <c r="F467" s="6">
        <f>[1]Results!I345</f>
        <v>5.3109046710000003</v>
      </c>
      <c r="G467" s="6">
        <f>[1]Results!J345</f>
        <v>5.3689424389999996</v>
      </c>
      <c r="H467" s="6">
        <f>[1]Results!K345</f>
        <v>5.4334953329999998</v>
      </c>
      <c r="I467" s="6">
        <f>[1]Results!L345</f>
        <v>5.4932634589999996</v>
      </c>
      <c r="J467" s="6">
        <f>[1]Results!M345</f>
        <v>5.5487601790000003</v>
      </c>
      <c r="K467" s="6">
        <f>[1]Results!N345</f>
        <v>5.6009037849999999</v>
      </c>
      <c r="L467" s="6">
        <f>[1]Results!O345</f>
        <v>5.6509674030000001</v>
      </c>
      <c r="M467" s="6">
        <f>[1]Results!P345</f>
        <v>5.7038375930000003</v>
      </c>
      <c r="N467" s="6">
        <f>[1]Results!Q345</f>
        <v>5.7423324779999998</v>
      </c>
      <c r="O467" s="6">
        <f>[1]Results!R345</f>
        <v>5.7704976710000002</v>
      </c>
      <c r="P467" s="6">
        <f>[1]Results!S345</f>
        <v>5.7914519090000001</v>
      </c>
      <c r="Q467" s="6">
        <f>[1]Results!T345</f>
        <v>5.8080755269999997</v>
      </c>
      <c r="R467" s="6">
        <f>[1]Results!U345</f>
        <v>5.8228172389999999</v>
      </c>
      <c r="S467" s="6">
        <f>[1]Results!V345</f>
        <v>5.8446483990000004</v>
      </c>
      <c r="T467" s="6">
        <f>[1]Results!W345</f>
        <v>5.8754016419999999</v>
      </c>
      <c r="U467" s="6">
        <f>[1]Results!X345</f>
        <v>5.9147760460000001</v>
      </c>
      <c r="V467" s="6">
        <f>[1]Results!Y345</f>
        <v>5.9618635419999997</v>
      </c>
      <c r="W467" s="6">
        <f>[1]Results!Z345</f>
        <v>6.0122954159999997</v>
      </c>
      <c r="X467" s="6">
        <f>[1]Results!AA345</f>
        <v>6.0726877159999999</v>
      </c>
      <c r="Y467" s="6">
        <f>[1]Results!AB345</f>
        <v>6.1420939649999999</v>
      </c>
      <c r="Z467" s="6">
        <f>[1]Results!AC345</f>
        <v>6.2201641670000001</v>
      </c>
      <c r="AA467" s="6">
        <f>[1]Results!AD345</f>
        <v>6.3066082420000003</v>
      </c>
      <c r="AB467" s="6">
        <f>[1]Results!AE345</f>
        <v>6.3899830619999998</v>
      </c>
      <c r="AC467" s="6">
        <f>[1]Results!AF345</f>
        <v>6.4830811600000002</v>
      </c>
      <c r="AD467" s="6">
        <f>[1]Results!AG345</f>
        <v>6.585505994</v>
      </c>
      <c r="AE467" s="6">
        <f>[1]Results!AH345</f>
        <v>6.6969004280000002</v>
      </c>
      <c r="AF467" s="6">
        <f>[1]Results!AI345</f>
        <v>6.8159623580000002</v>
      </c>
      <c r="AG467" s="6">
        <f>[1]Results!AJ345</f>
        <v>6.940905914</v>
      </c>
      <c r="AH467" s="6">
        <f>[1]Results!AK345</f>
        <v>7.0700587559999999</v>
      </c>
      <c r="AI467" s="6">
        <f>[1]Results!AL345</f>
        <v>7.2019955060000003</v>
      </c>
      <c r="AJ467" s="6">
        <f>[1]Results!AM345</f>
        <v>7.3354019900000003</v>
      </c>
      <c r="AK467" s="6">
        <f>[1]Results!AN345</f>
        <v>7.4690130989999997</v>
      </c>
      <c r="AL467" s="6">
        <f>[1]Results!AO345</f>
        <v>7.6015944510000004</v>
      </c>
    </row>
    <row r="468" spans="1:38" x14ac:dyDescent="0.35">
      <c r="B468" s="6" t="str">
        <f>[1]Results!E347</f>
        <v>CF_toe_cbio_0</v>
      </c>
      <c r="C468" s="6">
        <f>[1]Results!F347</f>
        <v>8.1755841480000004</v>
      </c>
      <c r="D468" s="6">
        <f>[1]Results!G347</f>
        <v>8.1066908150000003</v>
      </c>
      <c r="E468" s="6">
        <f>[1]Results!H347</f>
        <v>8.032334037</v>
      </c>
      <c r="F468" s="6">
        <f>[1]Results!I347</f>
        <v>7.9425797060000001</v>
      </c>
      <c r="G468" s="6">
        <f>[1]Results!J347</f>
        <v>7.897323482</v>
      </c>
      <c r="H468" s="6">
        <f>[1]Results!K347</f>
        <v>7.875895345</v>
      </c>
      <c r="I468" s="6">
        <f>[1]Results!L347</f>
        <v>7.8650944259999997</v>
      </c>
      <c r="J468" s="6">
        <f>[1]Results!M347</f>
        <v>7.8583929750000001</v>
      </c>
      <c r="K468" s="6">
        <f>[1]Results!N347</f>
        <v>7.8546416480000003</v>
      </c>
      <c r="L468" s="6">
        <f>[1]Results!O347</f>
        <v>7.8525251669999996</v>
      </c>
      <c r="M468" s="6">
        <f>[1]Results!P347</f>
        <v>7.853261399</v>
      </c>
      <c r="N468" s="6">
        <f>[1]Results!Q347</f>
        <v>7.8443784169999997</v>
      </c>
      <c r="O468" s="6">
        <f>[1]Results!R347</f>
        <v>7.8276189309999999</v>
      </c>
      <c r="P468" s="6">
        <f>[1]Results!S347</f>
        <v>7.8048194410000002</v>
      </c>
      <c r="Q468" s="6">
        <f>[1]Results!T347</f>
        <v>7.7781423070000004</v>
      </c>
      <c r="R468" s="6">
        <f>[1]Results!U347</f>
        <v>7.7497147020000003</v>
      </c>
      <c r="S468" s="6">
        <f>[1]Results!V347</f>
        <v>7.7220422490000002</v>
      </c>
      <c r="T468" s="6">
        <f>[1]Results!W347</f>
        <v>7.6974264510000001</v>
      </c>
      <c r="U468" s="6">
        <f>[1]Results!X347</f>
        <v>7.6775310479999996</v>
      </c>
      <c r="V468" s="6">
        <f>[1]Results!Y347</f>
        <v>7.6634305329999997</v>
      </c>
      <c r="W468" s="6">
        <f>[1]Results!Z347</f>
        <v>7.6533569320000003</v>
      </c>
      <c r="X468" s="6">
        <f>[1]Results!AA347</f>
        <v>7.6518079529999996</v>
      </c>
      <c r="Y468" s="6">
        <f>[1]Results!AB347</f>
        <v>7.6585469929999999</v>
      </c>
      <c r="Z468" s="6">
        <f>[1]Results!AC347</f>
        <v>7.6735411339999997</v>
      </c>
      <c r="AA468" s="6">
        <f>[1]Results!AD347</f>
        <v>7.6966043790000001</v>
      </c>
      <c r="AB468" s="6">
        <f>[1]Results!AE347</f>
        <v>7.7204676579999996</v>
      </c>
      <c r="AC468" s="6">
        <f>[1]Results!AF347</f>
        <v>7.7526580909999998</v>
      </c>
      <c r="AD468" s="6">
        <f>[1]Results!AG347</f>
        <v>7.7929563970000002</v>
      </c>
      <c r="AE468" s="6">
        <f>[1]Results!AH347</f>
        <v>7.8410217390000003</v>
      </c>
      <c r="AF468" s="6">
        <f>[1]Results!AI347</f>
        <v>7.8957584440000002</v>
      </c>
      <c r="AG468" s="6">
        <f>[1]Results!AJ347</f>
        <v>7.9556729769999999</v>
      </c>
      <c r="AH468" s="6">
        <f>[1]Results!AK347</f>
        <v>8.0193188939999995</v>
      </c>
      <c r="AI468" s="6">
        <f>[1]Results!AL347</f>
        <v>8.0853592949999999</v>
      </c>
      <c r="AJ468" s="6">
        <f>[1]Results!AM347</f>
        <v>8.1526403649999999</v>
      </c>
      <c r="AK468" s="6">
        <f>[1]Results!AN347</f>
        <v>8.2201104679999997</v>
      </c>
      <c r="AL468" s="6">
        <f>[1]Results!AO347</f>
        <v>8.2867839740000004</v>
      </c>
    </row>
    <row r="469" spans="1:38" x14ac:dyDescent="0.35">
      <c r="B469" s="6" t="str">
        <f>[1]Results!E350</f>
        <v>CF_toe_cote_0</v>
      </c>
      <c r="C469" s="6">
        <f>[1]Results!F350</f>
        <v>8.7010457809999995</v>
      </c>
      <c r="D469" s="6">
        <f>[1]Results!G350</f>
        <v>8.8969758040000002</v>
      </c>
      <c r="E469" s="6">
        <f>[1]Results!H350</f>
        <v>9.1151022889999993</v>
      </c>
      <c r="F469" s="6">
        <f>[1]Results!I350</f>
        <v>9.3398726770000007</v>
      </c>
      <c r="G469" s="6">
        <f>[1]Results!J350</f>
        <v>9.5803604700000005</v>
      </c>
      <c r="H469" s="6">
        <f>[1]Results!K350</f>
        <v>9.8372199719999998</v>
      </c>
      <c r="I469" s="6">
        <f>[1]Results!L350</f>
        <v>10.09969903</v>
      </c>
      <c r="J469" s="6">
        <f>[1]Results!M350</f>
        <v>10.35967488</v>
      </c>
      <c r="K469" s="6">
        <f>[1]Results!N350</f>
        <v>10.61469675</v>
      </c>
      <c r="L469" s="6">
        <f>[1]Results!O350</f>
        <v>10.86518905</v>
      </c>
      <c r="M469" s="6">
        <f>[1]Results!P350</f>
        <v>11.09985249</v>
      </c>
      <c r="N469" s="6">
        <f>[1]Results!Q350</f>
        <v>11.273007489999999</v>
      </c>
      <c r="O469" s="6">
        <f>[1]Results!R350</f>
        <v>11.401327739999999</v>
      </c>
      <c r="P469" s="6">
        <f>[1]Results!S350</f>
        <v>11.50007718</v>
      </c>
      <c r="Q469" s="6">
        <f>[1]Results!T350</f>
        <v>11.583912489999999</v>
      </c>
      <c r="R469" s="6">
        <f>[1]Results!U350</f>
        <v>11.664774550000001</v>
      </c>
      <c r="S469" s="6">
        <f>[1]Results!V350</f>
        <v>11.759470370000001</v>
      </c>
      <c r="T469" s="6">
        <f>[1]Results!W350</f>
        <v>11.880798240000001</v>
      </c>
      <c r="U469" s="6">
        <f>[1]Results!X350</f>
        <v>12.0352111</v>
      </c>
      <c r="V469" s="6">
        <f>[1]Results!Y350</f>
        <v>12.22440566</v>
      </c>
      <c r="W469" s="6">
        <f>[1]Results!Z350</f>
        <v>12.44745283</v>
      </c>
      <c r="X469" s="6">
        <f>[1]Results!AA350</f>
        <v>12.7062407</v>
      </c>
      <c r="Y469" s="6">
        <f>[1]Results!AB350</f>
        <v>13.00173899</v>
      </c>
      <c r="Z469" s="6">
        <f>[1]Results!AC350</f>
        <v>13.333975519999999</v>
      </c>
      <c r="AA469" s="6">
        <f>[1]Results!AD350</f>
        <v>13.701198639999999</v>
      </c>
      <c r="AB469" s="6">
        <f>[1]Results!AE350</f>
        <v>14.09767196</v>
      </c>
      <c r="AC469" s="6">
        <f>[1]Results!AF350</f>
        <v>14.52675414</v>
      </c>
      <c r="AD469" s="6">
        <f>[1]Results!AG350</f>
        <v>14.989990410000001</v>
      </c>
      <c r="AE469" s="6">
        <f>[1]Results!AH350</f>
        <v>15.48681466</v>
      </c>
      <c r="AF469" s="6">
        <f>[1]Results!AI350</f>
        <v>16.010955979999999</v>
      </c>
      <c r="AG469" s="6">
        <f>[1]Results!AJ350</f>
        <v>16.55386682</v>
      </c>
      <c r="AH469" s="6">
        <f>[1]Results!AK350</f>
        <v>17.108533449999999</v>
      </c>
      <c r="AI469" s="6">
        <f>[1]Results!AL350</f>
        <v>17.66995404</v>
      </c>
      <c r="AJ469" s="6">
        <f>[1]Results!AM350</f>
        <v>18.233969800000001</v>
      </c>
      <c r="AK469" s="6">
        <f>[1]Results!AN350</f>
        <v>18.796726379999999</v>
      </c>
      <c r="AL469" s="6">
        <f>[1]Results!AO350</f>
        <v>19.35444833</v>
      </c>
    </row>
    <row r="471" spans="1:3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</row>
    <row r="472" spans="1:38" x14ac:dyDescent="0.35">
      <c r="A472" s="12" t="s">
        <v>93</v>
      </c>
      <c r="B472" t="s">
        <v>77</v>
      </c>
      <c r="C472" s="4">
        <f>C445/C458-1</f>
        <v>-6.18451068135073E-10</v>
      </c>
      <c r="D472" s="4">
        <f t="shared" ref="D472:AL472" si="98">D445/D458-1</f>
        <v>-1.8455514894100133E-9</v>
      </c>
      <c r="E472" s="4">
        <f t="shared" si="98"/>
        <v>-2.4470510062712947E-9</v>
      </c>
      <c r="F472" s="4">
        <f t="shared" si="98"/>
        <v>-3.6499750999396952E-9</v>
      </c>
      <c r="G472" s="4">
        <f t="shared" si="98"/>
        <v>-4.2193111227106783E-9</v>
      </c>
      <c r="H472" s="4">
        <f t="shared" si="98"/>
        <v>-4.7642381151291602E-9</v>
      </c>
      <c r="I472" s="4">
        <f t="shared" si="98"/>
        <v>-4.7069698139168281E-9</v>
      </c>
      <c r="J472" s="4">
        <f t="shared" si="98"/>
        <v>-1.2030745217493477E-2</v>
      </c>
      <c r="K472" s="4">
        <f t="shared" si="98"/>
        <v>-2.5299652664648953E-2</v>
      </c>
      <c r="L472" s="4">
        <f t="shared" si="98"/>
        <v>-3.5034341740145414E-2</v>
      </c>
      <c r="M472" s="4">
        <f t="shared" si="98"/>
        <v>-4.326653843028716E-2</v>
      </c>
      <c r="N472" s="4">
        <f t="shared" si="98"/>
        <v>-4.91986154527978E-2</v>
      </c>
      <c r="O472" s="4">
        <f t="shared" si="98"/>
        <v>-5.363924372580231E-2</v>
      </c>
      <c r="P472" s="4">
        <f t="shared" si="98"/>
        <v>-5.6919809125438703E-2</v>
      </c>
      <c r="Q472" s="4">
        <f t="shared" si="98"/>
        <v>-5.9148537207568852E-2</v>
      </c>
      <c r="R472" s="4">
        <f t="shared" si="98"/>
        <v>-6.0556992845979707E-2</v>
      </c>
      <c r="S472" s="4">
        <f t="shared" si="98"/>
        <v>-6.2428235060708492E-2</v>
      </c>
      <c r="T472" s="4">
        <f t="shared" si="98"/>
        <v>-6.4764323155535597E-2</v>
      </c>
      <c r="U472" s="4">
        <f t="shared" si="98"/>
        <v>-6.741578407282145E-2</v>
      </c>
      <c r="V472" s="4">
        <f t="shared" si="98"/>
        <v>-7.0219622658630909E-2</v>
      </c>
      <c r="W472" s="4">
        <f t="shared" si="98"/>
        <v>-7.3032931254420341E-2</v>
      </c>
      <c r="X472" s="4">
        <f t="shared" si="98"/>
        <v>-7.5717582429685737E-2</v>
      </c>
      <c r="Y472" s="4">
        <f t="shared" si="98"/>
        <v>-7.8188466864678285E-2</v>
      </c>
      <c r="Z472" s="4">
        <f t="shared" si="98"/>
        <v>-8.0394283874060557E-2</v>
      </c>
      <c r="AA472" s="4">
        <f t="shared" si="98"/>
        <v>-8.2287465613985922E-2</v>
      </c>
      <c r="AB472" s="4">
        <f t="shared" si="98"/>
        <v>-8.383219722850721E-2</v>
      </c>
      <c r="AC472" s="4">
        <f t="shared" si="98"/>
        <v>-8.4921071395540504E-2</v>
      </c>
      <c r="AD472" s="4">
        <f t="shared" si="98"/>
        <v>-8.5376130435380393E-2</v>
      </c>
      <c r="AE472" s="4">
        <f t="shared" si="98"/>
        <v>-8.5114435480147743E-2</v>
      </c>
      <c r="AF472" s="4">
        <f t="shared" si="98"/>
        <v>-8.4048517909836362E-2</v>
      </c>
      <c r="AG472" s="4">
        <f t="shared" si="98"/>
        <v>-8.2063285868393621E-2</v>
      </c>
      <c r="AH472" s="4">
        <f t="shared" si="98"/>
        <v>-7.8982993422780257E-2</v>
      </c>
      <c r="AI472" s="4">
        <f t="shared" si="98"/>
        <v>-7.4573681576420858E-2</v>
      </c>
      <c r="AJ472" s="4">
        <f t="shared" si="98"/>
        <v>-6.8576429765497049E-2</v>
      </c>
      <c r="AK472" s="4">
        <f t="shared" si="98"/>
        <v>-6.0648144508879565E-2</v>
      </c>
      <c r="AL472" s="4">
        <f t="shared" si="98"/>
        <v>-5.028456416696625E-2</v>
      </c>
    </row>
    <row r="473" spans="1:38" x14ac:dyDescent="0.35">
      <c r="A473" t="s">
        <v>88</v>
      </c>
      <c r="B473" t="s">
        <v>76</v>
      </c>
      <c r="C473" s="4">
        <f>(C446-C459)/C$458</f>
        <v>0</v>
      </c>
      <c r="D473" s="4">
        <f t="shared" ref="D473:AL473" si="99">(D446-D459)/D$458</f>
        <v>0</v>
      </c>
      <c r="E473" s="4">
        <f t="shared" si="99"/>
        <v>0</v>
      </c>
      <c r="F473" s="4">
        <f t="shared" si="99"/>
        <v>0</v>
      </c>
      <c r="G473" s="4">
        <f t="shared" si="99"/>
        <v>0</v>
      </c>
      <c r="H473" s="4">
        <f t="shared" si="99"/>
        <v>0</v>
      </c>
      <c r="I473" s="4">
        <f t="shared" si="99"/>
        <v>-5.8837127316539064E-12</v>
      </c>
      <c r="J473" s="4">
        <f t="shared" si="99"/>
        <v>-1.2689542444299746E-3</v>
      </c>
      <c r="K473" s="4">
        <f t="shared" si="99"/>
        <v>-2.6962555528049475E-3</v>
      </c>
      <c r="L473" s="4">
        <f t="shared" si="99"/>
        <v>-3.9102804469091802E-3</v>
      </c>
      <c r="M473" s="4">
        <f t="shared" si="99"/>
        <v>-5.0356549780546838E-3</v>
      </c>
      <c r="N473" s="4">
        <f t="shared" si="99"/>
        <v>-5.9130514321684971E-3</v>
      </c>
      <c r="O473" s="4">
        <f t="shared" si="99"/>
        <v>-6.629123242053463E-3</v>
      </c>
      <c r="P473" s="4">
        <f t="shared" si="99"/>
        <v>-7.2279735060506497E-3</v>
      </c>
      <c r="Q473" s="4">
        <f t="shared" si="99"/>
        <v>-7.7321439644449097E-3</v>
      </c>
      <c r="R473" s="4">
        <f t="shared" si="99"/>
        <v>-8.1663978042481912E-3</v>
      </c>
      <c r="S473" s="4">
        <f t="shared" si="99"/>
        <v>-8.6651248672162083E-3</v>
      </c>
      <c r="T473" s="4">
        <f t="shared" si="99"/>
        <v>-9.221349777585805E-3</v>
      </c>
      <c r="U473" s="4">
        <f t="shared" si="99"/>
        <v>-9.8190859478365922E-3</v>
      </c>
      <c r="V473" s="4">
        <f t="shared" si="99"/>
        <v>-1.0442471055195577E-2</v>
      </c>
      <c r="W473" s="4">
        <f t="shared" si="99"/>
        <v>-1.1079751092910496E-2</v>
      </c>
      <c r="X473" s="4">
        <f t="shared" si="99"/>
        <v>-1.1717347367381049E-2</v>
      </c>
      <c r="Y473" s="4">
        <f t="shared" si="99"/>
        <v>-1.2348180349593821E-2</v>
      </c>
      <c r="Z473" s="4">
        <f t="shared" si="99"/>
        <v>-1.2967719354843383E-2</v>
      </c>
      <c r="AA473" s="4">
        <f t="shared" si="99"/>
        <v>-1.3571869830183042E-2</v>
      </c>
      <c r="AB473" s="4">
        <f t="shared" si="99"/>
        <v>-1.4162824031789171E-2</v>
      </c>
      <c r="AC473" s="4">
        <f t="shared" si="99"/>
        <v>-1.4732921322176597E-2</v>
      </c>
      <c r="AD473" s="4">
        <f t="shared" si="99"/>
        <v>-1.5277043712635918E-2</v>
      </c>
      <c r="AE473" s="4">
        <f t="shared" si="99"/>
        <v>-1.5795225575794158E-2</v>
      </c>
      <c r="AF473" s="4">
        <f t="shared" si="99"/>
        <v>-1.6286153347567778E-2</v>
      </c>
      <c r="AG473" s="4">
        <f t="shared" si="99"/>
        <v>-1.6747947899360634E-2</v>
      </c>
      <c r="AH473" s="4">
        <f t="shared" si="99"/>
        <v>-1.7178794609497651E-2</v>
      </c>
      <c r="AI473" s="4">
        <f t="shared" si="99"/>
        <v>-1.7577897541018975E-2</v>
      </c>
      <c r="AJ473" s="4">
        <f t="shared" si="99"/>
        <v>-1.7946390516736667E-2</v>
      </c>
      <c r="AK473" s="4">
        <f t="shared" si="99"/>
        <v>-1.8285545723596051E-2</v>
      </c>
      <c r="AL473" s="4">
        <f t="shared" si="99"/>
        <v>-1.8596008906663977E-2</v>
      </c>
    </row>
    <row r="474" spans="1:38" x14ac:dyDescent="0.35">
      <c r="B474" t="s">
        <v>74</v>
      </c>
      <c r="C474" s="4">
        <f>(C447-C460)/C$458</f>
        <v>0</v>
      </c>
      <c r="D474" s="4">
        <f t="shared" ref="D474:AL474" si="100">(D447-D460)/D$458</f>
        <v>-6.1519485491504389E-13</v>
      </c>
      <c r="E474" s="4">
        <f t="shared" si="100"/>
        <v>-6.1173018912733737E-13</v>
      </c>
      <c r="F474" s="4">
        <f t="shared" si="100"/>
        <v>6.0224584925218055E-11</v>
      </c>
      <c r="G474" s="4">
        <f t="shared" si="100"/>
        <v>5.9673109605720831E-11</v>
      </c>
      <c r="H474" s="4">
        <f t="shared" si="100"/>
        <v>1.1851042044641017E-10</v>
      </c>
      <c r="I474" s="4">
        <f t="shared" si="100"/>
        <v>1.7592304203116926E-10</v>
      </c>
      <c r="J474" s="4">
        <f t="shared" si="100"/>
        <v>-3.8415163761361068E-3</v>
      </c>
      <c r="K474" s="4">
        <f t="shared" si="100"/>
        <v>-8.4340836855261291E-3</v>
      </c>
      <c r="L474" s="4">
        <f t="shared" si="100"/>
        <v>-1.2108885384155667E-2</v>
      </c>
      <c r="M474" s="4">
        <f t="shared" si="100"/>
        <v>-1.5358290632195864E-2</v>
      </c>
      <c r="N474" s="4">
        <f t="shared" si="100"/>
        <v>-1.7712936718177495E-2</v>
      </c>
      <c r="O474" s="4">
        <f t="shared" si="100"/>
        <v>-1.9448062655294265E-2</v>
      </c>
      <c r="P474" s="4">
        <f t="shared" si="100"/>
        <v>-2.072291789082099E-2</v>
      </c>
      <c r="Q474" s="4">
        <f t="shared" si="100"/>
        <v>-2.1613914553056494E-2</v>
      </c>
      <c r="R474" s="4">
        <f t="shared" si="100"/>
        <v>-2.2216895594377329E-2</v>
      </c>
      <c r="S474" s="4">
        <f t="shared" si="100"/>
        <v>-2.2985136436899069E-2</v>
      </c>
      <c r="T474" s="4">
        <f t="shared" si="100"/>
        <v>-2.3964804814134461E-2</v>
      </c>
      <c r="U474" s="4">
        <f t="shared" si="100"/>
        <v>-2.5098272311351352E-2</v>
      </c>
      <c r="V474" s="4">
        <f t="shared" si="100"/>
        <v>-2.6314699503313794E-2</v>
      </c>
      <c r="W474" s="4">
        <f t="shared" si="100"/>
        <v>-2.7549407147111668E-2</v>
      </c>
      <c r="X474" s="4">
        <f t="shared" si="100"/>
        <v>-2.8740599120034859E-2</v>
      </c>
      <c r="Y474" s="4">
        <f t="shared" si="100"/>
        <v>-2.9838430973708002E-2</v>
      </c>
      <c r="Z474" s="4">
        <f t="shared" si="100"/>
        <v>-3.0815259199187855E-2</v>
      </c>
      <c r="AA474" s="4">
        <f t="shared" si="100"/>
        <v>-3.1648727220122179E-2</v>
      </c>
      <c r="AB474" s="4">
        <f t="shared" si="100"/>
        <v>-3.2322799654871955E-2</v>
      </c>
      <c r="AC474" s="4">
        <f t="shared" si="100"/>
        <v>-3.2789389087397168E-2</v>
      </c>
      <c r="AD474" s="4">
        <f t="shared" si="100"/>
        <v>-3.2991230413534314E-2</v>
      </c>
      <c r="AE474" s="4">
        <f t="shared" si="100"/>
        <v>-3.2888311758865738E-2</v>
      </c>
      <c r="AF474" s="4">
        <f t="shared" si="100"/>
        <v>-3.2438334783037495E-2</v>
      </c>
      <c r="AG474" s="4">
        <f t="shared" si="100"/>
        <v>-3.1588690098548575E-2</v>
      </c>
      <c r="AH474" s="4">
        <f t="shared" si="100"/>
        <v>-3.0262327254276303E-2</v>
      </c>
      <c r="AI474" s="4">
        <f t="shared" si="100"/>
        <v>-2.8352724909928077E-2</v>
      </c>
      <c r="AJ474" s="4">
        <f t="shared" si="100"/>
        <v>-2.5727213715815545E-2</v>
      </c>
      <c r="AK474" s="4">
        <f t="shared" si="100"/>
        <v>-2.220354428616899E-2</v>
      </c>
      <c r="AL474" s="4">
        <f t="shared" si="100"/>
        <v>-1.7511880799696986E-2</v>
      </c>
    </row>
    <row r="475" spans="1:38" x14ac:dyDescent="0.35">
      <c r="B475" t="s">
        <v>54</v>
      </c>
      <c r="C475" s="4">
        <f>(C451-C464)/C$458</f>
        <v>-4.9476085643751876E-10</v>
      </c>
      <c r="D475" s="4">
        <f t="shared" ref="D475:AL475" si="101">(D451-D464)/D$458</f>
        <v>-1.6609964719119692E-9</v>
      </c>
      <c r="E475" s="4">
        <f t="shared" si="101"/>
        <v>-2.5694035023178206E-9</v>
      </c>
      <c r="F475" s="4">
        <f t="shared" si="101"/>
        <v>-3.6499751962968745E-9</v>
      </c>
      <c r="G475" s="4">
        <f t="shared" si="101"/>
        <v>-4.2193111946447446E-9</v>
      </c>
      <c r="H475" s="4">
        <f t="shared" si="101"/>
        <v>-4.526026130678618E-9</v>
      </c>
      <c r="I475" s="4">
        <f t="shared" si="101"/>
        <v>-4.5892955544334371E-9</v>
      </c>
      <c r="J475" s="4">
        <f t="shared" si="101"/>
        <v>-6.6388079414449134E-3</v>
      </c>
      <c r="K475" s="4">
        <f t="shared" si="101"/>
        <v>-1.281697416907299E-2</v>
      </c>
      <c r="L475" s="4">
        <f t="shared" si="101"/>
        <v>-1.7449914252653694E-2</v>
      </c>
      <c r="M475" s="4">
        <f t="shared" si="101"/>
        <v>-2.1028810888154933E-2</v>
      </c>
      <c r="N475" s="4">
        <f t="shared" si="101"/>
        <v>-2.2897717267922269E-2</v>
      </c>
      <c r="O475" s="4">
        <f t="shared" si="101"/>
        <v>-2.3810885224260267E-2</v>
      </c>
      <c r="P475" s="4">
        <f t="shared" si="101"/>
        <v>-2.4127561762459972E-2</v>
      </c>
      <c r="Q475" s="4">
        <f t="shared" si="101"/>
        <v>-2.4016855031171538E-2</v>
      </c>
      <c r="R475" s="4">
        <f t="shared" si="101"/>
        <v>-2.359839155151592E-2</v>
      </c>
      <c r="S475" s="4">
        <f t="shared" si="101"/>
        <v>-2.3684922896370742E-2</v>
      </c>
      <c r="T475" s="4">
        <f t="shared" si="101"/>
        <v>-2.3993192631484039E-2</v>
      </c>
      <c r="U475" s="4">
        <f t="shared" si="101"/>
        <v>-2.4360562738459803E-2</v>
      </c>
      <c r="V475" s="4">
        <f t="shared" si="101"/>
        <v>-2.469091698056592E-2</v>
      </c>
      <c r="W475" s="4">
        <f t="shared" si="101"/>
        <v>-2.4924844140372337E-2</v>
      </c>
      <c r="X475" s="4">
        <f t="shared" si="101"/>
        <v>-2.5028680142885652E-2</v>
      </c>
      <c r="Y475" s="4">
        <f t="shared" si="101"/>
        <v>-2.5002643099176547E-2</v>
      </c>
      <c r="Z475" s="4">
        <f t="shared" si="101"/>
        <v>-2.4845136574514936E-2</v>
      </c>
      <c r="AA475" s="4">
        <f t="shared" si="101"/>
        <v>-2.4549977866946671E-2</v>
      </c>
      <c r="AB475" s="4">
        <f t="shared" si="101"/>
        <v>-2.4108190879447343E-2</v>
      </c>
      <c r="AC475" s="4">
        <f t="shared" si="101"/>
        <v>-2.350503462800797E-2</v>
      </c>
      <c r="AD475" s="4">
        <f t="shared" si="101"/>
        <v>-2.2696640633792124E-2</v>
      </c>
      <c r="AE475" s="4">
        <f t="shared" si="101"/>
        <v>-2.1657344872186204E-2</v>
      </c>
      <c r="AF475" s="4">
        <f t="shared" si="101"/>
        <v>-2.0356606060168769E-2</v>
      </c>
      <c r="AG475" s="4">
        <f t="shared" si="101"/>
        <v>-1.8750492257883222E-2</v>
      </c>
      <c r="AH475" s="4">
        <f t="shared" si="101"/>
        <v>-1.677314355095591E-2</v>
      </c>
      <c r="AI475" s="4">
        <f t="shared" si="101"/>
        <v>-1.4331956319417076E-2</v>
      </c>
      <c r="AJ475" s="4">
        <f t="shared" si="101"/>
        <v>-1.1316140552851666E-2</v>
      </c>
      <c r="AK475" s="4">
        <f t="shared" si="101"/>
        <v>-7.5775940764647087E-3</v>
      </c>
      <c r="AL475" s="4">
        <f t="shared" si="101"/>
        <v>-2.903035892501289E-3</v>
      </c>
    </row>
    <row r="476" spans="1:38" x14ac:dyDescent="0.35">
      <c r="B476" t="s">
        <v>11</v>
      </c>
      <c r="C476" s="4">
        <f>(C452-C465)/C$458</f>
        <v>6.1845112547638822E-11</v>
      </c>
      <c r="D476" s="4">
        <f t="shared" ref="D476:AL476" si="102">(D452-D465)/D$458</f>
        <v>6.1518392705418502E-11</v>
      </c>
      <c r="E476" s="4">
        <f t="shared" si="102"/>
        <v>6.1176279039514424E-11</v>
      </c>
      <c r="F476" s="4">
        <f t="shared" si="102"/>
        <v>1.2166584996225332E-10</v>
      </c>
      <c r="G476" s="4">
        <f t="shared" si="102"/>
        <v>1.2055175820781202E-10</v>
      </c>
      <c r="H476" s="4">
        <f t="shared" si="102"/>
        <v>1.1910596082929014E-10</v>
      </c>
      <c r="I476" s="4">
        <f t="shared" si="102"/>
        <v>1.1767425463307814E-10</v>
      </c>
      <c r="J476" s="4">
        <f t="shared" si="102"/>
        <v>1.6240791445213728E-3</v>
      </c>
      <c r="K476" s="4">
        <f t="shared" si="102"/>
        <v>2.7181579099932822E-3</v>
      </c>
      <c r="L476" s="4">
        <f t="shared" si="102"/>
        <v>4.1449512669757002E-3</v>
      </c>
      <c r="M476" s="4">
        <f t="shared" si="102"/>
        <v>5.3764376143422086E-3</v>
      </c>
      <c r="N476" s="4">
        <f t="shared" si="102"/>
        <v>5.7115180112923417E-3</v>
      </c>
      <c r="O476" s="4">
        <f t="shared" si="102"/>
        <v>5.611667324649623E-3</v>
      </c>
      <c r="P476" s="4">
        <f t="shared" si="102"/>
        <v>5.3587574422917558E-3</v>
      </c>
      <c r="Q476" s="4">
        <f t="shared" si="102"/>
        <v>5.1202614075522577E-3</v>
      </c>
      <c r="R476" s="4">
        <f t="shared" si="102"/>
        <v>4.9358805110104624E-3</v>
      </c>
      <c r="S476" s="4">
        <f t="shared" si="102"/>
        <v>5.1028824690174824E-3</v>
      </c>
      <c r="T476" s="4">
        <f t="shared" si="102"/>
        <v>5.3709825559959644E-3</v>
      </c>
      <c r="U476" s="4">
        <f t="shared" si="102"/>
        <v>5.6253683719634491E-3</v>
      </c>
      <c r="V476" s="4">
        <f t="shared" si="102"/>
        <v>5.8194193472218174E-3</v>
      </c>
      <c r="W476" s="4">
        <f t="shared" si="102"/>
        <v>5.9402165017636748E-3</v>
      </c>
      <c r="X476" s="4">
        <f t="shared" si="102"/>
        <v>5.9982134274225649E-3</v>
      </c>
      <c r="Y476" s="4">
        <f t="shared" si="102"/>
        <v>6.0076960792792575E-3</v>
      </c>
      <c r="Z476" s="4">
        <f t="shared" si="102"/>
        <v>5.9785369018379355E-3</v>
      </c>
      <c r="AA476" s="4">
        <f t="shared" si="102"/>
        <v>5.9194220788857319E-3</v>
      </c>
      <c r="AB476" s="4">
        <f t="shared" si="102"/>
        <v>5.8397719642301607E-3</v>
      </c>
      <c r="AC476" s="4">
        <f t="shared" si="102"/>
        <v>5.7683351402986506E-3</v>
      </c>
      <c r="AD476" s="4">
        <f t="shared" si="102"/>
        <v>5.7521027248412984E-3</v>
      </c>
      <c r="AE476" s="4">
        <f t="shared" si="102"/>
        <v>5.8050805138898176E-3</v>
      </c>
      <c r="AF476" s="4">
        <f t="shared" si="102"/>
        <v>5.9399801925454033E-3</v>
      </c>
      <c r="AG476" s="4">
        <f t="shared" si="102"/>
        <v>6.1724055096545535E-3</v>
      </c>
      <c r="AH476" s="4">
        <f t="shared" si="102"/>
        <v>6.527861585009064E-3</v>
      </c>
      <c r="AI476" s="4">
        <f t="shared" si="102"/>
        <v>7.0347177587955943E-3</v>
      </c>
      <c r="AJ476" s="4">
        <f t="shared" si="102"/>
        <v>7.7086447560029917E-3</v>
      </c>
      <c r="AK476" s="4">
        <f t="shared" si="102"/>
        <v>8.5631561921045291E-3</v>
      </c>
      <c r="AL476" s="4">
        <f t="shared" si="102"/>
        <v>9.617583414280444E-3</v>
      </c>
    </row>
    <row r="477" spans="1:38" x14ac:dyDescent="0.35">
      <c r="B477" t="s">
        <v>75</v>
      </c>
      <c r="C477" s="4">
        <f>(C453-C466)/C$458</f>
        <v>-6.1844892829679683E-12</v>
      </c>
      <c r="D477" s="4">
        <f t="shared" ref="D477:AL477" si="103">(D453-D466)/D$458</f>
        <v>-4.3062874893792946E-11</v>
      </c>
      <c r="E477" s="4">
        <f t="shared" si="103"/>
        <v>-8.5646790655320196E-11</v>
      </c>
      <c r="F477" s="4">
        <f t="shared" si="103"/>
        <v>-1.2774914246036601E-10</v>
      </c>
      <c r="G477" s="4">
        <f t="shared" si="103"/>
        <v>-1.6877246149093683E-10</v>
      </c>
      <c r="H477" s="4">
        <f t="shared" si="103"/>
        <v>-1.9056951616939715E-10</v>
      </c>
      <c r="I477" s="4">
        <f t="shared" si="103"/>
        <v>-2.0592992470474174E-10</v>
      </c>
      <c r="J477" s="4">
        <f t="shared" si="103"/>
        <v>-1.9055457982598677E-3</v>
      </c>
      <c r="K477" s="4">
        <f t="shared" si="103"/>
        <v>-4.0704974315399888E-3</v>
      </c>
      <c r="L477" s="4">
        <f t="shared" si="103"/>
        <v>-5.7102129892731435E-3</v>
      </c>
      <c r="M477" s="4">
        <f t="shared" si="103"/>
        <v>-7.2202196203232337E-3</v>
      </c>
      <c r="N477" s="4">
        <f t="shared" si="103"/>
        <v>-8.3864280324674294E-3</v>
      </c>
      <c r="O477" s="4">
        <f t="shared" si="103"/>
        <v>-9.3628399255271701E-3</v>
      </c>
      <c r="P477" s="4">
        <f t="shared" si="103"/>
        <v>-1.0200113161419616E-2</v>
      </c>
      <c r="Q477" s="4">
        <f t="shared" si="103"/>
        <v>-1.0905885421542518E-2</v>
      </c>
      <c r="R477" s="4">
        <f t="shared" si="103"/>
        <v>-1.1511188573450449E-2</v>
      </c>
      <c r="S477" s="4">
        <f t="shared" si="103"/>
        <v>-1.2195933220457414E-2</v>
      </c>
      <c r="T477" s="4">
        <f t="shared" si="103"/>
        <v>-1.2955958660872685E-2</v>
      </c>
      <c r="U477" s="4">
        <f t="shared" si="103"/>
        <v>-1.3763231379997541E-2</v>
      </c>
      <c r="V477" s="4">
        <f t="shared" si="103"/>
        <v>-1.459095407853332E-2</v>
      </c>
      <c r="W477" s="4">
        <f t="shared" si="103"/>
        <v>-1.5419145330962168E-2</v>
      </c>
      <c r="X477" s="4">
        <f t="shared" si="103"/>
        <v>-1.6229169235148794E-2</v>
      </c>
      <c r="Y477" s="4">
        <f t="shared" si="103"/>
        <v>-1.7006908705184193E-2</v>
      </c>
      <c r="Z477" s="4">
        <f t="shared" si="103"/>
        <v>-1.7744705898837889E-2</v>
      </c>
      <c r="AA477" s="4">
        <f t="shared" si="103"/>
        <v>-1.8436312643440436E-2</v>
      </c>
      <c r="AB477" s="4">
        <f t="shared" si="103"/>
        <v>-1.9078154801154164E-2</v>
      </c>
      <c r="AC477" s="4">
        <f t="shared" si="103"/>
        <v>-1.9662061575718461E-2</v>
      </c>
      <c r="AD477" s="4">
        <f t="shared" si="103"/>
        <v>-2.0163318328120891E-2</v>
      </c>
      <c r="AE477" s="4">
        <f t="shared" si="103"/>
        <v>-2.0578633748431694E-2</v>
      </c>
      <c r="AF477" s="4">
        <f t="shared" si="103"/>
        <v>-2.090740385612332E-2</v>
      </c>
      <c r="AG477" s="4">
        <f t="shared" si="103"/>
        <v>-2.1148561213478322E-2</v>
      </c>
      <c r="AH477" s="4">
        <f t="shared" si="103"/>
        <v>-2.1296589563793884E-2</v>
      </c>
      <c r="AI477" s="4">
        <f t="shared" si="103"/>
        <v>-2.1345820509375207E-2</v>
      </c>
      <c r="AJ477" s="4">
        <f t="shared" si="103"/>
        <v>-2.1295329887159389E-2</v>
      </c>
      <c r="AK477" s="4">
        <f t="shared" si="103"/>
        <v>-2.114461653814368E-2</v>
      </c>
      <c r="AL477" s="4">
        <f t="shared" si="103"/>
        <v>-2.089122196003142E-2</v>
      </c>
    </row>
    <row r="479" spans="1:38" x14ac:dyDescent="0.35">
      <c r="A479" s="12" t="s">
        <v>94</v>
      </c>
      <c r="B479" s="3" t="str">
        <f>[1]Results!E205</f>
        <v>YG_toe_2</v>
      </c>
      <c r="C479" s="3">
        <f>[1]Results!F205</f>
        <v>148.5608263</v>
      </c>
      <c r="D479" s="3">
        <f>[1]Results!G205</f>
        <v>150.18980999999999</v>
      </c>
      <c r="E479" s="3">
        <f>[1]Results!H205</f>
        <v>151.82846799999999</v>
      </c>
      <c r="F479" s="3">
        <f>[1]Results!I205</f>
        <v>153.5814345</v>
      </c>
      <c r="G479" s="3">
        <f>[1]Results!J205</f>
        <v>155.5307847</v>
      </c>
      <c r="H479" s="3">
        <f>[1]Results!K205</f>
        <v>157.7021771</v>
      </c>
      <c r="I479" s="3">
        <f>[1]Results!L205</f>
        <v>160.01794749999999</v>
      </c>
      <c r="J479" s="3">
        <f>[1]Results!M205</f>
        <v>163.23195820000001</v>
      </c>
      <c r="K479" s="3">
        <f>[1]Results!N205</f>
        <v>166.7420764</v>
      </c>
      <c r="L479" s="3">
        <f>[1]Results!O205</f>
        <v>171.08687639999999</v>
      </c>
      <c r="M479" s="3">
        <f>[1]Results!P205</f>
        <v>175.5917129</v>
      </c>
      <c r="N479" s="3">
        <f>[1]Results!Q205</f>
        <v>179.6289476</v>
      </c>
      <c r="O479" s="3">
        <f>[1]Results!R205</f>
        <v>183.3098895</v>
      </c>
      <c r="P479" s="3">
        <f>[1]Results!S205</f>
        <v>186.79799299999999</v>
      </c>
      <c r="Q479" s="3">
        <f>[1]Results!T205</f>
        <v>190.28215399999999</v>
      </c>
      <c r="R479" s="3">
        <f>[1]Results!U205</f>
        <v>193.8818574</v>
      </c>
      <c r="S479" s="3">
        <f>[1]Results!V205</f>
        <v>197.48884200000001</v>
      </c>
      <c r="T479" s="3">
        <f>[1]Results!W205</f>
        <v>201.39281360000001</v>
      </c>
      <c r="U479" s="3">
        <f>[1]Results!X205</f>
        <v>205.67967619999999</v>
      </c>
      <c r="V479" s="3">
        <f>[1]Results!Y205</f>
        <v>210.4229847</v>
      </c>
      <c r="W479" s="3">
        <f>[1]Results!Z205</f>
        <v>215.66218269999999</v>
      </c>
      <c r="X479" s="3">
        <f>[1]Results!AA205</f>
        <v>221.5401032</v>
      </c>
      <c r="Y479" s="3">
        <f>[1]Results!AB205</f>
        <v>228.15082319999999</v>
      </c>
      <c r="Z479" s="3">
        <f>[1]Results!AC205</f>
        <v>235.58023560000001</v>
      </c>
      <c r="AA479" s="3">
        <f>[1]Results!AD205</f>
        <v>243.9082009</v>
      </c>
      <c r="AB479" s="3">
        <f>[1]Results!AE205</f>
        <v>253.10876780000001</v>
      </c>
      <c r="AC479" s="3">
        <f>[1]Results!AF205</f>
        <v>263.52624530000003</v>
      </c>
      <c r="AD479" s="3">
        <f>[1]Results!AG205</f>
        <v>275.28977930000002</v>
      </c>
      <c r="AE479" s="3">
        <f>[1]Results!AH205</f>
        <v>288.57596109999997</v>
      </c>
      <c r="AF479" s="3">
        <f>[1]Results!AI205</f>
        <v>303.53033900000003</v>
      </c>
      <c r="AG479" s="3">
        <f>[1]Results!AJ205</f>
        <v>320.30826089999999</v>
      </c>
      <c r="AH479" s="3">
        <f>[1]Results!AK205</f>
        <v>339.14050079999998</v>
      </c>
      <c r="AI479" s="3">
        <f>[1]Results!AL205</f>
        <v>360.35455059999998</v>
      </c>
      <c r="AJ479" s="3">
        <f>[1]Results!AM205</f>
        <v>384.36363740000002</v>
      </c>
      <c r="AK479" s="3">
        <f>[1]Results!AN205</f>
        <v>411.70868630000001</v>
      </c>
      <c r="AL479" s="3">
        <f>[1]Results!AO205</f>
        <v>443.11839670000001</v>
      </c>
    </row>
    <row r="480" spans="1:38" x14ac:dyDescent="0.35">
      <c r="A480" t="s">
        <v>39</v>
      </c>
      <c r="B480" s="3" t="str">
        <f>[1]Results!E206</f>
        <v>YG_toe_ccoa_2</v>
      </c>
      <c r="C480" s="3">
        <f>[1]Results!F206</f>
        <v>2.3689359419999998</v>
      </c>
      <c r="D480" s="3">
        <f>[1]Results!G206</f>
        <v>2.3856616929999999</v>
      </c>
      <c r="E480" s="3">
        <f>[1]Results!H206</f>
        <v>2.404060174</v>
      </c>
      <c r="F480" s="3">
        <f>[1]Results!I206</f>
        <v>2.4172020349999999</v>
      </c>
      <c r="G480" s="3">
        <f>[1]Results!J206</f>
        <v>2.4455840690000001</v>
      </c>
      <c r="H480" s="3">
        <f>[1]Results!K206</f>
        <v>2.4862899139999999</v>
      </c>
      <c r="I480" s="3">
        <f>[1]Results!L206</f>
        <v>2.531724348</v>
      </c>
      <c r="J480" s="3">
        <f>[1]Results!M206</f>
        <v>2.4771025450000002</v>
      </c>
      <c r="K480" s="3">
        <f>[1]Results!N206</f>
        <v>2.407582042</v>
      </c>
      <c r="L480" s="3">
        <f>[1]Results!O206</f>
        <v>2.351087927</v>
      </c>
      <c r="M480" s="3">
        <f>[1]Results!P206</f>
        <v>2.2971943079999999</v>
      </c>
      <c r="N480" s="3">
        <f>[1]Results!Q206</f>
        <v>2.2491624259999998</v>
      </c>
      <c r="O480" s="3">
        <f>[1]Results!R206</f>
        <v>2.204015327</v>
      </c>
      <c r="P480" s="3">
        <f>[1]Results!S206</f>
        <v>2.1614859580000001</v>
      </c>
      <c r="Q480" s="3">
        <f>[1]Results!T206</f>
        <v>2.1226670900000002</v>
      </c>
      <c r="R480" s="3">
        <f>[1]Results!U206</f>
        <v>2.0878685680000002</v>
      </c>
      <c r="S480" s="3">
        <f>[1]Results!V206</f>
        <v>2.0513588120000001</v>
      </c>
      <c r="T480" s="3">
        <f>[1]Results!W206</f>
        <v>2.016312369</v>
      </c>
      <c r="U480" s="3">
        <f>[1]Results!X206</f>
        <v>1.984317476</v>
      </c>
      <c r="V480" s="3">
        <f>[1]Results!Y206</f>
        <v>1.9559596990000001</v>
      </c>
      <c r="W480" s="3">
        <f>[1]Results!Z206</f>
        <v>1.9314269019999999</v>
      </c>
      <c r="X480" s="3">
        <f>[1]Results!AA206</f>
        <v>1.910890317</v>
      </c>
      <c r="Y480" s="3">
        <f>[1]Results!AB206</f>
        <v>1.894581649</v>
      </c>
      <c r="Z480" s="3">
        <f>[1]Results!AC206</f>
        <v>1.8824818720000001</v>
      </c>
      <c r="AA480" s="3">
        <f>[1]Results!AD206</f>
        <v>1.874335681</v>
      </c>
      <c r="AB480" s="3">
        <f>[1]Results!AE206</f>
        <v>1.8697948099999999</v>
      </c>
      <c r="AC480" s="3">
        <f>[1]Results!AF206</f>
        <v>1.8693970870000001</v>
      </c>
      <c r="AD480" s="3">
        <f>[1]Results!AG206</f>
        <v>1.8733406829999999</v>
      </c>
      <c r="AE480" s="3">
        <f>[1]Results!AH206</f>
        <v>1.881685007</v>
      </c>
      <c r="AF480" s="3">
        <f>[1]Results!AI206</f>
        <v>1.893951503</v>
      </c>
      <c r="AG480" s="3">
        <f>[1]Results!AJ206</f>
        <v>1.9095666760000001</v>
      </c>
      <c r="AH480" s="3">
        <f>[1]Results!AK206</f>
        <v>1.928384412</v>
      </c>
      <c r="AI480" s="3">
        <f>[1]Results!AL206</f>
        <v>1.9507270139999999</v>
      </c>
      <c r="AJ480" s="3">
        <f>[1]Results!AM206</f>
        <v>1.9771822990000001</v>
      </c>
      <c r="AK480" s="3">
        <f>[1]Results!AN206</f>
        <v>2.0087138169999998</v>
      </c>
      <c r="AL480" s="3">
        <f>[1]Results!AO206</f>
        <v>2.0469865290000002</v>
      </c>
    </row>
    <row r="481" spans="1:38" x14ac:dyDescent="0.35">
      <c r="B481" s="3" t="s">
        <v>74</v>
      </c>
      <c r="C481" s="3">
        <f>SUM(C482:C484)</f>
        <v>51.304317173000001</v>
      </c>
      <c r="D481" s="3">
        <f t="shared" ref="D481:AL481" si="104">SUM(D482:D484)</f>
        <v>51.630563934999998</v>
      </c>
      <c r="E481" s="3">
        <f t="shared" si="104"/>
        <v>51.956251796000004</v>
      </c>
      <c r="F481" s="3">
        <f t="shared" si="104"/>
        <v>52.332915825999997</v>
      </c>
      <c r="G481" s="3">
        <f t="shared" si="104"/>
        <v>52.855461359999993</v>
      </c>
      <c r="H481" s="3">
        <f t="shared" si="104"/>
        <v>53.508581375000006</v>
      </c>
      <c r="I481" s="3">
        <f t="shared" si="104"/>
        <v>54.237260406000004</v>
      </c>
      <c r="J481" s="3">
        <f t="shared" si="104"/>
        <v>54.859556519999998</v>
      </c>
      <c r="K481" s="3">
        <f t="shared" si="104"/>
        <v>55.501136359999997</v>
      </c>
      <c r="L481" s="3">
        <f t="shared" si="104"/>
        <v>56.274208049999999</v>
      </c>
      <c r="M481" s="3">
        <f t="shared" si="104"/>
        <v>57.098024975999998</v>
      </c>
      <c r="N481" s="3">
        <f t="shared" si="104"/>
        <v>57.928877970000002</v>
      </c>
      <c r="O481" s="3">
        <f t="shared" si="104"/>
        <v>58.753731751000004</v>
      </c>
      <c r="P481" s="3">
        <f t="shared" si="104"/>
        <v>59.575285647999998</v>
      </c>
      <c r="Q481" s="3">
        <f t="shared" si="104"/>
        <v>60.407125952000001</v>
      </c>
      <c r="R481" s="3">
        <f t="shared" si="104"/>
        <v>61.258527842999996</v>
      </c>
      <c r="S481" s="3">
        <f t="shared" si="104"/>
        <v>62.114888529999995</v>
      </c>
      <c r="T481" s="3">
        <f t="shared" si="104"/>
        <v>63.001259735999994</v>
      </c>
      <c r="U481" s="3">
        <f t="shared" si="104"/>
        <v>63.937946906000001</v>
      </c>
      <c r="V481" s="3">
        <f t="shared" si="104"/>
        <v>64.939152320999995</v>
      </c>
      <c r="W481" s="3">
        <f t="shared" si="104"/>
        <v>66.009489715000001</v>
      </c>
      <c r="X481" s="3">
        <f t="shared" si="104"/>
        <v>67.170140778800004</v>
      </c>
      <c r="Y481" s="3">
        <f t="shared" si="104"/>
        <v>68.433567859699991</v>
      </c>
      <c r="Z481" s="3">
        <f t="shared" si="104"/>
        <v>69.810149225000004</v>
      </c>
      <c r="AA481" s="3">
        <f t="shared" si="104"/>
        <v>71.307651938299998</v>
      </c>
      <c r="AB481" s="3">
        <f t="shared" si="104"/>
        <v>72.913177201499991</v>
      </c>
      <c r="AC481" s="3">
        <f t="shared" si="104"/>
        <v>74.657525644499998</v>
      </c>
      <c r="AD481" s="3">
        <f t="shared" si="104"/>
        <v>76.559751501600005</v>
      </c>
      <c r="AE481" s="3">
        <f t="shared" si="104"/>
        <v>78.6353841878</v>
      </c>
      <c r="AF481" s="3">
        <f t="shared" si="104"/>
        <v>80.892424526499994</v>
      </c>
      <c r="AG481" s="3">
        <f t="shared" si="104"/>
        <v>83.335682920899998</v>
      </c>
      <c r="AH481" s="3">
        <f t="shared" si="104"/>
        <v>85.97468626620001</v>
      </c>
      <c r="AI481" s="3">
        <f t="shared" si="104"/>
        <v>88.826483282199987</v>
      </c>
      <c r="AJ481" s="3">
        <f t="shared" si="104"/>
        <v>91.91460679330001</v>
      </c>
      <c r="AK481" s="3">
        <f t="shared" si="104"/>
        <v>95.27371792320001</v>
      </c>
      <c r="AL481" s="3">
        <f t="shared" si="104"/>
        <v>98.9579720495</v>
      </c>
    </row>
    <row r="482" spans="1:38" x14ac:dyDescent="0.35">
      <c r="B482" s="3" t="str">
        <f>[1]Results!E209</f>
        <v>YG_toe_ccoi_2</v>
      </c>
      <c r="C482" s="3">
        <f>[1]Results!F209</f>
        <v>1.0946754059999999</v>
      </c>
      <c r="D482" s="3">
        <f>[1]Results!G209</f>
        <v>1.1049675050000001</v>
      </c>
      <c r="E482" s="3">
        <f>[1]Results!H209</f>
        <v>1.115367604</v>
      </c>
      <c r="F482" s="3">
        <f>[1]Results!I209</f>
        <v>1.126722937</v>
      </c>
      <c r="G482" s="3">
        <f>[1]Results!J209</f>
        <v>1.1408372840000001</v>
      </c>
      <c r="H482" s="3">
        <f>[1]Results!K209</f>
        <v>1.1577281859999999</v>
      </c>
      <c r="I482" s="3">
        <f>[1]Results!L209</f>
        <v>1.176171732</v>
      </c>
      <c r="J482" s="3">
        <f>[1]Results!M209</f>
        <v>1.170040671</v>
      </c>
      <c r="K482" s="3">
        <f>[1]Results!N209</f>
        <v>1.160944457</v>
      </c>
      <c r="L482" s="3">
        <f>[1]Results!O209</f>
        <v>1.155603444</v>
      </c>
      <c r="M482" s="3">
        <f>[1]Results!P209</f>
        <v>1.1503084509999999</v>
      </c>
      <c r="N482" s="3">
        <f>[1]Results!Q209</f>
        <v>1.1422777550000001</v>
      </c>
      <c r="O482" s="3">
        <f>[1]Results!R209</f>
        <v>1.1315523430000001</v>
      </c>
      <c r="P482" s="3">
        <f>[1]Results!S209</f>
        <v>1.1187846269999999</v>
      </c>
      <c r="Q482" s="3">
        <f>[1]Results!T209</f>
        <v>1.1048568009999999</v>
      </c>
      <c r="R482" s="3">
        <f>[1]Results!U209</f>
        <v>1.090265955</v>
      </c>
      <c r="S482" s="3">
        <f>[1]Results!V209</f>
        <v>1.0740730570000001</v>
      </c>
      <c r="T482" s="3">
        <f>[1]Results!W209</f>
        <v>1.057543353</v>
      </c>
      <c r="U482" s="3">
        <f>[1]Results!X209</f>
        <v>1.0410818740000001</v>
      </c>
      <c r="V482" s="3">
        <f>[1]Results!Y209</f>
        <v>1.0248209639999999</v>
      </c>
      <c r="W482" s="3">
        <f>[1]Results!Z209</f>
        <v>1.0087266070000001</v>
      </c>
      <c r="X482" s="3">
        <f>[1]Results!AA209</f>
        <v>0.9929483268</v>
      </c>
      <c r="Y482" s="3">
        <f>[1]Results!AB209</f>
        <v>0.97754682469999998</v>
      </c>
      <c r="Z482" s="3">
        <f>[1]Results!AC209</f>
        <v>0.96247850800000001</v>
      </c>
      <c r="AA482" s="3">
        <f>[1]Results!AD209</f>
        <v>0.94759554729999995</v>
      </c>
      <c r="AB482" s="3">
        <f>[1]Results!AE209</f>
        <v>0.93251598849999995</v>
      </c>
      <c r="AC482" s="3">
        <f>[1]Results!AF209</f>
        <v>0.91777633049999996</v>
      </c>
      <c r="AD482" s="3">
        <f>[1]Results!AG209</f>
        <v>0.90309459459999997</v>
      </c>
      <c r="AE482" s="3">
        <f>[1]Results!AH209</f>
        <v>0.88831247680000003</v>
      </c>
      <c r="AF482" s="3">
        <f>[1]Results!AI209</f>
        <v>0.87304660550000002</v>
      </c>
      <c r="AG482" s="3">
        <f>[1]Results!AJ209</f>
        <v>0.85680347690000003</v>
      </c>
      <c r="AH482" s="3">
        <f>[1]Results!AK209</f>
        <v>0.83915153220000005</v>
      </c>
      <c r="AI482" s="3">
        <f>[1]Results!AL209</f>
        <v>0.81973437520000003</v>
      </c>
      <c r="AJ482" s="3">
        <f>[1]Results!AM209</f>
        <v>0.79818942029999995</v>
      </c>
      <c r="AK482" s="3">
        <f>[1]Results!AN209</f>
        <v>0.77412376130000005</v>
      </c>
      <c r="AL482" s="3">
        <f>[1]Results!AO209</f>
        <v>0.7470947013</v>
      </c>
    </row>
    <row r="483" spans="1:38" x14ac:dyDescent="0.35">
      <c r="B483" s="3" t="str">
        <f>[1]Results!E212</f>
        <v>YG_toe_cfut_2</v>
      </c>
      <c r="C483" s="3">
        <f>[1]Results!F212</f>
        <v>42.288296580000001</v>
      </c>
      <c r="D483" s="3">
        <f>[1]Results!G212</f>
        <v>42.548091919999997</v>
      </c>
      <c r="E483" s="3">
        <f>[1]Results!H212</f>
        <v>42.808939250000002</v>
      </c>
      <c r="F483" s="3">
        <f>[1]Results!I212</f>
        <v>43.12291243</v>
      </c>
      <c r="G483" s="3">
        <f>[1]Results!J212</f>
        <v>43.561391299999997</v>
      </c>
      <c r="H483" s="3">
        <f>[1]Results!K212</f>
        <v>44.112339040000002</v>
      </c>
      <c r="I483" s="3">
        <f>[1]Results!L212</f>
        <v>44.735325670000002</v>
      </c>
      <c r="J483" s="3">
        <f>[1]Results!M212</f>
        <v>45.64065617</v>
      </c>
      <c r="K483" s="3">
        <f>[1]Results!N212</f>
        <v>46.580339819999999</v>
      </c>
      <c r="L483" s="3">
        <f>[1]Results!O212</f>
        <v>47.627439879999997</v>
      </c>
      <c r="M483" s="3">
        <f>[1]Results!P212</f>
        <v>48.716842909999997</v>
      </c>
      <c r="N483" s="3">
        <f>[1]Results!Q212</f>
        <v>49.813326969999999</v>
      </c>
      <c r="O483" s="3">
        <f>[1]Results!R212</f>
        <v>50.907928650000002</v>
      </c>
      <c r="P483" s="3">
        <f>[1]Results!S212</f>
        <v>52.0030669</v>
      </c>
      <c r="Q483" s="3">
        <f>[1]Results!T212</f>
        <v>53.109780350000001</v>
      </c>
      <c r="R483" s="3">
        <f>[1]Results!U212</f>
        <v>54.235840469999999</v>
      </c>
      <c r="S483" s="3">
        <f>[1]Results!V212</f>
        <v>55.367699459999997</v>
      </c>
      <c r="T483" s="3">
        <f>[1]Results!W212</f>
        <v>56.526757109999998</v>
      </c>
      <c r="U483" s="3">
        <f>[1]Results!X212</f>
        <v>57.732118730000003</v>
      </c>
      <c r="V483" s="3">
        <f>[1]Results!Y212</f>
        <v>58.998090310000002</v>
      </c>
      <c r="W483" s="3">
        <f>[1]Results!Z212</f>
        <v>60.331014260000003</v>
      </c>
      <c r="X483" s="3">
        <f>[1]Results!AA212</f>
        <v>61.750726440000001</v>
      </c>
      <c r="Y483" s="3">
        <f>[1]Results!AB212</f>
        <v>63.270622299999999</v>
      </c>
      <c r="Z483" s="3">
        <f>[1]Results!AC212</f>
        <v>64.902377490000006</v>
      </c>
      <c r="AA483" s="3">
        <f>[1]Results!AD212</f>
        <v>66.655334620000005</v>
      </c>
      <c r="AB483" s="3">
        <f>[1]Results!AE212</f>
        <v>68.520708369999994</v>
      </c>
      <c r="AC483" s="3">
        <f>[1]Results!AF212</f>
        <v>70.527296379999996</v>
      </c>
      <c r="AD483" s="3">
        <f>[1]Results!AG212</f>
        <v>72.695665379999994</v>
      </c>
      <c r="AE483" s="3">
        <f>[1]Results!AH212</f>
        <v>75.043022579999999</v>
      </c>
      <c r="AF483" s="3">
        <f>[1]Results!AI212</f>
        <v>77.57975922</v>
      </c>
      <c r="AG483" s="3">
        <f>[1]Results!AJ212</f>
        <v>80.313330629999996</v>
      </c>
      <c r="AH483" s="3">
        <f>[1]Results!AK212</f>
        <v>83.255703429999997</v>
      </c>
      <c r="AI483" s="3">
        <f>[1]Results!AL212</f>
        <v>86.426160499999995</v>
      </c>
      <c r="AJ483" s="3">
        <f>[1]Results!AM212</f>
        <v>89.850489490000001</v>
      </c>
      <c r="AK483" s="3">
        <f>[1]Results!AN212</f>
        <v>93.565769450000005</v>
      </c>
      <c r="AL483" s="3">
        <f>[1]Results!AO212</f>
        <v>97.628910450000006</v>
      </c>
    </row>
    <row r="484" spans="1:38" x14ac:dyDescent="0.35">
      <c r="B484" s="3" t="str">
        <f>[1]Results!E215</f>
        <v>YG_toe_cfuh_2</v>
      </c>
      <c r="C484" s="3">
        <f>[1]Results!F215</f>
        <v>7.921345187</v>
      </c>
      <c r="D484" s="3">
        <f>[1]Results!G215</f>
        <v>7.9775045100000002</v>
      </c>
      <c r="E484" s="3">
        <f>[1]Results!H215</f>
        <v>8.0319449420000009</v>
      </c>
      <c r="F484" s="3">
        <f>[1]Results!I215</f>
        <v>8.0832804589999991</v>
      </c>
      <c r="G484" s="3">
        <f>[1]Results!J215</f>
        <v>8.1532327759999994</v>
      </c>
      <c r="H484" s="3">
        <f>[1]Results!K215</f>
        <v>8.2385141490000002</v>
      </c>
      <c r="I484" s="3">
        <f>[1]Results!L215</f>
        <v>8.3257630040000006</v>
      </c>
      <c r="J484" s="3">
        <f>[1]Results!M215</f>
        <v>8.0488596789999995</v>
      </c>
      <c r="K484" s="3">
        <f>[1]Results!N215</f>
        <v>7.7598520830000002</v>
      </c>
      <c r="L484" s="3">
        <f>[1]Results!O215</f>
        <v>7.4911647260000001</v>
      </c>
      <c r="M484" s="3">
        <f>[1]Results!P215</f>
        <v>7.2308736150000001</v>
      </c>
      <c r="N484" s="3">
        <f>[1]Results!Q215</f>
        <v>6.9732732449999997</v>
      </c>
      <c r="O484" s="3">
        <f>[1]Results!R215</f>
        <v>6.7142507580000004</v>
      </c>
      <c r="P484" s="3">
        <f>[1]Results!S215</f>
        <v>6.4534341209999999</v>
      </c>
      <c r="Q484" s="3">
        <f>[1]Results!T215</f>
        <v>6.1924888009999997</v>
      </c>
      <c r="R484" s="3">
        <f>[1]Results!U215</f>
        <v>5.9324214179999997</v>
      </c>
      <c r="S484" s="3">
        <f>[1]Results!V215</f>
        <v>5.6731160129999996</v>
      </c>
      <c r="T484" s="3">
        <f>[1]Results!W215</f>
        <v>5.4169592729999998</v>
      </c>
      <c r="U484" s="3">
        <f>[1]Results!X215</f>
        <v>5.1647463020000002</v>
      </c>
      <c r="V484" s="3">
        <f>[1]Results!Y215</f>
        <v>4.9162410469999998</v>
      </c>
      <c r="W484" s="3">
        <f>[1]Results!Z215</f>
        <v>4.6697488480000002</v>
      </c>
      <c r="X484" s="3">
        <f>[1]Results!AA215</f>
        <v>4.4264660119999997</v>
      </c>
      <c r="Y484" s="3">
        <f>[1]Results!AB215</f>
        <v>4.1853987349999997</v>
      </c>
      <c r="Z484" s="3">
        <f>[1]Results!AC215</f>
        <v>3.9452932270000001</v>
      </c>
      <c r="AA484" s="3">
        <f>[1]Results!AD215</f>
        <v>3.704721771</v>
      </c>
      <c r="AB484" s="3">
        <f>[1]Results!AE215</f>
        <v>3.4599528429999999</v>
      </c>
      <c r="AC484" s="3">
        <f>[1]Results!AF215</f>
        <v>3.2124529339999999</v>
      </c>
      <c r="AD484" s="3">
        <f>[1]Results!AG215</f>
        <v>2.960991527</v>
      </c>
      <c r="AE484" s="3">
        <f>[1]Results!AH215</f>
        <v>2.7040491310000001</v>
      </c>
      <c r="AF484" s="3">
        <f>[1]Results!AI215</f>
        <v>2.4396187010000001</v>
      </c>
      <c r="AG484" s="3">
        <f>[1]Results!AJ215</f>
        <v>2.1655488140000001</v>
      </c>
      <c r="AH484" s="3">
        <f>[1]Results!AK215</f>
        <v>1.8798313040000001</v>
      </c>
      <c r="AI484" s="3">
        <f>[1]Results!AL215</f>
        <v>1.580588407</v>
      </c>
      <c r="AJ484" s="3">
        <f>[1]Results!AM215</f>
        <v>1.265927883</v>
      </c>
      <c r="AK484" s="3">
        <f>[1]Results!AN215</f>
        <v>0.93382471190000005</v>
      </c>
      <c r="AL484" s="3">
        <f>[1]Results!AO215</f>
        <v>0.58196689820000003</v>
      </c>
    </row>
    <row r="485" spans="1:38" x14ac:dyDescent="0.35">
      <c r="B485" s="3" t="str">
        <f>[1]Results!E217</f>
        <v>YG_toe_cgas_2</v>
      </c>
      <c r="C485" s="3">
        <f>[1]Results!F217</f>
        <v>6.6386592860000002</v>
      </c>
      <c r="D485" s="3">
        <f>[1]Results!G217</f>
        <v>6.5180426530000002</v>
      </c>
      <c r="E485" s="3">
        <f>[1]Results!H217</f>
        <v>6.4064554490000001</v>
      </c>
      <c r="F485" s="3">
        <f>[1]Results!I217</f>
        <v>6.2911220739999996</v>
      </c>
      <c r="G485" s="3">
        <f>[1]Results!J217</f>
        <v>6.2126123069999997</v>
      </c>
      <c r="H485" s="3">
        <f>[1]Results!K217</f>
        <v>6.1383611089999999</v>
      </c>
      <c r="I485" s="3">
        <f>[1]Results!L217</f>
        <v>6.0425099769999999</v>
      </c>
      <c r="J485" s="3">
        <f>[1]Results!M217</f>
        <v>5.8213525519999996</v>
      </c>
      <c r="K485" s="3">
        <f>[1]Results!N217</f>
        <v>5.6798970420000003</v>
      </c>
      <c r="L485" s="3">
        <f>[1]Results!O217</f>
        <v>5.5568315799999999</v>
      </c>
      <c r="M485" s="3">
        <f>[1]Results!P217</f>
        <v>5.4712254710000003</v>
      </c>
      <c r="N485" s="3">
        <f>[1]Results!Q217</f>
        <v>5.444066082</v>
      </c>
      <c r="O485" s="3">
        <f>[1]Results!R217</f>
        <v>5.4451223290000001</v>
      </c>
      <c r="P485" s="3">
        <f>[1]Results!S217</f>
        <v>5.4566708750000004</v>
      </c>
      <c r="Q485" s="3">
        <f>[1]Results!T217</f>
        <v>5.466941297</v>
      </c>
      <c r="R485" s="3">
        <f>[1]Results!U217</f>
        <v>5.4705185030000001</v>
      </c>
      <c r="S485" s="3">
        <f>[1]Results!V217</f>
        <v>5.4637925709999999</v>
      </c>
      <c r="T485" s="3">
        <f>[1]Results!W217</f>
        <v>5.4440823849999997</v>
      </c>
      <c r="U485" s="3">
        <f>[1]Results!X217</f>
        <v>5.4097265659999998</v>
      </c>
      <c r="V485" s="3">
        <f>[1]Results!Y217</f>
        <v>5.3603082149999999</v>
      </c>
      <c r="W485" s="3">
        <f>[1]Results!Z217</f>
        <v>5.2948085359999997</v>
      </c>
      <c r="X485" s="3">
        <f>[1]Results!AA217</f>
        <v>5.2139650910000004</v>
      </c>
      <c r="Y485" s="3">
        <f>[1]Results!AB217</f>
        <v>5.1146426619999996</v>
      </c>
      <c r="Z485" s="3">
        <f>[1]Results!AC217</f>
        <v>4.9955213389999997</v>
      </c>
      <c r="AA485" s="3">
        <f>[1]Results!AD217</f>
        <v>4.8564156829999998</v>
      </c>
      <c r="AB485" s="3">
        <f>[1]Results!AE217</f>
        <v>4.6953262479999998</v>
      </c>
      <c r="AC485" s="3">
        <f>[1]Results!AF217</f>
        <v>4.5135676699999996</v>
      </c>
      <c r="AD485" s="3">
        <f>[1]Results!AG217</f>
        <v>4.3081387309999997</v>
      </c>
      <c r="AE485" s="3">
        <f>[1]Results!AH217</f>
        <v>4.0775887070000003</v>
      </c>
      <c r="AF485" s="3">
        <f>[1]Results!AI217</f>
        <v>3.8223275839999999</v>
      </c>
      <c r="AG485" s="3">
        <f>[1]Results!AJ217</f>
        <v>3.5431850200000001</v>
      </c>
      <c r="AH485" s="3">
        <f>[1]Results!AK217</f>
        <v>3.2396660499999999</v>
      </c>
      <c r="AI485" s="3">
        <f>[1]Results!AL217</f>
        <v>2.9098055060000001</v>
      </c>
      <c r="AJ485" s="3">
        <f>[1]Results!AM217</f>
        <v>2.5509151829999999</v>
      </c>
      <c r="AK485" s="3">
        <f>[1]Results!AN217</f>
        <v>2.1592134220000001</v>
      </c>
      <c r="AL485" s="3">
        <f>[1]Results!AO217</f>
        <v>1.7291845320000001</v>
      </c>
    </row>
    <row r="486" spans="1:38" x14ac:dyDescent="0.35">
      <c r="B486" s="3" t="str">
        <f>[1]Results!E223</f>
        <v>YG_toe_cele_2</v>
      </c>
      <c r="C486" s="3">
        <f>[1]Results!F223</f>
        <v>57.547032539999996</v>
      </c>
      <c r="D486" s="3">
        <f>[1]Results!G223</f>
        <v>58.553381700000003</v>
      </c>
      <c r="E486" s="3">
        <f>[1]Results!H223</f>
        <v>59.539524200000002</v>
      </c>
      <c r="F486" s="3">
        <f>[1]Results!I223</f>
        <v>60.598319170000003</v>
      </c>
      <c r="G486" s="3">
        <f>[1]Results!J223</f>
        <v>61.595226160000003</v>
      </c>
      <c r="H486" s="3">
        <f>[1]Results!K223</f>
        <v>62.61264645</v>
      </c>
      <c r="I486" s="3">
        <f>[1]Results!L223</f>
        <v>63.68636755</v>
      </c>
      <c r="J486" s="3">
        <f>[1]Results!M223</f>
        <v>66.242909549999993</v>
      </c>
      <c r="K486" s="3">
        <f>[1]Results!N223</f>
        <v>69.041019079999998</v>
      </c>
      <c r="L486" s="3">
        <f>[1]Results!O223</f>
        <v>72.302845820000002</v>
      </c>
      <c r="M486" s="3">
        <f>[1]Results!P223</f>
        <v>75.635379720000003</v>
      </c>
      <c r="N486" s="3">
        <f>[1]Results!Q223</f>
        <v>78.554383369999996</v>
      </c>
      <c r="O486" s="3">
        <f>[1]Results!R223</f>
        <v>81.183925840000001</v>
      </c>
      <c r="P486" s="3">
        <f>[1]Results!S223</f>
        <v>83.660332370000006</v>
      </c>
      <c r="Q486" s="3">
        <f>[1]Results!T223</f>
        <v>86.122581969999999</v>
      </c>
      <c r="R486" s="3">
        <f>[1]Results!U223</f>
        <v>88.66230041</v>
      </c>
      <c r="S486" s="3">
        <f>[1]Results!V223</f>
        <v>91.280768850000001</v>
      </c>
      <c r="T486" s="3">
        <f>[1]Results!W223</f>
        <v>94.144106870000002</v>
      </c>
      <c r="U486" s="3">
        <f>[1]Results!X223</f>
        <v>97.301439369999997</v>
      </c>
      <c r="V486" s="3">
        <f>[1]Results!Y223</f>
        <v>100.8030313</v>
      </c>
      <c r="W486" s="3">
        <f>[1]Results!Z223</f>
        <v>104.686862</v>
      </c>
      <c r="X486" s="3">
        <f>[1]Results!AA223</f>
        <v>109.051258</v>
      </c>
      <c r="Y486" s="3">
        <f>[1]Results!AB223</f>
        <v>113.9738976</v>
      </c>
      <c r="Z486" s="3">
        <f>[1]Results!AC223</f>
        <v>119.527511</v>
      </c>
      <c r="AA486" s="3">
        <f>[1]Results!AD223</f>
        <v>125.7840592</v>
      </c>
      <c r="AB486" s="3">
        <f>[1]Results!AE223</f>
        <v>132.75886180000001</v>
      </c>
      <c r="AC486" s="3">
        <f>[1]Results!AF223</f>
        <v>140.69581199999999</v>
      </c>
      <c r="AD486" s="3">
        <f>[1]Results!AG223</f>
        <v>149.72260869999999</v>
      </c>
      <c r="AE486" s="3">
        <f>[1]Results!AH223</f>
        <v>159.99599570000001</v>
      </c>
      <c r="AF486" s="3">
        <f>[1]Results!AI223</f>
        <v>171.65986889999999</v>
      </c>
      <c r="AG486" s="3">
        <f>[1]Results!AJ223</f>
        <v>184.87408199999999</v>
      </c>
      <c r="AH486" s="3">
        <f>[1]Results!AK223</f>
        <v>199.8636649</v>
      </c>
      <c r="AI486" s="3">
        <f>[1]Results!AL223</f>
        <v>216.93734979999999</v>
      </c>
      <c r="AJ486" s="3">
        <f>[1]Results!AM223</f>
        <v>236.48020650000001</v>
      </c>
      <c r="AK486" s="3">
        <f>[1]Results!AN223</f>
        <v>258.99063319999999</v>
      </c>
      <c r="AL486" s="3">
        <f>[1]Results!AO223</f>
        <v>285.13113980000003</v>
      </c>
    </row>
    <row r="487" spans="1:38" x14ac:dyDescent="0.35">
      <c r="B487" s="3" t="s">
        <v>75</v>
      </c>
      <c r="C487" s="3">
        <f>SUM(C488:C490)</f>
        <v>30.701881378</v>
      </c>
      <c r="D487" s="3">
        <f t="shared" ref="D487:AL487" si="105">SUM(D488:D490)</f>
        <v>31.102160030999997</v>
      </c>
      <c r="E487" s="3">
        <f t="shared" si="105"/>
        <v>31.522176377000001</v>
      </c>
      <c r="F487" s="3">
        <f t="shared" si="105"/>
        <v>31.941875340999999</v>
      </c>
      <c r="G487" s="3">
        <f t="shared" si="105"/>
        <v>32.421900770999997</v>
      </c>
      <c r="H487" s="3">
        <f t="shared" si="105"/>
        <v>32.956298294</v>
      </c>
      <c r="I487" s="3">
        <f t="shared" si="105"/>
        <v>33.520085198999993</v>
      </c>
      <c r="J487" s="3">
        <f t="shared" si="105"/>
        <v>33.831036988999998</v>
      </c>
      <c r="K487" s="3">
        <f t="shared" si="105"/>
        <v>34.112441841000006</v>
      </c>
      <c r="L487" s="3">
        <f t="shared" si="105"/>
        <v>34.601903007999994</v>
      </c>
      <c r="M487" s="3">
        <f t="shared" si="105"/>
        <v>35.089888459000001</v>
      </c>
      <c r="N487" s="3">
        <f t="shared" si="105"/>
        <v>35.452457742</v>
      </c>
      <c r="O487" s="3">
        <f t="shared" si="105"/>
        <v>35.723094263</v>
      </c>
      <c r="P487" s="3">
        <f t="shared" si="105"/>
        <v>35.944218198999998</v>
      </c>
      <c r="Q487" s="3">
        <f t="shared" si="105"/>
        <v>36.162837663000005</v>
      </c>
      <c r="R487" s="3">
        <f t="shared" si="105"/>
        <v>36.402642057999998</v>
      </c>
      <c r="S487" s="3">
        <f t="shared" si="105"/>
        <v>36.578033261000002</v>
      </c>
      <c r="T487" s="3">
        <f t="shared" si="105"/>
        <v>36.787052244999998</v>
      </c>
      <c r="U487" s="3">
        <f t="shared" si="105"/>
        <v>37.046245862999996</v>
      </c>
      <c r="V487" s="3">
        <f t="shared" si="105"/>
        <v>37.364533145999999</v>
      </c>
      <c r="W487" s="3">
        <f t="shared" si="105"/>
        <v>37.739595601000005</v>
      </c>
      <c r="X487" s="3">
        <f t="shared" si="105"/>
        <v>38.193849017999995</v>
      </c>
      <c r="Y487" s="3">
        <f t="shared" si="105"/>
        <v>38.734133506999996</v>
      </c>
      <c r="Z487" s="3">
        <f t="shared" si="105"/>
        <v>39.364572205999998</v>
      </c>
      <c r="AA487" s="3">
        <f t="shared" si="105"/>
        <v>40.085738391</v>
      </c>
      <c r="AB487" s="3">
        <f t="shared" si="105"/>
        <v>40.871607748000002</v>
      </c>
      <c r="AC487" s="3">
        <f t="shared" si="105"/>
        <v>41.789942929999995</v>
      </c>
      <c r="AD487" s="3">
        <f t="shared" si="105"/>
        <v>42.825939615999999</v>
      </c>
      <c r="AE487" s="3">
        <f t="shared" si="105"/>
        <v>43.985307536000001</v>
      </c>
      <c r="AF487" s="3">
        <f t="shared" si="105"/>
        <v>45.261766532999999</v>
      </c>
      <c r="AG487" s="3">
        <f t="shared" si="105"/>
        <v>46.645744325999999</v>
      </c>
      <c r="AH487" s="3">
        <f t="shared" si="105"/>
        <v>48.134099214999999</v>
      </c>
      <c r="AI487" s="3">
        <f t="shared" si="105"/>
        <v>49.730184993999998</v>
      </c>
      <c r="AJ487" s="3">
        <f t="shared" si="105"/>
        <v>51.44072662</v>
      </c>
      <c r="AK487" s="3">
        <f t="shared" si="105"/>
        <v>53.276407972000001</v>
      </c>
      <c r="AL487" s="3">
        <f t="shared" si="105"/>
        <v>55.253113853999999</v>
      </c>
    </row>
    <row r="488" spans="1:38" x14ac:dyDescent="0.35">
      <c r="B488" s="3" t="str">
        <f>[1]Results!E233</f>
        <v>YG_toe_chea_2</v>
      </c>
      <c r="C488" s="3">
        <f>[1]Results!F233</f>
        <v>5.7001631780000004</v>
      </c>
      <c r="D488" s="3">
        <f>[1]Results!G233</f>
        <v>5.7679417309999996</v>
      </c>
      <c r="E488" s="3">
        <f>[1]Results!H233</f>
        <v>5.8367970070000004</v>
      </c>
      <c r="F488" s="3">
        <f>[1]Results!I233</f>
        <v>5.9011155310000003</v>
      </c>
      <c r="G488" s="3">
        <f>[1]Results!J233</f>
        <v>5.9656033710000003</v>
      </c>
      <c r="H488" s="3">
        <f>[1]Results!K233</f>
        <v>6.0373194139999997</v>
      </c>
      <c r="I488" s="3">
        <f>[1]Results!L233</f>
        <v>6.1037246490000001</v>
      </c>
      <c r="J488" s="3">
        <f>[1]Results!M233</f>
        <v>6.131113719</v>
      </c>
      <c r="K488" s="3">
        <f>[1]Results!N233</f>
        <v>6.1200588610000004</v>
      </c>
      <c r="L488" s="3">
        <f>[1]Results!O233</f>
        <v>6.1063854080000004</v>
      </c>
      <c r="M488" s="3">
        <f>[1]Results!P233</f>
        <v>6.0957321789999996</v>
      </c>
      <c r="N488" s="3">
        <f>[1]Results!Q233</f>
        <v>6.0776464619999997</v>
      </c>
      <c r="O488" s="3">
        <f>[1]Results!R233</f>
        <v>6.0634434229999998</v>
      </c>
      <c r="P488" s="3">
        <f>[1]Results!S233</f>
        <v>6.0556961989999998</v>
      </c>
      <c r="Q488" s="3">
        <f>[1]Results!T233</f>
        <v>6.0549369530000003</v>
      </c>
      <c r="R488" s="3">
        <f>[1]Results!U233</f>
        <v>6.0604835880000003</v>
      </c>
      <c r="S488" s="3">
        <f>[1]Results!V233</f>
        <v>6.0744019610000004</v>
      </c>
      <c r="T488" s="3">
        <f>[1]Results!W233</f>
        <v>6.0940578949999997</v>
      </c>
      <c r="U488" s="3">
        <f>[1]Results!X233</f>
        <v>6.119410383</v>
      </c>
      <c r="V488" s="3">
        <f>[1]Results!Y233</f>
        <v>6.151236506</v>
      </c>
      <c r="W488" s="3">
        <f>[1]Results!Z233</f>
        <v>6.1861754610000004</v>
      </c>
      <c r="X488" s="3">
        <f>[1]Results!AA233</f>
        <v>6.2324889079999997</v>
      </c>
      <c r="Y488" s="3">
        <f>[1]Results!AB233</f>
        <v>6.2899186269999996</v>
      </c>
      <c r="Z488" s="3">
        <f>[1]Results!AC233</f>
        <v>6.3586991060000004</v>
      </c>
      <c r="AA488" s="3">
        <f>[1]Results!AD233</f>
        <v>6.4391183109999997</v>
      </c>
      <c r="AB488" s="3">
        <f>[1]Results!AE233</f>
        <v>6.5192095879999998</v>
      </c>
      <c r="AC488" s="3">
        <f>[1]Results!AF233</f>
        <v>6.6138585399999998</v>
      </c>
      <c r="AD488" s="3">
        <f>[1]Results!AG233</f>
        <v>6.7236403859999996</v>
      </c>
      <c r="AE488" s="3">
        <f>[1]Results!AH233</f>
        <v>6.848873126</v>
      </c>
      <c r="AF488" s="3">
        <f>[1]Results!AI233</f>
        <v>6.9890906130000001</v>
      </c>
      <c r="AG488" s="3">
        <f>[1]Results!AJ233</f>
        <v>7.1435944960000004</v>
      </c>
      <c r="AH488" s="3">
        <f>[1]Results!AK233</f>
        <v>7.3120838749999999</v>
      </c>
      <c r="AI488" s="3">
        <f>[1]Results!AL233</f>
        <v>7.4943151739999996</v>
      </c>
      <c r="AJ488" s="3">
        <f>[1]Results!AM233</f>
        <v>7.6905386299999998</v>
      </c>
      <c r="AK488" s="3">
        <f>[1]Results!AN233</f>
        <v>7.9014584220000001</v>
      </c>
      <c r="AL488" s="3">
        <f>[1]Results!AO233</f>
        <v>8.1283594840000006</v>
      </c>
    </row>
    <row r="489" spans="1:38" x14ac:dyDescent="0.35">
      <c r="B489" s="3" t="str">
        <f>[1]Results!E235</f>
        <v>YG_toe_cbio_2</v>
      </c>
      <c r="C489" s="3">
        <f>[1]Results!F235</f>
        <v>11.164134839999999</v>
      </c>
      <c r="D489" s="3">
        <f>[1]Results!G235</f>
        <v>11.163816779999999</v>
      </c>
      <c r="E489" s="3">
        <f>[1]Results!H235</f>
        <v>11.160223719999999</v>
      </c>
      <c r="F489" s="3">
        <f>[1]Results!I235</f>
        <v>11.148305519999999</v>
      </c>
      <c r="G489" s="3">
        <f>[1]Results!J235</f>
        <v>11.17040366</v>
      </c>
      <c r="H489" s="3">
        <f>[1]Results!K235</f>
        <v>11.21194141</v>
      </c>
      <c r="I489" s="3">
        <f>[1]Results!L235</f>
        <v>11.265000909999999</v>
      </c>
      <c r="J489" s="3">
        <f>[1]Results!M235</f>
        <v>11.21203523</v>
      </c>
      <c r="K489" s="3">
        <f>[1]Results!N235</f>
        <v>11.180043810000001</v>
      </c>
      <c r="L489" s="3">
        <f>[1]Results!O235</f>
        <v>11.193610189999999</v>
      </c>
      <c r="M489" s="3">
        <f>[1]Results!P235</f>
        <v>11.230171070000001</v>
      </c>
      <c r="N489" s="3">
        <f>[1]Results!Q235</f>
        <v>11.27911911</v>
      </c>
      <c r="O489" s="3">
        <f>[1]Results!R235</f>
        <v>11.3254854</v>
      </c>
      <c r="P489" s="3">
        <f>[1]Results!S235</f>
        <v>11.36797973</v>
      </c>
      <c r="Q489" s="3">
        <f>[1]Results!T235</f>
        <v>11.41097542</v>
      </c>
      <c r="R489" s="3">
        <f>[1]Results!U235</f>
        <v>11.45819283</v>
      </c>
      <c r="S489" s="3">
        <f>[1]Results!V235</f>
        <v>11.49256641</v>
      </c>
      <c r="T489" s="3">
        <f>[1]Results!W235</f>
        <v>11.53338091</v>
      </c>
      <c r="U489" s="3">
        <f>[1]Results!X235</f>
        <v>11.58761679</v>
      </c>
      <c r="V489" s="3">
        <f>[1]Results!Y235</f>
        <v>11.65940954</v>
      </c>
      <c r="W489" s="3">
        <f>[1]Results!Z235</f>
        <v>11.74796293</v>
      </c>
      <c r="X489" s="3">
        <f>[1]Results!AA235</f>
        <v>11.862237110000001</v>
      </c>
      <c r="Y489" s="3">
        <f>[1]Results!AB235</f>
        <v>12.004542600000001</v>
      </c>
      <c r="Z489" s="3">
        <f>[1]Results!AC235</f>
        <v>12.176936019999999</v>
      </c>
      <c r="AA489" s="3">
        <f>[1]Results!AD235</f>
        <v>12.3813282</v>
      </c>
      <c r="AB489" s="3">
        <f>[1]Results!AE235</f>
        <v>12.60875714</v>
      </c>
      <c r="AC489" s="3">
        <f>[1]Results!AF235</f>
        <v>12.87760956</v>
      </c>
      <c r="AD489" s="3">
        <f>[1]Results!AG235</f>
        <v>13.19075512</v>
      </c>
      <c r="AE489" s="3">
        <f>[1]Results!AH235</f>
        <v>13.552357499999999</v>
      </c>
      <c r="AF489" s="3">
        <f>[1]Results!AI235</f>
        <v>13.96518202</v>
      </c>
      <c r="AG489" s="3">
        <f>[1]Results!AJ235</f>
        <v>14.431895689999999</v>
      </c>
      <c r="AH489" s="3">
        <f>[1]Results!AK235</f>
        <v>14.95705471</v>
      </c>
      <c r="AI489" s="3">
        <f>[1]Results!AL235</f>
        <v>15.547619040000001</v>
      </c>
      <c r="AJ489" s="3">
        <f>[1]Results!AM235</f>
        <v>16.212732219999999</v>
      </c>
      <c r="AK489" s="3">
        <f>[1]Results!AN235</f>
        <v>16.964522630000001</v>
      </c>
      <c r="AL489" s="3">
        <f>[1]Results!AO235</f>
        <v>17.819034689999999</v>
      </c>
    </row>
    <row r="490" spans="1:38" x14ac:dyDescent="0.35">
      <c r="B490" s="3" t="str">
        <f>[1]Results!E238</f>
        <v>YG_toe_cote_2</v>
      </c>
      <c r="C490" s="3">
        <f>[1]Results!F238</f>
        <v>13.83758336</v>
      </c>
      <c r="D490" s="3">
        <f>[1]Results!G238</f>
        <v>14.17040152</v>
      </c>
      <c r="E490" s="3">
        <f>[1]Results!H238</f>
        <v>14.52515565</v>
      </c>
      <c r="F490" s="3">
        <f>[1]Results!I238</f>
        <v>14.89245429</v>
      </c>
      <c r="G490" s="3">
        <f>[1]Results!J238</f>
        <v>15.285893740000001</v>
      </c>
      <c r="H490" s="3">
        <f>[1]Results!K238</f>
        <v>15.70703747</v>
      </c>
      <c r="I490" s="3">
        <f>[1]Results!L238</f>
        <v>16.151359639999999</v>
      </c>
      <c r="J490" s="3">
        <f>[1]Results!M238</f>
        <v>16.487888040000001</v>
      </c>
      <c r="K490" s="3">
        <f>[1]Results!N238</f>
        <v>16.812339170000001</v>
      </c>
      <c r="L490" s="3">
        <f>[1]Results!O238</f>
        <v>17.301907409999998</v>
      </c>
      <c r="M490" s="3">
        <f>[1]Results!P238</f>
        <v>17.763985210000001</v>
      </c>
      <c r="N490" s="3">
        <f>[1]Results!Q238</f>
        <v>18.09569217</v>
      </c>
      <c r="O490" s="3">
        <f>[1]Results!R238</f>
        <v>18.33416544</v>
      </c>
      <c r="P490" s="3">
        <f>[1]Results!S238</f>
        <v>18.52054227</v>
      </c>
      <c r="Q490" s="3">
        <f>[1]Results!T238</f>
        <v>18.696925289999999</v>
      </c>
      <c r="R490" s="3">
        <f>[1]Results!U238</f>
        <v>18.88396564</v>
      </c>
      <c r="S490" s="3">
        <f>[1]Results!V238</f>
        <v>19.01106489</v>
      </c>
      <c r="T490" s="3">
        <f>[1]Results!W238</f>
        <v>19.159613440000001</v>
      </c>
      <c r="U490" s="3">
        <f>[1]Results!X238</f>
        <v>19.339218689999999</v>
      </c>
      <c r="V490" s="3">
        <f>[1]Results!Y238</f>
        <v>19.553887100000001</v>
      </c>
      <c r="W490" s="3">
        <f>[1]Results!Z238</f>
        <v>19.80545721</v>
      </c>
      <c r="X490" s="3">
        <f>[1]Results!AA238</f>
        <v>20.099122999999999</v>
      </c>
      <c r="Y490" s="3">
        <f>[1]Results!AB238</f>
        <v>20.43967228</v>
      </c>
      <c r="Z490" s="3">
        <f>[1]Results!AC238</f>
        <v>20.828937079999999</v>
      </c>
      <c r="AA490" s="3">
        <f>[1]Results!AD238</f>
        <v>21.265291879999999</v>
      </c>
      <c r="AB490" s="3">
        <f>[1]Results!AE238</f>
        <v>21.743641019999998</v>
      </c>
      <c r="AC490" s="3">
        <f>[1]Results!AF238</f>
        <v>22.29847483</v>
      </c>
      <c r="AD490" s="3">
        <f>[1]Results!AG238</f>
        <v>22.911544110000001</v>
      </c>
      <c r="AE490" s="3">
        <f>[1]Results!AH238</f>
        <v>23.58407691</v>
      </c>
      <c r="AF490" s="3">
        <f>[1]Results!AI238</f>
        <v>24.307493900000001</v>
      </c>
      <c r="AG490" s="3">
        <f>[1]Results!AJ238</f>
        <v>25.070254139999999</v>
      </c>
      <c r="AH490" s="3">
        <f>[1]Results!AK238</f>
        <v>25.864960629999999</v>
      </c>
      <c r="AI490" s="3">
        <f>[1]Results!AL238</f>
        <v>26.688250780000001</v>
      </c>
      <c r="AJ490" s="3">
        <f>[1]Results!AM238</f>
        <v>27.537455770000001</v>
      </c>
      <c r="AK490" s="3">
        <f>[1]Results!AN238</f>
        <v>28.410426919999999</v>
      </c>
      <c r="AL490" s="3">
        <f>[1]Results!AO238</f>
        <v>29.305719679999999</v>
      </c>
    </row>
    <row r="491" spans="1:3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1:38" x14ac:dyDescent="0.35">
      <c r="A492" s="12" t="s">
        <v>94</v>
      </c>
      <c r="B492" s="3" t="str">
        <f>[1]Results!E241</f>
        <v>YG_toe_0</v>
      </c>
      <c r="C492" s="3">
        <f>[1]Results!F241</f>
        <v>148.56082459999999</v>
      </c>
      <c r="D492" s="3">
        <f>[1]Results!G241</f>
        <v>150.1898084</v>
      </c>
      <c r="E492" s="3">
        <f>[1]Results!H241</f>
        <v>151.8284664</v>
      </c>
      <c r="F492" s="3">
        <f>[1]Results!I241</f>
        <v>153.58143290000001</v>
      </c>
      <c r="G492" s="3">
        <f>[1]Results!J241</f>
        <v>155.53078310000001</v>
      </c>
      <c r="H492" s="3">
        <f>[1]Results!K241</f>
        <v>157.7021756</v>
      </c>
      <c r="I492" s="3">
        <f>[1]Results!L241</f>
        <v>160.01794599999999</v>
      </c>
      <c r="J492" s="3">
        <f>[1]Results!M241</f>
        <v>162.4314406</v>
      </c>
      <c r="K492" s="3">
        <f>[1]Results!N241</f>
        <v>164.90688800000001</v>
      </c>
      <c r="L492" s="3">
        <f>[1]Results!O241</f>
        <v>167.4254038</v>
      </c>
      <c r="M492" s="3">
        <f>[1]Results!P241</f>
        <v>169.91869310000001</v>
      </c>
      <c r="N492" s="3">
        <f>[1]Results!Q241</f>
        <v>171.9710024</v>
      </c>
      <c r="O492" s="3">
        <f>[1]Results!R241</f>
        <v>173.67471509999999</v>
      </c>
      <c r="P492" s="3">
        <f>[1]Results!S241</f>
        <v>175.11421340000001</v>
      </c>
      <c r="Q492" s="3">
        <f>[1]Results!T241</f>
        <v>176.3870522</v>
      </c>
      <c r="R492" s="3">
        <f>[1]Results!U241</f>
        <v>177.58405819999999</v>
      </c>
      <c r="S492" s="3">
        <f>[1]Results!V241</f>
        <v>178.80612410000001</v>
      </c>
      <c r="T492" s="3">
        <f>[1]Results!W241</f>
        <v>180.1551375</v>
      </c>
      <c r="U492" s="3">
        <f>[1]Results!X241</f>
        <v>181.6966357</v>
      </c>
      <c r="V492" s="3">
        <f>[1]Results!Y241</f>
        <v>183.46596220000001</v>
      </c>
      <c r="W492" s="3">
        <f>[1]Results!Z241</f>
        <v>185.45583009999999</v>
      </c>
      <c r="X492" s="3">
        <f>[1]Results!AA241</f>
        <v>187.7378769</v>
      </c>
      <c r="Y492" s="3">
        <f>[1]Results!AB241</f>
        <v>190.33091239999999</v>
      </c>
      <c r="Z492" s="3">
        <f>[1]Results!AC241</f>
        <v>193.24671369999999</v>
      </c>
      <c r="AA492" s="3">
        <f>[1]Results!AD241</f>
        <v>196.4836559</v>
      </c>
      <c r="AB492" s="3">
        <f>[1]Results!AE241</f>
        <v>199.9417894</v>
      </c>
      <c r="AC492" s="3">
        <f>[1]Results!AF241</f>
        <v>203.7215941</v>
      </c>
      <c r="AD492" s="3">
        <f>[1]Results!AG241</f>
        <v>207.835849</v>
      </c>
      <c r="AE492" s="3">
        <f>[1]Results!AH241</f>
        <v>212.2806731</v>
      </c>
      <c r="AF492" s="3">
        <f>[1]Results!AI241</f>
        <v>217.00675960000001</v>
      </c>
      <c r="AG492" s="3">
        <f>[1]Results!AJ241</f>
        <v>221.94435110000001</v>
      </c>
      <c r="AH492" s="3">
        <f>[1]Results!AK241</f>
        <v>227.03106159999999</v>
      </c>
      <c r="AI492" s="3">
        <f>[1]Results!AL241</f>
        <v>232.215789</v>
      </c>
      <c r="AJ492" s="3">
        <f>[1]Results!AM241</f>
        <v>237.45264470000001</v>
      </c>
      <c r="AK492" s="3">
        <f>[1]Results!AN241</f>
        <v>242.69807030000001</v>
      </c>
      <c r="AL492" s="3">
        <f>[1]Results!AO241</f>
        <v>247.90958699999999</v>
      </c>
    </row>
    <row r="493" spans="1:38" x14ac:dyDescent="0.35">
      <c r="A493" t="s">
        <v>38</v>
      </c>
      <c r="B493" s="3" t="str">
        <f>[1]Results!E242</f>
        <v>YG_toe_ccoa_0</v>
      </c>
      <c r="C493" s="3">
        <f>[1]Results!F242</f>
        <v>2.3689359379999999</v>
      </c>
      <c r="D493" s="3">
        <f>[1]Results!G242</f>
        <v>2.3856616879999999</v>
      </c>
      <c r="E493" s="3">
        <f>[1]Results!H242</f>
        <v>2.4040601700000002</v>
      </c>
      <c r="F493" s="3">
        <f>[1]Results!I242</f>
        <v>2.4172020320000001</v>
      </c>
      <c r="G493" s="3">
        <f>[1]Results!J242</f>
        <v>2.4455840659999999</v>
      </c>
      <c r="H493" s="3">
        <f>[1]Results!K242</f>
        <v>2.48628991</v>
      </c>
      <c r="I493" s="3">
        <f>[1]Results!L242</f>
        <v>2.5317243440000001</v>
      </c>
      <c r="J493" s="3">
        <f>[1]Results!M242</f>
        <v>2.5773255449999999</v>
      </c>
      <c r="K493" s="3">
        <f>[1]Results!N242</f>
        <v>2.6225384260000002</v>
      </c>
      <c r="L493" s="3">
        <f>[1]Results!O242</f>
        <v>2.667522258</v>
      </c>
      <c r="M493" s="3">
        <f>[1]Results!P242</f>
        <v>2.7100665500000001</v>
      </c>
      <c r="N493" s="3">
        <f>[1]Results!Q242</f>
        <v>2.741819853</v>
      </c>
      <c r="O493" s="3">
        <f>[1]Results!R242</f>
        <v>2.7655426620000001</v>
      </c>
      <c r="P493" s="3">
        <f>[1]Results!S242</f>
        <v>2.784184389</v>
      </c>
      <c r="Q493" s="3">
        <f>[1]Results!T242</f>
        <v>2.8004805359999998</v>
      </c>
      <c r="R493" s="3">
        <f>[1]Results!U242</f>
        <v>2.816544816</v>
      </c>
      <c r="S493" s="3">
        <f>[1]Results!V242</f>
        <v>2.8380549099999999</v>
      </c>
      <c r="T493" s="3">
        <f>[1]Results!W242</f>
        <v>2.866965553</v>
      </c>
      <c r="U493" s="3">
        <f>[1]Results!X242</f>
        <v>2.9037798760000002</v>
      </c>
      <c r="V493" s="3">
        <f>[1]Results!Y242</f>
        <v>2.9481490199999998</v>
      </c>
      <c r="W493" s="3">
        <f>[1]Results!Z242</f>
        <v>2.9994958490000001</v>
      </c>
      <c r="X493" s="3">
        <f>[1]Results!AA242</f>
        <v>3.0575657020000002</v>
      </c>
      <c r="Y493" s="3">
        <f>[1]Results!AB242</f>
        <v>3.1223972199999999</v>
      </c>
      <c r="Z493" s="3">
        <f>[1]Results!AC242</f>
        <v>3.193929985</v>
      </c>
      <c r="AA493" s="3">
        <f>[1]Results!AD242</f>
        <v>3.2718072330000001</v>
      </c>
      <c r="AB493" s="3">
        <f>[1]Results!AE242</f>
        <v>3.3553463680000002</v>
      </c>
      <c r="AC493" s="3">
        <f>[1]Results!AF242</f>
        <v>3.4447183099999998</v>
      </c>
      <c r="AD493" s="3">
        <f>[1]Results!AG242</f>
        <v>3.5404017969999999</v>
      </c>
      <c r="AE493" s="3">
        <f>[1]Results!AH242</f>
        <v>3.642475213</v>
      </c>
      <c r="AF493" s="3">
        <f>[1]Results!AI242</f>
        <v>3.7499665370000002</v>
      </c>
      <c r="AG493" s="3">
        <f>[1]Results!AJ242</f>
        <v>3.8614400679999998</v>
      </c>
      <c r="AH493" s="3">
        <f>[1]Results!AK242</f>
        <v>3.9757149260000002</v>
      </c>
      <c r="AI493" s="3">
        <f>[1]Results!AL242</f>
        <v>4.0919671600000003</v>
      </c>
      <c r="AJ493" s="3">
        <f>[1]Results!AM242</f>
        <v>4.2095060719999999</v>
      </c>
      <c r="AK493" s="3">
        <f>[1]Results!AN242</f>
        <v>4.327656309</v>
      </c>
      <c r="AL493" s="3">
        <f>[1]Results!AO242</f>
        <v>4.4457042610000004</v>
      </c>
    </row>
    <row r="494" spans="1:38" x14ac:dyDescent="0.35">
      <c r="B494" s="3" t="s">
        <v>74</v>
      </c>
      <c r="C494" s="3">
        <f>SUM(C495:C497)</f>
        <v>51.304317159999997</v>
      </c>
      <c r="D494" s="3">
        <f t="shared" ref="D494:AL494" si="106">SUM(D495:D497)</f>
        <v>51.630563921999993</v>
      </c>
      <c r="E494" s="3">
        <f t="shared" si="106"/>
        <v>51.956251782000002</v>
      </c>
      <c r="F494" s="3">
        <f t="shared" si="106"/>
        <v>52.332915811999996</v>
      </c>
      <c r="G494" s="3">
        <f t="shared" si="106"/>
        <v>52.855461346000006</v>
      </c>
      <c r="H494" s="3">
        <f t="shared" si="106"/>
        <v>53.50858135</v>
      </c>
      <c r="I494" s="3">
        <f t="shared" si="106"/>
        <v>54.237260391</v>
      </c>
      <c r="J494" s="3">
        <f t="shared" si="106"/>
        <v>54.997947984999996</v>
      </c>
      <c r="K494" s="3">
        <f t="shared" si="106"/>
        <v>55.773668954999998</v>
      </c>
      <c r="L494" s="3">
        <f t="shared" si="106"/>
        <v>56.558099421999998</v>
      </c>
      <c r="M494" s="3">
        <f t="shared" si="106"/>
        <v>57.338700795000001</v>
      </c>
      <c r="N494" s="3">
        <f t="shared" si="106"/>
        <v>58.026873787999996</v>
      </c>
      <c r="O494" s="3">
        <f t="shared" si="106"/>
        <v>58.63163376</v>
      </c>
      <c r="P494" s="3">
        <f t="shared" si="106"/>
        <v>59.166845213000002</v>
      </c>
      <c r="Q494" s="3">
        <f t="shared" si="106"/>
        <v>59.650117219999998</v>
      </c>
      <c r="R494" s="3">
        <f t="shared" si="106"/>
        <v>60.099220242999991</v>
      </c>
      <c r="S494" s="3">
        <f t="shared" si="106"/>
        <v>60.554138710000004</v>
      </c>
      <c r="T494" s="3">
        <f t="shared" si="106"/>
        <v>61.045419996999996</v>
      </c>
      <c r="U494" s="3">
        <f t="shared" si="106"/>
        <v>61.587543739000004</v>
      </c>
      <c r="V494" s="3">
        <f t="shared" si="106"/>
        <v>62.186025826000005</v>
      </c>
      <c r="W494" s="3">
        <f t="shared" si="106"/>
        <v>62.835777872000001</v>
      </c>
      <c r="X494" s="3">
        <f t="shared" si="106"/>
        <v>63.550565610999996</v>
      </c>
      <c r="Y494" s="3">
        <f t="shared" si="106"/>
        <v>64.334189035999998</v>
      </c>
      <c r="Z494" s="3">
        <f t="shared" si="106"/>
        <v>65.190260449999997</v>
      </c>
      <c r="AA494" s="3">
        <f t="shared" si="106"/>
        <v>66.119894082999991</v>
      </c>
      <c r="AB494" s="3">
        <f t="shared" si="106"/>
        <v>67.100598762999994</v>
      </c>
      <c r="AC494" s="3">
        <f t="shared" si="106"/>
        <v>68.154990568000002</v>
      </c>
      <c r="AD494" s="3">
        <f t="shared" si="106"/>
        <v>69.288336217000008</v>
      </c>
      <c r="AE494" s="3">
        <f t="shared" si="106"/>
        <v>70.502959942000004</v>
      </c>
      <c r="AF494" s="3">
        <f t="shared" si="106"/>
        <v>71.791927146000006</v>
      </c>
      <c r="AG494" s="3">
        <f t="shared" si="106"/>
        <v>73.142570957999993</v>
      </c>
      <c r="AH494" s="3">
        <f t="shared" si="106"/>
        <v>74.541897616</v>
      </c>
      <c r="AI494" s="3">
        <f t="shared" si="106"/>
        <v>75.977882702000002</v>
      </c>
      <c r="AJ494" s="3">
        <f t="shared" si="106"/>
        <v>77.438549492000007</v>
      </c>
      <c r="AK494" s="3">
        <f t="shared" si="106"/>
        <v>78.911633708000011</v>
      </c>
      <c r="AL494" s="3">
        <f t="shared" si="106"/>
        <v>80.384459559999996</v>
      </c>
    </row>
    <row r="495" spans="1:38" x14ac:dyDescent="0.35">
      <c r="B495" s="3" t="str">
        <f>[1]Results!E245</f>
        <v>YG_toe_ccoi_0</v>
      </c>
      <c r="C495" s="3">
        <f>[1]Results!F245</f>
        <v>1.0946754030000001</v>
      </c>
      <c r="D495" s="3">
        <f>[1]Results!G245</f>
        <v>1.104967501</v>
      </c>
      <c r="E495" s="3">
        <f>[1]Results!H245</f>
        <v>1.1153675999999999</v>
      </c>
      <c r="F495" s="3">
        <f>[1]Results!I245</f>
        <v>1.126722934</v>
      </c>
      <c r="G495" s="3">
        <f>[1]Results!J245</f>
        <v>1.140837281</v>
      </c>
      <c r="H495" s="3">
        <f>[1]Results!K245</f>
        <v>1.1577281820000001</v>
      </c>
      <c r="I495" s="3">
        <f>[1]Results!L245</f>
        <v>1.1761717279999999</v>
      </c>
      <c r="J495" s="3">
        <f>[1]Results!M245</f>
        <v>1.1953181879999999</v>
      </c>
      <c r="K495" s="3">
        <f>[1]Results!N245</f>
        <v>1.2148063579999999</v>
      </c>
      <c r="L495" s="3">
        <f>[1]Results!O245</f>
        <v>1.2345278930000001</v>
      </c>
      <c r="M495" s="3">
        <f>[1]Results!P245</f>
        <v>1.253903526</v>
      </c>
      <c r="N495" s="3">
        <f>[1]Results!Q245</f>
        <v>1.2703247040000001</v>
      </c>
      <c r="O495" s="3">
        <f>[1]Results!R245</f>
        <v>1.2841803089999999</v>
      </c>
      <c r="P495" s="3">
        <f>[1]Results!S245</f>
        <v>1.296123022</v>
      </c>
      <c r="Q495" s="3">
        <f>[1]Results!T245</f>
        <v>1.306844516</v>
      </c>
      <c r="R495" s="3">
        <f>[1]Results!U245</f>
        <v>1.3169499469999999</v>
      </c>
      <c r="S495" s="3">
        <f>[1]Results!V245</f>
        <v>1.32750173</v>
      </c>
      <c r="T495" s="3">
        <f>[1]Results!W245</f>
        <v>1.3392702869999999</v>
      </c>
      <c r="U495" s="3">
        <f>[1]Results!X245</f>
        <v>1.352638096</v>
      </c>
      <c r="V495" s="3">
        <f>[1]Results!Y245</f>
        <v>1.3677238469999999</v>
      </c>
      <c r="W495" s="3">
        <f>[1]Results!Z245</f>
        <v>1.384453795</v>
      </c>
      <c r="X495" s="3">
        <f>[1]Results!AA245</f>
        <v>1.403028691</v>
      </c>
      <c r="Y495" s="3">
        <f>[1]Results!AB245</f>
        <v>1.4235741989999999</v>
      </c>
      <c r="Z495" s="3">
        <f>[1]Results!AC245</f>
        <v>1.446166544</v>
      </c>
      <c r="AA495" s="3">
        <f>[1]Results!AD245</f>
        <v>1.4707862220000001</v>
      </c>
      <c r="AB495" s="3">
        <f>[1]Results!AE245</f>
        <v>1.49705212</v>
      </c>
      <c r="AC495" s="3">
        <f>[1]Results!AF245</f>
        <v>1.5252858979999999</v>
      </c>
      <c r="AD495" s="3">
        <f>[1]Results!AG245</f>
        <v>1.5556894670000001</v>
      </c>
      <c r="AE495" s="3">
        <f>[1]Results!AH245</f>
        <v>1.5883232920000001</v>
      </c>
      <c r="AF495" s="3">
        <f>[1]Results!AI245</f>
        <v>1.622933156</v>
      </c>
      <c r="AG495" s="3">
        <f>[1]Results!AJ245</f>
        <v>1.6590918880000001</v>
      </c>
      <c r="AH495" s="3">
        <f>[1]Results!AK245</f>
        <v>1.696405116</v>
      </c>
      <c r="AI495" s="3">
        <f>[1]Results!AL245</f>
        <v>1.7345544020000001</v>
      </c>
      <c r="AJ495" s="3">
        <f>[1]Results!AM245</f>
        <v>1.773249002</v>
      </c>
      <c r="AK495" s="3">
        <f>[1]Results!AN245</f>
        <v>1.812199758</v>
      </c>
      <c r="AL495" s="3">
        <f>[1]Results!AO245</f>
        <v>1.85110712</v>
      </c>
    </row>
    <row r="496" spans="1:38" x14ac:dyDescent="0.35">
      <c r="B496" s="3" t="str">
        <f>[1]Results!E248</f>
        <v>YG_toe_cfut_0</v>
      </c>
      <c r="C496" s="3">
        <f>[1]Results!F248</f>
        <v>42.28829657</v>
      </c>
      <c r="D496" s="3">
        <f>[1]Results!G248</f>
        <v>42.548091909999997</v>
      </c>
      <c r="E496" s="3">
        <f>[1]Results!H248</f>
        <v>42.808939240000001</v>
      </c>
      <c r="F496" s="3">
        <f>[1]Results!I248</f>
        <v>43.122912419999999</v>
      </c>
      <c r="G496" s="3">
        <f>[1]Results!J248</f>
        <v>43.561391290000003</v>
      </c>
      <c r="H496" s="3">
        <f>[1]Results!K248</f>
        <v>44.11233902</v>
      </c>
      <c r="I496" s="3">
        <f>[1]Results!L248</f>
        <v>44.735325660000001</v>
      </c>
      <c r="J496" s="3">
        <f>[1]Results!M248</f>
        <v>45.392704019999996</v>
      </c>
      <c r="K496" s="3">
        <f>[1]Results!N248</f>
        <v>46.06702688</v>
      </c>
      <c r="L496" s="3">
        <f>[1]Results!O248</f>
        <v>46.75055708</v>
      </c>
      <c r="M496" s="3">
        <f>[1]Results!P248</f>
        <v>47.430890179999999</v>
      </c>
      <c r="N496" s="3">
        <f>[1]Results!Q248</f>
        <v>48.039423489999997</v>
      </c>
      <c r="O496" s="3">
        <f>[1]Results!R248</f>
        <v>48.581746969999998</v>
      </c>
      <c r="P496" s="3">
        <f>[1]Results!S248</f>
        <v>49.067792310000002</v>
      </c>
      <c r="Q496" s="3">
        <f>[1]Results!T248</f>
        <v>49.510823670000001</v>
      </c>
      <c r="R496" s="3">
        <f>[1]Results!U248</f>
        <v>49.924509209999997</v>
      </c>
      <c r="S496" s="3">
        <f>[1]Results!V248</f>
        <v>50.336711430000001</v>
      </c>
      <c r="T496" s="3">
        <f>[1]Results!W248</f>
        <v>50.772800189999998</v>
      </c>
      <c r="U496" s="3">
        <f>[1]Results!X248</f>
        <v>51.246274560000003</v>
      </c>
      <c r="V496" s="3">
        <f>[1]Results!Y248</f>
        <v>51.762556660000001</v>
      </c>
      <c r="W496" s="3">
        <f>[1]Results!Z248</f>
        <v>52.318796820000003</v>
      </c>
      <c r="X496" s="3">
        <f>[1]Results!AA248</f>
        <v>52.924887329999997</v>
      </c>
      <c r="Y496" s="3">
        <f>[1]Results!AB248</f>
        <v>53.584533880000002</v>
      </c>
      <c r="Z496" s="3">
        <f>[1]Results!AC248</f>
        <v>54.300933739999998</v>
      </c>
      <c r="AA496" s="3">
        <f>[1]Results!AD248</f>
        <v>55.075193489999997</v>
      </c>
      <c r="AB496" s="3">
        <f>[1]Results!AE248</f>
        <v>55.891547410000001</v>
      </c>
      <c r="AC496" s="3">
        <f>[1]Results!AF248</f>
        <v>56.765385549999998</v>
      </c>
      <c r="AD496" s="3">
        <f>[1]Results!AG248</f>
        <v>57.701189820000003</v>
      </c>
      <c r="AE496" s="3">
        <f>[1]Results!AH248</f>
        <v>58.701020370000002</v>
      </c>
      <c r="AF496" s="3">
        <f>[1]Results!AI248</f>
        <v>59.759628319999997</v>
      </c>
      <c r="AG496" s="3">
        <f>[1]Results!AJ248</f>
        <v>60.867215819999998</v>
      </c>
      <c r="AH496" s="3">
        <f>[1]Results!AK248</f>
        <v>62.013612109999997</v>
      </c>
      <c r="AI496" s="3">
        <f>[1]Results!AL248</f>
        <v>63.18936866</v>
      </c>
      <c r="AJ496" s="3">
        <f>[1]Results!AM248</f>
        <v>64.384961390000001</v>
      </c>
      <c r="AK496" s="3">
        <f>[1]Results!AN248</f>
        <v>65.590488300000004</v>
      </c>
      <c r="AL496" s="3">
        <f>[1]Results!AO248</f>
        <v>66.795637490000004</v>
      </c>
    </row>
    <row r="497" spans="1:38" x14ac:dyDescent="0.35">
      <c r="B497" s="3" t="str">
        <f>[1]Results!E251</f>
        <v>YG_toe_cfuh_0</v>
      </c>
      <c r="C497" s="3">
        <f>[1]Results!F251</f>
        <v>7.921345187</v>
      </c>
      <c r="D497" s="3">
        <f>[1]Results!G251</f>
        <v>7.9775045110000002</v>
      </c>
      <c r="E497" s="3">
        <f>[1]Results!H251</f>
        <v>8.0319449420000009</v>
      </c>
      <c r="F497" s="3">
        <f>[1]Results!I251</f>
        <v>8.0832804580000008</v>
      </c>
      <c r="G497" s="3">
        <f>[1]Results!J251</f>
        <v>8.1532327749999993</v>
      </c>
      <c r="H497" s="3">
        <f>[1]Results!K251</f>
        <v>8.2385141480000001</v>
      </c>
      <c r="I497" s="3">
        <f>[1]Results!L251</f>
        <v>8.3257630030000005</v>
      </c>
      <c r="J497" s="3">
        <f>[1]Results!M251</f>
        <v>8.4099257769999998</v>
      </c>
      <c r="K497" s="3">
        <f>[1]Results!N251</f>
        <v>8.4918357170000007</v>
      </c>
      <c r="L497" s="3">
        <f>[1]Results!O251</f>
        <v>8.5730144490000004</v>
      </c>
      <c r="M497" s="3">
        <f>[1]Results!P251</f>
        <v>8.6539070890000005</v>
      </c>
      <c r="N497" s="3">
        <f>[1]Results!Q251</f>
        <v>8.7171255940000005</v>
      </c>
      <c r="O497" s="3">
        <f>[1]Results!R251</f>
        <v>8.7657064810000005</v>
      </c>
      <c r="P497" s="3">
        <f>[1]Results!S251</f>
        <v>8.8029298810000007</v>
      </c>
      <c r="Q497" s="3">
        <f>[1]Results!T251</f>
        <v>8.8324490339999997</v>
      </c>
      <c r="R497" s="3">
        <f>[1]Results!U251</f>
        <v>8.857761086</v>
      </c>
      <c r="S497" s="3">
        <f>[1]Results!V251</f>
        <v>8.8899255499999992</v>
      </c>
      <c r="T497" s="3">
        <f>[1]Results!W251</f>
        <v>8.9333495200000002</v>
      </c>
      <c r="U497" s="3">
        <f>[1]Results!X251</f>
        <v>8.9886310829999996</v>
      </c>
      <c r="V497" s="3">
        <f>[1]Results!Y251</f>
        <v>9.0557453189999997</v>
      </c>
      <c r="W497" s="3">
        <f>[1]Results!Z251</f>
        <v>9.1325272569999996</v>
      </c>
      <c r="X497" s="3">
        <f>[1]Results!AA251</f>
        <v>9.2226495899999996</v>
      </c>
      <c r="Y497" s="3">
        <f>[1]Results!AB251</f>
        <v>9.3260809570000003</v>
      </c>
      <c r="Z497" s="3">
        <f>[1]Results!AC251</f>
        <v>9.4431601660000002</v>
      </c>
      <c r="AA497" s="3">
        <f>[1]Results!AD251</f>
        <v>9.5739143710000008</v>
      </c>
      <c r="AB497" s="3">
        <f>[1]Results!AE251</f>
        <v>9.7119992330000002</v>
      </c>
      <c r="AC497" s="3">
        <f>[1]Results!AF251</f>
        <v>9.8643191199999993</v>
      </c>
      <c r="AD497" s="3">
        <f>[1]Results!AG251</f>
        <v>10.031456929999999</v>
      </c>
      <c r="AE497" s="3">
        <f>[1]Results!AH251</f>
        <v>10.21361628</v>
      </c>
      <c r="AF497" s="3">
        <f>[1]Results!AI251</f>
        <v>10.40936567</v>
      </c>
      <c r="AG497" s="3">
        <f>[1]Results!AJ251</f>
        <v>10.616263249999999</v>
      </c>
      <c r="AH497" s="3">
        <f>[1]Results!AK251</f>
        <v>10.83188039</v>
      </c>
      <c r="AI497" s="3">
        <f>[1]Results!AL251</f>
        <v>11.05395964</v>
      </c>
      <c r="AJ497" s="3">
        <f>[1]Results!AM251</f>
        <v>11.280339100000001</v>
      </c>
      <c r="AK497" s="3">
        <f>[1]Results!AN251</f>
        <v>11.508945649999999</v>
      </c>
      <c r="AL497" s="3">
        <f>[1]Results!AO251</f>
        <v>11.737714950000001</v>
      </c>
    </row>
    <row r="498" spans="1:38" x14ac:dyDescent="0.35">
      <c r="B498" s="3" t="str">
        <f>[1]Results!E253</f>
        <v>YG_toe_cgas_0</v>
      </c>
      <c r="C498" s="3">
        <f>[1]Results!F253</f>
        <v>6.6386576220000002</v>
      </c>
      <c r="D498" s="3">
        <f>[1]Results!G253</f>
        <v>6.5180410479999997</v>
      </c>
      <c r="E498" s="3">
        <f>[1]Results!H253</f>
        <v>6.4064538840000003</v>
      </c>
      <c r="F498" s="3">
        <f>[1]Results!I253</f>
        <v>6.2911205460000001</v>
      </c>
      <c r="G498" s="3">
        <f>[1]Results!J253</f>
        <v>6.2126107929999996</v>
      </c>
      <c r="H498" s="3">
        <f>[1]Results!K253</f>
        <v>6.1383596039999997</v>
      </c>
      <c r="I498" s="3">
        <f>[1]Results!L253</f>
        <v>6.0425084839999998</v>
      </c>
      <c r="J498" s="3">
        <f>[1]Results!M253</f>
        <v>5.946107939</v>
      </c>
      <c r="K498" s="3">
        <f>[1]Results!N253</f>
        <v>5.8600928010000004</v>
      </c>
      <c r="L498" s="3">
        <f>[1]Results!O253</f>
        <v>5.7862029140000004</v>
      </c>
      <c r="M498" s="3">
        <f>[1]Results!P253</f>
        <v>5.7319628519999997</v>
      </c>
      <c r="N498" s="3">
        <f>[1]Results!Q253</f>
        <v>5.7153026550000003</v>
      </c>
      <c r="O498" s="3">
        <f>[1]Results!R253</f>
        <v>5.7279351949999997</v>
      </c>
      <c r="P498" s="3">
        <f>[1]Results!S253</f>
        <v>5.7618031590000003</v>
      </c>
      <c r="Q498" s="3">
        <f>[1]Results!T253</f>
        <v>5.8087279939999998</v>
      </c>
      <c r="R498" s="3">
        <f>[1]Results!U253</f>
        <v>5.8617398449999998</v>
      </c>
      <c r="S498" s="3">
        <f>[1]Results!V253</f>
        <v>5.919954036</v>
      </c>
      <c r="T498" s="3">
        <f>[1]Results!W253</f>
        <v>5.9664817450000003</v>
      </c>
      <c r="U498" s="3">
        <f>[1]Results!X253</f>
        <v>5.9947721070000002</v>
      </c>
      <c r="V498" s="3">
        <f>[1]Results!Y253</f>
        <v>6.0029248229999999</v>
      </c>
      <c r="W498" s="3">
        <f>[1]Results!Z253</f>
        <v>5.9896525540000001</v>
      </c>
      <c r="X498" s="3">
        <f>[1]Results!AA253</f>
        <v>5.9567835760000003</v>
      </c>
      <c r="Y498" s="3">
        <f>[1]Results!AB253</f>
        <v>5.9039763580000004</v>
      </c>
      <c r="Z498" s="3">
        <f>[1]Results!AC253</f>
        <v>5.8313465869999996</v>
      </c>
      <c r="AA498" s="3">
        <f>[1]Results!AD253</f>
        <v>5.739818026</v>
      </c>
      <c r="AB498" s="3">
        <f>[1]Results!AE253</f>
        <v>5.6281016370000003</v>
      </c>
      <c r="AC498" s="3">
        <f>[1]Results!AF253</f>
        <v>5.4991564669999997</v>
      </c>
      <c r="AD498" s="3">
        <f>[1]Results!AG253</f>
        <v>5.3524869879999999</v>
      </c>
      <c r="AE498" s="3">
        <f>[1]Results!AH253</f>
        <v>5.1882969110000001</v>
      </c>
      <c r="AF498" s="3">
        <f>[1]Results!AI253</f>
        <v>5.0095281600000003</v>
      </c>
      <c r="AG498" s="3">
        <f>[1]Results!AJ253</f>
        <v>4.8203006740000003</v>
      </c>
      <c r="AH498" s="3">
        <f>[1]Results!AK253</f>
        <v>4.6241922750000004</v>
      </c>
      <c r="AI498" s="3">
        <f>[1]Results!AL253</f>
        <v>4.423543832</v>
      </c>
      <c r="AJ498" s="3">
        <f>[1]Results!AM253</f>
        <v>4.2206626759999999</v>
      </c>
      <c r="AK498" s="3">
        <f>[1]Results!AN253</f>
        <v>4.0179607800000001</v>
      </c>
      <c r="AL498" s="3">
        <f>[1]Results!AO253</f>
        <v>3.8179460230000002</v>
      </c>
    </row>
    <row r="499" spans="1:38" x14ac:dyDescent="0.35">
      <c r="B499" s="3" t="str">
        <f>[1]Results!E259</f>
        <v>YG_toe_cele_0</v>
      </c>
      <c r="C499" s="3">
        <f>[1]Results!F259</f>
        <v>57.547032530000003</v>
      </c>
      <c r="D499" s="3">
        <f>[1]Results!G259</f>
        <v>58.553381680000001</v>
      </c>
      <c r="E499" s="3">
        <f>[1]Results!H259</f>
        <v>59.539524190000002</v>
      </c>
      <c r="F499" s="3">
        <f>[1]Results!I259</f>
        <v>60.598319150000002</v>
      </c>
      <c r="G499" s="3">
        <f>[1]Results!J259</f>
        <v>61.595226150000002</v>
      </c>
      <c r="H499" s="3">
        <f>[1]Results!K259</f>
        <v>62.612646439999999</v>
      </c>
      <c r="I499" s="3">
        <f>[1]Results!L259</f>
        <v>63.686367539999999</v>
      </c>
      <c r="J499" s="3">
        <f>[1]Results!M259</f>
        <v>64.813352710000004</v>
      </c>
      <c r="K499" s="3">
        <f>[1]Results!N259</f>
        <v>65.969727129999995</v>
      </c>
      <c r="L499" s="3">
        <f>[1]Results!O259</f>
        <v>67.141876389999993</v>
      </c>
      <c r="M499" s="3">
        <f>[1]Results!P259</f>
        <v>68.285467080000004</v>
      </c>
      <c r="N499" s="3">
        <f>[1]Results!Q259</f>
        <v>69.186753179999997</v>
      </c>
      <c r="O499" s="3">
        <f>[1]Results!R259</f>
        <v>69.894810430000007</v>
      </c>
      <c r="P499" s="3">
        <f>[1]Results!S259</f>
        <v>70.455501490000003</v>
      </c>
      <c r="Q499" s="3">
        <f>[1]Results!T259</f>
        <v>70.924733119999999</v>
      </c>
      <c r="R499" s="3">
        <f>[1]Results!U259</f>
        <v>71.355975529999995</v>
      </c>
      <c r="S499" s="3">
        <f>[1]Results!V259</f>
        <v>71.777281340000002</v>
      </c>
      <c r="T499" s="3">
        <f>[1]Results!W259</f>
        <v>72.24813374</v>
      </c>
      <c r="U499" s="3">
        <f>[1]Results!X259</f>
        <v>72.811924300000001</v>
      </c>
      <c r="V499" s="3">
        <f>[1]Results!Y259</f>
        <v>73.496231660000007</v>
      </c>
      <c r="W499" s="3">
        <f>[1]Results!Z259</f>
        <v>74.307397010000003</v>
      </c>
      <c r="X499" s="3">
        <f>[1]Results!AA259</f>
        <v>75.282823669999999</v>
      </c>
      <c r="Y499" s="3">
        <f>[1]Results!AB259</f>
        <v>76.434805510000004</v>
      </c>
      <c r="Z499" s="3">
        <f>[1]Results!AC259</f>
        <v>77.770303470000002</v>
      </c>
      <c r="AA499" s="3">
        <f>[1]Results!AD259</f>
        <v>79.288764749999999</v>
      </c>
      <c r="AB499" s="3">
        <f>[1]Results!AE259</f>
        <v>80.945400699999993</v>
      </c>
      <c r="AC499" s="3">
        <f>[1]Results!AF259</f>
        <v>82.783090810000004</v>
      </c>
      <c r="AD499" s="3">
        <f>[1]Results!AG259</f>
        <v>84.804636610000003</v>
      </c>
      <c r="AE499" s="3">
        <f>[1]Results!AH259</f>
        <v>87.004240420000002</v>
      </c>
      <c r="AF499" s="3">
        <f>[1]Results!AI259</f>
        <v>89.351215780000004</v>
      </c>
      <c r="AG499" s="3">
        <f>[1]Results!AJ259</f>
        <v>91.804375690000001</v>
      </c>
      <c r="AH499" s="3">
        <f>[1]Results!AK259</f>
        <v>94.327012749999994</v>
      </c>
      <c r="AI499" s="3">
        <f>[1]Results!AL259</f>
        <v>96.889530980000004</v>
      </c>
      <c r="AJ499" s="3">
        <f>[1]Results!AM259</f>
        <v>99.465926629999998</v>
      </c>
      <c r="AK499" s="3">
        <f>[1]Results!AN259</f>
        <v>102.0323272</v>
      </c>
      <c r="AL499" s="3">
        <f>[1]Results!AO259</f>
        <v>104.56640729999999</v>
      </c>
    </row>
    <row r="500" spans="1:38" x14ac:dyDescent="0.35">
      <c r="B500" s="3" t="s">
        <v>75</v>
      </c>
      <c r="C500" s="3">
        <f>SUM(C501:C503)</f>
        <v>30.70188138</v>
      </c>
      <c r="D500" s="3">
        <f t="shared" ref="D500:AL500" si="107">SUM(D501:D503)</f>
        <v>31.102160028999997</v>
      </c>
      <c r="E500" s="3">
        <f t="shared" si="107"/>
        <v>31.522176381000001</v>
      </c>
      <c r="F500" s="3">
        <f t="shared" si="107"/>
        <v>31.941875362999998</v>
      </c>
      <c r="G500" s="3">
        <f t="shared" si="107"/>
        <v>32.421900788999999</v>
      </c>
      <c r="H500" s="3">
        <f t="shared" si="107"/>
        <v>32.956298316000002</v>
      </c>
      <c r="I500" s="3">
        <f t="shared" si="107"/>
        <v>33.520085223000002</v>
      </c>
      <c r="J500" s="3">
        <f t="shared" si="107"/>
        <v>34.096706378999997</v>
      </c>
      <c r="K500" s="3">
        <f t="shared" si="107"/>
        <v>34.680860687999996</v>
      </c>
      <c r="L500" s="3">
        <f t="shared" si="107"/>
        <v>35.271702769000001</v>
      </c>
      <c r="M500" s="3">
        <f t="shared" si="107"/>
        <v>35.852495786000006</v>
      </c>
      <c r="N500" s="3">
        <f t="shared" si="107"/>
        <v>36.300252917999998</v>
      </c>
      <c r="O500" s="3">
        <f t="shared" si="107"/>
        <v>36.654793006999995</v>
      </c>
      <c r="P500" s="3">
        <f t="shared" si="107"/>
        <v>36.945879155</v>
      </c>
      <c r="Q500" s="3">
        <f t="shared" si="107"/>
        <v>37.202993321999998</v>
      </c>
      <c r="R500" s="3">
        <f t="shared" si="107"/>
        <v>37.450577805999998</v>
      </c>
      <c r="S500" s="3">
        <f t="shared" si="107"/>
        <v>37.716695064999996</v>
      </c>
      <c r="T500" s="3">
        <f t="shared" si="107"/>
        <v>38.028136418999999</v>
      </c>
      <c r="U500" s="3">
        <f t="shared" si="107"/>
        <v>38.398615719999995</v>
      </c>
      <c r="V500" s="3">
        <f t="shared" si="107"/>
        <v>38.832630881</v>
      </c>
      <c r="W500" s="3">
        <f t="shared" si="107"/>
        <v>39.323506793000007</v>
      </c>
      <c r="X500" s="3">
        <f t="shared" si="107"/>
        <v>39.890138297000007</v>
      </c>
      <c r="Y500" s="3">
        <f t="shared" si="107"/>
        <v>40.535544247000004</v>
      </c>
      <c r="Z500" s="3">
        <f t="shared" si="107"/>
        <v>41.260873209000003</v>
      </c>
      <c r="AA500" s="3">
        <f t="shared" si="107"/>
        <v>42.063371844999999</v>
      </c>
      <c r="AB500" s="3">
        <f t="shared" si="107"/>
        <v>42.912341966</v>
      </c>
      <c r="AC500" s="3">
        <f t="shared" si="107"/>
        <v>43.839637961000001</v>
      </c>
      <c r="AD500" s="3">
        <f t="shared" si="107"/>
        <v>44.849987432000006</v>
      </c>
      <c r="AE500" s="3">
        <f t="shared" si="107"/>
        <v>45.942700654999996</v>
      </c>
      <c r="AF500" s="3">
        <f t="shared" si="107"/>
        <v>47.104121966999998</v>
      </c>
      <c r="AG500" s="3">
        <f t="shared" si="107"/>
        <v>48.315663728999994</v>
      </c>
      <c r="AH500" s="3">
        <f t="shared" si="107"/>
        <v>49.562244014000001</v>
      </c>
      <c r="AI500" s="3">
        <f t="shared" si="107"/>
        <v>50.832864303999997</v>
      </c>
      <c r="AJ500" s="3">
        <f t="shared" si="107"/>
        <v>52.117999828999999</v>
      </c>
      <c r="AK500" s="3">
        <f t="shared" si="107"/>
        <v>53.408492285999998</v>
      </c>
      <c r="AL500" s="3">
        <f t="shared" si="107"/>
        <v>54.695069869999998</v>
      </c>
    </row>
    <row r="501" spans="1:38" x14ac:dyDescent="0.35">
      <c r="B501" s="3" t="str">
        <f>[1]Results!E269</f>
        <v>YG_toe_chea_0</v>
      </c>
      <c r="C501" s="3">
        <f>[1]Results!F269</f>
        <v>5.7001631799999997</v>
      </c>
      <c r="D501" s="3">
        <f>[1]Results!G269</f>
        <v>5.7679417390000003</v>
      </c>
      <c r="E501" s="3">
        <f>[1]Results!H269</f>
        <v>5.8367970209999998</v>
      </c>
      <c r="F501" s="3">
        <f>[1]Results!I269</f>
        <v>5.9011155530000003</v>
      </c>
      <c r="G501" s="3">
        <f>[1]Results!J269</f>
        <v>5.9656033989999999</v>
      </c>
      <c r="H501" s="3">
        <f>[1]Results!K269</f>
        <v>6.0373194459999997</v>
      </c>
      <c r="I501" s="3">
        <f>[1]Results!L269</f>
        <v>6.1037246830000003</v>
      </c>
      <c r="J501" s="3">
        <f>[1]Results!M269</f>
        <v>6.1653903789999998</v>
      </c>
      <c r="K501" s="3">
        <f>[1]Results!N269</f>
        <v>6.223335208</v>
      </c>
      <c r="L501" s="3">
        <f>[1]Results!O269</f>
        <v>6.2789720190000002</v>
      </c>
      <c r="M501" s="3">
        <f>[1]Results!P269</f>
        <v>6.337726236</v>
      </c>
      <c r="N501" s="3">
        <f>[1]Results!Q269</f>
        <v>6.3805132880000004</v>
      </c>
      <c r="O501" s="3">
        <f>[1]Results!R269</f>
        <v>6.4118230369999996</v>
      </c>
      <c r="P501" s="3">
        <f>[1]Results!S269</f>
        <v>6.4351197249999998</v>
      </c>
      <c r="Q501" s="3">
        <f>[1]Results!T269</f>
        <v>6.4536036220000002</v>
      </c>
      <c r="R501" s="3">
        <f>[1]Results!U269</f>
        <v>6.4699958860000004</v>
      </c>
      <c r="S501" s="3">
        <f>[1]Results!V269</f>
        <v>6.4942563550000001</v>
      </c>
      <c r="T501" s="3">
        <f>[1]Results!W269</f>
        <v>6.5284232790000001</v>
      </c>
      <c r="U501" s="3">
        <f>[1]Results!X269</f>
        <v>6.5721650199999999</v>
      </c>
      <c r="V501" s="3">
        <f>[1]Results!Y269</f>
        <v>6.624474921</v>
      </c>
      <c r="W501" s="3">
        <f>[1]Results!Z269</f>
        <v>6.6805022730000001</v>
      </c>
      <c r="X501" s="3">
        <f>[1]Results!AA269</f>
        <v>6.7475951270000003</v>
      </c>
      <c r="Y501" s="3">
        <f>[1]Results!AB269</f>
        <v>6.824704047</v>
      </c>
      <c r="Z501" s="3">
        <f>[1]Results!AC269</f>
        <v>6.911440689</v>
      </c>
      <c r="AA501" s="3">
        <f>[1]Results!AD269</f>
        <v>7.007483015</v>
      </c>
      <c r="AB501" s="3">
        <f>[1]Results!AE269</f>
        <v>7.100122056</v>
      </c>
      <c r="AC501" s="3">
        <f>[1]Results!AF269</f>
        <v>7.2035634010000003</v>
      </c>
      <c r="AD501" s="3">
        <f>[1]Results!AG269</f>
        <v>7.3173685519999996</v>
      </c>
      <c r="AE501" s="3">
        <f>[1]Results!AH269</f>
        <v>7.4411408449999996</v>
      </c>
      <c r="AF501" s="3">
        <f>[1]Results!AI269</f>
        <v>7.5734335169999998</v>
      </c>
      <c r="AG501" s="3">
        <f>[1]Results!AJ269</f>
        <v>7.7122621389999999</v>
      </c>
      <c r="AH501" s="3">
        <f>[1]Results!AK269</f>
        <v>7.8557683239999996</v>
      </c>
      <c r="AI501" s="3">
        <f>[1]Results!AL269</f>
        <v>8.0023681040000003</v>
      </c>
      <c r="AJ501" s="3">
        <f>[1]Results!AM269</f>
        <v>8.1506011689999998</v>
      </c>
      <c r="AK501" s="3">
        <f>[1]Results!AN269</f>
        <v>8.299061816</v>
      </c>
      <c r="AL501" s="3">
        <f>[1]Results!AO269</f>
        <v>8.4463785500000004</v>
      </c>
    </row>
    <row r="502" spans="1:38" x14ac:dyDescent="0.35">
      <c r="B502" s="3" t="str">
        <f>[1]Results!E271</f>
        <v>YG_toe_cbio_0</v>
      </c>
      <c r="C502" s="3">
        <f>[1]Results!F271</f>
        <v>11.164134839999999</v>
      </c>
      <c r="D502" s="3">
        <f>[1]Results!G271</f>
        <v>11.163816779999999</v>
      </c>
      <c r="E502" s="3">
        <f>[1]Results!H271</f>
        <v>11.160223719999999</v>
      </c>
      <c r="F502" s="3">
        <f>[1]Results!I271</f>
        <v>11.148305519999999</v>
      </c>
      <c r="G502" s="3">
        <f>[1]Results!J271</f>
        <v>11.17040366</v>
      </c>
      <c r="H502" s="3">
        <f>[1]Results!K271</f>
        <v>11.21194141</v>
      </c>
      <c r="I502" s="3">
        <f>[1]Results!L271</f>
        <v>11.265000909999999</v>
      </c>
      <c r="J502" s="3">
        <f>[1]Results!M271</f>
        <v>11.324230419999999</v>
      </c>
      <c r="K502" s="3">
        <f>[1]Results!N271</f>
        <v>11.387717609999999</v>
      </c>
      <c r="L502" s="3">
        <f>[1]Results!O271</f>
        <v>11.45385684</v>
      </c>
      <c r="M502" s="3">
        <f>[1]Results!P271</f>
        <v>11.52350414</v>
      </c>
      <c r="N502" s="3">
        <f>[1]Results!Q271</f>
        <v>11.57277811</v>
      </c>
      <c r="O502" s="3">
        <f>[1]Results!R271</f>
        <v>11.605503300000001</v>
      </c>
      <c r="P502" s="3">
        <f>[1]Results!S271</f>
        <v>11.62574981</v>
      </c>
      <c r="Q502" s="3">
        <f>[1]Results!T271</f>
        <v>11.6381935</v>
      </c>
      <c r="R502" s="3">
        <f>[1]Results!U271</f>
        <v>11.64727501</v>
      </c>
      <c r="S502" s="3">
        <f>[1]Results!V271</f>
        <v>11.65437959</v>
      </c>
      <c r="T502" s="3">
        <f>[1]Results!W271</f>
        <v>11.66528024</v>
      </c>
      <c r="U502" s="3">
        <f>[1]Results!X271</f>
        <v>11.683795030000001</v>
      </c>
      <c r="V502" s="3">
        <f>[1]Results!Y271</f>
        <v>11.712223079999999</v>
      </c>
      <c r="W502" s="3">
        <f>[1]Results!Z271</f>
        <v>11.74827509</v>
      </c>
      <c r="X502" s="3">
        <f>[1]Results!AA271</f>
        <v>11.799639170000001</v>
      </c>
      <c r="Y502" s="3">
        <f>[1]Results!AB271</f>
        <v>11.866748919999999</v>
      </c>
      <c r="Z502" s="3">
        <f>[1]Results!AC271</f>
        <v>11.949831720000001</v>
      </c>
      <c r="AA502" s="3">
        <f>[1]Results!AD271</f>
        <v>12.04864514</v>
      </c>
      <c r="AB502" s="3">
        <f>[1]Results!AE271</f>
        <v>12.151457479999999</v>
      </c>
      <c r="AC502" s="3">
        <f>[1]Results!AF271</f>
        <v>12.270268590000001</v>
      </c>
      <c r="AD502" s="3">
        <f>[1]Results!AG271</f>
        <v>12.40543851</v>
      </c>
      <c r="AE502" s="3">
        <f>[1]Results!AH271</f>
        <v>12.55641428</v>
      </c>
      <c r="AF502" s="3">
        <f>[1]Results!AI271</f>
        <v>12.72076968</v>
      </c>
      <c r="AG502" s="3">
        <f>[1]Results!AJ271</f>
        <v>12.89520196</v>
      </c>
      <c r="AH502" s="3">
        <f>[1]Results!AK271</f>
        <v>13.076674909999999</v>
      </c>
      <c r="AI502" s="3">
        <f>[1]Results!AL271</f>
        <v>13.26260184</v>
      </c>
      <c r="AJ502" s="3">
        <f>[1]Results!AM271</f>
        <v>13.450738490000001</v>
      </c>
      <c r="AK502" s="3">
        <f>[1]Results!AN271</f>
        <v>13.63902541</v>
      </c>
      <c r="AL502" s="3">
        <f>[1]Results!AO271</f>
        <v>13.825518410000001</v>
      </c>
    </row>
    <row r="503" spans="1:38" x14ac:dyDescent="0.35">
      <c r="B503" s="3" t="str">
        <f>[1]Results!E274</f>
        <v>YG_toe_cote_0</v>
      </c>
      <c r="C503" s="3">
        <f>[1]Results!F274</f>
        <v>13.83758336</v>
      </c>
      <c r="D503" s="3">
        <f>[1]Results!G274</f>
        <v>14.17040151</v>
      </c>
      <c r="E503" s="3">
        <f>[1]Results!H274</f>
        <v>14.525155639999999</v>
      </c>
      <c r="F503" s="3">
        <f>[1]Results!I274</f>
        <v>14.89245429</v>
      </c>
      <c r="G503" s="3">
        <f>[1]Results!J274</f>
        <v>15.28589373</v>
      </c>
      <c r="H503" s="3">
        <f>[1]Results!K274</f>
        <v>15.70703746</v>
      </c>
      <c r="I503" s="3">
        <f>[1]Results!L274</f>
        <v>16.151359630000002</v>
      </c>
      <c r="J503" s="3">
        <f>[1]Results!M274</f>
        <v>16.60708558</v>
      </c>
      <c r="K503" s="3">
        <f>[1]Results!N274</f>
        <v>17.069807870000002</v>
      </c>
      <c r="L503" s="3">
        <f>[1]Results!O274</f>
        <v>17.53887391</v>
      </c>
      <c r="M503" s="3">
        <f>[1]Results!P274</f>
        <v>17.99126541</v>
      </c>
      <c r="N503" s="3">
        <f>[1]Results!Q274</f>
        <v>18.346961520000001</v>
      </c>
      <c r="O503" s="3">
        <f>[1]Results!R274</f>
        <v>18.637466669999998</v>
      </c>
      <c r="P503" s="3">
        <f>[1]Results!S274</f>
        <v>18.885009620000002</v>
      </c>
      <c r="Q503" s="3">
        <f>[1]Results!T274</f>
        <v>19.111196199999998</v>
      </c>
      <c r="R503" s="3">
        <f>[1]Results!U274</f>
        <v>19.333306910000001</v>
      </c>
      <c r="S503" s="3">
        <f>[1]Results!V274</f>
        <v>19.568059120000001</v>
      </c>
      <c r="T503" s="3">
        <f>[1]Results!W274</f>
        <v>19.834432899999999</v>
      </c>
      <c r="U503" s="3">
        <f>[1]Results!X274</f>
        <v>20.14265567</v>
      </c>
      <c r="V503" s="3">
        <f>[1]Results!Y274</f>
        <v>20.495932880000002</v>
      </c>
      <c r="W503" s="3">
        <f>[1]Results!Z274</f>
        <v>20.894729430000002</v>
      </c>
      <c r="X503" s="3">
        <f>[1]Results!AA274</f>
        <v>21.342904000000001</v>
      </c>
      <c r="Y503" s="3">
        <f>[1]Results!AB274</f>
        <v>21.844091280000001</v>
      </c>
      <c r="Z503" s="3">
        <f>[1]Results!AC274</f>
        <v>22.399600800000002</v>
      </c>
      <c r="AA503" s="3">
        <f>[1]Results!AD274</f>
        <v>23.007243689999999</v>
      </c>
      <c r="AB503" s="3">
        <f>[1]Results!AE274</f>
        <v>23.660762429999998</v>
      </c>
      <c r="AC503" s="3">
        <f>[1]Results!AF274</f>
        <v>24.36580597</v>
      </c>
      <c r="AD503" s="3">
        <f>[1]Results!AG274</f>
        <v>25.127180370000001</v>
      </c>
      <c r="AE503" s="3">
        <f>[1]Results!AH274</f>
        <v>25.945145530000001</v>
      </c>
      <c r="AF503" s="3">
        <f>[1]Results!AI274</f>
        <v>26.809918769999999</v>
      </c>
      <c r="AG503" s="3">
        <f>[1]Results!AJ274</f>
        <v>27.708199629999999</v>
      </c>
      <c r="AH503" s="3">
        <f>[1]Results!AK274</f>
        <v>28.62980078</v>
      </c>
      <c r="AI503" s="3">
        <f>[1]Results!AL274</f>
        <v>29.56789436</v>
      </c>
      <c r="AJ503" s="3">
        <f>[1]Results!AM274</f>
        <v>30.516660170000002</v>
      </c>
      <c r="AK503" s="3">
        <f>[1]Results!AN274</f>
        <v>31.470405060000001</v>
      </c>
      <c r="AL503" s="3">
        <f>[1]Results!AO274</f>
        <v>32.423172909999998</v>
      </c>
    </row>
    <row r="504" spans="1:3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1:3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</row>
    <row r="506" spans="1:38" x14ac:dyDescent="0.35">
      <c r="A506" t="s">
        <v>95</v>
      </c>
      <c r="B506" t="s">
        <v>94</v>
      </c>
      <c r="C506" s="4">
        <f>C479/C492-1</f>
        <v>1.1443124448007325E-8</v>
      </c>
      <c r="D506" s="4">
        <f t="shared" ref="D506" si="108">D479/D492-1</f>
        <v>1.0653186111042601E-8</v>
      </c>
      <c r="E506" s="4">
        <f t="shared" ref="E506:AL506" si="109">E479/E492-1</f>
        <v>1.0538208305987951E-8</v>
      </c>
      <c r="F506" s="4">
        <f t="shared" si="109"/>
        <v>1.0417925855321641E-8</v>
      </c>
      <c r="G506" s="4">
        <f t="shared" si="109"/>
        <v>1.0287352525395477E-8</v>
      </c>
      <c r="H506" s="4">
        <f t="shared" si="109"/>
        <v>9.5115999521055983E-9</v>
      </c>
      <c r="I506" s="4">
        <f t="shared" si="109"/>
        <v>9.3739485063082384E-9</v>
      </c>
      <c r="J506" s="4">
        <f t="shared" si="109"/>
        <v>4.9283414408134441E-3</v>
      </c>
      <c r="K506" s="4">
        <f t="shared" si="109"/>
        <v>1.1128633996173587E-2</v>
      </c>
      <c r="L506" s="4">
        <f t="shared" si="109"/>
        <v>2.1869277402931431E-2</v>
      </c>
      <c r="M506" s="4">
        <f t="shared" si="109"/>
        <v>3.3386672746248847E-2</v>
      </c>
      <c r="N506" s="4">
        <f t="shared" si="109"/>
        <v>4.4530444628029908E-2</v>
      </c>
      <c r="O506" s="4">
        <f t="shared" si="109"/>
        <v>5.5478279578303535E-2</v>
      </c>
      <c r="P506" s="4">
        <f t="shared" si="109"/>
        <v>6.6720909588941391E-2</v>
      </c>
      <c r="Q506" s="4">
        <f t="shared" si="109"/>
        <v>7.8776200558331011E-2</v>
      </c>
      <c r="R506" s="4">
        <f t="shared" si="109"/>
        <v>9.1775125341740926E-2</v>
      </c>
      <c r="S506" s="4">
        <f t="shared" si="109"/>
        <v>0.10448589495486971</v>
      </c>
      <c r="T506" s="4">
        <f t="shared" si="109"/>
        <v>0.11788548689043088</v>
      </c>
      <c r="U506" s="4">
        <f t="shared" si="109"/>
        <v>0.13199496186378745</v>
      </c>
      <c r="V506" s="4">
        <f t="shared" si="109"/>
        <v>0.14693200949511054</v>
      </c>
      <c r="W506" s="4">
        <f t="shared" si="109"/>
        <v>0.16287626322511617</v>
      </c>
      <c r="X506" s="4">
        <f t="shared" si="109"/>
        <v>0.18005011486310241</v>
      </c>
      <c r="Y506" s="4">
        <f t="shared" si="109"/>
        <v>0.19870608679959223</v>
      </c>
      <c r="Z506" s="4">
        <f t="shared" si="109"/>
        <v>0.21906464068371911</v>
      </c>
      <c r="AA506" s="4">
        <f t="shared" si="109"/>
        <v>0.24136636089536445</v>
      </c>
      <c r="AB506" s="4">
        <f t="shared" si="109"/>
        <v>0.26591228656874266</v>
      </c>
      <c r="AC506" s="4">
        <f t="shared" si="109"/>
        <v>0.2935606873891039</v>
      </c>
      <c r="AD506" s="4">
        <f t="shared" si="109"/>
        <v>0.32455387568869321</v>
      </c>
      <c r="AE506" s="4">
        <f t="shared" si="109"/>
        <v>0.35940760355540813</v>
      </c>
      <c r="AF506" s="4">
        <f t="shared" si="109"/>
        <v>0.39871375232497597</v>
      </c>
      <c r="AG506" s="4">
        <f t="shared" si="109"/>
        <v>0.44319176997517196</v>
      </c>
      <c r="AH506" s="4">
        <f t="shared" si="109"/>
        <v>0.49380661135048842</v>
      </c>
      <c r="AI506" s="4">
        <f t="shared" si="109"/>
        <v>0.55180899693259011</v>
      </c>
      <c r="AJ506" s="4">
        <f t="shared" si="109"/>
        <v>0.61869596308606623</v>
      </c>
      <c r="AK506" s="4">
        <f t="shared" si="109"/>
        <v>0.69638219945912772</v>
      </c>
      <c r="AL506" s="4">
        <f t="shared" si="109"/>
        <v>0.78741936551247615</v>
      </c>
    </row>
    <row r="507" spans="1:38" x14ac:dyDescent="0.35">
      <c r="B507" t="s">
        <v>76</v>
      </c>
      <c r="C507" s="4">
        <f>(C480-C493)/C$492</f>
        <v>2.6924997876407011E-11</v>
      </c>
      <c r="D507" s="4">
        <f>(D480-D493)/D$492</f>
        <v>3.329120679278159E-11</v>
      </c>
      <c r="E507" s="4">
        <f t="shared" ref="E507:AL507" si="110">(E480-E493)/E$492</f>
        <v>2.634551992598059E-11</v>
      </c>
      <c r="F507" s="4">
        <f t="shared" si="110"/>
        <v>1.9533609938938803E-11</v>
      </c>
      <c r="G507" s="4">
        <f t="shared" si="110"/>
        <v>1.9288787649787849E-11</v>
      </c>
      <c r="H507" s="4">
        <f t="shared" si="110"/>
        <v>2.5364265722103798E-11</v>
      </c>
      <c r="I507" s="4">
        <f t="shared" si="110"/>
        <v>2.4997195545006397E-11</v>
      </c>
      <c r="J507" s="4">
        <f t="shared" si="110"/>
        <v>-6.170172451207068E-4</v>
      </c>
      <c r="K507" s="4">
        <f t="shared" si="110"/>
        <v>-1.3035015493106641E-3</v>
      </c>
      <c r="L507" s="4">
        <f t="shared" si="110"/>
        <v>-1.8900018982662891E-3</v>
      </c>
      <c r="M507" s="4">
        <f t="shared" si="110"/>
        <v>-2.4298223724979915E-3</v>
      </c>
      <c r="N507" s="4">
        <f t="shared" si="110"/>
        <v>-2.8647703399093528E-3</v>
      </c>
      <c r="O507" s="4">
        <f t="shared" si="110"/>
        <v>-3.2332129330206695E-3</v>
      </c>
      <c r="P507" s="4">
        <f t="shared" si="110"/>
        <v>-3.5559559610253764E-3</v>
      </c>
      <c r="Q507" s="4">
        <f t="shared" si="110"/>
        <v>-3.8427619122034379E-3</v>
      </c>
      <c r="R507" s="4">
        <f t="shared" si="110"/>
        <v>-4.1032751215728204E-3</v>
      </c>
      <c r="S507" s="4">
        <f t="shared" si="110"/>
        <v>-4.399715624728984E-3</v>
      </c>
      <c r="T507" s="4">
        <f t="shared" si="110"/>
        <v>-4.7217814368463408E-3</v>
      </c>
      <c r="U507" s="4">
        <f t="shared" si="110"/>
        <v>-5.0604261133273161E-3</v>
      </c>
      <c r="V507" s="4">
        <f t="shared" si="110"/>
        <v>-5.4080294192030767E-3</v>
      </c>
      <c r="W507" s="4">
        <f t="shared" si="110"/>
        <v>-5.7591554087250037E-3</v>
      </c>
      <c r="X507" s="4">
        <f t="shared" si="110"/>
        <v>-6.1078531617292419E-3</v>
      </c>
      <c r="Y507" s="4">
        <f t="shared" si="110"/>
        <v>-6.4509519526687242E-3</v>
      </c>
      <c r="Z507" s="4">
        <f t="shared" si="110"/>
        <v>-6.7863928337530124E-3</v>
      </c>
      <c r="AA507" s="4">
        <f t="shared" si="110"/>
        <v>-7.1124060960634844E-3</v>
      </c>
      <c r="AB507" s="4">
        <f t="shared" si="110"/>
        <v>-7.4299202905903387E-3</v>
      </c>
      <c r="AC507" s="4">
        <f t="shared" si="110"/>
        <v>-7.7327159644486592E-3</v>
      </c>
      <c r="AD507" s="4">
        <f t="shared" si="110"/>
        <v>-8.0210470042634471E-3</v>
      </c>
      <c r="AE507" s="4">
        <f t="shared" si="110"/>
        <v>-8.2946326685639296E-3</v>
      </c>
      <c r="AF507" s="4">
        <f t="shared" si="110"/>
        <v>-8.5527982511748452E-3</v>
      </c>
      <c r="AG507" s="4">
        <f t="shared" si="110"/>
        <v>-8.7944269918388551E-3</v>
      </c>
      <c r="AH507" s="4">
        <f t="shared" si="110"/>
        <v>-9.0178431954264383E-3</v>
      </c>
      <c r="AI507" s="4">
        <f t="shared" si="110"/>
        <v>-9.2209067920011253E-3</v>
      </c>
      <c r="AJ507" s="4">
        <f t="shared" si="110"/>
        <v>-9.4011324903133416E-3</v>
      </c>
      <c r="AK507" s="4">
        <f t="shared" si="110"/>
        <v>-9.5548451997724843E-3</v>
      </c>
      <c r="AL507" s="4">
        <f t="shared" si="110"/>
        <v>-9.675776403112641E-3</v>
      </c>
    </row>
    <row r="508" spans="1:38" x14ac:dyDescent="0.35">
      <c r="B508" t="s">
        <v>74</v>
      </c>
      <c r="C508" s="4">
        <f>(C481-C494)/C$493</f>
        <v>5.4876978392728924E-9</v>
      </c>
      <c r="D508" s="4">
        <f>(D481-D494)/D$492</f>
        <v>8.6557169003875635E-11</v>
      </c>
      <c r="E508" s="4">
        <f t="shared" ref="E508:AL508" si="111">(E481-E494)/E$492</f>
        <v>9.2209329978223331E-11</v>
      </c>
      <c r="F508" s="4">
        <f t="shared" si="111"/>
        <v>9.1156859875639258E-11</v>
      </c>
      <c r="G508" s="4">
        <f t="shared" si="111"/>
        <v>9.0014250995631219E-11</v>
      </c>
      <c r="H508" s="4">
        <f t="shared" si="111"/>
        <v>1.5852670089113819E-10</v>
      </c>
      <c r="I508" s="4">
        <f t="shared" si="111"/>
        <v>9.3739515902917814E-11</v>
      </c>
      <c r="J508" s="4">
        <f t="shared" si="111"/>
        <v>-8.5199924650546988E-4</v>
      </c>
      <c r="K508" s="4">
        <f t="shared" si="111"/>
        <v>-1.6526453097580815E-3</v>
      </c>
      <c r="L508" s="4">
        <f t="shared" si="111"/>
        <v>-1.695629011826217E-3</v>
      </c>
      <c r="M508" s="4">
        <f t="shared" si="111"/>
        <v>-1.4164175501182885E-3</v>
      </c>
      <c r="N508" s="4">
        <f t="shared" si="111"/>
        <v>-5.6983919749480983E-4</v>
      </c>
      <c r="O508" s="4">
        <f t="shared" si="111"/>
        <v>7.0302686795657775E-4</v>
      </c>
      <c r="P508" s="4">
        <f t="shared" si="111"/>
        <v>2.3324230915912373E-3</v>
      </c>
      <c r="Q508" s="4">
        <f t="shared" si="111"/>
        <v>4.291747736345484E-3</v>
      </c>
      <c r="R508" s="4">
        <f t="shared" si="111"/>
        <v>6.5282188713941969E-3</v>
      </c>
      <c r="S508" s="4">
        <f t="shared" si="111"/>
        <v>8.7287268702671405E-3</v>
      </c>
      <c r="T508" s="4">
        <f t="shared" si="111"/>
        <v>1.085641945126321E-2</v>
      </c>
      <c r="U508" s="4">
        <f t="shared" si="111"/>
        <v>1.2935865091529573E-2</v>
      </c>
      <c r="V508" s="4">
        <f t="shared" si="111"/>
        <v>1.5006197672780032E-2</v>
      </c>
      <c r="W508" s="4">
        <f t="shared" si="111"/>
        <v>1.711303355245665E-2</v>
      </c>
      <c r="X508" s="4">
        <f t="shared" si="111"/>
        <v>1.9279940881231986E-2</v>
      </c>
      <c r="Y508" s="4">
        <f t="shared" si="111"/>
        <v>2.1538166197011273E-2</v>
      </c>
      <c r="Z508" s="4">
        <f t="shared" si="111"/>
        <v>2.3906687397396126E-2</v>
      </c>
      <c r="AA508" s="4">
        <f t="shared" si="111"/>
        <v>2.6402999432890775E-2</v>
      </c>
      <c r="AB508" s="4">
        <f t="shared" si="111"/>
        <v>2.9071353497149392E-2</v>
      </c>
      <c r="AC508" s="4">
        <f t="shared" si="111"/>
        <v>3.1918732548833886E-2</v>
      </c>
      <c r="AD508" s="4">
        <f t="shared" si="111"/>
        <v>3.4986338110515269E-2</v>
      </c>
      <c r="AE508" s="4">
        <f t="shared" si="111"/>
        <v>3.8309772279500068E-2</v>
      </c>
      <c r="AF508" s="4">
        <f t="shared" si="111"/>
        <v>4.193646961631322E-2</v>
      </c>
      <c r="AG508" s="4">
        <f t="shared" si="111"/>
        <v>4.5926431163401685E-2</v>
      </c>
      <c r="AH508" s="4">
        <f t="shared" si="111"/>
        <v>5.0357816986043684E-2</v>
      </c>
      <c r="AI508" s="4">
        <f t="shared" si="111"/>
        <v>5.5330434831888133E-2</v>
      </c>
      <c r="AJ508" s="4">
        <f t="shared" si="111"/>
        <v>6.0963975868069169E-2</v>
      </c>
      <c r="AK508" s="4">
        <f t="shared" si="111"/>
        <v>6.7417446685813218E-2</v>
      </c>
      <c r="AL508" s="4">
        <f t="shared" si="111"/>
        <v>7.4920509183454873E-2</v>
      </c>
    </row>
    <row r="509" spans="1:38" x14ac:dyDescent="0.35">
      <c r="B509" t="s">
        <v>54</v>
      </c>
      <c r="C509" s="4">
        <f>(C485-C498)/C$492</f>
        <v>1.1200799433448503E-8</v>
      </c>
      <c r="D509" s="4">
        <f>(D485-D498)/D$492</f>
        <v>1.0686477448490513E-8</v>
      </c>
      <c r="E509" s="4">
        <f t="shared" ref="E509:AL509" si="112">(E485-E498)/E$492</f>
        <v>1.0307684961340236E-8</v>
      </c>
      <c r="F509" s="4">
        <f t="shared" si="112"/>
        <v>9.9491193080135192E-9</v>
      </c>
      <c r="G509" s="4">
        <f t="shared" si="112"/>
        <v>9.7344073620610772E-9</v>
      </c>
      <c r="H509" s="4">
        <f t="shared" si="112"/>
        <v>9.5433052489814829E-9</v>
      </c>
      <c r="I509" s="4">
        <f t="shared" si="112"/>
        <v>9.3302035015158467E-9</v>
      </c>
      <c r="J509" s="4">
        <f t="shared" si="112"/>
        <v>-7.6804950161847194E-4</v>
      </c>
      <c r="K509" s="4">
        <f t="shared" si="112"/>
        <v>-1.0927121431095108E-3</v>
      </c>
      <c r="L509" s="4">
        <f t="shared" si="112"/>
        <v>-1.3699912247128207E-3</v>
      </c>
      <c r="M509" s="4">
        <f t="shared" si="112"/>
        <v>-1.5344832063094492E-3</v>
      </c>
      <c r="N509" s="4">
        <f t="shared" si="112"/>
        <v>-1.5772227248470139E-3</v>
      </c>
      <c r="O509" s="4">
        <f t="shared" si="112"/>
        <v>-1.6284055271785476E-3</v>
      </c>
      <c r="P509" s="4">
        <f t="shared" si="112"/>
        <v>-1.7424758280643363E-3</v>
      </c>
      <c r="Q509" s="4">
        <f t="shared" si="112"/>
        <v>-1.9377085377698707E-3</v>
      </c>
      <c r="R509" s="4">
        <f t="shared" si="112"/>
        <v>-2.2030206200119359E-3</v>
      </c>
      <c r="S509" s="4">
        <f t="shared" si="112"/>
        <v>-2.551151238784668E-3</v>
      </c>
      <c r="T509" s="4">
        <f t="shared" si="112"/>
        <v>-2.8997194709476466E-3</v>
      </c>
      <c r="U509" s="4">
        <f t="shared" si="112"/>
        <v>-3.2199029924030696E-3</v>
      </c>
      <c r="V509" s="4">
        <f t="shared" si="112"/>
        <v>-3.5026475772081934E-3</v>
      </c>
      <c r="W509" s="4">
        <f t="shared" si="112"/>
        <v>-3.7466819868932255E-3</v>
      </c>
      <c r="X509" s="4">
        <f t="shared" si="112"/>
        <v>-3.9566788400172857E-3</v>
      </c>
      <c r="Y509" s="4">
        <f t="shared" si="112"/>
        <v>-4.1471649877931277E-3</v>
      </c>
      <c r="Z509" s="4">
        <f t="shared" si="112"/>
        <v>-4.3251718593132274E-3</v>
      </c>
      <c r="AA509" s="4">
        <f t="shared" si="112"/>
        <v>-4.4960601885869131E-3</v>
      </c>
      <c r="AB509" s="4">
        <f t="shared" si="112"/>
        <v>-4.6652347755771388E-3</v>
      </c>
      <c r="AC509" s="4">
        <f t="shared" si="112"/>
        <v>-4.8379201103060689E-3</v>
      </c>
      <c r="AD509" s="4">
        <f t="shared" si="112"/>
        <v>-5.0248706468343689E-3</v>
      </c>
      <c r="AE509" s="4">
        <f t="shared" si="112"/>
        <v>-5.2322624937069682E-3</v>
      </c>
      <c r="AF509" s="4">
        <f t="shared" si="112"/>
        <v>-5.4707999796334474E-3</v>
      </c>
      <c r="AG509" s="4">
        <f t="shared" si="112"/>
        <v>-5.75421562959527E-3</v>
      </c>
      <c r="AH509" s="4">
        <f t="shared" si="112"/>
        <v>-6.0983999953246951E-3</v>
      </c>
      <c r="AI509" s="4">
        <f t="shared" si="112"/>
        <v>-6.5186709849432327E-3</v>
      </c>
      <c r="AJ509" s="4">
        <f t="shared" si="112"/>
        <v>-7.0319178592833757E-3</v>
      </c>
      <c r="AK509" s="4">
        <f t="shared" si="112"/>
        <v>-7.6586820641070417E-3</v>
      </c>
      <c r="AL509" s="4">
        <f t="shared" si="112"/>
        <v>-8.4254970381601266E-3</v>
      </c>
    </row>
    <row r="510" spans="1:38" x14ac:dyDescent="0.35">
      <c r="B510" t="s">
        <v>11</v>
      </c>
      <c r="C510" s="4">
        <f>(C486-C499)/C$493</f>
        <v>4.2213018771706237E-9</v>
      </c>
      <c r="D510" s="4">
        <f>(D486-D499)/D$492</f>
        <v>1.3316483899853898E-10</v>
      </c>
      <c r="E510" s="4">
        <f t="shared" ref="E510:AL510" si="113">(E486-E499)/E$492</f>
        <v>6.5863807127302385E-11</v>
      </c>
      <c r="F510" s="4">
        <f t="shared" si="113"/>
        <v>1.3022408553662752E-10</v>
      </c>
      <c r="G510" s="4">
        <f t="shared" si="113"/>
        <v>6.4295958832626169E-11</v>
      </c>
      <c r="H510" s="4">
        <f t="shared" si="113"/>
        <v>6.341067134525765E-11</v>
      </c>
      <c r="I510" s="4">
        <f t="shared" si="113"/>
        <v>6.2492995800631707E-11</v>
      </c>
      <c r="J510" s="4">
        <f t="shared" si="113"/>
        <v>8.8009860327495568E-3</v>
      </c>
      <c r="K510" s="4">
        <f t="shared" si="113"/>
        <v>1.8624400637528266E-2</v>
      </c>
      <c r="L510" s="4">
        <f t="shared" si="113"/>
        <v>3.0825485935008442E-2</v>
      </c>
      <c r="M510" s="4">
        <f t="shared" si="113"/>
        <v>4.3255468282553541E-2</v>
      </c>
      <c r="N510" s="4">
        <f t="shared" si="113"/>
        <v>5.4472149718655126E-2</v>
      </c>
      <c r="O510" s="4">
        <f t="shared" si="113"/>
        <v>6.5001490881961985E-2</v>
      </c>
      <c r="P510" s="4">
        <f t="shared" si="113"/>
        <v>7.5406962254041698E-2</v>
      </c>
      <c r="Q510" s="4">
        <f t="shared" si="113"/>
        <v>8.6161930030825701E-2</v>
      </c>
      <c r="R510" s="4">
        <f t="shared" si="113"/>
        <v>9.745427070097222E-2</v>
      </c>
      <c r="S510" s="4">
        <f t="shared" si="113"/>
        <v>0.10907617179315615</v>
      </c>
      <c r="T510" s="4">
        <f t="shared" si="113"/>
        <v>0.12153954327280843</v>
      </c>
      <c r="U510" s="4">
        <f t="shared" si="113"/>
        <v>0.1347824354350442</v>
      </c>
      <c r="V510" s="4">
        <f t="shared" si="113"/>
        <v>0.14883850558738679</v>
      </c>
      <c r="W510" s="4">
        <f t="shared" si="113"/>
        <v>0.16380970592091407</v>
      </c>
      <c r="X510" s="4">
        <f t="shared" si="113"/>
        <v>0.17987011937919709</v>
      </c>
      <c r="Y510" s="4">
        <f t="shared" si="113"/>
        <v>0.19723066325194583</v>
      </c>
      <c r="Z510" s="4">
        <f t="shared" si="113"/>
        <v>0.21608236813188303</v>
      </c>
      <c r="AA510" s="4">
        <f t="shared" si="113"/>
        <v>0.23663695708951843</v>
      </c>
      <c r="AB510" s="4">
        <f t="shared" si="113"/>
        <v>0.25914272976892749</v>
      </c>
      <c r="AC510" s="4">
        <f t="shared" si="113"/>
        <v>0.28427384659857219</v>
      </c>
      <c r="AD510" s="4">
        <f t="shared" si="113"/>
        <v>0.31235213945213075</v>
      </c>
      <c r="AE510" s="4">
        <f t="shared" si="113"/>
        <v>0.34384550517048462</v>
      </c>
      <c r="AF510" s="4">
        <f t="shared" si="113"/>
        <v>0.3792907339463355</v>
      </c>
      <c r="AG510" s="4">
        <f t="shared" si="113"/>
        <v>0.41933802707177792</v>
      </c>
      <c r="AH510" s="4">
        <f t="shared" si="113"/>
        <v>0.46485556384325172</v>
      </c>
      <c r="AI510" s="4">
        <f t="shared" si="113"/>
        <v>0.51696665130724595</v>
      </c>
      <c r="AJ510" s="4">
        <f t="shared" si="113"/>
        <v>0.57701728293279353</v>
      </c>
      <c r="AK510" s="4">
        <f t="shared" si="113"/>
        <v>0.64672251331039932</v>
      </c>
      <c r="AL510" s="4">
        <f t="shared" si="113"/>
        <v>0.72834913197608631</v>
      </c>
    </row>
    <row r="511" spans="1:38" x14ac:dyDescent="0.35">
      <c r="B511" t="s">
        <v>75</v>
      </c>
      <c r="C511" s="4">
        <f>(C487-C500)/C$494</f>
        <v>-3.898307737423831E-11</v>
      </c>
      <c r="D511" s="4">
        <f>(D487-D500)/D$492</f>
        <v>1.3316483899853899E-11</v>
      </c>
      <c r="E511" s="4">
        <f t="shared" ref="E511:AL511" si="114">(E487-E500)/E$492</f>
        <v>-2.6345522850920953E-11</v>
      </c>
      <c r="F511" s="4">
        <f t="shared" si="114"/>
        <v>-1.4324647095784769E-10</v>
      </c>
      <c r="G511" s="4">
        <f t="shared" si="114"/>
        <v>-1.157327258987271E-10</v>
      </c>
      <c r="H511" s="4">
        <f t="shared" si="114"/>
        <v>-1.3950347695956684E-10</v>
      </c>
      <c r="I511" s="4">
        <f t="shared" si="114"/>
        <v>-1.4998323432545662E-10</v>
      </c>
      <c r="J511" s="4">
        <f t="shared" si="114"/>
        <v>-1.6355786110044471E-3</v>
      </c>
      <c r="K511" s="4">
        <f t="shared" si="114"/>
        <v>-3.4469078514172769E-3</v>
      </c>
      <c r="L511" s="4">
        <f t="shared" si="114"/>
        <v>-4.0005862061418384E-3</v>
      </c>
      <c r="M511" s="4">
        <f t="shared" si="114"/>
        <v>-4.4880719895320619E-3</v>
      </c>
      <c r="N511" s="4">
        <f t="shared" si="114"/>
        <v>-4.9298728516337254E-3</v>
      </c>
      <c r="O511" s="4">
        <f t="shared" si="114"/>
        <v>-5.3646193889739964E-3</v>
      </c>
      <c r="P511" s="4">
        <f t="shared" si="114"/>
        <v>-5.7200437163372024E-3</v>
      </c>
      <c r="Q511" s="4">
        <f t="shared" si="114"/>
        <v>-5.8970068722538167E-3</v>
      </c>
      <c r="R511" s="4">
        <f t="shared" si="114"/>
        <v>-5.9010688156466541E-3</v>
      </c>
      <c r="S511" s="4">
        <f t="shared" si="114"/>
        <v>-6.3681364927030172E-3</v>
      </c>
      <c r="T511" s="4">
        <f t="shared" si="114"/>
        <v>-6.8889746427575563E-3</v>
      </c>
      <c r="U511" s="4">
        <f t="shared" si="114"/>
        <v>-7.4430098927803058E-3</v>
      </c>
      <c r="V511" s="4">
        <f t="shared" si="114"/>
        <v>-8.0020169267125268E-3</v>
      </c>
      <c r="W511" s="4">
        <f t="shared" si="114"/>
        <v>-8.5406384428353566E-3</v>
      </c>
      <c r="X511" s="4">
        <f t="shared" si="114"/>
        <v>-9.0354131356431278E-3</v>
      </c>
      <c r="Y511" s="4">
        <f t="shared" si="114"/>
        <v>-9.4646251483004439E-3</v>
      </c>
      <c r="Z511" s="4">
        <f t="shared" si="114"/>
        <v>-9.8128499403299565E-3</v>
      </c>
      <c r="AA511" s="4">
        <f t="shared" si="114"/>
        <v>-1.006512956480468E-2</v>
      </c>
      <c r="AB511" s="4">
        <f t="shared" si="114"/>
        <v>-1.0206641763705237E-2</v>
      </c>
      <c r="AC511" s="4">
        <f t="shared" si="114"/>
        <v>-1.0061255607463392E-2</v>
      </c>
      <c r="AD511" s="4">
        <f t="shared" si="114"/>
        <v>-9.7386847636665736E-3</v>
      </c>
      <c r="AE511" s="4">
        <f t="shared" si="114"/>
        <v>-9.2207787473799728E-3</v>
      </c>
      <c r="AF511" s="4">
        <f t="shared" si="114"/>
        <v>-8.4898527465040226E-3</v>
      </c>
      <c r="AG511" s="4">
        <f t="shared" si="114"/>
        <v>-7.524045530888911E-3</v>
      </c>
      <c r="AH511" s="4">
        <f t="shared" si="114"/>
        <v>-6.2905260140844179E-3</v>
      </c>
      <c r="AI511" s="4">
        <f t="shared" si="114"/>
        <v>-4.7485113512242662E-3</v>
      </c>
      <c r="AJ511" s="4">
        <f t="shared" si="114"/>
        <v>-2.8522453807818091E-3</v>
      </c>
      <c r="AK511" s="4">
        <f t="shared" si="114"/>
        <v>-5.4423306224366192E-4</v>
      </c>
      <c r="AL511" s="4">
        <f t="shared" si="114"/>
        <v>2.2509979979112348E-3</v>
      </c>
    </row>
    <row r="513" spans="2:38" x14ac:dyDescent="0.35">
      <c r="B513" s="6" t="str">
        <f>[1]Macro!A100</f>
        <v>y_toe_2</v>
      </c>
      <c r="C513" s="6">
        <f>[1]Macro!B100</f>
        <v>139.40207079999999</v>
      </c>
      <c r="D513" s="6">
        <f>[1]Macro!C100</f>
        <v>140.95496840000001</v>
      </c>
      <c r="E513" s="6">
        <f>[1]Macro!D100</f>
        <v>142.51561720000001</v>
      </c>
      <c r="F513" s="6">
        <f>[1]Macro!E100</f>
        <v>144.18456660000001</v>
      </c>
      <c r="G513" s="6">
        <f>[1]Macro!F100</f>
        <v>146.04216690000001</v>
      </c>
      <c r="H513" s="6">
        <f>[1]Macro!G100</f>
        <v>148.11649489999999</v>
      </c>
      <c r="I513" s="6">
        <f>[1]Macro!H100</f>
        <v>150.33679799999999</v>
      </c>
      <c r="J513" s="6">
        <f>[1]Macro!I100</f>
        <v>153.68472610000001</v>
      </c>
      <c r="K513" s="6">
        <f>[1]Macro!J100</f>
        <v>157.27935099999999</v>
      </c>
      <c r="L513" s="6">
        <f>[1]Macro!K100</f>
        <v>161.65199290000001</v>
      </c>
      <c r="M513" s="6">
        <f>[1]Macro!L100</f>
        <v>166.16780990000001</v>
      </c>
      <c r="N513" s="6">
        <f>[1]Macro!M100</f>
        <v>170.24606650000001</v>
      </c>
      <c r="O513" s="6">
        <f>[1]Macro!N100</f>
        <v>173.9934408</v>
      </c>
      <c r="P513" s="6">
        <f>[1]Macro!O100</f>
        <v>177.5640171</v>
      </c>
      <c r="Q513" s="6">
        <f>[1]Macro!P100</f>
        <v>181.13564289999999</v>
      </c>
      <c r="R513" s="6">
        <f>[1]Macro!Q100</f>
        <v>184.82026830000001</v>
      </c>
      <c r="S513" s="6">
        <f>[1]Macro!R100</f>
        <v>188.51274100000001</v>
      </c>
      <c r="T513" s="6">
        <f>[1]Macro!S100</f>
        <v>192.48641000000001</v>
      </c>
      <c r="U513" s="6">
        <f>[1]Macro!T100</f>
        <v>196.82392960000001</v>
      </c>
      <c r="V513" s="6">
        <f>[1]Macro!U100</f>
        <v>201.59504939999999</v>
      </c>
      <c r="W513" s="6">
        <f>[1]Macro!V100</f>
        <v>206.8363047</v>
      </c>
      <c r="X513" s="6">
        <f>[1]Macro!W100</f>
        <v>212.68252039999999</v>
      </c>
      <c r="Y513" s="6">
        <f>[1]Macro!X100</f>
        <v>219.22228870000001</v>
      </c>
      <c r="Z513" s="6">
        <f>[1]Macro!Y100</f>
        <v>226.5360063</v>
      </c>
      <c r="AA513" s="6">
        <f>[1]Macro!Z100</f>
        <v>234.6978847</v>
      </c>
      <c r="AB513" s="6">
        <f>[1]Macro!AA100</f>
        <v>243.67979930000001</v>
      </c>
      <c r="AC513" s="6">
        <f>[1]Macro!AB100</f>
        <v>253.80477389999999</v>
      </c>
      <c r="AD513" s="6">
        <f>[1]Macro!AC100</f>
        <v>265.1929184</v>
      </c>
      <c r="AE513" s="6">
        <f>[1]Macro!AD100</f>
        <v>278.00807800000001</v>
      </c>
      <c r="AF513" s="6">
        <f>[1]Macro!AE100</f>
        <v>292.3836518</v>
      </c>
      <c r="AG513" s="6">
        <f>[1]Macro!AF100</f>
        <v>308.46094879999998</v>
      </c>
      <c r="AH513" s="6">
        <f>[1]Macro!AG100</f>
        <v>326.45073660000003</v>
      </c>
      <c r="AI513" s="6">
        <f>[1]Macro!AH100</f>
        <v>346.6531751</v>
      </c>
      <c r="AJ513" s="6">
        <f>[1]Macro!AI100</f>
        <v>369.44763260000002</v>
      </c>
      <c r="AK513" s="6">
        <f>[1]Macro!AJ100</f>
        <v>395.33150310000002</v>
      </c>
      <c r="AL513" s="6">
        <f>[1]Macro!AK100</f>
        <v>424.97622960000001</v>
      </c>
    </row>
    <row r="514" spans="2:38" x14ac:dyDescent="0.35">
      <c r="B514" s="6" t="str">
        <f>[1]Macro!A101</f>
        <v>m_toe_2</v>
      </c>
      <c r="C514" s="6">
        <f>[1]Macro!B101</f>
        <v>150.64917399999999</v>
      </c>
      <c r="D514" s="6">
        <f>[1]Macro!C101</f>
        <v>151.6405815</v>
      </c>
      <c r="E514" s="6">
        <f>[1]Macro!D101</f>
        <v>152.68323129999999</v>
      </c>
      <c r="F514" s="6">
        <f>[1]Macro!E101</f>
        <v>153.7077304</v>
      </c>
      <c r="G514" s="6">
        <f>[1]Macro!F101</f>
        <v>155.33342139999999</v>
      </c>
      <c r="H514" s="6">
        <f>[1]Macro!G101</f>
        <v>157.45697039999999</v>
      </c>
      <c r="I514" s="6">
        <f>[1]Macro!H101</f>
        <v>159.58791629999999</v>
      </c>
      <c r="J514" s="6">
        <f>[1]Macro!I101</f>
        <v>158.695831</v>
      </c>
      <c r="K514" s="6">
        <f>[1]Macro!J101</f>
        <v>157.52643560000001</v>
      </c>
      <c r="L514" s="6">
        <f>[1]Macro!K101</f>
        <v>156.99691419999999</v>
      </c>
      <c r="M514" s="6">
        <f>[1]Macro!L101</f>
        <v>156.6522339</v>
      </c>
      <c r="N514" s="6">
        <f>[1]Macro!M101</f>
        <v>156.28229229999999</v>
      </c>
      <c r="O514" s="6">
        <f>[1]Macro!N101</f>
        <v>155.80665769999999</v>
      </c>
      <c r="P514" s="6">
        <f>[1]Macro!O101</f>
        <v>155.2535622</v>
      </c>
      <c r="Q514" s="6">
        <f>[1]Macro!P101</f>
        <v>154.70330630000001</v>
      </c>
      <c r="R514" s="6">
        <f>[1]Macro!Q101</f>
        <v>154.20057510000001</v>
      </c>
      <c r="S514" s="6">
        <f>[1]Macro!R101</f>
        <v>153.68704299999999</v>
      </c>
      <c r="T514" s="6">
        <f>[1]Macro!S101</f>
        <v>153.27886100000001</v>
      </c>
      <c r="U514" s="6">
        <f>[1]Macro!T101</f>
        <v>153.022796</v>
      </c>
      <c r="V514" s="6">
        <f>[1]Macro!U101</f>
        <v>152.94397280000001</v>
      </c>
      <c r="W514" s="6">
        <f>[1]Macro!V101</f>
        <v>153.03915230000001</v>
      </c>
      <c r="X514" s="6">
        <f>[1]Macro!W101</f>
        <v>153.36355800000001</v>
      </c>
      <c r="Y514" s="6">
        <f>[1]Macro!X101</f>
        <v>153.9368905</v>
      </c>
      <c r="Z514" s="6">
        <f>[1]Macro!Y101</f>
        <v>154.77016939999999</v>
      </c>
      <c r="AA514" s="6">
        <f>[1]Macro!Z101</f>
        <v>155.8636616</v>
      </c>
      <c r="AB514" s="6">
        <f>[1]Macro!AA101</f>
        <v>157.15195610000001</v>
      </c>
      <c r="AC514" s="6">
        <f>[1]Macro!AB101</f>
        <v>158.7507099</v>
      </c>
      <c r="AD514" s="6">
        <f>[1]Macro!AC101</f>
        <v>160.6752936</v>
      </c>
      <c r="AE514" s="6">
        <f>[1]Macro!AD101</f>
        <v>162.94381659999999</v>
      </c>
      <c r="AF514" s="6">
        <f>[1]Macro!AE101</f>
        <v>165.5430829</v>
      </c>
      <c r="AG514" s="6">
        <f>[1]Macro!AF101</f>
        <v>168.44898370000001</v>
      </c>
      <c r="AH514" s="6">
        <f>[1]Macro!AG101</f>
        <v>171.6557282</v>
      </c>
      <c r="AI514" s="6">
        <f>[1]Macro!AH101</f>
        <v>175.18153810000001</v>
      </c>
      <c r="AJ514" s="6">
        <f>[1]Macro!AI101</f>
        <v>179.0608206</v>
      </c>
      <c r="AK514" s="6">
        <f>[1]Macro!AJ101</f>
        <v>183.35204529999999</v>
      </c>
      <c r="AL514" s="6">
        <f>[1]Macro!AK101</f>
        <v>188.15089499999999</v>
      </c>
    </row>
    <row r="515" spans="2:38" x14ac:dyDescent="0.35">
      <c r="B515" s="6" t="str">
        <f>[1]Macro!A102</f>
        <v>ci_toe_2</v>
      </c>
      <c r="C515" s="6">
        <f>[1]Macro!B102</f>
        <v>192.35883200000001</v>
      </c>
      <c r="D515" s="6">
        <f>[1]Macro!C102</f>
        <v>194.5830632</v>
      </c>
      <c r="E515" s="6">
        <f>[1]Macro!D102</f>
        <v>196.98888109999999</v>
      </c>
      <c r="F515" s="6">
        <f>[1]Macro!E102</f>
        <v>199.4865054</v>
      </c>
      <c r="G515" s="6">
        <f>[1]Macro!F102</f>
        <v>202.5420402</v>
      </c>
      <c r="H515" s="6">
        <f>[1]Macro!G102</f>
        <v>206.14462080000001</v>
      </c>
      <c r="I515" s="6">
        <f>[1]Macro!H102</f>
        <v>209.93228730000001</v>
      </c>
      <c r="J515" s="6">
        <f>[1]Macro!I102</f>
        <v>212.21977559999999</v>
      </c>
      <c r="K515" s="6">
        <f>[1]Macro!J102</f>
        <v>214.34127480000001</v>
      </c>
      <c r="L515" s="6">
        <f>[1]Macro!K102</f>
        <v>217.41775290000001</v>
      </c>
      <c r="M515" s="6">
        <f>[1]Macro!L102</f>
        <v>220.7151345</v>
      </c>
      <c r="N515" s="6">
        <f>[1]Macro!M102</f>
        <v>223.6149929</v>
      </c>
      <c r="O515" s="6">
        <f>[1]Macro!N102</f>
        <v>226.13872649999999</v>
      </c>
      <c r="P515" s="6">
        <f>[1]Macro!O102</f>
        <v>228.44471139999999</v>
      </c>
      <c r="Q515" s="6">
        <f>[1]Macro!P102</f>
        <v>230.75007719999999</v>
      </c>
      <c r="R515" s="6">
        <f>[1]Macro!Q102</f>
        <v>233.19856970000001</v>
      </c>
      <c r="S515" s="6">
        <f>[1]Macro!R102</f>
        <v>235.8008092</v>
      </c>
      <c r="T515" s="6">
        <f>[1]Macro!S102</f>
        <v>238.742864</v>
      </c>
      <c r="U515" s="6">
        <f>[1]Macro!T102</f>
        <v>242.14773299999999</v>
      </c>
      <c r="V515" s="6">
        <f>[1]Macro!U102</f>
        <v>246.1073355</v>
      </c>
      <c r="W515" s="6">
        <f>[1]Macro!V102</f>
        <v>250.66646929999999</v>
      </c>
      <c r="X515" s="6">
        <f>[1]Macro!W102</f>
        <v>255.98120080000001</v>
      </c>
      <c r="Y515" s="6">
        <f>[1]Macro!X102</f>
        <v>262.15735910000001</v>
      </c>
      <c r="Z515" s="6">
        <f>[1]Macro!Y102</f>
        <v>269.28746389999998</v>
      </c>
      <c r="AA515" s="6">
        <f>[1]Macro!Z102</f>
        <v>277.45059939999999</v>
      </c>
      <c r="AB515" s="6">
        <f>[1]Macro!AA102</f>
        <v>286.60196980000001</v>
      </c>
      <c r="AC515" s="6">
        <f>[1]Macro!AB102</f>
        <v>297.03975650000001</v>
      </c>
      <c r="AD515" s="6">
        <f>[1]Macro!AC102</f>
        <v>308.95142520000002</v>
      </c>
      <c r="AE515" s="6">
        <f>[1]Macro!AD102</f>
        <v>322.51649789999999</v>
      </c>
      <c r="AF515" s="6">
        <f>[1]Macro!AE102</f>
        <v>337.86935590000002</v>
      </c>
      <c r="AG515" s="6">
        <f>[1]Macro!AF102</f>
        <v>355.14523860000003</v>
      </c>
      <c r="AH515" s="6">
        <f>[1]Macro!AG102</f>
        <v>374.55621869999999</v>
      </c>
      <c r="AI515" s="6">
        <f>[1]Macro!AH102</f>
        <v>396.42019800000003</v>
      </c>
      <c r="AJ515" s="6">
        <f>[1]Macro!AI102</f>
        <v>421.15396720000001</v>
      </c>
      <c r="AK515" s="6">
        <f>[1]Macro!AJ102</f>
        <v>449.31700310000002</v>
      </c>
      <c r="AL515" s="6">
        <f>[1]Macro!AK102</f>
        <v>481.67940090000002</v>
      </c>
    </row>
    <row r="516" spans="2:38" x14ac:dyDescent="0.35">
      <c r="B516" s="6" t="str">
        <f>[1]Macro!A103</f>
        <v>ch_toe_2</v>
      </c>
      <c r="C516" s="6">
        <f>[1]Macro!B103</f>
        <v>64.30144018</v>
      </c>
      <c r="D516" s="6">
        <f>[1]Macro!C103</f>
        <v>63.915394069999998</v>
      </c>
      <c r="E516" s="6">
        <f>[1]Macro!D103</f>
        <v>63.397739559999998</v>
      </c>
      <c r="F516" s="6">
        <f>[1]Macro!E103</f>
        <v>62.86999677</v>
      </c>
      <c r="G516" s="6">
        <f>[1]Macro!F103</f>
        <v>62.559494999999998</v>
      </c>
      <c r="H516" s="6">
        <f>[1]Macro!G103</f>
        <v>62.398900349999998</v>
      </c>
      <c r="I516" s="6">
        <f>[1]Macro!H103</f>
        <v>62.19124274</v>
      </c>
      <c r="J516" s="6">
        <f>[1]Macro!I103</f>
        <v>61.478688329999997</v>
      </c>
      <c r="K516" s="6">
        <f>[1]Macro!J103</f>
        <v>60.835593699999997</v>
      </c>
      <c r="L516" s="6">
        <f>[1]Macro!K103</f>
        <v>60.30276825</v>
      </c>
      <c r="M516" s="6">
        <f>[1]Macro!L103</f>
        <v>59.91097242</v>
      </c>
      <c r="N516" s="6">
        <f>[1]Macro!M103</f>
        <v>59.685797180000002</v>
      </c>
      <c r="O516" s="6">
        <f>[1]Macro!N103</f>
        <v>59.572162650000003</v>
      </c>
      <c r="P516" s="6">
        <f>[1]Macro!O103</f>
        <v>59.525158820000001</v>
      </c>
      <c r="Q516" s="6">
        <f>[1]Macro!P103</f>
        <v>59.511710649999998</v>
      </c>
      <c r="R516" s="6">
        <f>[1]Macro!Q103</f>
        <v>59.509961240000003</v>
      </c>
      <c r="S516" s="6">
        <f>[1]Macro!R103</f>
        <v>59.53492121</v>
      </c>
      <c r="T516" s="6">
        <f>[1]Macro!S103</f>
        <v>59.569461369999999</v>
      </c>
      <c r="U516" s="6">
        <f>[1]Macro!T103</f>
        <v>59.608297210000003</v>
      </c>
      <c r="V516" s="6">
        <f>[1]Macro!U103</f>
        <v>59.651321369999998</v>
      </c>
      <c r="W516" s="6">
        <f>[1]Macro!V103</f>
        <v>59.683413989999998</v>
      </c>
      <c r="X516" s="6">
        <f>[1]Macro!W103</f>
        <v>59.733974869999997</v>
      </c>
      <c r="Y516" s="6">
        <f>[1]Macro!X103</f>
        <v>59.797650570000002</v>
      </c>
      <c r="Z516" s="6">
        <f>[1]Macro!Y103</f>
        <v>59.87374543</v>
      </c>
      <c r="AA516" s="6">
        <f>[1]Macro!Z103</f>
        <v>59.963996719999997</v>
      </c>
      <c r="AB516" s="6">
        <f>[1]Macro!AA103</f>
        <v>60.023064599999998</v>
      </c>
      <c r="AC516" s="6">
        <f>[1]Macro!AB103</f>
        <v>60.104192099999999</v>
      </c>
      <c r="AD516" s="6">
        <f>[1]Macro!AC103</f>
        <v>60.20917051</v>
      </c>
      <c r="AE516" s="6">
        <f>[1]Macro!AD103</f>
        <v>60.341537520000003</v>
      </c>
      <c r="AF516" s="6">
        <f>[1]Macro!AE103</f>
        <v>60.505791850000001</v>
      </c>
      <c r="AG516" s="6">
        <f>[1]Macro!AF103</f>
        <v>60.706275570000003</v>
      </c>
      <c r="AH516" s="6">
        <f>[1]Macro!AG103</f>
        <v>60.946465349999997</v>
      </c>
      <c r="AI516" s="6">
        <f>[1]Macro!AH103</f>
        <v>61.228955990000003</v>
      </c>
      <c r="AJ516" s="6">
        <f>[1]Macro!AI103</f>
        <v>61.557126840000002</v>
      </c>
      <c r="AK516" s="6">
        <f>[1]Macro!AJ103</f>
        <v>61.93540789</v>
      </c>
      <c r="AL516" s="6">
        <f>[1]Macro!AK103</f>
        <v>62.369895849999999</v>
      </c>
    </row>
    <row r="517" spans="2:38" x14ac:dyDescent="0.35">
      <c r="B517" s="6" t="str">
        <f>[1]Macro!A104</f>
        <v>x_toe_2</v>
      </c>
      <c r="C517" s="6">
        <f>[1]Macro!B104</f>
        <v>33.390972570000002</v>
      </c>
      <c r="D517" s="6">
        <f>[1]Macro!C104</f>
        <v>34.097092619999998</v>
      </c>
      <c r="E517" s="6">
        <f>[1]Macro!D104</f>
        <v>34.812227839999998</v>
      </c>
      <c r="F517" s="6">
        <f>[1]Macro!E104</f>
        <v>35.535794780000003</v>
      </c>
      <c r="G517" s="6">
        <f>[1]Macro!F104</f>
        <v>36.274053129999999</v>
      </c>
      <c r="H517" s="6">
        <f>[1]Macro!G104</f>
        <v>37.029944200000003</v>
      </c>
      <c r="I517" s="6">
        <f>[1]Macro!H104</f>
        <v>37.801184280000001</v>
      </c>
      <c r="J517" s="6">
        <f>[1]Macro!I104</f>
        <v>38.682093109999997</v>
      </c>
      <c r="K517" s="6">
        <f>[1]Macro!J104</f>
        <v>39.628918169999999</v>
      </c>
      <c r="L517" s="6">
        <f>[1]Macro!K104</f>
        <v>40.928385939999998</v>
      </c>
      <c r="M517" s="6">
        <f>[1]Macro!L104</f>
        <v>42.193936890000003</v>
      </c>
      <c r="N517" s="6">
        <f>[1]Macro!M104</f>
        <v>43.227568669999997</v>
      </c>
      <c r="O517" s="6">
        <f>[1]Macro!N104</f>
        <v>44.089209289999999</v>
      </c>
      <c r="P517" s="6">
        <f>[1]Macro!O104</f>
        <v>44.847709000000002</v>
      </c>
      <c r="Q517" s="6">
        <f>[1]Macro!P104</f>
        <v>45.577161330000003</v>
      </c>
      <c r="R517" s="6">
        <f>[1]Macro!Q104</f>
        <v>46.312312460000001</v>
      </c>
      <c r="S517" s="6">
        <f>[1]Macro!R104</f>
        <v>46.864053570000003</v>
      </c>
      <c r="T517" s="6">
        <f>[1]Macro!S104</f>
        <v>47.452945679999999</v>
      </c>
      <c r="U517" s="6">
        <f>[1]Macro!T104</f>
        <v>48.090695359999998</v>
      </c>
      <c r="V517" s="6">
        <f>[1]Macro!U104</f>
        <v>48.780365269999997</v>
      </c>
      <c r="W517" s="6">
        <f>[1]Macro!V104</f>
        <v>49.525573770000001</v>
      </c>
      <c r="X517" s="6">
        <f>[1]Macro!W104</f>
        <v>50.330902770000002</v>
      </c>
      <c r="Y517" s="6">
        <f>[1]Macro!X104</f>
        <v>51.204169479999997</v>
      </c>
      <c r="Z517" s="6">
        <f>[1]Macro!Y104</f>
        <v>52.144966459999999</v>
      </c>
      <c r="AA517" s="6">
        <f>[1]Macro!Z104</f>
        <v>53.146950160000003</v>
      </c>
      <c r="AB517" s="6">
        <f>[1]Macro!AA104</f>
        <v>54.206720930000003</v>
      </c>
      <c r="AC517" s="6">
        <f>[1]Macro!AB104</f>
        <v>55.41153525</v>
      </c>
      <c r="AD517" s="6">
        <f>[1]Macro!AC104</f>
        <v>56.707616280000003</v>
      </c>
      <c r="AE517" s="6">
        <f>[1]Macro!AD104</f>
        <v>58.093859109999997</v>
      </c>
      <c r="AF517" s="6">
        <f>[1]Macro!AE104</f>
        <v>59.55158694</v>
      </c>
      <c r="AG517" s="6">
        <f>[1]Macro!AF104</f>
        <v>61.058418340000003</v>
      </c>
      <c r="AH517" s="6">
        <f>[1]Macro!AG104</f>
        <v>62.603780739999998</v>
      </c>
      <c r="AI517" s="6">
        <f>[1]Macro!AH104</f>
        <v>64.185559319999996</v>
      </c>
      <c r="AJ517" s="6">
        <f>[1]Macro!AI104</f>
        <v>65.797359080000007</v>
      </c>
      <c r="AK517" s="6">
        <f>[1]Macro!AJ104</f>
        <v>67.431137440000001</v>
      </c>
      <c r="AL517" s="6">
        <f>[1]Macro!AK104</f>
        <v>69.077827869999993</v>
      </c>
    </row>
    <row r="518" spans="2:3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</row>
    <row r="519" spans="2:38" x14ac:dyDescent="0.35">
      <c r="B519" s="6" t="str">
        <f>[1]Macro!A105</f>
        <v>y_toe_0</v>
      </c>
      <c r="C519" s="6">
        <f>[1]Macro!B105</f>
        <v>139.4020707</v>
      </c>
      <c r="D519" s="6">
        <f>[1]Macro!C105</f>
        <v>140.95496829999999</v>
      </c>
      <c r="E519" s="6">
        <f>[1]Macro!D105</f>
        <v>142.51561720000001</v>
      </c>
      <c r="F519" s="6">
        <f>[1]Macro!E105</f>
        <v>144.18456660000001</v>
      </c>
      <c r="G519" s="6">
        <f>[1]Macro!F105</f>
        <v>146.04216690000001</v>
      </c>
      <c r="H519" s="6">
        <f>[1]Macro!G105</f>
        <v>148.11649489999999</v>
      </c>
      <c r="I519" s="6">
        <f>[1]Macro!H105</f>
        <v>150.33679799999999</v>
      </c>
      <c r="J519" s="6">
        <f>[1]Macro!I105</f>
        <v>152.64973040000001</v>
      </c>
      <c r="K519" s="6">
        <f>[1]Macro!J105</f>
        <v>155.0181527</v>
      </c>
      <c r="L519" s="6">
        <f>[1]Macro!K105</f>
        <v>157.42383079999999</v>
      </c>
      <c r="M519" s="6">
        <f>[1]Macro!L105</f>
        <v>159.80047959999999</v>
      </c>
      <c r="N519" s="6">
        <f>[1]Macro!M105</f>
        <v>161.75197249999999</v>
      </c>
      <c r="O519" s="6">
        <f>[1]Macro!N105</f>
        <v>163.3672487</v>
      </c>
      <c r="P519" s="6">
        <f>[1]Macro!O105</f>
        <v>164.727868</v>
      </c>
      <c r="Q519" s="6">
        <f>[1]Macro!P105</f>
        <v>165.92763679999999</v>
      </c>
      <c r="R519" s="6">
        <f>[1]Macro!Q105</f>
        <v>167.05363489999999</v>
      </c>
      <c r="S519" s="6">
        <f>[1]Macro!R105</f>
        <v>168.20270500000001</v>
      </c>
      <c r="T519" s="6">
        <f>[1]Macro!S105</f>
        <v>169.4758521</v>
      </c>
      <c r="U519" s="6">
        <f>[1]Macro!T105</f>
        <v>170.93624890000001</v>
      </c>
      <c r="V519" s="6">
        <f>[1]Macro!U105</f>
        <v>172.6171291</v>
      </c>
      <c r="W519" s="6">
        <f>[1]Macro!V105</f>
        <v>174.51148900000001</v>
      </c>
      <c r="X519" s="6">
        <f>[1]Macro!W105</f>
        <v>176.68571510000001</v>
      </c>
      <c r="Y519" s="6">
        <f>[1]Macro!X105</f>
        <v>179.15748859999999</v>
      </c>
      <c r="Z519" s="6">
        <f>[1]Macro!Y105</f>
        <v>181.93784020000001</v>
      </c>
      <c r="AA519" s="6">
        <f>[1]Macro!Z105</f>
        <v>185.0249742</v>
      </c>
      <c r="AB519" s="6">
        <f>[1]Macro!AA105</f>
        <v>188.32535569999999</v>
      </c>
      <c r="AC519" s="6">
        <f>[1]Macro!AB105</f>
        <v>191.9325288</v>
      </c>
      <c r="AD519" s="6">
        <f>[1]Macro!AC105</f>
        <v>195.8590519</v>
      </c>
      <c r="AE519" s="6">
        <f>[1]Macro!AD105</f>
        <v>200.1015812</v>
      </c>
      <c r="AF519" s="6">
        <f>[1]Macro!AE105</f>
        <v>204.61331089999999</v>
      </c>
      <c r="AG519" s="6">
        <f>[1]Macro!AF105</f>
        <v>209.3277946</v>
      </c>
      <c r="AH519" s="6">
        <f>[1]Macro!AG105</f>
        <v>214.18558999999999</v>
      </c>
      <c r="AI519" s="6">
        <f>[1]Macro!AH105</f>
        <v>219.13812669999999</v>
      </c>
      <c r="AJ519" s="6">
        <f>[1]Macro!AI105</f>
        <v>224.14165639999999</v>
      </c>
      <c r="AK519" s="6">
        <f>[1]Macro!AJ105</f>
        <v>229.1545016</v>
      </c>
      <c r="AL519" s="6">
        <f>[1]Macro!AK105</f>
        <v>234.13588150000001</v>
      </c>
    </row>
    <row r="520" spans="2:38" x14ac:dyDescent="0.35">
      <c r="B520" s="6" t="str">
        <f>[1]Macro!A106</f>
        <v>m_toe_0</v>
      </c>
      <c r="C520" s="6">
        <f>[1]Macro!B106</f>
        <v>150.64917389999999</v>
      </c>
      <c r="D520" s="6">
        <f>[1]Macro!C106</f>
        <v>151.64058159999999</v>
      </c>
      <c r="E520" s="6">
        <f>[1]Macro!D106</f>
        <v>152.68323150000001</v>
      </c>
      <c r="F520" s="6">
        <f>[1]Macro!E106</f>
        <v>153.70773080000001</v>
      </c>
      <c r="G520" s="6">
        <f>[1]Macro!F106</f>
        <v>155.33342189999999</v>
      </c>
      <c r="H520" s="6">
        <f>[1]Macro!G106</f>
        <v>157.45697100000001</v>
      </c>
      <c r="I520" s="6">
        <f>[1]Macro!H106</f>
        <v>159.58791690000001</v>
      </c>
      <c r="J520" s="6">
        <f>[1]Macro!I106</f>
        <v>161.68820869999999</v>
      </c>
      <c r="K520" s="6">
        <f>[1]Macro!J106</f>
        <v>163.77850190000001</v>
      </c>
      <c r="L520" s="6">
        <f>[1]Macro!K106</f>
        <v>165.8764755</v>
      </c>
      <c r="M520" s="6">
        <f>[1]Macro!L106</f>
        <v>167.9308647</v>
      </c>
      <c r="N520" s="6">
        <f>[1]Macro!M106</f>
        <v>169.5516777</v>
      </c>
      <c r="O520" s="6">
        <f>[1]Macro!N106</f>
        <v>170.81584169999999</v>
      </c>
      <c r="P520" s="6">
        <f>[1]Macro!O106</f>
        <v>171.81354519999999</v>
      </c>
      <c r="Q520" s="6">
        <f>[1]Macro!P106</f>
        <v>172.6420115</v>
      </c>
      <c r="R520" s="6">
        <f>[1]Macro!Q106</f>
        <v>173.38895669999999</v>
      </c>
      <c r="S520" s="6">
        <f>[1]Macro!R106</f>
        <v>174.3718227</v>
      </c>
      <c r="T520" s="6">
        <f>[1]Macro!S106</f>
        <v>175.6208676</v>
      </c>
      <c r="U520" s="6">
        <f>[1]Macro!T106</f>
        <v>177.14994849999999</v>
      </c>
      <c r="V520" s="6">
        <f>[1]Macro!U106</f>
        <v>178.957762</v>
      </c>
      <c r="W520" s="6">
        <f>[1]Macro!V106</f>
        <v>181.0168376</v>
      </c>
      <c r="X520" s="6">
        <f>[1]Macro!W106</f>
        <v>183.371489</v>
      </c>
      <c r="Y520" s="6">
        <f>[1]Macro!X106</f>
        <v>186.0336853</v>
      </c>
      <c r="Z520" s="6">
        <f>[1]Macro!Y106</f>
        <v>189.01291939999999</v>
      </c>
      <c r="AA520" s="6">
        <f>[1]Macro!Z106</f>
        <v>192.30719809999999</v>
      </c>
      <c r="AB520" s="6">
        <f>[1]Macro!AA106</f>
        <v>195.8350208</v>
      </c>
      <c r="AC520" s="6">
        <f>[1]Macro!AB106</f>
        <v>199.67836930000001</v>
      </c>
      <c r="AD520" s="6">
        <f>[1]Macro!AC106</f>
        <v>203.85867390000001</v>
      </c>
      <c r="AE520" s="6">
        <f>[1]Macro!AD106</f>
        <v>208.3815219</v>
      </c>
      <c r="AF520" s="6">
        <f>[1]Macro!AE106</f>
        <v>213.2097086</v>
      </c>
      <c r="AG520" s="6">
        <f>[1]Macro!AF106</f>
        <v>218.28250689999999</v>
      </c>
      <c r="AH520" s="6">
        <f>[1]Macro!AG106</f>
        <v>223.54268189999999</v>
      </c>
      <c r="AI520" s="6">
        <f>[1]Macro!AH106</f>
        <v>228.94133880000001</v>
      </c>
      <c r="AJ520" s="6">
        <f>[1]Macro!AI106</f>
        <v>234.43273550000001</v>
      </c>
      <c r="AK520" s="6">
        <f>[1]Macro!AJ106</f>
        <v>239.97127889999999</v>
      </c>
      <c r="AL520" s="6">
        <f>[1]Macro!AK106</f>
        <v>245.5101391</v>
      </c>
    </row>
    <row r="521" spans="2:38" x14ac:dyDescent="0.35">
      <c r="B521" s="6" t="str">
        <f>[1]Macro!A107</f>
        <v>ci_toe_0</v>
      </c>
      <c r="C521" s="6">
        <f>[1]Macro!B107</f>
        <v>192.35883179999999</v>
      </c>
      <c r="D521" s="6">
        <f>[1]Macro!C107</f>
        <v>194.5830631</v>
      </c>
      <c r="E521" s="6">
        <f>[1]Macro!D107</f>
        <v>196.98888120000001</v>
      </c>
      <c r="F521" s="6">
        <f>[1]Macro!E107</f>
        <v>199.48650559999999</v>
      </c>
      <c r="G521" s="6">
        <f>[1]Macro!F107</f>
        <v>202.54204050000001</v>
      </c>
      <c r="H521" s="6">
        <f>[1]Macro!G107</f>
        <v>206.14462109999999</v>
      </c>
      <c r="I521" s="6">
        <f>[1]Macro!H107</f>
        <v>209.9322876</v>
      </c>
      <c r="J521" s="6">
        <f>[1]Macro!I107</f>
        <v>213.78185479999999</v>
      </c>
      <c r="K521" s="6">
        <f>[1]Macro!J107</f>
        <v>217.65070080000001</v>
      </c>
      <c r="L521" s="6">
        <f>[1]Macro!K107</f>
        <v>221.527455</v>
      </c>
      <c r="M521" s="6">
        <f>[1]Macro!L107</f>
        <v>225.3032073</v>
      </c>
      <c r="N521" s="6">
        <f>[1]Macro!M107</f>
        <v>228.34547029999999</v>
      </c>
      <c r="O521" s="6">
        <f>[1]Macro!N107</f>
        <v>230.76128270000001</v>
      </c>
      <c r="P521" s="6">
        <f>[1]Macro!O107</f>
        <v>232.6959201</v>
      </c>
      <c r="Q521" s="6">
        <f>[1]Macro!P107</f>
        <v>234.31742539999999</v>
      </c>
      <c r="R521" s="6">
        <f>[1]Macro!Q107</f>
        <v>235.7840731</v>
      </c>
      <c r="S521" s="6">
        <f>[1]Macro!R107</f>
        <v>237.407184</v>
      </c>
      <c r="T521" s="6">
        <f>[1]Macro!S107</f>
        <v>239.33926289999999</v>
      </c>
      <c r="U521" s="6">
        <f>[1]Macro!T107</f>
        <v>241.6716605</v>
      </c>
      <c r="V521" s="6">
        <f>[1]Macro!U107</f>
        <v>244.4470896</v>
      </c>
      <c r="W521" s="6">
        <f>[1]Macro!V107</f>
        <v>247.65165350000001</v>
      </c>
      <c r="X521" s="6">
        <f>[1]Macro!W107</f>
        <v>251.36847779999999</v>
      </c>
      <c r="Y521" s="6">
        <f>[1]Macro!X107</f>
        <v>255.6252278</v>
      </c>
      <c r="Z521" s="6">
        <f>[1]Macro!Y107</f>
        <v>260.4407314</v>
      </c>
      <c r="AA521" s="6">
        <f>[1]Macro!Z107</f>
        <v>265.81305029999999</v>
      </c>
      <c r="AB521" s="6">
        <f>[1]Macro!AA107</f>
        <v>271.6138315</v>
      </c>
      <c r="AC521" s="6">
        <f>[1]Macro!AB107</f>
        <v>277.96353929999998</v>
      </c>
      <c r="AD521" s="6">
        <f>[1]Macro!AC107</f>
        <v>284.88780830000002</v>
      </c>
      <c r="AE521" s="6">
        <f>[1]Macro!AD107</f>
        <v>292.38687609999999</v>
      </c>
      <c r="AF521" s="6">
        <f>[1]Macro!AE107</f>
        <v>300.38845930000002</v>
      </c>
      <c r="AG521" s="6">
        <f>[1]Macro!AF107</f>
        <v>308.78145019999999</v>
      </c>
      <c r="AH521" s="6">
        <f>[1]Macro!AG107</f>
        <v>317.46089380000001</v>
      </c>
      <c r="AI521" s="6">
        <f>[1]Macro!AH107</f>
        <v>326.33852880000001</v>
      </c>
      <c r="AJ521" s="6">
        <f>[1]Macro!AI107</f>
        <v>335.33319499999999</v>
      </c>
      <c r="AK521" s="6">
        <f>[1]Macro!AJ107</f>
        <v>344.3659687</v>
      </c>
      <c r="AL521" s="6">
        <f>[1]Macro!AK107</f>
        <v>353.35821179999999</v>
      </c>
    </row>
    <row r="522" spans="2:38" x14ac:dyDescent="0.35">
      <c r="B522" s="6" t="str">
        <f>[1]Macro!A108</f>
        <v>ch_toe_0</v>
      </c>
      <c r="C522" s="6">
        <f>[1]Macro!B108</f>
        <v>64.30144018</v>
      </c>
      <c r="D522" s="6">
        <f>[1]Macro!C108</f>
        <v>63.915394169999999</v>
      </c>
      <c r="E522" s="6">
        <f>[1]Macro!D108</f>
        <v>63.397739719999997</v>
      </c>
      <c r="F522" s="6">
        <f>[1]Macro!E108</f>
        <v>62.869996999999998</v>
      </c>
      <c r="G522" s="6">
        <f>[1]Macro!F108</f>
        <v>62.559495249999998</v>
      </c>
      <c r="H522" s="6">
        <f>[1]Macro!G108</f>
        <v>62.398900599999997</v>
      </c>
      <c r="I522" s="6">
        <f>[1]Macro!H108</f>
        <v>62.191242989999999</v>
      </c>
      <c r="J522" s="6">
        <f>[1]Macro!I108</f>
        <v>61.970150259999997</v>
      </c>
      <c r="K522" s="6">
        <f>[1]Macro!J108</f>
        <v>61.762053479999999</v>
      </c>
      <c r="L522" s="6">
        <f>[1]Macro!K108</f>
        <v>61.577001899999999</v>
      </c>
      <c r="M522" s="6">
        <f>[1]Macro!L108</f>
        <v>61.44439826</v>
      </c>
      <c r="N522" s="6">
        <f>[1]Macro!M108</f>
        <v>61.318140980000003</v>
      </c>
      <c r="O522" s="6">
        <f>[1]Macro!N108</f>
        <v>61.198702509999997</v>
      </c>
      <c r="P522" s="6">
        <f>[1]Macro!O108</f>
        <v>61.081690979999998</v>
      </c>
      <c r="Q522" s="6">
        <f>[1]Macro!P108</f>
        <v>60.961203060000003</v>
      </c>
      <c r="R522" s="6">
        <f>[1]Macro!Q108</f>
        <v>60.832167699999999</v>
      </c>
      <c r="S522" s="6">
        <f>[1]Macro!R108</f>
        <v>60.777658459999998</v>
      </c>
      <c r="T522" s="6">
        <f>[1]Macro!S108</f>
        <v>60.761390859999999</v>
      </c>
      <c r="U522" s="6">
        <f>[1]Macro!T108</f>
        <v>60.760009619999998</v>
      </c>
      <c r="V522" s="6">
        <f>[1]Macro!U108</f>
        <v>60.760456920000003</v>
      </c>
      <c r="W522" s="6">
        <f>[1]Macro!V108</f>
        <v>60.739147109999998</v>
      </c>
      <c r="X522" s="6">
        <f>[1]Macro!W108</f>
        <v>60.722147460000002</v>
      </c>
      <c r="Y522" s="6">
        <f>[1]Macro!X108</f>
        <v>60.706010130000003</v>
      </c>
      <c r="Z522" s="6">
        <f>[1]Macro!Y108</f>
        <v>60.6911542</v>
      </c>
      <c r="AA522" s="6">
        <f>[1]Macro!Z108</f>
        <v>60.679698100000003</v>
      </c>
      <c r="AB522" s="6">
        <f>[1]Macro!AA108</f>
        <v>60.626183660000002</v>
      </c>
      <c r="AC522" s="6">
        <f>[1]Macro!AB108</f>
        <v>60.584919229999997</v>
      </c>
      <c r="AD522" s="6">
        <f>[1]Macro!AC108</f>
        <v>60.558066169999996</v>
      </c>
      <c r="AE522" s="6">
        <f>[1]Macro!AD108</f>
        <v>60.548583069999999</v>
      </c>
      <c r="AF522" s="6">
        <f>[1]Macro!AE108</f>
        <v>60.559790579999998</v>
      </c>
      <c r="AG522" s="6">
        <f>[1]Macro!AF108</f>
        <v>60.593959140000003</v>
      </c>
      <c r="AH522" s="6">
        <f>[1]Macro!AG108</f>
        <v>60.651763299999999</v>
      </c>
      <c r="AI522" s="6">
        <f>[1]Macro!AH108</f>
        <v>60.731072580000003</v>
      </c>
      <c r="AJ522" s="6">
        <f>[1]Macro!AI108</f>
        <v>60.829091429999998</v>
      </c>
      <c r="AK522" s="6">
        <f>[1]Macro!AJ108</f>
        <v>60.94264338</v>
      </c>
      <c r="AL522" s="6">
        <f>[1]Macro!AK108</f>
        <v>61.06810625</v>
      </c>
    </row>
    <row r="523" spans="2:38" x14ac:dyDescent="0.35">
      <c r="B523" s="6" t="str">
        <f>[1]Macro!A109</f>
        <v>x_toe_0</v>
      </c>
      <c r="C523" s="6">
        <f>[1]Macro!B109</f>
        <v>33.390972570000002</v>
      </c>
      <c r="D523" s="6">
        <f>[1]Macro!C109</f>
        <v>34.097092619999998</v>
      </c>
      <c r="E523" s="6">
        <f>[1]Macro!D109</f>
        <v>34.812227849999999</v>
      </c>
      <c r="F523" s="6">
        <f>[1]Macro!E109</f>
        <v>35.535794780000003</v>
      </c>
      <c r="G523" s="6">
        <f>[1]Macro!F109</f>
        <v>36.274053139999999</v>
      </c>
      <c r="H523" s="6">
        <f>[1]Macro!G109</f>
        <v>37.029944209999996</v>
      </c>
      <c r="I523" s="6">
        <f>[1]Macro!H109</f>
        <v>37.801184290000002</v>
      </c>
      <c r="J523" s="6">
        <f>[1]Macro!I109</f>
        <v>38.58593415</v>
      </c>
      <c r="K523" s="6">
        <f>[1]Macro!J109</f>
        <v>39.383900320000002</v>
      </c>
      <c r="L523" s="6">
        <f>[1]Macro!K109</f>
        <v>40.195849379999999</v>
      </c>
      <c r="M523" s="6">
        <f>[1]Macro!L109</f>
        <v>40.983738760000001</v>
      </c>
      <c r="N523" s="6">
        <f>[1]Macro!M109</f>
        <v>41.640038879999999</v>
      </c>
      <c r="O523" s="6">
        <f>[1]Macro!N109</f>
        <v>42.223105220000001</v>
      </c>
      <c r="P523" s="6">
        <f>[1]Macro!O109</f>
        <v>42.763802089999999</v>
      </c>
      <c r="Q523" s="6">
        <f>[1]Macro!P109</f>
        <v>43.291019779999999</v>
      </c>
      <c r="R523" s="6">
        <f>[1]Macro!Q109</f>
        <v>43.826350820000002</v>
      </c>
      <c r="S523" s="6">
        <f>[1]Macro!R109</f>
        <v>44.389685270000001</v>
      </c>
      <c r="T523" s="6">
        <f>[1]Macro!S109</f>
        <v>44.99606601</v>
      </c>
      <c r="U523" s="6">
        <f>[1]Macro!T109</f>
        <v>45.654527340000001</v>
      </c>
      <c r="V523" s="6">
        <f>[1]Macro!U109</f>
        <v>46.367344670000001</v>
      </c>
      <c r="W523" s="6">
        <f>[1]Macro!V109</f>
        <v>47.137525930000002</v>
      </c>
      <c r="X523" s="6">
        <f>[1]Macro!W109</f>
        <v>47.96657888</v>
      </c>
      <c r="Y523" s="6">
        <f>[1]Macro!X109</f>
        <v>48.859935980000003</v>
      </c>
      <c r="Z523" s="6">
        <f>[1]Macro!Y109</f>
        <v>49.818874030000003</v>
      </c>
      <c r="AA523" s="6">
        <f>[1]Macro!Z109</f>
        <v>50.839423869999997</v>
      </c>
      <c r="AB523" s="6">
        <f>[1]Macro!AA109</f>
        <v>51.920361360000001</v>
      </c>
      <c r="AC523" s="6">
        <f>[1]Macro!AB109</f>
        <v>53.062439580000003</v>
      </c>
      <c r="AD523" s="6">
        <f>[1]Macro!AC109</f>
        <v>54.271851320000003</v>
      </c>
      <c r="AE523" s="6">
        <f>[1]Macro!AD109</f>
        <v>55.547643960000002</v>
      </c>
      <c r="AF523" s="6">
        <f>[1]Macro!AE109</f>
        <v>56.874769649999998</v>
      </c>
      <c r="AG523" s="6">
        <f>[1]Macro!AF109</f>
        <v>58.234892119999998</v>
      </c>
      <c r="AH523" s="6">
        <f>[1]Macro!AG109</f>
        <v>59.615614809999997</v>
      </c>
      <c r="AI523" s="6">
        <f>[1]Macro!AH109</f>
        <v>61.009864149999999</v>
      </c>
      <c r="AJ523" s="6">
        <f>[1]Macro!AI109</f>
        <v>62.412105439999998</v>
      </c>
      <c r="AK523" s="6">
        <f>[1]Macro!AJ109</f>
        <v>63.8171684</v>
      </c>
      <c r="AL523" s="6">
        <f>[1]Macro!AK109</f>
        <v>65.219702530000006</v>
      </c>
    </row>
    <row r="525" spans="2:3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</row>
    <row r="526" spans="2:38" x14ac:dyDescent="0.35">
      <c r="B526" t="s">
        <v>105</v>
      </c>
      <c r="C526" s="9">
        <f>C513/C519-1</f>
        <v>7.1734951312407702E-10</v>
      </c>
      <c r="D526" s="9">
        <f t="shared" ref="D526:AL526" si="115">D513/D519-1</f>
        <v>7.0944650154558531E-10</v>
      </c>
      <c r="E526" s="9">
        <f t="shared" si="115"/>
        <v>0</v>
      </c>
      <c r="F526" s="9">
        <f t="shared" si="115"/>
        <v>0</v>
      </c>
      <c r="G526" s="9">
        <f t="shared" si="115"/>
        <v>0</v>
      </c>
      <c r="H526" s="9">
        <f t="shared" si="115"/>
        <v>0</v>
      </c>
      <c r="I526" s="9">
        <f t="shared" si="115"/>
        <v>0</v>
      </c>
      <c r="J526" s="9">
        <f t="shared" si="115"/>
        <v>6.7801999865175766E-3</v>
      </c>
      <c r="K526" s="9">
        <f t="shared" si="115"/>
        <v>1.4586667823193622E-2</v>
      </c>
      <c r="L526" s="9">
        <f t="shared" si="115"/>
        <v>2.68584627785593E-2</v>
      </c>
      <c r="M526" s="9">
        <f t="shared" si="115"/>
        <v>3.9845501815377604E-2</v>
      </c>
      <c r="N526" s="9">
        <f t="shared" si="115"/>
        <v>5.2513078318102258E-2</v>
      </c>
      <c r="O526" s="9">
        <f t="shared" si="115"/>
        <v>6.5044812742812708E-2</v>
      </c>
      <c r="P526" s="9">
        <f t="shared" si="115"/>
        <v>7.7923360848693779E-2</v>
      </c>
      <c r="Q526" s="9">
        <f t="shared" si="115"/>
        <v>9.1654448850681192E-2</v>
      </c>
      <c r="R526" s="9">
        <f t="shared" si="115"/>
        <v>0.10635286930832311</v>
      </c>
      <c r="S526" s="9">
        <f t="shared" si="115"/>
        <v>0.12074738037060695</v>
      </c>
      <c r="T526" s="9">
        <f t="shared" si="115"/>
        <v>0.1357748470644804</v>
      </c>
      <c r="U526" s="9">
        <f t="shared" si="115"/>
        <v>0.15144640687151534</v>
      </c>
      <c r="V526" s="9">
        <f t="shared" si="115"/>
        <v>0.16787395579503928</v>
      </c>
      <c r="W526" s="9">
        <f t="shared" si="115"/>
        <v>0.18523030137001451</v>
      </c>
      <c r="X526" s="9">
        <f t="shared" si="115"/>
        <v>0.20373353487930035</v>
      </c>
      <c r="Y526" s="9">
        <f t="shared" si="115"/>
        <v>0.22362894464016292</v>
      </c>
      <c r="Z526" s="9">
        <f t="shared" si="115"/>
        <v>0.24512858925319914</v>
      </c>
      <c r="AA526" s="9">
        <f t="shared" si="115"/>
        <v>0.26846597717293452</v>
      </c>
      <c r="AB526" s="9">
        <f t="shared" si="115"/>
        <v>0.29392985025435969</v>
      </c>
      <c r="AC526" s="9">
        <f t="shared" si="115"/>
        <v>0.3223645594982647</v>
      </c>
      <c r="AD526" s="9">
        <f t="shared" si="115"/>
        <v>0.35399878549090436</v>
      </c>
      <c r="AE526" s="9">
        <f t="shared" si="115"/>
        <v>0.38933473855028189</v>
      </c>
      <c r="AF526" s="9">
        <f t="shared" si="115"/>
        <v>0.42895714122379713</v>
      </c>
      <c r="AG526" s="9">
        <f t="shared" si="115"/>
        <v>0.47357855362414436</v>
      </c>
      <c r="AH526" s="9">
        <f t="shared" si="115"/>
        <v>0.52414892430438509</v>
      </c>
      <c r="AI526" s="9">
        <f t="shared" si="115"/>
        <v>0.58189348572176147</v>
      </c>
      <c r="AJ526" s="9">
        <f t="shared" si="115"/>
        <v>0.64827742657834686</v>
      </c>
      <c r="AK526" s="9">
        <f t="shared" si="115"/>
        <v>0.72517450165596054</v>
      </c>
      <c r="AL526" s="9">
        <f t="shared" si="115"/>
        <v>0.81508373205069806</v>
      </c>
    </row>
    <row r="527" spans="2:38" x14ac:dyDescent="0.35">
      <c r="B527" t="s">
        <v>103</v>
      </c>
      <c r="C527" s="9">
        <f>(C516-C522)/C519</f>
        <v>0</v>
      </c>
      <c r="D527" s="9">
        <f t="shared" ref="D527:AL527" si="116">(D516-D522)/D519</f>
        <v>-7.09446445021901E-10</v>
      </c>
      <c r="E527" s="9">
        <f t="shared" si="116"/>
        <v>-1.1226839708596135E-9</v>
      </c>
      <c r="F527" s="9">
        <f t="shared" si="116"/>
        <v>-1.595177647217086E-9</v>
      </c>
      <c r="G527" s="9">
        <f t="shared" si="116"/>
        <v>-1.7118343604145102E-9</v>
      </c>
      <c r="H527" s="9">
        <f t="shared" si="116"/>
        <v>-1.6878606230696775E-9</v>
      </c>
      <c r="I527" s="9">
        <f t="shared" si="116"/>
        <v>-1.6629328460807759E-9</v>
      </c>
      <c r="J527" s="9">
        <f t="shared" si="116"/>
        <v>-3.2195401112873486E-3</v>
      </c>
      <c r="K527" s="9">
        <f t="shared" si="116"/>
        <v>-5.9764599426812923E-3</v>
      </c>
      <c r="L527" s="9">
        <f t="shared" si="116"/>
        <v>-8.0942868911559954E-3</v>
      </c>
      <c r="M527" s="9">
        <f t="shared" si="116"/>
        <v>-9.595877583336113E-3</v>
      </c>
      <c r="N527" s="9">
        <f t="shared" si="116"/>
        <v>-1.0091646950395002E-2</v>
      </c>
      <c r="O527" s="9">
        <f t="shared" si="116"/>
        <v>-9.9563399209035841E-3</v>
      </c>
      <c r="P527" s="9">
        <f t="shared" si="116"/>
        <v>-9.4491125205359676E-3</v>
      </c>
      <c r="Q527" s="9">
        <f t="shared" si="116"/>
        <v>-8.7356900752292577E-3</v>
      </c>
      <c r="R527" s="9">
        <f t="shared" si="116"/>
        <v>-7.914861959103632E-3</v>
      </c>
      <c r="S527" s="9">
        <f t="shared" si="116"/>
        <v>-7.3883309427157998E-3</v>
      </c>
      <c r="T527" s="9">
        <f t="shared" si="116"/>
        <v>-7.0330343540429361E-3</v>
      </c>
      <c r="U527" s="9">
        <f t="shared" si="116"/>
        <v>-6.737672187212683E-3</v>
      </c>
      <c r="V527" s="9">
        <f t="shared" si="116"/>
        <v>-6.4254083924513887E-3</v>
      </c>
      <c r="W527" s="9">
        <f t="shared" si="116"/>
        <v>-6.0496482268855047E-3</v>
      </c>
      <c r="X527" s="9">
        <f t="shared" si="116"/>
        <v>-5.5928267287523618E-3</v>
      </c>
      <c r="Y527" s="9">
        <f t="shared" si="116"/>
        <v>-5.0701735500884946E-3</v>
      </c>
      <c r="Z527" s="9">
        <f t="shared" si="116"/>
        <v>-4.4927914341592809E-3</v>
      </c>
      <c r="AA527" s="9">
        <f t="shared" si="116"/>
        <v>-3.8681339267550934E-3</v>
      </c>
      <c r="AB527" s="9">
        <f t="shared" si="116"/>
        <v>-3.2025377451603801E-3</v>
      </c>
      <c r="AC527" s="9">
        <f t="shared" si="116"/>
        <v>-2.5046673068166141E-3</v>
      </c>
      <c r="AD527" s="9">
        <f t="shared" si="116"/>
        <v>-1.7813609154920893E-3</v>
      </c>
      <c r="AE527" s="9">
        <f t="shared" si="116"/>
        <v>-1.0347022185349757E-3</v>
      </c>
      <c r="AF527" s="9">
        <f t="shared" si="116"/>
        <v>-2.6390624227955076E-4</v>
      </c>
      <c r="AG527" s="9">
        <f t="shared" si="116"/>
        <v>5.365576521485022E-4</v>
      </c>
      <c r="AH527" s="9">
        <f t="shared" si="116"/>
        <v>1.3759191269589982E-3</v>
      </c>
      <c r="AI527" s="9">
        <f t="shared" si="116"/>
        <v>2.2720072380722788E-3</v>
      </c>
      <c r="AJ527" s="9">
        <f t="shared" si="116"/>
        <v>3.2481039967901478E-3</v>
      </c>
      <c r="AK527" s="9">
        <f t="shared" si="116"/>
        <v>4.3322932915056496E-3</v>
      </c>
      <c r="AL527" s="9">
        <f t="shared" si="116"/>
        <v>5.5599747960886521E-3</v>
      </c>
    </row>
    <row r="528" spans="2:38" x14ac:dyDescent="0.35">
      <c r="B528" t="s">
        <v>104</v>
      </c>
      <c r="C528" s="9">
        <f>(C515-C521)/C519</f>
        <v>1.434699036705731E-9</v>
      </c>
      <c r="D528" s="9">
        <f t="shared" ref="D528:AL528" si="117">(D515-D521)/D519</f>
        <v>7.094463946126998E-10</v>
      </c>
      <c r="E528" s="9">
        <f t="shared" si="117"/>
        <v>-7.0167764382310661E-10</v>
      </c>
      <c r="F528" s="9">
        <f t="shared" si="117"/>
        <v>-1.3871109290164816E-9</v>
      </c>
      <c r="G528" s="9">
        <f t="shared" si="117"/>
        <v>-2.0542013103426265E-9</v>
      </c>
      <c r="H528" s="9">
        <f t="shared" si="117"/>
        <v>-2.0254326325510904E-9</v>
      </c>
      <c r="I528" s="9">
        <f t="shared" si="117"/>
        <v>-1.9955193018647847E-9</v>
      </c>
      <c r="J528" s="9">
        <f t="shared" si="117"/>
        <v>-1.0233095046461997E-2</v>
      </c>
      <c r="K528" s="9">
        <f t="shared" si="117"/>
        <v>-2.1348635255669653E-2</v>
      </c>
      <c r="L528" s="9">
        <f t="shared" si="117"/>
        <v>-2.6105971879322308E-2</v>
      </c>
      <c r="M528" s="9">
        <f t="shared" si="117"/>
        <v>-2.8711258010517212E-2</v>
      </c>
      <c r="N528" s="9">
        <f t="shared" si="117"/>
        <v>-2.924525325340304E-2</v>
      </c>
      <c r="O528" s="9">
        <f t="shared" si="117"/>
        <v>-2.8295489070080785E-2</v>
      </c>
      <c r="P528" s="9">
        <f t="shared" si="117"/>
        <v>-2.5807465073244357E-2</v>
      </c>
      <c r="Q528" s="9">
        <f t="shared" si="117"/>
        <v>-2.1499421487572213E-2</v>
      </c>
      <c r="R528" s="9">
        <f t="shared" si="117"/>
        <v>-1.547708555726849E-2</v>
      </c>
      <c r="S528" s="9">
        <f t="shared" si="117"/>
        <v>-9.5502316683908108E-3</v>
      </c>
      <c r="T528" s="9">
        <f t="shared" si="117"/>
        <v>-3.5190789284132887E-3</v>
      </c>
      <c r="U528" s="9">
        <f t="shared" si="117"/>
        <v>2.7850880258785565E-3</v>
      </c>
      <c r="V528" s="9">
        <f t="shared" si="117"/>
        <v>9.6180831453766009E-3</v>
      </c>
      <c r="W528" s="9">
        <f t="shared" si="117"/>
        <v>1.7275743948296604E-2</v>
      </c>
      <c r="X528" s="9">
        <f t="shared" si="117"/>
        <v>2.6106937945658611E-2</v>
      </c>
      <c r="Y528" s="9">
        <f t="shared" si="117"/>
        <v>3.6460274985122804E-2</v>
      </c>
      <c r="Z528" s="9">
        <f t="shared" si="117"/>
        <v>4.8625027593352584E-2</v>
      </c>
      <c r="AA528" s="9">
        <f t="shared" si="117"/>
        <v>6.2897179963503552E-2</v>
      </c>
      <c r="AB528" s="9">
        <f t="shared" si="117"/>
        <v>7.9586406430984927E-2</v>
      </c>
      <c r="AC528" s="9">
        <f t="shared" si="117"/>
        <v>9.9390224884068901E-2</v>
      </c>
      <c r="AD528" s="9">
        <f t="shared" si="117"/>
        <v>0.12286190843140704</v>
      </c>
      <c r="AE528" s="9">
        <f t="shared" si="117"/>
        <v>0.1505716327642892</v>
      </c>
      <c r="AF528" s="9">
        <f t="shared" si="117"/>
        <v>0.18317917067632963</v>
      </c>
      <c r="AG528" s="9">
        <f t="shared" si="117"/>
        <v>0.22148892596224787</v>
      </c>
      <c r="AH528" s="9">
        <f t="shared" si="117"/>
        <v>0.26656940319841305</v>
      </c>
      <c r="AI528" s="9">
        <f t="shared" si="117"/>
        <v>0.31980591536196618</v>
      </c>
      <c r="AJ528" s="9">
        <f t="shared" si="117"/>
        <v>0.38288631206885304</v>
      </c>
      <c r="AK528" s="9">
        <f t="shared" si="117"/>
        <v>0.45799246214764311</v>
      </c>
      <c r="AL528" s="9">
        <f t="shared" si="117"/>
        <v>0.54806289526366347</v>
      </c>
    </row>
    <row r="529" spans="2:38" x14ac:dyDescent="0.35">
      <c r="B529" t="s">
        <v>20</v>
      </c>
      <c r="C529" s="9">
        <f>(C517-C514-(C523-C520))/C519</f>
        <v>-7.1734941641137608E-10</v>
      </c>
      <c r="D529" s="9">
        <f t="shared" ref="D529:AL529" si="118">(D517-D514-(D523-D520))/D519</f>
        <v>7.094463946126998E-10</v>
      </c>
      <c r="E529" s="9">
        <f t="shared" si="118"/>
        <v>1.3331872839494192E-9</v>
      </c>
      <c r="F529" s="9">
        <f t="shared" si="118"/>
        <v>2.7742220551532936E-9</v>
      </c>
      <c r="G529" s="9">
        <f t="shared" si="118"/>
        <v>3.35519529192079E-9</v>
      </c>
      <c r="H529" s="9">
        <f t="shared" si="118"/>
        <v>3.9833512661697269E-9</v>
      </c>
      <c r="I529" s="9">
        <f t="shared" si="118"/>
        <v>3.9245216150584915E-9</v>
      </c>
      <c r="J529" s="9">
        <f t="shared" si="118"/>
        <v>2.0232834030606241E-2</v>
      </c>
      <c r="K529" s="9">
        <f t="shared" si="118"/>
        <v>4.1911763473104387E-2</v>
      </c>
      <c r="L529" s="9">
        <f t="shared" si="118"/>
        <v>6.1058721612560367E-2</v>
      </c>
      <c r="M529" s="9">
        <f t="shared" si="118"/>
        <v>7.8152637346652939E-2</v>
      </c>
      <c r="N529" s="9">
        <f t="shared" si="118"/>
        <v>9.1849978460077267E-2</v>
      </c>
      <c r="O529" s="9">
        <f t="shared" si="118"/>
        <v>0.10329664118289088</v>
      </c>
      <c r="P529" s="9">
        <f t="shared" si="118"/>
        <v>0.11317993813894327</v>
      </c>
      <c r="Q529" s="9">
        <f t="shared" si="118"/>
        <v>0.12188956065455146</v>
      </c>
      <c r="R529" s="9">
        <f t="shared" si="118"/>
        <v>0.12974481670497295</v>
      </c>
      <c r="S529" s="9">
        <f t="shared" si="118"/>
        <v>0.13768594268445336</v>
      </c>
      <c r="T529" s="9">
        <f t="shared" si="118"/>
        <v>0.14632696022892572</v>
      </c>
      <c r="U529" s="9">
        <f t="shared" si="118"/>
        <v>0.1553989905063371</v>
      </c>
      <c r="V529" s="9">
        <f t="shared" si="118"/>
        <v>0.16468128017313899</v>
      </c>
      <c r="W529" s="9">
        <f t="shared" si="118"/>
        <v>0.17400420633623712</v>
      </c>
      <c r="X529" s="9">
        <f t="shared" si="118"/>
        <v>0.18321942366239427</v>
      </c>
      <c r="Y529" s="9">
        <f t="shared" si="118"/>
        <v>0.19223884287022763</v>
      </c>
      <c r="Z529" s="9">
        <f t="shared" si="118"/>
        <v>0.20099635342378869</v>
      </c>
      <c r="AA529" s="9">
        <f t="shared" si="118"/>
        <v>0.20943693119023282</v>
      </c>
      <c r="AB529" s="9">
        <f t="shared" si="118"/>
        <v>0.21754598109063855</v>
      </c>
      <c r="AC529" s="9">
        <f t="shared" si="118"/>
        <v>0.2254790021294191</v>
      </c>
      <c r="AD529" s="9">
        <f t="shared" si="118"/>
        <v>0.23291823797498945</v>
      </c>
      <c r="AE529" s="9">
        <f t="shared" si="118"/>
        <v>0.23979780750478141</v>
      </c>
      <c r="AF529" s="9">
        <f t="shared" si="118"/>
        <v>0.24604187659425633</v>
      </c>
      <c r="AG529" s="9">
        <f t="shared" si="118"/>
        <v>0.25155307024860801</v>
      </c>
      <c r="AH529" s="9">
        <f t="shared" si="118"/>
        <v>0.25620360188563562</v>
      </c>
      <c r="AI529" s="9">
        <f t="shared" si="118"/>
        <v>0.25981556348678964</v>
      </c>
      <c r="AJ529" s="9">
        <f t="shared" si="118"/>
        <v>0.26214301028963044</v>
      </c>
      <c r="AK529" s="9">
        <f t="shared" si="118"/>
        <v>0.2628497464350053</v>
      </c>
      <c r="AL529" s="9">
        <f t="shared" si="118"/>
        <v>0.26146086216178699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2022-02-15T11:08:04Z</dcterms:modified>
</cp:coreProperties>
</file>